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RM_Sales Pepline\"/>
    </mc:Choice>
  </mc:AlternateContent>
  <xr:revisionPtr revIDLastSave="0" documentId="13_ncr:1_{21E651D5-8E1E-4A59-AEFF-AD3D94CF6548}" xr6:coauthVersionLast="47" xr6:coauthVersionMax="47" xr10:uidLastSave="{00000000-0000-0000-0000-000000000000}"/>
  <bookViews>
    <workbookView xWindow="-120" yWindow="-120" windowWidth="29040" windowHeight="15720" tabRatio="846" xr2:uid="{ADD2F65B-0968-4F6F-B7E0-C6253451CBF3}"/>
  </bookViews>
  <sheets>
    <sheet name="CRM_data" sheetId="2" r:id="rId1"/>
    <sheet name="Sheet_01_Funnel" sheetId="9" r:id="rId2"/>
    <sheet name="Sheet_02_Country" sheetId="10" r:id="rId3"/>
    <sheet name="Sheet_03_LostOpportunity" sheetId="11" r:id="rId4"/>
    <sheet name="Sheet_04_Sales" sheetId="13" r:id="rId5"/>
    <sheet name="Sheet_05_Forecasting" sheetId="14" r:id="rId6"/>
    <sheet name="Sheet_06_Forecasting" sheetId="15" r:id="rId7"/>
    <sheet name="Sheet2" sheetId="17" r:id="rId8"/>
    <sheet name="Dictionary" sheetId="8" r:id="rId9"/>
  </sheet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425" i="2"/>
  <c r="R1499" i="2"/>
  <c r="R1279" i="2"/>
  <c r="R1677" i="2"/>
  <c r="R1053" i="2"/>
  <c r="R1065" i="2"/>
  <c r="R1678" i="2"/>
  <c r="R1155" i="2"/>
  <c r="R1301" i="2"/>
  <c r="R1482" i="2"/>
  <c r="R1130" i="2"/>
  <c r="R1551" i="2"/>
  <c r="R1599" i="2"/>
  <c r="R1192" i="2"/>
  <c r="R1701" i="2"/>
  <c r="R1582" i="2"/>
  <c r="R1219" i="2"/>
  <c r="R1293" i="2"/>
  <c r="R1084" i="2"/>
  <c r="R1226" i="2"/>
  <c r="R1819" i="2"/>
  <c r="R1199" i="2"/>
  <c r="R1535" i="2"/>
  <c r="R1237" i="2"/>
  <c r="R1716" i="2"/>
  <c r="R1118" i="2"/>
  <c r="R1552" i="2"/>
  <c r="R1617" i="2"/>
  <c r="R1536" i="2"/>
  <c r="R1624" i="2"/>
  <c r="R1280" i="2"/>
  <c r="R1134" i="2"/>
  <c r="R1553" i="2"/>
  <c r="R1618" i="2"/>
  <c r="R1743" i="2"/>
  <c r="R1500" i="2"/>
  <c r="R1657" i="2"/>
  <c r="R1257" i="2"/>
  <c r="R1719" i="2"/>
  <c r="R1086" i="2"/>
  <c r="R1062" i="2"/>
  <c r="R1751" i="2"/>
  <c r="R1096" i="2"/>
  <c r="R1658" i="2"/>
  <c r="R1179" i="2"/>
  <c r="R1145" i="2"/>
  <c r="R1461" i="2"/>
  <c r="R1601" i="2"/>
  <c r="R1783" i="2"/>
  <c r="R1732" i="2"/>
  <c r="R1260" i="2"/>
  <c r="R1045" i="2"/>
  <c r="R1802" i="2"/>
  <c r="R1633" i="2"/>
  <c r="R1419" i="2"/>
  <c r="R1432" i="2"/>
  <c r="R1772" i="2"/>
  <c r="R1651" i="2"/>
  <c r="R1619" i="2"/>
  <c r="R1468" i="2"/>
  <c r="R1785" i="2"/>
  <c r="R1602" i="2"/>
  <c r="R1809" i="2"/>
  <c r="R1200" i="2"/>
  <c r="R1411" i="2"/>
  <c r="R1135" i="2"/>
  <c r="R1773" i="2"/>
  <c r="R1161" i="2"/>
  <c r="R1527" i="2"/>
  <c r="R1774" i="2"/>
  <c r="R1302" i="2"/>
  <c r="R1793" i="2"/>
  <c r="R1046" i="2"/>
  <c r="R1097" i="2"/>
  <c r="R1201" i="2"/>
  <c r="R1079" i="2"/>
  <c r="R1156" i="2"/>
  <c r="R1174" i="2"/>
  <c r="R1420" i="2"/>
  <c r="R1331" i="2"/>
  <c r="R1098" i="2"/>
  <c r="R1537" i="2"/>
  <c r="R1501" i="2"/>
  <c r="R1232" i="2"/>
  <c r="R1568" i="2"/>
  <c r="R1142" i="2"/>
  <c r="R1775" i="2"/>
  <c r="R1585" i="2"/>
  <c r="R1528" i="2"/>
  <c r="R1286" i="2"/>
  <c r="R1040" i="2"/>
  <c r="R1202" i="2"/>
  <c r="R1744" i="2"/>
  <c r="R1433" i="2"/>
  <c r="R1269" i="2"/>
  <c r="R1794" i="2"/>
  <c r="R1706" i="2"/>
  <c r="R1270" i="2"/>
  <c r="R1652" i="2"/>
  <c r="R1194" i="2"/>
  <c r="R1215" i="2"/>
  <c r="R1406" i="2"/>
  <c r="R1041" i="2"/>
  <c r="R1547" i="2"/>
  <c r="R1508" i="2"/>
  <c r="R1205" i="2"/>
  <c r="R1664" i="2"/>
  <c r="R1745" i="2"/>
  <c r="R1299" i="2"/>
  <c r="R1146" i="2"/>
  <c r="R1548" i="2"/>
  <c r="R1741" i="2"/>
  <c r="R1120" i="2"/>
  <c r="R1263" i="2"/>
  <c r="R1069" i="2"/>
  <c r="R1695" i="2"/>
  <c r="R1634" i="2"/>
  <c r="R1483" i="2"/>
  <c r="R1426" i="2"/>
  <c r="R1484" i="2"/>
  <c r="R1720" i="2"/>
  <c r="R1684" i="2"/>
  <c r="R1786" i="2"/>
  <c r="R1112" i="2"/>
  <c r="R1523" i="2"/>
  <c r="R1216" i="2"/>
  <c r="R1517" i="2"/>
  <c r="R1332" i="2"/>
  <c r="R1085" i="2"/>
  <c r="R1620" i="2"/>
  <c r="R1586" i="2"/>
  <c r="R1469" i="2"/>
  <c r="R1810" i="2"/>
  <c r="R1440" i="2"/>
  <c r="R1675" i="2"/>
  <c r="R1470" i="2"/>
  <c r="R1184" i="2"/>
  <c r="R1756" i="2"/>
  <c r="R1143" i="2"/>
  <c r="R1110" i="2"/>
  <c r="R1076" i="2"/>
  <c r="R1803" i="2"/>
  <c r="R1611" i="2"/>
  <c r="R1441" i="2"/>
  <c r="R1274" i="2"/>
  <c r="R1070" i="2"/>
  <c r="R1147" i="2"/>
  <c r="R1258" i="2"/>
  <c r="R1462" i="2"/>
  <c r="R1060" i="2"/>
  <c r="R1612" i="2"/>
  <c r="R1690" i="2"/>
  <c r="R1625" i="2"/>
  <c r="R1471" i="2"/>
  <c r="R1294" i="2"/>
  <c r="R1665" i="2"/>
  <c r="R1757" i="2"/>
  <c r="R1333" i="2"/>
  <c r="R1776" i="2"/>
  <c r="R1613" i="2"/>
  <c r="R1113" i="2"/>
  <c r="R1812" i="2"/>
  <c r="R1554" i="2"/>
  <c r="R1670" i="2"/>
  <c r="R1485" i="2"/>
  <c r="R1562" i="2"/>
  <c r="R1626" i="2"/>
  <c r="R1529" i="2"/>
  <c r="R1320" i="2"/>
  <c r="R1407" i="2"/>
  <c r="R1555" i="2"/>
  <c r="R1066" i="2"/>
  <c r="R1595" i="2"/>
  <c r="R1563" i="2"/>
  <c r="R1653" i="2"/>
  <c r="R1399" i="2"/>
  <c r="R1587" i="2"/>
  <c r="R1136" i="2"/>
  <c r="R1137" i="2"/>
  <c r="R1251" i="2"/>
  <c r="R1472" i="2"/>
  <c r="R1436" i="2"/>
  <c r="R1804" i="2"/>
  <c r="R1056" i="2"/>
  <c r="R1635" i="2"/>
  <c r="R1080" i="2"/>
  <c r="R1696" i="2"/>
  <c r="R1645" i="2"/>
  <c r="R1492" i="2"/>
  <c r="R1614" i="2"/>
  <c r="R1746" i="2"/>
  <c r="R1185" i="2"/>
  <c r="R1171" i="2"/>
  <c r="R1042" i="2"/>
  <c r="R1787" i="2"/>
  <c r="R1321" i="2"/>
  <c r="R1733" i="2"/>
  <c r="R1679" i="2"/>
  <c r="R1734" i="2"/>
  <c r="R1172" i="2"/>
  <c r="R1166" i="2"/>
  <c r="R1315" i="2"/>
  <c r="R1627" i="2"/>
  <c r="R1564" i="2"/>
  <c r="R1445" i="2"/>
  <c r="R1437" i="2"/>
  <c r="R1322" i="2"/>
  <c r="R1654" i="2"/>
  <c r="R1427" i="2"/>
  <c r="R1186" i="2"/>
  <c r="R1502" i="2"/>
  <c r="R1148" i="2"/>
  <c r="R1087" i="2"/>
  <c r="R1077" i="2"/>
  <c r="R1187" i="2"/>
  <c r="R1473" i="2"/>
  <c r="R1659" i="2"/>
  <c r="R1747" i="2"/>
  <c r="R1303" i="2"/>
  <c r="R1162" i="2"/>
  <c r="R1271" i="2"/>
  <c r="R1206" i="2"/>
  <c r="R1697" i="2"/>
  <c r="R1328" i="2"/>
  <c r="R1621" i="2"/>
  <c r="R1127" i="2"/>
  <c r="R1188" i="2"/>
  <c r="R1622" i="2"/>
  <c r="R1707" i="2"/>
  <c r="R1220" i="2"/>
  <c r="R1180" i="2"/>
  <c r="R1114" i="2"/>
  <c r="R1047" i="2"/>
  <c r="R1217" i="2"/>
  <c r="R1474" i="2"/>
  <c r="R1099" i="2"/>
  <c r="R1195" i="2"/>
  <c r="R1637" i="2"/>
  <c r="R1167" i="2"/>
  <c r="R1788" i="2"/>
  <c r="R1323" i="2"/>
  <c r="R1193" i="2"/>
  <c r="R1306" i="2"/>
  <c r="R1735" i="2"/>
  <c r="R1779" i="2"/>
  <c r="R1760" i="2"/>
  <c r="R1666" i="2"/>
  <c r="R1115" i="2"/>
  <c r="R1646" i="2"/>
  <c r="R1446" i="2"/>
  <c r="R1400" i="2"/>
  <c r="R1640" i="2"/>
  <c r="R1777" i="2"/>
  <c r="R1151" i="2"/>
  <c r="R1685" i="2"/>
  <c r="R1752" i="2"/>
  <c r="R1307" i="2"/>
  <c r="R1428" i="2"/>
  <c r="R1615" i="2"/>
  <c r="R1511" i="2"/>
  <c r="R1795" i="2"/>
  <c r="R1295" i="2"/>
  <c r="R1181" i="2"/>
  <c r="R1569" i="2"/>
  <c r="R1310" i="2"/>
  <c r="R1128" i="2"/>
  <c r="R1655" i="2"/>
  <c r="R1660" i="2"/>
  <c r="R1753" i="2"/>
  <c r="R1762" i="2"/>
  <c r="R1796" i="2"/>
  <c r="R1797" i="2"/>
  <c r="R1088" i="2"/>
  <c r="R1196" i="2"/>
  <c r="R1780" i="2"/>
  <c r="R1763" i="2"/>
  <c r="R1596" i="2"/>
  <c r="R1311" i="2"/>
  <c r="R1475" i="2"/>
  <c r="R1583" i="2"/>
  <c r="R1272" i="2"/>
  <c r="R1702" i="2"/>
  <c r="R1736" i="2"/>
  <c r="R1175" i="2"/>
  <c r="R1324" i="2"/>
  <c r="R1048" i="2"/>
  <c r="R1089" i="2"/>
  <c r="R1234" i="2"/>
  <c r="R1524" i="2"/>
  <c r="R1661" i="2"/>
  <c r="R1556" i="2"/>
  <c r="R1641" i="2"/>
  <c r="R1603" i="2"/>
  <c r="R1281" i="2"/>
  <c r="R1463" i="2"/>
  <c r="R1789" i="2"/>
  <c r="R1708" i="2"/>
  <c r="R1709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748" i="2"/>
  <c r="R1421" i="2"/>
  <c r="R1447" i="2"/>
  <c r="R1512" i="2"/>
  <c r="R1817" i="2"/>
  <c r="R1710" i="2"/>
  <c r="R1224" i="2"/>
  <c r="R1453" i="2"/>
  <c r="R1448" i="2"/>
  <c r="R1721" i="2"/>
  <c r="R1493" i="2"/>
  <c r="R1662" i="2"/>
  <c r="R1630" i="2"/>
  <c r="R1438" i="2"/>
  <c r="R1798" i="2"/>
  <c r="R1233" i="2"/>
  <c r="R1071" i="2"/>
  <c r="R1682" i="2"/>
  <c r="R1758" i="2"/>
  <c r="R1213" i="2"/>
  <c r="R1103" i="2"/>
  <c r="R1227" i="2"/>
  <c r="R1680" i="2"/>
  <c r="R1176" i="2"/>
  <c r="R1764" i="2"/>
  <c r="R1296" i="2"/>
  <c r="R1182" i="2"/>
  <c r="R1513" i="2"/>
  <c r="R1737" i="2"/>
  <c r="R1235" i="2"/>
  <c r="R1131" i="2"/>
  <c r="R1722" i="2"/>
  <c r="R1408" i="2"/>
  <c r="R1530" i="2"/>
  <c r="R1157" i="2"/>
  <c r="R1061" i="2"/>
  <c r="R1081" i="2"/>
  <c r="R1043" i="2"/>
  <c r="R1723" i="2"/>
  <c r="R1304" i="2"/>
  <c r="R1149" i="2"/>
  <c r="R1401" i="2"/>
  <c r="R1728" i="2"/>
  <c r="R1642" i="2"/>
  <c r="R1749" i="2"/>
  <c r="R1063" i="2"/>
  <c r="R1503" i="2"/>
  <c r="R1541" i="2"/>
  <c r="R1781" i="2"/>
  <c r="R1504" i="2"/>
  <c r="R1464" i="2"/>
  <c r="R1122" i="2"/>
  <c r="R1811" i="2"/>
  <c r="R1275" i="2"/>
  <c r="R1429" i="2"/>
  <c r="R1820" i="2"/>
  <c r="R1750" i="2"/>
  <c r="R1208" i="2"/>
  <c r="R1177" i="2"/>
  <c r="R1729" i="2"/>
  <c r="R1252" i="2"/>
  <c r="R1494" i="2"/>
  <c r="R1643" i="2"/>
  <c r="R1189" i="2"/>
  <c r="R1565" i="2"/>
  <c r="R1712" i="2"/>
  <c r="R1152" i="2"/>
  <c r="R1616" i="2"/>
  <c r="R1253" i="2"/>
  <c r="R1495" i="2"/>
  <c r="R1505" i="2"/>
  <c r="R1588" i="2"/>
  <c r="R1057" i="2"/>
  <c r="R1104" i="2"/>
  <c r="R1518" i="2"/>
  <c r="R1123" i="2"/>
  <c r="R1671" i="2"/>
  <c r="R1138" i="2"/>
  <c r="R1821" i="2"/>
  <c r="R1422" i="2"/>
  <c r="R1228" i="2"/>
  <c r="R1229" i="2"/>
  <c r="R1531" i="2"/>
  <c r="R1638" i="2"/>
  <c r="R1334" i="2"/>
  <c r="R1442" i="2"/>
  <c r="R1221" i="2"/>
  <c r="R1456" i="2"/>
  <c r="R1761" i="2"/>
  <c r="R1264" i="2"/>
  <c r="R1210" i="2"/>
  <c r="R1509" i="2"/>
  <c r="R1124" i="2"/>
  <c r="R1449" i="2"/>
  <c r="R1576" i="2"/>
  <c r="R1724" i="2"/>
  <c r="R1454" i="2"/>
  <c r="R1111" i="2"/>
  <c r="R1335" i="2"/>
  <c r="R1049" i="2"/>
  <c r="R1106" i="2"/>
  <c r="R1542" i="2"/>
  <c r="R1754" i="2"/>
  <c r="R1297" i="2"/>
  <c r="R1450" i="2"/>
  <c r="R1139" i="2"/>
  <c r="R1805" i="2"/>
  <c r="R1430" i="2"/>
  <c r="R1765" i="2"/>
  <c r="R1443" i="2"/>
  <c r="R1107" i="2"/>
  <c r="R1457" i="2"/>
  <c r="R1455" i="2"/>
  <c r="R1458" i="2"/>
  <c r="R1072" i="2"/>
  <c r="R1790" i="2"/>
  <c r="R1121" i="2"/>
  <c r="R1465" i="2"/>
  <c r="R1759" i="2"/>
  <c r="R1245" i="2"/>
  <c r="R1054" i="2"/>
  <c r="R1402" i="2"/>
  <c r="R1486" i="2"/>
  <c r="R1132" i="2"/>
  <c r="R1738" i="2"/>
  <c r="R1519" i="2"/>
  <c r="R1686" i="2"/>
  <c r="R1073" i="2"/>
  <c r="R1325" i="2"/>
  <c r="R1607" i="2"/>
  <c r="R1498" i="2"/>
  <c r="R1703" i="2"/>
  <c r="R1806" i="2"/>
  <c r="R1672" i="2"/>
  <c r="R1265" i="2"/>
  <c r="R1577" i="2"/>
  <c r="R1308" i="2"/>
  <c r="R1766" i="2"/>
  <c r="R1767" i="2"/>
  <c r="R1222" i="2"/>
  <c r="R1100" i="2"/>
  <c r="R1506" i="2"/>
  <c r="R1742" i="2"/>
  <c r="R1572" i="2"/>
  <c r="R1163" i="2"/>
  <c r="R1158" i="2"/>
  <c r="R1628" i="2"/>
  <c r="R1282" i="2"/>
  <c r="R1044" i="2"/>
  <c r="R1190" i="2"/>
  <c r="R1168" i="2"/>
  <c r="R1246" i="2"/>
  <c r="R1326" i="2"/>
  <c r="R1704" i="2"/>
  <c r="R1159" i="2"/>
  <c r="R1813" i="2"/>
  <c r="R1451" i="2"/>
  <c r="R1768" i="2"/>
  <c r="R1814" i="2"/>
  <c r="R1647" i="2"/>
  <c r="R1305" i="2"/>
  <c r="R1329" i="2"/>
  <c r="R1078" i="2"/>
  <c r="R1153" i="2"/>
  <c r="R1067" i="2"/>
  <c r="R1068" i="2"/>
  <c r="R1739" i="2"/>
  <c r="R1667" i="2"/>
  <c r="R1058" i="2"/>
  <c r="R1573" i="2"/>
  <c r="R1412" i="2"/>
  <c r="R1525" i="2"/>
  <c r="R1629" i="2"/>
  <c r="R1698" i="2"/>
  <c r="R1668" i="2"/>
  <c r="R1496" i="2"/>
  <c r="R1466" i="2"/>
  <c r="R1730" i="2"/>
  <c r="R1413" i="2"/>
  <c r="R1287" i="2"/>
  <c r="R1050" i="2"/>
  <c r="R1090" i="2"/>
  <c r="R1543" i="2"/>
  <c r="R1197" i="2"/>
  <c r="R1051" i="2"/>
  <c r="R1309" i="2"/>
  <c r="R1082" i="2"/>
  <c r="R1725" i="2"/>
  <c r="R1487" i="2"/>
  <c r="R1283" i="2"/>
  <c r="R1691" i="2"/>
  <c r="R1284" i="2"/>
  <c r="R1273" i="2"/>
  <c r="R1248" i="2"/>
  <c r="R1557" i="2"/>
  <c r="R1683" i="2"/>
  <c r="R1266" i="2"/>
  <c r="R1544" i="2"/>
  <c r="R1238" i="2"/>
  <c r="R1409" i="2"/>
  <c r="R1129" i="2"/>
  <c r="R1164" i="2"/>
  <c r="R1604" i="2"/>
  <c r="R1160" i="2"/>
  <c r="R1815" i="2"/>
  <c r="R1681" i="2"/>
  <c r="R1144" i="2"/>
  <c r="R1330" i="2"/>
  <c r="R1589" i="2"/>
  <c r="R1497" i="2"/>
  <c r="R1191" i="2"/>
  <c r="R1726" i="2"/>
  <c r="R1476" i="2"/>
  <c r="R1218" i="2"/>
  <c r="R1414" i="2"/>
  <c r="R1532" i="2"/>
  <c r="R1276" i="2"/>
  <c r="R1198" i="2"/>
  <c r="R1507" i="2"/>
  <c r="R1261" i="2"/>
  <c r="R1713" i="2"/>
  <c r="R1108" i="2"/>
  <c r="R1608" i="2"/>
  <c r="R1692" i="2"/>
  <c r="R1410" i="2"/>
  <c r="R1769" i="2"/>
  <c r="R1514" i="2"/>
  <c r="R1558" i="2"/>
  <c r="R1566" i="2"/>
  <c r="R1782" i="2"/>
  <c r="R1807" i="2"/>
  <c r="R1434" i="2"/>
  <c r="R1214" i="2"/>
  <c r="R1298" i="2"/>
  <c r="R1133" i="2"/>
  <c r="R1091" i="2"/>
  <c r="R1656" i="2"/>
  <c r="R1101" i="2"/>
  <c r="R1125" i="2"/>
  <c r="R1403" i="2"/>
  <c r="R1673" i="2"/>
  <c r="R1584" i="2"/>
  <c r="R1538" i="2"/>
  <c r="R1092" i="2"/>
  <c r="R1669" i="2"/>
  <c r="R1526" i="2"/>
  <c r="R1674" i="2"/>
  <c r="R1574" i="2"/>
  <c r="R1699" i="2"/>
  <c r="R1203" i="2"/>
  <c r="R1590" i="2"/>
  <c r="R1169" i="2"/>
  <c r="R1578" i="2"/>
  <c r="R1327" i="2"/>
  <c r="R1083" i="2"/>
  <c r="R1154" i="2"/>
  <c r="R1059" i="2"/>
  <c r="R1559" i="2"/>
  <c r="R1591" i="2"/>
  <c r="R1093" i="2"/>
  <c r="R1404" i="2"/>
  <c r="R1459" i="2"/>
  <c r="R1209" i="2"/>
  <c r="R1489" i="2"/>
  <c r="R1055" i="2"/>
  <c r="R1714" i="2"/>
  <c r="R1592" i="2"/>
  <c r="R1520" i="2"/>
  <c r="R1575" i="2"/>
  <c r="R1444" i="2"/>
  <c r="R1267" i="2"/>
  <c r="R1740" i="2"/>
  <c r="R1610" i="2"/>
  <c r="R1477" i="2"/>
  <c r="R1288" i="2"/>
  <c r="R1312" i="2"/>
  <c r="R1300" i="2"/>
  <c r="R1102" i="2"/>
  <c r="R1268" i="2"/>
  <c r="R1600" i="2"/>
  <c r="R1755" i="2"/>
  <c r="R1711" i="2"/>
  <c r="R1770" i="2"/>
  <c r="R1211" i="2"/>
  <c r="R1064" i="2"/>
  <c r="R1225" i="2"/>
  <c r="R1510" i="2"/>
  <c r="R1241" i="2"/>
  <c r="R1423" i="2"/>
  <c r="R1336" i="2"/>
  <c r="R1337" i="2"/>
  <c r="R1052" i="2"/>
  <c r="R1631" i="2"/>
  <c r="R1109" i="2"/>
  <c r="R1313" i="2"/>
  <c r="R1178" i="2"/>
  <c r="R1452" i="2"/>
  <c r="R1212" i="2"/>
  <c r="R1648" i="2"/>
  <c r="R1435" i="2"/>
  <c r="R1289" i="2"/>
  <c r="R1424" i="2"/>
  <c r="R1417" i="2"/>
  <c r="R1259" i="2"/>
  <c r="R1277" i="2"/>
  <c r="R1316" i="2"/>
  <c r="R1119" i="2"/>
  <c r="R1693" i="2"/>
  <c r="R1771" i="2"/>
  <c r="R1478" i="2"/>
  <c r="R1242" i="2"/>
  <c r="R1479" i="2"/>
  <c r="R1173" i="2"/>
  <c r="R1488" i="2"/>
  <c r="R1717" i="2"/>
  <c r="R1116" i="2"/>
  <c r="R1254" i="2"/>
  <c r="R1605" i="2"/>
  <c r="R1687" i="2"/>
  <c r="R1204" i="2"/>
  <c r="R1705" i="2"/>
  <c r="R1094" i="2"/>
  <c r="R1117" i="2"/>
  <c r="R1663" i="2"/>
  <c r="R1606" i="2"/>
  <c r="R1609" i="2"/>
  <c r="R1439" i="2"/>
  <c r="R1623" i="2"/>
  <c r="R1597" i="2"/>
  <c r="R1290" i="2"/>
  <c r="R1649" i="2"/>
  <c r="R1317" i="2"/>
  <c r="R1105" i="2"/>
  <c r="R1418" i="2"/>
  <c r="R1539" i="2"/>
  <c r="R1560" i="2"/>
  <c r="R1140" i="2"/>
  <c r="R1239" i="2"/>
  <c r="R1694" i="2"/>
  <c r="R1688" i="2"/>
  <c r="R1632" i="2"/>
  <c r="R1636" i="2"/>
  <c r="R1689" i="2"/>
  <c r="R1165" i="2"/>
  <c r="R1731" i="2"/>
  <c r="R1243" i="2"/>
  <c r="R1718" i="2"/>
  <c r="R1822" i="2"/>
  <c r="R1676" i="2"/>
  <c r="R1126" i="2"/>
  <c r="R1415" i="2"/>
  <c r="R1262" i="2"/>
  <c r="R1579" i="2"/>
  <c r="R1549" i="2"/>
  <c r="R1255" i="2"/>
  <c r="R1791" i="2"/>
  <c r="R1256" i="2"/>
  <c r="R1818" i="2"/>
  <c r="R1700" i="2"/>
  <c r="R1545" i="2"/>
  <c r="R1074" i="2"/>
  <c r="R1183" i="2"/>
  <c r="R1480" i="2"/>
  <c r="R1207" i="2"/>
  <c r="R1593" i="2"/>
  <c r="R1150" i="2"/>
  <c r="R1799" i="2"/>
  <c r="R1236" i="2"/>
  <c r="R1431" i="2"/>
  <c r="R1800" i="2"/>
  <c r="R1727" i="2"/>
  <c r="R1784" i="2"/>
  <c r="R1801" i="2"/>
  <c r="R1223" i="2"/>
  <c r="R1540" i="2"/>
  <c r="R1244" i="2"/>
  <c r="R1594" i="2"/>
  <c r="R1521" i="2"/>
  <c r="R1580" i="2"/>
  <c r="R1075" i="2"/>
  <c r="R1278" i="2"/>
  <c r="R1823" i="2"/>
  <c r="R1467" i="2"/>
  <c r="R1561" i="2"/>
  <c r="R1567" i="2"/>
  <c r="R1285" i="2"/>
  <c r="R1291" i="2"/>
  <c r="R1230" i="2"/>
  <c r="R1715" i="2"/>
  <c r="R1816" i="2"/>
  <c r="R1416" i="2"/>
  <c r="R1639" i="2"/>
  <c r="R1292" i="2"/>
  <c r="R1570" i="2"/>
  <c r="R1550" i="2"/>
  <c r="R1546" i="2"/>
  <c r="R1405" i="2"/>
  <c r="R1249" i="2"/>
  <c r="R1481" i="2"/>
  <c r="R1778" i="2"/>
  <c r="R1644" i="2"/>
  <c r="R1460" i="2"/>
  <c r="R1318" i="2"/>
  <c r="R1314" i="2"/>
  <c r="R1240" i="2"/>
  <c r="R1581" i="2"/>
  <c r="R1231" i="2"/>
  <c r="R1515" i="2"/>
  <c r="R1650" i="2"/>
  <c r="R1319" i="2"/>
  <c r="R1808" i="2"/>
  <c r="R1247" i="2"/>
  <c r="R1533" i="2"/>
  <c r="R1490" i="2"/>
  <c r="R1792" i="2"/>
  <c r="R1141" i="2"/>
  <c r="R1170" i="2"/>
  <c r="R1095" i="2"/>
  <c r="R1598" i="2"/>
  <c r="R1571" i="2"/>
  <c r="R1491" i="2"/>
  <c r="R1522" i="2"/>
  <c r="R1516" i="2"/>
  <c r="R1250" i="2"/>
  <c r="R1534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J5" i="13"/>
  <c r="J6" i="13"/>
  <c r="J7" i="13"/>
  <c r="J8" i="13"/>
  <c r="J9" i="13"/>
  <c r="J10" i="13"/>
  <c r="J11" i="13"/>
  <c r="J4" i="13"/>
  <c r="J42" i="11"/>
  <c r="J41" i="11"/>
  <c r="J40" i="11"/>
  <c r="J5" i="11"/>
  <c r="J6" i="11"/>
  <c r="J7" i="11"/>
  <c r="J8" i="11"/>
  <c r="J9" i="11"/>
  <c r="J10" i="11"/>
  <c r="J11" i="11"/>
  <c r="J12" i="11"/>
  <c r="J13" i="11"/>
  <c r="J14" i="11"/>
  <c r="J15" i="11"/>
  <c r="J16" i="11"/>
  <c r="J4" i="11"/>
  <c r="J25" i="11"/>
  <c r="J26" i="11"/>
  <c r="J27" i="11"/>
  <c r="J28" i="11"/>
  <c r="J29" i="11"/>
  <c r="J30" i="11"/>
  <c r="J31" i="11"/>
  <c r="J32" i="11"/>
  <c r="J24" i="11"/>
  <c r="J5" i="10"/>
  <c r="J6" i="10"/>
  <c r="J7" i="10"/>
  <c r="J8" i="10"/>
  <c r="J9" i="10"/>
  <c r="J10" i="10"/>
  <c r="J11" i="10"/>
  <c r="J12" i="10"/>
  <c r="J4" i="10"/>
  <c r="G16" i="14"/>
</calcChain>
</file>

<file path=xl/sharedStrings.xml><?xml version="1.0" encoding="utf-8"?>
<sst xmlns="http://schemas.openxmlformats.org/spreadsheetml/2006/main" count="28199" uniqueCount="3151">
  <si>
    <t>Organization</t>
  </si>
  <si>
    <t>Country</t>
  </si>
  <si>
    <t>Lattitude</t>
  </si>
  <si>
    <t>Longitude</t>
  </si>
  <si>
    <t>Industry</t>
  </si>
  <si>
    <t>Organization size</t>
  </si>
  <si>
    <t>Owner</t>
  </si>
  <si>
    <t>Lead acquisition date</t>
  </si>
  <si>
    <t>Product</t>
  </si>
  <si>
    <t>Status</t>
  </si>
  <si>
    <t>Status sequence</t>
  </si>
  <si>
    <t>Stage</t>
  </si>
  <si>
    <t>Stage sequence</t>
  </si>
  <si>
    <t>Deal Value, $</t>
  </si>
  <si>
    <t>Probability, %</t>
  </si>
  <si>
    <t>Expected close date</t>
  </si>
  <si>
    <t>Actual close date</t>
  </si>
  <si>
    <t>Thoughtblab</t>
  </si>
  <si>
    <t>Netherlands</t>
  </si>
  <si>
    <t>52.370216</t>
  </si>
  <si>
    <t>4.895168</t>
  </si>
  <si>
    <t>Banking and Finance</t>
  </si>
  <si>
    <t>Small (11-200)</t>
  </si>
  <si>
    <t>John Smith</t>
  </si>
  <si>
    <t>SAAS</t>
  </si>
  <si>
    <t>Churned Customer</t>
  </si>
  <si>
    <t>Jaxnation</t>
  </si>
  <si>
    <t>Spain</t>
  </si>
  <si>
    <t>40.416775</t>
  </si>
  <si>
    <t>-3.703790</t>
  </si>
  <si>
    <t>Energy &amp; Utilities</t>
  </si>
  <si>
    <t>Emily Johnson</t>
  </si>
  <si>
    <t>Mybuzz</t>
  </si>
  <si>
    <t>Italy</t>
  </si>
  <si>
    <t>41.902782</t>
  </si>
  <si>
    <t>12.496366</t>
  </si>
  <si>
    <t>Education &amp; Science</t>
  </si>
  <si>
    <t>Michael Brown</t>
  </si>
  <si>
    <t>Kare</t>
  </si>
  <si>
    <t>Germany</t>
  </si>
  <si>
    <t>52.520008</t>
  </si>
  <si>
    <t>13.404954</t>
  </si>
  <si>
    <t>Government Administration Healthcare</t>
  </si>
  <si>
    <t>Skaboo</t>
  </si>
  <si>
    <t>Flashset</t>
  </si>
  <si>
    <t>Transportation &amp; Logistics</t>
  </si>
  <si>
    <t>Laura Thompson</t>
  </si>
  <si>
    <t>Custom solution</t>
  </si>
  <si>
    <t>Yozio</t>
  </si>
  <si>
    <t>Belgium</t>
  </si>
  <si>
    <t>51.260197</t>
  </si>
  <si>
    <t>4.402771</t>
  </si>
  <si>
    <t>IT &amp; IT Services</t>
  </si>
  <si>
    <t>Tanoodle</t>
  </si>
  <si>
    <t>Switzerland</t>
  </si>
  <si>
    <t>46.204391</t>
  </si>
  <si>
    <t>6.143158</t>
  </si>
  <si>
    <t>Jessica Martinez</t>
  </si>
  <si>
    <t>Reilly, Wisozk and Stamm</t>
  </si>
  <si>
    <t>France</t>
  </si>
  <si>
    <t>48.864716</t>
  </si>
  <si>
    <t>2.349014</t>
  </si>
  <si>
    <t>Retail &amp; Distribution</t>
  </si>
  <si>
    <t>O'Conner-Sawayn</t>
  </si>
  <si>
    <t>Services</t>
  </si>
  <si>
    <t>Klocko-Sporer</t>
  </si>
  <si>
    <t>Agriculture &amp; Mining</t>
  </si>
  <si>
    <t>Borer Inc</t>
  </si>
  <si>
    <t>Jacobson, Crist and O'Kon</t>
  </si>
  <si>
    <t>Austria</t>
  </si>
  <si>
    <t>48.210033</t>
  </si>
  <si>
    <t>16.363449</t>
  </si>
  <si>
    <t>Kevin Anderson</t>
  </si>
  <si>
    <t>Hickle Inc</t>
  </si>
  <si>
    <t>Professional Services  &amp; Consulting</t>
  </si>
  <si>
    <t>Zulauf, Osinski and Lakin</t>
  </si>
  <si>
    <t>Portugal</t>
  </si>
  <si>
    <t>38.736946</t>
  </si>
  <si>
    <t>-9.142685</t>
  </si>
  <si>
    <t>Cruickshank, Lubowitz and Marquardt</t>
  </si>
  <si>
    <t>Roberts-Glover</t>
  </si>
  <si>
    <t>Bauch Group</t>
  </si>
  <si>
    <t>Recreation &amp; Sports</t>
  </si>
  <si>
    <t>Sarah Davis</t>
  </si>
  <si>
    <t>Reynolds, Kunze and Christiansen</t>
  </si>
  <si>
    <t>David Wilson</t>
  </si>
  <si>
    <t>Skiles, Koepp and Walter</t>
  </si>
  <si>
    <t>Hermiston and Sons</t>
  </si>
  <si>
    <t>Roberts-Stracke</t>
  </si>
  <si>
    <t>Frami, Gerlach and Sporer</t>
  </si>
  <si>
    <t>Schumm-Block</t>
  </si>
  <si>
    <t>Beahan, Nitzsche and Williamson</t>
  </si>
  <si>
    <t>Bergstrom, Kling and Mayer</t>
  </si>
  <si>
    <t>Stroman, Ritchie and Toy</t>
  </si>
  <si>
    <t>Williamson, Smitham and Muller</t>
  </si>
  <si>
    <t>Kub-Brown</t>
  </si>
  <si>
    <t>Medhurst Group</t>
  </si>
  <si>
    <t>Murray-Lehner</t>
  </si>
  <si>
    <t>Construction &amp; Engineering</t>
  </si>
  <si>
    <t>McLaughlin, Effertz and Swift</t>
  </si>
  <si>
    <t>Shields LLC</t>
  </si>
  <si>
    <t>Telecommunications</t>
  </si>
  <si>
    <t>Koch Group</t>
  </si>
  <si>
    <t>Langosh Group</t>
  </si>
  <si>
    <t>Wiegand, Friesen and Ortiz</t>
  </si>
  <si>
    <t>Ward-Schinner</t>
  </si>
  <si>
    <t>Kub, Hintz and Simonis</t>
  </si>
  <si>
    <t>Greenfelder-Klocko</t>
  </si>
  <si>
    <t>Rice, Walker and Hermiston</t>
  </si>
  <si>
    <t>Frami, Brekke and Crooks</t>
  </si>
  <si>
    <t>Cassin, Windler and Friesen</t>
  </si>
  <si>
    <t>Greenfelder, O'Reilly and Dietrich</t>
  </si>
  <si>
    <t>Kris, Brekke and Gulgowski</t>
  </si>
  <si>
    <t>Adams and Sons</t>
  </si>
  <si>
    <t>Kunze, O'Reilly and Von</t>
  </si>
  <si>
    <t>Rempel and Sons</t>
  </si>
  <si>
    <t>Smitham-Sipes</t>
  </si>
  <si>
    <t>Krajcik-Tromp</t>
  </si>
  <si>
    <t>Manufacturing &amp; Production</t>
  </si>
  <si>
    <t>Gusikowski, Erdman and Ryan</t>
  </si>
  <si>
    <t>Renner, Bashirian and Lind</t>
  </si>
  <si>
    <t>Spencer, Jerde and Green</t>
  </si>
  <si>
    <t>Entertainment &amp; Media &amp; Hospitality</t>
  </si>
  <si>
    <t>Maggio-Reynolds</t>
  </si>
  <si>
    <t>Blognation</t>
  </si>
  <si>
    <t>Micro (1-10)</t>
  </si>
  <si>
    <t>Dablist</t>
  </si>
  <si>
    <t>Meedoo</t>
  </si>
  <si>
    <t>Runte Group</t>
  </si>
  <si>
    <t>VonRueden Inc</t>
  </si>
  <si>
    <t>Treutel-Willms</t>
  </si>
  <si>
    <t>Medhurst, Weber and Waters</t>
  </si>
  <si>
    <t>Hansen LLC</t>
  </si>
  <si>
    <t>Bechtelar-Heidenreich</t>
  </si>
  <si>
    <t>Rosenbaum, Breitenberg and Langworth</t>
  </si>
  <si>
    <t>Kunde Group</t>
  </si>
  <si>
    <t>Abernathy and Sons</t>
  </si>
  <si>
    <t>Erdman, Wilkinson and Stracke</t>
  </si>
  <si>
    <t>Bogisich, Denesik and Crona</t>
  </si>
  <si>
    <t>Davis-Schuppe</t>
  </si>
  <si>
    <t>Huel-Dooley</t>
  </si>
  <si>
    <t>Bergstrom LLC</t>
  </si>
  <si>
    <t>Considine, Collins and Hudson</t>
  </si>
  <si>
    <t>Kunde-Lindgren</t>
  </si>
  <si>
    <t>Crooks Group</t>
  </si>
  <si>
    <t>O'Conner Group</t>
  </si>
  <si>
    <t>Bogan-Goyette</t>
  </si>
  <si>
    <t>Hilll, Runolfsdottir and Barrows</t>
  </si>
  <si>
    <t>Lubowitz, McClure and Hettinger</t>
  </si>
  <si>
    <t>Herman LLC</t>
  </si>
  <si>
    <t>Bednar-Schuppe</t>
  </si>
  <si>
    <t>Reynolds-Olson</t>
  </si>
  <si>
    <t>Jacobi, Johnson and Harris</t>
  </si>
  <si>
    <t>Beatty Group</t>
  </si>
  <si>
    <t>Hettinger, Kuhic and Dooley</t>
  </si>
  <si>
    <t>O'Kon-Fay</t>
  </si>
  <si>
    <t>Leuschke LLC</t>
  </si>
  <si>
    <t>Dooley, Stracke and Wiegand</t>
  </si>
  <si>
    <t>Heathcote-Ryan</t>
  </si>
  <si>
    <t>Leuschke, Mohr and Rolfson</t>
  </si>
  <si>
    <t>Reinger and Sons</t>
  </si>
  <si>
    <t>Klocko Group</t>
  </si>
  <si>
    <t>Koch, Kerluke and Kuphal</t>
  </si>
  <si>
    <t>Wolf Inc</t>
  </si>
  <si>
    <t>Hoeger-Jakubowski</t>
  </si>
  <si>
    <t>Ziemann LLC</t>
  </si>
  <si>
    <t>Flashspan</t>
  </si>
  <si>
    <t>Medium (201-500)</t>
  </si>
  <si>
    <t>Wordpedia</t>
  </si>
  <si>
    <t>Quaxo</t>
  </si>
  <si>
    <t>Skivee</t>
  </si>
  <si>
    <t>BlogXS</t>
  </si>
  <si>
    <t>Buzzster</t>
  </si>
  <si>
    <t>Wyman-Goodwin</t>
  </si>
  <si>
    <t>Cruickshank-Weimann</t>
  </si>
  <si>
    <t>Schaden-Bode</t>
  </si>
  <si>
    <t>Walker LLC</t>
  </si>
  <si>
    <t>Tremblay, Lebsack and Gerhold</t>
  </si>
  <si>
    <t>O'Reilly-Ferry</t>
  </si>
  <si>
    <t>Bartoletti-Aufderhar</t>
  </si>
  <si>
    <t>Kiehn-Kshlerin</t>
  </si>
  <si>
    <t>Haley Group</t>
  </si>
  <si>
    <t>Hegmann, Larkin and Bednar</t>
  </si>
  <si>
    <t>Lynch, Kihn and Bartell</t>
  </si>
  <si>
    <t>Schinner, Bogisich and Batz</t>
  </si>
  <si>
    <t>Grimes and Sons</t>
  </si>
  <si>
    <t>VonRueden, Gerlach and Schiller</t>
  </si>
  <si>
    <t>Heller, Effertz and Tromp</t>
  </si>
  <si>
    <t>Emard-Lind</t>
  </si>
  <si>
    <t>O'Hara-Wyman</t>
  </si>
  <si>
    <t>Tillman-Greenholt</t>
  </si>
  <si>
    <t>Powlowski LLC</t>
  </si>
  <si>
    <t>O'Reilly-Stanton</t>
  </si>
  <si>
    <t>O'Reilly-Bruen</t>
  </si>
  <si>
    <t>Kirlin and Sons</t>
  </si>
  <si>
    <t>MacGyver LLC</t>
  </si>
  <si>
    <t>Lemke-Crooks</t>
  </si>
  <si>
    <t>Hirthe, Grady and Cummings</t>
  </si>
  <si>
    <t>Crooks-Wiza</t>
  </si>
  <si>
    <t>Ortiz, Bashirian and Pfannerstill</t>
  </si>
  <si>
    <t>Orn, Blanda and Oberbrunner</t>
  </si>
  <si>
    <t>Boyle Inc</t>
  </si>
  <si>
    <t>Rodriguez, Little and Jast</t>
  </si>
  <si>
    <t>Bosco LLC</t>
  </si>
  <si>
    <t>Bergnaum LLC</t>
  </si>
  <si>
    <t>Corkery, Block and Frami</t>
  </si>
  <si>
    <t>Auer, Bogisich and Kovacek</t>
  </si>
  <si>
    <t>Jones and Sons</t>
  </si>
  <si>
    <t>Wilderman, Bayer and Hickle</t>
  </si>
  <si>
    <t>Rutherford, Lueilwitz and Frami</t>
  </si>
  <si>
    <t>Lang LLC</t>
  </si>
  <si>
    <t>Auer Group</t>
  </si>
  <si>
    <t>Hilll, Jacobi and Cormier</t>
  </si>
  <si>
    <t>Reinger LLC</t>
  </si>
  <si>
    <t>Heaney, Hickle and Marquardt</t>
  </si>
  <si>
    <t>Hudson-Morar</t>
  </si>
  <si>
    <t>Heller-Hartmann</t>
  </si>
  <si>
    <t>Torphy-Pouros</t>
  </si>
  <si>
    <t>Zulauf-Gutkowski</t>
  </si>
  <si>
    <t>Kunde, O'Keefe and Skiles</t>
  </si>
  <si>
    <t>Raynor Group</t>
  </si>
  <si>
    <t>Konopelski Group</t>
  </si>
  <si>
    <t>Johnson, Sporer and Kertzmann</t>
  </si>
  <si>
    <t>Predovic, Ryan and Wisoky</t>
  </si>
  <si>
    <t>Bernhard-Padberg</t>
  </si>
  <si>
    <t>Kemmer, Crona and Dietrich</t>
  </si>
  <si>
    <t>Bruen and Sons</t>
  </si>
  <si>
    <t>Hickle, Rutherford and Ritchie</t>
  </si>
  <si>
    <t>Hegmann, Jones and Schiller</t>
  </si>
  <si>
    <t>Heidenreich, Bergnaum and Gleason</t>
  </si>
  <si>
    <t>Senger-Deckow</t>
  </si>
  <si>
    <t>Krajcik, Hagenes and Cronin</t>
  </si>
  <si>
    <t>Parisian, Kub and Wilderman</t>
  </si>
  <si>
    <t>Funk-Herman</t>
  </si>
  <si>
    <t>Mraz Group</t>
  </si>
  <si>
    <t>Oberbrunner-Moore</t>
  </si>
  <si>
    <t>McLaughlin-Schmidt</t>
  </si>
  <si>
    <t>Hane, Berge and Gleason</t>
  </si>
  <si>
    <t>Mynte</t>
  </si>
  <si>
    <t>Large (501-1000)</t>
  </si>
  <si>
    <t>Borer, Cremin and Rolfson</t>
  </si>
  <si>
    <t>Hyatt and Sons</t>
  </si>
  <si>
    <t>Hamill-Purdy</t>
  </si>
  <si>
    <t>Wiegand LLC</t>
  </si>
  <si>
    <t>Bogan-Goldner</t>
  </si>
  <si>
    <t>Gabtune</t>
  </si>
  <si>
    <t>Enterprise (1001+)</t>
  </si>
  <si>
    <t>Vandervort, Mosciski and White</t>
  </si>
  <si>
    <t>Labadie-Rath</t>
  </si>
  <si>
    <t>Berge LLC</t>
  </si>
  <si>
    <t>Cole, McKenzie and Lakin</t>
  </si>
  <si>
    <t>Quigley-Monahan</t>
  </si>
  <si>
    <t>Rhycero</t>
  </si>
  <si>
    <t>Customer</t>
  </si>
  <si>
    <t>Quimba</t>
  </si>
  <si>
    <t>Edgeblab</t>
  </si>
  <si>
    <t>Twitternation</t>
  </si>
  <si>
    <t>Hoeger, Flatley and Anderson</t>
  </si>
  <si>
    <t>Hermiston, Ziemann and Howell</t>
  </si>
  <si>
    <t>Monahan, Ondricka and Nienow</t>
  </si>
  <si>
    <t>Kovacek, Hermiston and McCullough</t>
  </si>
  <si>
    <t>Macejkovic LLC</t>
  </si>
  <si>
    <t>Keeling-Sauer</t>
  </si>
  <si>
    <t>Berge Group</t>
  </si>
  <si>
    <t>Jenkins-Turcotte</t>
  </si>
  <si>
    <t>Kutch LLC</t>
  </si>
  <si>
    <t>Durgan-Little</t>
  </si>
  <si>
    <t>Hilpert-Wyman</t>
  </si>
  <si>
    <t>Stiedemann-Roob</t>
  </si>
  <si>
    <t>Reichel, Runolfsdottir and Stoltenberg</t>
  </si>
  <si>
    <t>Terry, Jenkins and Baumbach</t>
  </si>
  <si>
    <t>Runolfsdottir-O'Conner</t>
  </si>
  <si>
    <t>Kutch Group</t>
  </si>
  <si>
    <t>Corwin, Abbott and Robel</t>
  </si>
  <si>
    <t>Ward, Kuhic and Torp</t>
  </si>
  <si>
    <t>Beier-Lang</t>
  </si>
  <si>
    <t>Auer, Hackett and Bruen</t>
  </si>
  <si>
    <t>Buckridge, Brekke and Daniel</t>
  </si>
  <si>
    <t>Fay Inc</t>
  </si>
  <si>
    <t>Braun, Goldner and Durgan</t>
  </si>
  <si>
    <t>Gibson-Hettinger</t>
  </si>
  <si>
    <t>Gutmann, Kunze and Schaden</t>
  </si>
  <si>
    <t>Schamberger-Dicki</t>
  </si>
  <si>
    <t>Harvey Inc</t>
  </si>
  <si>
    <t>Bins, Lakin and Daugherty</t>
  </si>
  <si>
    <t>Reynolds, Bogisich and Block</t>
  </si>
  <si>
    <t>Auer, Schmeler and Morissette</t>
  </si>
  <si>
    <t>Hegmann Group</t>
  </si>
  <si>
    <t>Will-Stamm</t>
  </si>
  <si>
    <t>Goldner-Weimann</t>
  </si>
  <si>
    <t>Hodkiewicz-Howe</t>
  </si>
  <si>
    <t>Keeling Inc</t>
  </si>
  <si>
    <t>Harris Inc</t>
  </si>
  <si>
    <t>Roberts and Sons</t>
  </si>
  <si>
    <t>Hauck-Beahan</t>
  </si>
  <si>
    <t>Ryan, Toy and O'Reilly</t>
  </si>
  <si>
    <t>Orn Inc</t>
  </si>
  <si>
    <t>Kuhlman Inc</t>
  </si>
  <si>
    <t>Von, Becker and Fisher</t>
  </si>
  <si>
    <t>Mertz, Casper and Klein</t>
  </si>
  <si>
    <t>Botsford, King and Steuber</t>
  </si>
  <si>
    <t>Funk-Hane</t>
  </si>
  <si>
    <t>Hartmann-Pollich</t>
  </si>
  <si>
    <t>Frami-Gusikowski</t>
  </si>
  <si>
    <t>Lueilwitz Inc</t>
  </si>
  <si>
    <t>Kreiger-Rice</t>
  </si>
  <si>
    <t>Blick Inc</t>
  </si>
  <si>
    <t>Bauch-Morar</t>
  </si>
  <si>
    <t>Auer, Deckow and Torp</t>
  </si>
  <si>
    <t>Kuvalis-Strosin</t>
  </si>
  <si>
    <t>Hintz-Fadel</t>
  </si>
  <si>
    <t>Kiehn-Bernier</t>
  </si>
  <si>
    <t>Zooxo</t>
  </si>
  <si>
    <t>Jetpulse</t>
  </si>
  <si>
    <t>InnoZ</t>
  </si>
  <si>
    <t>Chatterpoint</t>
  </si>
  <si>
    <t>Trunyx</t>
  </si>
  <si>
    <t>Luettgen, Franecki and Roberts</t>
  </si>
  <si>
    <t>Kilback, Cremin and Bergnaum</t>
  </si>
  <si>
    <t>Toy-O'Hara</t>
  </si>
  <si>
    <t>Lubowitz, Herman and Fisher</t>
  </si>
  <si>
    <t>Schulist, Bailey and Dickens</t>
  </si>
  <si>
    <t>Jakubowski-Purdy</t>
  </si>
  <si>
    <t>Hackett LLC</t>
  </si>
  <si>
    <t>Gottlieb Group</t>
  </si>
  <si>
    <t>Hermiston-Hyatt</t>
  </si>
  <si>
    <t>Goldner LLC</t>
  </si>
  <si>
    <t>Deckow, Dicki and Pagac</t>
  </si>
  <si>
    <t>Kuphal-Wuckert</t>
  </si>
  <si>
    <t>Yundt-McLaughlin</t>
  </si>
  <si>
    <t>D'Amore, Auer and Wilkinson</t>
  </si>
  <si>
    <t>Fahey-Kulas</t>
  </si>
  <si>
    <t>Osinski, Langworth and Auer</t>
  </si>
  <si>
    <t>Hane, Hettinger and Denesik</t>
  </si>
  <si>
    <t>Rohan Inc</t>
  </si>
  <si>
    <t>Koelpin, Bahringer and Beatty</t>
  </si>
  <si>
    <t>Flatley-Metz</t>
  </si>
  <si>
    <t>Reilly-Dicki</t>
  </si>
  <si>
    <t>Pagac, Marvin and Wilkinson</t>
  </si>
  <si>
    <t>Stanton-Adams</t>
  </si>
  <si>
    <t>Ward, Rau and Ledner</t>
  </si>
  <si>
    <t>Thiel-Ullrich</t>
  </si>
  <si>
    <t>Johnson-Macejkovic</t>
  </si>
  <si>
    <t>Koch-Lakin</t>
  </si>
  <si>
    <t>Bauch-Fritsch</t>
  </si>
  <si>
    <t>Kihn, Swaniawski and Lebsack</t>
  </si>
  <si>
    <t>Barrows LLC</t>
  </si>
  <si>
    <t>Langworth, Lemke and Carroll</t>
  </si>
  <si>
    <t>Kilback, Johns and Dicki</t>
  </si>
  <si>
    <t>Labadie, Sawayn and Ruecker</t>
  </si>
  <si>
    <t>Kazio</t>
  </si>
  <si>
    <t>Jayo</t>
  </si>
  <si>
    <t>Feedspan</t>
  </si>
  <si>
    <t>Browsecat</t>
  </si>
  <si>
    <t>Layo</t>
  </si>
  <si>
    <t>Photospace</t>
  </si>
  <si>
    <t>Zoovu</t>
  </si>
  <si>
    <t>Topicblab</t>
  </si>
  <si>
    <t>Kwinu</t>
  </si>
  <si>
    <t>Block Group</t>
  </si>
  <si>
    <t>Cummings-Johnson</t>
  </si>
  <si>
    <t>Bosco, Greenholt and Langworth</t>
  </si>
  <si>
    <t>Lind-Bogisich</t>
  </si>
  <si>
    <t>Luettgen, Kozey and Dach</t>
  </si>
  <si>
    <t>Mante LLC</t>
  </si>
  <si>
    <t>Considine LLC</t>
  </si>
  <si>
    <t>Steuber Group</t>
  </si>
  <si>
    <t>Goyette-Reynolds</t>
  </si>
  <si>
    <t>Lowe and Sons</t>
  </si>
  <si>
    <t>Williamson and Sons</t>
  </si>
  <si>
    <t>Waelchi LLC</t>
  </si>
  <si>
    <t>Ebert, Hegmann and Thiel</t>
  </si>
  <si>
    <t>Wolf, Vandervort and Von</t>
  </si>
  <si>
    <t>Mohr-Gleichner</t>
  </si>
  <si>
    <t>Yost, Terry and Veum</t>
  </si>
  <si>
    <t>Hartmann and Sons</t>
  </si>
  <si>
    <t>Cronin-Walker</t>
  </si>
  <si>
    <t>Bayer-Okuneva</t>
  </si>
  <si>
    <t>Bernhard Inc</t>
  </si>
  <si>
    <t>O'Keefe, Witting and Emard</t>
  </si>
  <si>
    <t>Windler, Bogan and Osinski</t>
  </si>
  <si>
    <t>Champlin, Brown and Miller</t>
  </si>
  <si>
    <t>Kerluke LLC</t>
  </si>
  <si>
    <t>Turner-Tillman</t>
  </si>
  <si>
    <t>Kunde, Kris and Wunsch</t>
  </si>
  <si>
    <t>Hegmann and Sons</t>
  </si>
  <si>
    <t>Strosin LLC</t>
  </si>
  <si>
    <t>Heathcote, Ernser and Smitham</t>
  </si>
  <si>
    <t>Konopelski Inc</t>
  </si>
  <si>
    <t>Kerluke-Kihn</t>
  </si>
  <si>
    <t>Barton and Sons</t>
  </si>
  <si>
    <t>Nader-Rath</t>
  </si>
  <si>
    <t>Hauck-Brekke</t>
  </si>
  <si>
    <t>Kunze-Upton</t>
  </si>
  <si>
    <t>Dare and Sons</t>
  </si>
  <si>
    <t>Welch-Stehr</t>
  </si>
  <si>
    <t>King-Wiza</t>
  </si>
  <si>
    <t>Maggio, Feeney and Koss</t>
  </si>
  <si>
    <t>Upton, Wilderman and Becker</t>
  </si>
  <si>
    <t>Larkin and Sons</t>
  </si>
  <si>
    <t>Johns LLC</t>
  </si>
  <si>
    <t>Hand-Senger</t>
  </si>
  <si>
    <t>Terry, Reinger and Graham</t>
  </si>
  <si>
    <t>Schaefer-Roob</t>
  </si>
  <si>
    <t>Deckow, Jacobs and Koelpin</t>
  </si>
  <si>
    <t>Metz, Kovacek and O'Reilly</t>
  </si>
  <si>
    <t>Brown, Hilll and Kling</t>
  </si>
  <si>
    <t>Bednar, Casper and Spinka</t>
  </si>
  <si>
    <t>Schmeler and Sons</t>
  </si>
  <si>
    <t>Stark, Friesen and Legros</t>
  </si>
  <si>
    <t>Jakubowski, Corwin and Larson</t>
  </si>
  <si>
    <t>Walter-Hagenes</t>
  </si>
  <si>
    <t>Zemlak, Roberts and Dach</t>
  </si>
  <si>
    <t>Wunsch-Gusikowski</t>
  </si>
  <si>
    <t>Rempel, Weber and Keebler</t>
  </si>
  <si>
    <t>Douglas Group</t>
  </si>
  <si>
    <t>Johnson-Schoen</t>
  </si>
  <si>
    <t>Hickle, Nader and Baumbach</t>
  </si>
  <si>
    <t>Romaguera LLC</t>
  </si>
  <si>
    <t>Murray LLC</t>
  </si>
  <si>
    <t>Champlin-Stokes</t>
  </si>
  <si>
    <t>Jaskolski, Hane and Cummerata</t>
  </si>
  <si>
    <t>Jacobs LLC</t>
  </si>
  <si>
    <t>Nitzsche-Cartwright</t>
  </si>
  <si>
    <t>Kanoodle</t>
  </si>
  <si>
    <t>Disqualified</t>
  </si>
  <si>
    <t>Youbridge</t>
  </si>
  <si>
    <t>Jabbercube</t>
  </si>
  <si>
    <t>Dabfeed</t>
  </si>
  <si>
    <t>Skiba</t>
  </si>
  <si>
    <t>Voonyx</t>
  </si>
  <si>
    <t>Harber and Sons</t>
  </si>
  <si>
    <t>Gorczany-Hayes</t>
  </si>
  <si>
    <t>Ritchie Inc</t>
  </si>
  <si>
    <t>Strosin-Romaguera</t>
  </si>
  <si>
    <t>Wyman-Homenick</t>
  </si>
  <si>
    <t>Koelpin, Gulgowski and Boyle</t>
  </si>
  <si>
    <t>Daniel, Kshlerin and VonRueden</t>
  </si>
  <si>
    <t>Macejkovic Group</t>
  </si>
  <si>
    <t>Volkman and Sons</t>
  </si>
  <si>
    <t>Russel Group</t>
  </si>
  <si>
    <t>Romaguera, Fadel and Jast</t>
  </si>
  <si>
    <t>Kris, Bode and Fisher</t>
  </si>
  <si>
    <t>Sawayn, Hansen and Marquardt</t>
  </si>
  <si>
    <t>Kutch, Batz and McGlynn</t>
  </si>
  <si>
    <t>Mohr-Bogisich</t>
  </si>
  <si>
    <t>Christiansen Inc</t>
  </si>
  <si>
    <t>Adams-Koch</t>
  </si>
  <si>
    <t>Ebert-Howe</t>
  </si>
  <si>
    <t>Collins Group</t>
  </si>
  <si>
    <t>Russel, Beahan and Hoppe</t>
  </si>
  <si>
    <t>Jast, Upton and Bosco</t>
  </si>
  <si>
    <t>Schimmel-Doyle</t>
  </si>
  <si>
    <t>Schneider-Lesch</t>
  </si>
  <si>
    <t>Harris-Boyle</t>
  </si>
  <si>
    <t>Wehner, Botsford and Brown</t>
  </si>
  <si>
    <t>Wilkinson-Jast</t>
  </si>
  <si>
    <t>Littel-Cummerata</t>
  </si>
  <si>
    <t>Weber, Morissette and Douglas</t>
  </si>
  <si>
    <t>Ondricka, Will and Goldner</t>
  </si>
  <si>
    <t>Tromp-Walter</t>
  </si>
  <si>
    <t>Schumm-Dickens</t>
  </si>
  <si>
    <t>Hessel-Grant</t>
  </si>
  <si>
    <t>Mayer, Cruickshank and Spencer</t>
  </si>
  <si>
    <t>O'Reilly, Hane and Toy</t>
  </si>
  <si>
    <t>Upton, Pacocha and Keeling</t>
  </si>
  <si>
    <t>Leffler, Daniel and Runolfsdottir</t>
  </si>
  <si>
    <t>Nienow Inc</t>
  </si>
  <si>
    <t>Ernser-Franecki</t>
  </si>
  <si>
    <t>Stroman Inc</t>
  </si>
  <si>
    <t>Cartwright, Medhurst and Harris</t>
  </si>
  <si>
    <t>Torp and Sons</t>
  </si>
  <si>
    <t>Russel, Upton and Kuhn</t>
  </si>
  <si>
    <t>Huels, Gottlieb and Hoppe</t>
  </si>
  <si>
    <t>Podcat</t>
  </si>
  <si>
    <t>Bubblemix</t>
  </si>
  <si>
    <t>Aibox</t>
  </si>
  <si>
    <t>Topdrive</t>
  </si>
  <si>
    <t>Shuffledrive</t>
  </si>
  <si>
    <t>Abatz</t>
  </si>
  <si>
    <t>Demivee</t>
  </si>
  <si>
    <t>Oyoloo</t>
  </si>
  <si>
    <t>Reichel, Hamill and Hand</t>
  </si>
  <si>
    <t>Johns-Blanda</t>
  </si>
  <si>
    <t>Carroll-Collier</t>
  </si>
  <si>
    <t>McKenzie and Sons</t>
  </si>
  <si>
    <t>Abbott-Schumm</t>
  </si>
  <si>
    <t>Watsica LLC</t>
  </si>
  <si>
    <t>Bradtke, Kuhic and Wiza</t>
  </si>
  <si>
    <t>Kilback LLC</t>
  </si>
  <si>
    <t>Treutel, Tillman and Wuckert</t>
  </si>
  <si>
    <t>Erdman, Ward and Aufderhar</t>
  </si>
  <si>
    <t>Smith LLC</t>
  </si>
  <si>
    <t>O'Kon-Watsica</t>
  </si>
  <si>
    <t>Beer-Carter</t>
  </si>
  <si>
    <t>Hilll Inc</t>
  </si>
  <si>
    <t>Maggio LLC</t>
  </si>
  <si>
    <t>Connelly-Thompson</t>
  </si>
  <si>
    <t>Lind, Mueller and O'Conner</t>
  </si>
  <si>
    <t>Torphy and Sons</t>
  </si>
  <si>
    <t>Williamson-Nicolas</t>
  </si>
  <si>
    <t>Howe and Sons</t>
  </si>
  <si>
    <t>Wisoky and Sons</t>
  </si>
  <si>
    <t>Johnston, Ankunding and Raynor</t>
  </si>
  <si>
    <t>Daniel-Hackett</t>
  </si>
  <si>
    <t>Wilkinson-Wolff</t>
  </si>
  <si>
    <t>Cummerata, Tillman and Konopelski</t>
  </si>
  <si>
    <t>Pfeffer, Terry and Kiehn</t>
  </si>
  <si>
    <t>Cremin Inc</t>
  </si>
  <si>
    <t>Hauck, Hermiston and Hodkiewicz</t>
  </si>
  <si>
    <t>Wyman Group</t>
  </si>
  <si>
    <t>Marvin, Maggio and Herman</t>
  </si>
  <si>
    <t>Aufderhar-Daugherty</t>
  </si>
  <si>
    <t>Brown-Erdman</t>
  </si>
  <si>
    <t>Kub and Sons</t>
  </si>
  <si>
    <t>Towne, Jacobs and Runte</t>
  </si>
  <si>
    <t>Jatri</t>
  </si>
  <si>
    <t>Yodo</t>
  </si>
  <si>
    <t>Skalith</t>
  </si>
  <si>
    <t>Vinder</t>
  </si>
  <si>
    <t>Photojam</t>
  </si>
  <si>
    <t>Voonix</t>
  </si>
  <si>
    <t>Dynabox</t>
  </si>
  <si>
    <t>Riffpath</t>
  </si>
  <si>
    <t>Tambee</t>
  </si>
  <si>
    <t>Feedmix</t>
  </si>
  <si>
    <t>Babbleset</t>
  </si>
  <si>
    <t>Flashdog</t>
  </si>
  <si>
    <t>Myworks</t>
  </si>
  <si>
    <t>Feedfire</t>
  </si>
  <si>
    <t>Cogilith</t>
  </si>
  <si>
    <t>Vinte</t>
  </si>
  <si>
    <t>Flashpoint</t>
  </si>
  <si>
    <t>Meembee</t>
  </si>
  <si>
    <t>Brightdog</t>
  </si>
  <si>
    <t>Edgepulse</t>
  </si>
  <si>
    <t>Wunsch Inc</t>
  </si>
  <si>
    <t>Wisoky-Schneider</t>
  </si>
  <si>
    <t>Gutmann-Williamson</t>
  </si>
  <si>
    <t>Breitenberg Inc</t>
  </si>
  <si>
    <t>Koelpin and Sons</t>
  </si>
  <si>
    <t>Bernhard, Lindgren and Harvey</t>
  </si>
  <si>
    <t>Stoltenberg-Weimann</t>
  </si>
  <si>
    <t>Wilderman-Romaguera</t>
  </si>
  <si>
    <t>Luettgen-Gorczany</t>
  </si>
  <si>
    <t>Gleason Group</t>
  </si>
  <si>
    <t>Yost-Stiedemann</t>
  </si>
  <si>
    <t>Pagac LLC</t>
  </si>
  <si>
    <t>Turcotte-Abshire</t>
  </si>
  <si>
    <t>Goodwin-Bernier</t>
  </si>
  <si>
    <t>Shields and Sons</t>
  </si>
  <si>
    <t>Gulgowski Group</t>
  </si>
  <si>
    <t>Paucek-Hodkiewicz</t>
  </si>
  <si>
    <t>Kreiger Inc</t>
  </si>
  <si>
    <t>Schinner Group</t>
  </si>
  <si>
    <t>Haag Inc</t>
  </si>
  <si>
    <t>Ratke, Runolfsson and Pollich</t>
  </si>
  <si>
    <t>Hodkiewicz, Stanton and Howell</t>
  </si>
  <si>
    <t>Koepp, Walsh and Kovacek</t>
  </si>
  <si>
    <t>McLaughlin-Baumbach</t>
  </si>
  <si>
    <t>Koepp, Kihn and Yost</t>
  </si>
  <si>
    <t>Aufderhar-Donnelly</t>
  </si>
  <si>
    <t>Cassin LLC</t>
  </si>
  <si>
    <t>Hoppe-Price</t>
  </si>
  <si>
    <t>Stracke-West</t>
  </si>
  <si>
    <t>Hessel-Miller</t>
  </si>
  <si>
    <t>Murazik-Towne</t>
  </si>
  <si>
    <t>Prohaska, Hahn and Klocko</t>
  </si>
  <si>
    <t>Schaefer, Feest and Watsica</t>
  </si>
  <si>
    <t>Lind and Sons</t>
  </si>
  <si>
    <t>Swaniawski-Quigley</t>
  </si>
  <si>
    <t>Effertz-Pfannerstill</t>
  </si>
  <si>
    <t>Becker LLC</t>
  </si>
  <si>
    <t>Thompson-Schaefer</t>
  </si>
  <si>
    <t>Jones LLC</t>
  </si>
  <si>
    <t>Spencer-Beahan</t>
  </si>
  <si>
    <t>Hessel-Conn</t>
  </si>
  <si>
    <t>Skiles, Sawayn and Bradtke</t>
  </si>
  <si>
    <t>Okuneva, Dooley and Schaden</t>
  </si>
  <si>
    <t>Kub, Aufderhar and Ward</t>
  </si>
  <si>
    <t>Orn-Kassulke</t>
  </si>
  <si>
    <t>Mills, Ortiz and McGlynn</t>
  </si>
  <si>
    <t>Gleason-Price</t>
  </si>
  <si>
    <t>Schaden and Sons</t>
  </si>
  <si>
    <t>Von and Sons</t>
  </si>
  <si>
    <t>Bartell-Kirlin</t>
  </si>
  <si>
    <t>Gutkowski-Baumbach</t>
  </si>
  <si>
    <t>Osinski, Wisoky and Schimmel</t>
  </si>
  <si>
    <t>Schneider-Schuppe</t>
  </si>
  <si>
    <t>Crist, Okuneva and Veum</t>
  </si>
  <si>
    <t>Rosenbaum-Upton</t>
  </si>
  <si>
    <t>Wolf Group</t>
  </si>
  <si>
    <t>Nolan, D'Amore and Wyman</t>
  </si>
  <si>
    <t>Kunde, Reinger and Jerde</t>
  </si>
  <si>
    <t>Edgeclub</t>
  </si>
  <si>
    <t>Schmidt-Beier</t>
  </si>
  <si>
    <t>Smitham and Sons</t>
  </si>
  <si>
    <t>Spencer, Langworth and Hackett</t>
  </si>
  <si>
    <t>Lebsack LLC</t>
  </si>
  <si>
    <t>Muller Inc</t>
  </si>
  <si>
    <t>Oberbrunner-Metz</t>
  </si>
  <si>
    <t>Schamberger-Rutherford</t>
  </si>
  <si>
    <t>Trilia</t>
  </si>
  <si>
    <t>New</t>
  </si>
  <si>
    <t>Yotz</t>
  </si>
  <si>
    <t>Teklist</t>
  </si>
  <si>
    <t>Tagopia</t>
  </si>
  <si>
    <t>Skyvu</t>
  </si>
  <si>
    <t>Divanoodle</t>
  </si>
  <si>
    <t>Meeveo</t>
  </si>
  <si>
    <t>Avamm</t>
  </si>
  <si>
    <t>Edgetag</t>
  </si>
  <si>
    <t>Photolist</t>
  </si>
  <si>
    <t>Tavu</t>
  </si>
  <si>
    <t>Jetwire</t>
  </si>
  <si>
    <t>Ntag</t>
  </si>
  <si>
    <t>Twinte</t>
  </si>
  <si>
    <t>Livepath</t>
  </si>
  <si>
    <t>Meetz</t>
  </si>
  <si>
    <t>Gigaclub</t>
  </si>
  <si>
    <t>Yadel</t>
  </si>
  <si>
    <t>Eabox</t>
  </si>
  <si>
    <t>Dabjam</t>
  </si>
  <si>
    <t>Blogpad</t>
  </si>
  <si>
    <t>Topiczoom</t>
  </si>
  <si>
    <t>Rhyloo</t>
  </si>
  <si>
    <t>Mydo</t>
  </si>
  <si>
    <t>Thoughtstorm</t>
  </si>
  <si>
    <t>Topicware</t>
  </si>
  <si>
    <t>Tekfly</t>
  </si>
  <si>
    <t>Wikivu</t>
  </si>
  <si>
    <t>Schroeder, Reichert and Hettinger</t>
  </si>
  <si>
    <t>Gorczany, Kuphal and Mayert</t>
  </si>
  <si>
    <t>Dietrich, Boehm and Corkery</t>
  </si>
  <si>
    <t>Murphy, Schuster and Kub</t>
  </si>
  <si>
    <t>Pouros-Schneider</t>
  </si>
  <si>
    <t>Crist, Price and Johns</t>
  </si>
  <si>
    <t>Littel LLC</t>
  </si>
  <si>
    <t>Wisozk-Thompson</t>
  </si>
  <si>
    <t>D'Amore Group</t>
  </si>
  <si>
    <t>Mitchell Group</t>
  </si>
  <si>
    <t>Lowe-Grimes</t>
  </si>
  <si>
    <t>O'Reilly, Harvey and Cassin</t>
  </si>
  <si>
    <t>Hilll, Reynolds and Stamm</t>
  </si>
  <si>
    <t>Schinner, Turcotte and Borer</t>
  </si>
  <si>
    <t>Bahringer Inc</t>
  </si>
  <si>
    <t>Green-Kunze</t>
  </si>
  <si>
    <t>Huels, Cruickshank and Hayes</t>
  </si>
  <si>
    <t>Reynolds-Wiza</t>
  </si>
  <si>
    <t>McGlynn Group</t>
  </si>
  <si>
    <t>Gorczany-Legros</t>
  </si>
  <si>
    <t>Gulgowski, Kub and Miller</t>
  </si>
  <si>
    <t>Metz, Kub and Fahey</t>
  </si>
  <si>
    <t>Abshire LLC</t>
  </si>
  <si>
    <t>Lockman-Littel</t>
  </si>
  <si>
    <t>Bradtke Inc</t>
  </si>
  <si>
    <t>Cartwright-Orn</t>
  </si>
  <si>
    <t>Littel-Hilpert</t>
  </si>
  <si>
    <t>Franecki LLC</t>
  </si>
  <si>
    <t>Mayert-Renner</t>
  </si>
  <si>
    <t>Emmerich-Padberg</t>
  </si>
  <si>
    <t>Grimes-Marvin</t>
  </si>
  <si>
    <t>Maggio, Wilderman and Mueller</t>
  </si>
  <si>
    <t>Toy, Gottlieb and Veum</t>
  </si>
  <si>
    <t>Hoeger, Hyatt and Glover</t>
  </si>
  <si>
    <t>Ferry, Denesik and Satterfield</t>
  </si>
  <si>
    <t>Bruen, Quigley and Kling</t>
  </si>
  <si>
    <t>Gibson and Sons</t>
  </si>
  <si>
    <t>Little and Sons</t>
  </si>
  <si>
    <t>O'Conner, Stracke and White</t>
  </si>
  <si>
    <t>Smitham LLC</t>
  </si>
  <si>
    <t>Dickinson, Jacobi and McKenzie</t>
  </si>
  <si>
    <t>Feest-Schoen</t>
  </si>
  <si>
    <t>Hane, Kassulke and Hermiston</t>
  </si>
  <si>
    <t>Lesch, Hauck and Bogan</t>
  </si>
  <si>
    <t>Johnson-McDermott</t>
  </si>
  <si>
    <t>Dare, Lesch and Gorczany</t>
  </si>
  <si>
    <t>Reilly Inc</t>
  </si>
  <si>
    <t>Hyatt Group</t>
  </si>
  <si>
    <t>Waters Inc</t>
  </si>
  <si>
    <t>Balistreri-Berge</t>
  </si>
  <si>
    <t>Champlin, Altenwerth and Reichel</t>
  </si>
  <si>
    <t>Johnston-Bahringer</t>
  </si>
  <si>
    <t>Rath and Sons</t>
  </si>
  <si>
    <t>Langosh-Oberbrunner</t>
  </si>
  <si>
    <t>Dickinson LLC</t>
  </si>
  <si>
    <t>Heathcote, Barrows and Doyle</t>
  </si>
  <si>
    <t>Cummerata, Wyman and Conn</t>
  </si>
  <si>
    <t>O'Reilly, Torphy and Jakubowski</t>
  </si>
  <si>
    <t>Boyer LLC</t>
  </si>
  <si>
    <t>Bradtke, Predovic and Monahan</t>
  </si>
  <si>
    <t>Schuppe Inc</t>
  </si>
  <si>
    <t>Hand-Heller</t>
  </si>
  <si>
    <t>Prohaska-Jenkins</t>
  </si>
  <si>
    <t>Johnston, Hettinger and Luettgen</t>
  </si>
  <si>
    <t>Rodriguez, Miller and Bradtke</t>
  </si>
  <si>
    <t>Batz, Schamberger and Feeney</t>
  </si>
  <si>
    <t>Ortiz-Christiansen</t>
  </si>
  <si>
    <t>Toy-Friesen</t>
  </si>
  <si>
    <t>Sawayn and Sons</t>
  </si>
  <si>
    <t>Turcotte-Hand</t>
  </si>
  <si>
    <t>Bayer Group</t>
  </si>
  <si>
    <t>Leffler-Okuneva</t>
  </si>
  <si>
    <t>Little, Deckow and Kunde</t>
  </si>
  <si>
    <t>Ortiz, Cartwright and Leffler</t>
  </si>
  <si>
    <t>Bernier and Sons</t>
  </si>
  <si>
    <t>Rempel-Towne</t>
  </si>
  <si>
    <t>Sauer-Heaney</t>
  </si>
  <si>
    <t>Funk and Sons</t>
  </si>
  <si>
    <t>Cruickshank, Cormier and Willms</t>
  </si>
  <si>
    <t>Roberts, Boehm and Swift</t>
  </si>
  <si>
    <t>Gerlach, Kiehn and Weber</t>
  </si>
  <si>
    <t>Sawayn, Sanford and Skiles</t>
  </si>
  <si>
    <t>Harris, Schmidt and Kautzer</t>
  </si>
  <si>
    <t>Stamm-Rath</t>
  </si>
  <si>
    <t>Hamill, Koepp and Quigley</t>
  </si>
  <si>
    <t>Hodkiewicz-Powlowski</t>
  </si>
  <si>
    <t>Moore Group</t>
  </si>
  <si>
    <t>Schumm-Auer</t>
  </si>
  <si>
    <t>Ward, Daugherty and Homenick</t>
  </si>
  <si>
    <t>Pollich, Robel and Friesen</t>
  </si>
  <si>
    <t>Weimann, Pacocha and McCullough</t>
  </si>
  <si>
    <t>Champlin, Borer and Purdy</t>
  </si>
  <si>
    <t>Erdman, Medhurst and Rowe</t>
  </si>
  <si>
    <t>Gutmann-Hoppe</t>
  </si>
  <si>
    <t>Lakin-Bradtke</t>
  </si>
  <si>
    <t>Ziemann, Bergstrom and Harber</t>
  </si>
  <si>
    <t>Mitchell-Hauck</t>
  </si>
  <si>
    <t>Labadie-Keeling</t>
  </si>
  <si>
    <t>Borer Group</t>
  </si>
  <si>
    <t>Goldner, Grant and Krajcik</t>
  </si>
  <si>
    <t>Schinner and Sons</t>
  </si>
  <si>
    <t>Kihn Inc</t>
  </si>
  <si>
    <t>Abbott-Wisoky</t>
  </si>
  <si>
    <t>Strosin, Bahringer and Reilly</t>
  </si>
  <si>
    <t>McKenzie, Jerde and Altenwerth</t>
  </si>
  <si>
    <t>Runolfsdottir, Mills and Jacobi</t>
  </si>
  <si>
    <t>Tremblay, Thompson and Robel</t>
  </si>
  <si>
    <t>Rutherford LLC</t>
  </si>
  <si>
    <t>Rice-Bayer</t>
  </si>
  <si>
    <t>Blanda, Gibson and Mills</t>
  </si>
  <si>
    <t>Deckow, Dickens and Koss</t>
  </si>
  <si>
    <t>Sporer-Beer</t>
  </si>
  <si>
    <t>Hudson Group</t>
  </si>
  <si>
    <t>Gutmann-Friesen</t>
  </si>
  <si>
    <t>Schmidt, Konopelski and Larson</t>
  </si>
  <si>
    <t>O'Connell Group</t>
  </si>
  <si>
    <t>Willms-Hagenes</t>
  </si>
  <si>
    <t>Metz-Kuvalis</t>
  </si>
  <si>
    <t>Jakubowski Group</t>
  </si>
  <si>
    <t>Volkman Inc</t>
  </si>
  <si>
    <t>Haley, Ritchie and Anderson</t>
  </si>
  <si>
    <t>Hoeger Inc</t>
  </si>
  <si>
    <t>Monahan-Quitzon</t>
  </si>
  <si>
    <t>Crona, Keeling and Daniel</t>
  </si>
  <si>
    <t>Bergnaum, Hyatt and Purdy</t>
  </si>
  <si>
    <t>Schiller-Stehr</t>
  </si>
  <si>
    <t>Kuhlman Group</t>
  </si>
  <si>
    <t>Bogan Inc</t>
  </si>
  <si>
    <t>Yundt Inc</t>
  </si>
  <si>
    <t>Sawayn-Bogan</t>
  </si>
  <si>
    <t>Spinka, Johns and Tromp</t>
  </si>
  <si>
    <t>Zieme-Cronin</t>
  </si>
  <si>
    <t>Gleichner-Kohler</t>
  </si>
  <si>
    <t>Morar-Goyette</t>
  </si>
  <si>
    <t>Howell and Sons</t>
  </si>
  <si>
    <t>Metz LLC</t>
  </si>
  <si>
    <t>Schamberger Group</t>
  </si>
  <si>
    <t>Dickinson, King and Jenkins</t>
  </si>
  <si>
    <t>Jakubowski LLC</t>
  </si>
  <si>
    <t>King-Rohan</t>
  </si>
  <si>
    <t>Rowe and Sons</t>
  </si>
  <si>
    <t>Barrows Group</t>
  </si>
  <si>
    <t>Kertzmann-Kris</t>
  </si>
  <si>
    <t>Hettinger, Trantow and Altenwerth</t>
  </si>
  <si>
    <t>Doyle, Krajcik and Wintheiser</t>
  </si>
  <si>
    <t>Koss-Mertz</t>
  </si>
  <si>
    <t>Shanahan-Hodkiewicz</t>
  </si>
  <si>
    <t>Kunde and Sons</t>
  </si>
  <si>
    <t>Kassulke, McClure and Greenfelder</t>
  </si>
  <si>
    <t>Konopelski and Sons</t>
  </si>
  <si>
    <t>Thoughtbeat</t>
  </si>
  <si>
    <t>Pixope</t>
  </si>
  <si>
    <t>Leexo</t>
  </si>
  <si>
    <t>Divavu</t>
  </si>
  <si>
    <t>Zava</t>
  </si>
  <si>
    <t>Lajo</t>
  </si>
  <si>
    <t>Ainyx</t>
  </si>
  <si>
    <t>Gigazoom</t>
  </si>
  <si>
    <t>Trilith</t>
  </si>
  <si>
    <t>Eazzy</t>
  </si>
  <si>
    <t>Pixoboo</t>
  </si>
  <si>
    <t>Muxo</t>
  </si>
  <si>
    <t>Koss, Walter and Murray</t>
  </si>
  <si>
    <t>Goyette, Gottlieb and Cummings</t>
  </si>
  <si>
    <t>Buckridge, Schinner and Walker</t>
  </si>
  <si>
    <t>Reichel-Kutch</t>
  </si>
  <si>
    <t>Schoen-Waelchi</t>
  </si>
  <si>
    <t>Stracke, Hodkiewicz and Leuschke</t>
  </si>
  <si>
    <t>Mohr, Adams and Emmerich</t>
  </si>
  <si>
    <t>Turner Inc</t>
  </si>
  <si>
    <t>Blick, Kessler and Gislason</t>
  </si>
  <si>
    <t>Koss-Maggio</t>
  </si>
  <si>
    <t>Predovic and Sons</t>
  </si>
  <si>
    <t>Pacocha, Wuckert and Kerluke</t>
  </si>
  <si>
    <t>Macejkovic-Legros</t>
  </si>
  <si>
    <t>Harber-Murray</t>
  </si>
  <si>
    <t>Krajcik, Hammes and Feil</t>
  </si>
  <si>
    <t>Kshlerin Group</t>
  </si>
  <si>
    <t>Balistreri-Kub</t>
  </si>
  <si>
    <t>Rippin-Franecki</t>
  </si>
  <si>
    <t>Wehner, Kshlerin and King</t>
  </si>
  <si>
    <t>Predovic LLC</t>
  </si>
  <si>
    <t>Dare Inc</t>
  </si>
  <si>
    <t>Roob-DuBuque</t>
  </si>
  <si>
    <t>Smitham, Stamm and Howe</t>
  </si>
  <si>
    <t>Ward-Cruickshank</t>
  </si>
  <si>
    <t>Strosin-Runte</t>
  </si>
  <si>
    <t>Zulauf-Schmidt</t>
  </si>
  <si>
    <t>Leffler-Hirthe</t>
  </si>
  <si>
    <t>McLaughlin LLC</t>
  </si>
  <si>
    <t>Sanford-Doyle</t>
  </si>
  <si>
    <t>Deckow and Sons</t>
  </si>
  <si>
    <t>Price Inc</t>
  </si>
  <si>
    <t>Hammes, Romaguera and Emmerich</t>
  </si>
  <si>
    <t>Schinner, Mraz and Friesen</t>
  </si>
  <si>
    <t>Morissette, Heathcote and Bayer</t>
  </si>
  <si>
    <t>Kirlin LLC</t>
  </si>
  <si>
    <t>Fritsch-Anderson</t>
  </si>
  <si>
    <t>Hegmann, Vandervort and Grimes</t>
  </si>
  <si>
    <t>Nicolas LLC</t>
  </si>
  <si>
    <t>Green-Wuckert</t>
  </si>
  <si>
    <t>Walsh, Walter and Kuhic</t>
  </si>
  <si>
    <t>Hauck Inc</t>
  </si>
  <si>
    <t>Keeling-Gerhold</t>
  </si>
  <si>
    <t>Bailey and Sons</t>
  </si>
  <si>
    <t>Thompson-Schuster</t>
  </si>
  <si>
    <t>Bechtelar, Bechtelar and Kub</t>
  </si>
  <si>
    <t>Krajcik and Sons</t>
  </si>
  <si>
    <t>Macejkovic, Goodwin and Towne</t>
  </si>
  <si>
    <t>O'Reilly LLC</t>
  </si>
  <si>
    <t>Kiehn Group</t>
  </si>
  <si>
    <t>Williamson-O'Conner</t>
  </si>
  <si>
    <t>Runolfsdottir-Huels</t>
  </si>
  <si>
    <t>Walter Group</t>
  </si>
  <si>
    <t>Oberbrunner LLC</t>
  </si>
  <si>
    <t>Howell, Kozey and Pfannerstill</t>
  </si>
  <si>
    <t>Jacobson LLC</t>
  </si>
  <si>
    <t>Grant Inc</t>
  </si>
  <si>
    <t>Davis, Yundt and Cartwright</t>
  </si>
  <si>
    <t>Schuster, Altenwerth and Hettinger</t>
  </si>
  <si>
    <t>Wuckert-Mayert</t>
  </si>
  <si>
    <t>Heller, Cassin and Douglas</t>
  </si>
  <si>
    <t>Schroeder, Jacobson and Gottlieb</t>
  </si>
  <si>
    <t>Klocko-Effertz</t>
  </si>
  <si>
    <t>Rohan, Lueilwitz and Barrows</t>
  </si>
  <si>
    <t>Kunde Inc</t>
  </si>
  <si>
    <t>DuBuque, Smith and Price</t>
  </si>
  <si>
    <t>Jerde LLC</t>
  </si>
  <si>
    <t>O'Reilly-Kling</t>
  </si>
  <si>
    <t>Gutkowski, Cassin and Conn</t>
  </si>
  <si>
    <t>Gusikowski-Murray</t>
  </si>
  <si>
    <t>Haag-Murazik</t>
  </si>
  <si>
    <t>Doyle-Shields</t>
  </si>
  <si>
    <t>Windler, Gutmann and Von</t>
  </si>
  <si>
    <t>Larkin, Nikolaus and Zboncak</t>
  </si>
  <si>
    <t>O'Keefe-Simonis</t>
  </si>
  <si>
    <t>Torphy LLC</t>
  </si>
  <si>
    <t>Wolff, Stehr and Gutmann</t>
  </si>
  <si>
    <t>Murphy, Pfeffer and Hodkiewicz</t>
  </si>
  <si>
    <t>Moore-Bailey</t>
  </si>
  <si>
    <t>Dach, Gottlieb and Denesik</t>
  </si>
  <si>
    <t>Sipes, Weimann and Veum</t>
  </si>
  <si>
    <t>Dooley Inc</t>
  </si>
  <si>
    <t>Beier Inc</t>
  </si>
  <si>
    <t>Schumm, Leuschke and Pfeffer</t>
  </si>
  <si>
    <t>Huels, Rippin and MacGyver</t>
  </si>
  <si>
    <t>Konopelski-Fritsch</t>
  </si>
  <si>
    <t>Fisher, Ebert and Rodriguez</t>
  </si>
  <si>
    <t>Schoen and Sons</t>
  </si>
  <si>
    <t>Osinski-Jones</t>
  </si>
  <si>
    <t>Pfannerstill, Bernhard and Schuster</t>
  </si>
  <si>
    <t>Kozey and Sons</t>
  </si>
  <si>
    <t>Stiedemann, Cruickshank and Wintheiser</t>
  </si>
  <si>
    <t>Smitham, Fadel and Wisoky</t>
  </si>
  <si>
    <t>Schuppe-Hauck</t>
  </si>
  <si>
    <t>Leenti</t>
  </si>
  <si>
    <t>Centidel</t>
  </si>
  <si>
    <t>Yabox</t>
  </si>
  <si>
    <t>Brainsphere</t>
  </si>
  <si>
    <t>Voolia</t>
  </si>
  <si>
    <t>Yodoo</t>
  </si>
  <si>
    <t>Lazz</t>
  </si>
  <si>
    <t>Centizu</t>
  </si>
  <si>
    <t>Skinix</t>
  </si>
  <si>
    <t>Photobug</t>
  </si>
  <si>
    <t>Zoombeat</t>
  </si>
  <si>
    <t>Buzzbean</t>
  </si>
  <si>
    <t>Trupe</t>
  </si>
  <si>
    <t>Shuffletag</t>
  </si>
  <si>
    <t>Skibox</t>
  </si>
  <si>
    <t>Riffwire</t>
  </si>
  <si>
    <t>Tagpad</t>
  </si>
  <si>
    <t>Browsezoom</t>
  </si>
  <si>
    <t>Shufflebeat</t>
  </si>
  <si>
    <t>Skinte</t>
  </si>
  <si>
    <t>Innotype</t>
  </si>
  <si>
    <t>Twitterwire</t>
  </si>
  <si>
    <t>Block and Sons</t>
  </si>
  <si>
    <t>Ernser-Rolfson</t>
  </si>
  <si>
    <t>Leannon Inc</t>
  </si>
  <si>
    <t>Bins LLC</t>
  </si>
  <si>
    <t>Farrell Group</t>
  </si>
  <si>
    <t>Jacobs-Rice</t>
  </si>
  <si>
    <t>Rosenbaum Inc</t>
  </si>
  <si>
    <t>Schoen-Kovacek</t>
  </si>
  <si>
    <t>Fritsch, Kemmer and Littel</t>
  </si>
  <si>
    <t>Crona, Morissette and Pouros</t>
  </si>
  <si>
    <t>Bayer, Altenwerth and Kozey</t>
  </si>
  <si>
    <t>Langworth Inc</t>
  </si>
  <si>
    <t>Schroeder, Stiedemann and Frami</t>
  </si>
  <si>
    <t>Predovic Group</t>
  </si>
  <si>
    <t>Lockman, Rath and Lynch</t>
  </si>
  <si>
    <t>Waters-Swift</t>
  </si>
  <si>
    <t>Wisoky, Collins and Kling</t>
  </si>
  <si>
    <t>Koch and Sons</t>
  </si>
  <si>
    <t>Swaniawski-Schneider</t>
  </si>
  <si>
    <t>Jaskolski, Auer and Morissette</t>
  </si>
  <si>
    <t>Sauer Inc</t>
  </si>
  <si>
    <t>Osinski-Schultz</t>
  </si>
  <si>
    <t>Pouros-Gottlieb</t>
  </si>
  <si>
    <t>Lueilwitz and Sons</t>
  </si>
  <si>
    <t>Kirlin Inc</t>
  </si>
  <si>
    <t>Stokes-Gulgowski</t>
  </si>
  <si>
    <t>Heller-Streich</t>
  </si>
  <si>
    <t>Pollich, Cole and Morar</t>
  </si>
  <si>
    <t>Cummings, Mosciski and Bayer</t>
  </si>
  <si>
    <t>Fay LLC</t>
  </si>
  <si>
    <t>Kassulke Inc</t>
  </si>
  <si>
    <t>Osinski Group</t>
  </si>
  <si>
    <t>Blanda, Schuster and Schulist</t>
  </si>
  <si>
    <t>Reinger-Rutherford</t>
  </si>
  <si>
    <t>Hintz-Franecki</t>
  </si>
  <si>
    <t>Emmerich, Hammes and Jacobs</t>
  </si>
  <si>
    <t>Blick Group</t>
  </si>
  <si>
    <t>Rutherford, Christiansen and Marquardt</t>
  </si>
  <si>
    <t>Littel-Ritchie</t>
  </si>
  <si>
    <t>Carroll, Boehm and Zemlak</t>
  </si>
  <si>
    <t>Lockman and Sons</t>
  </si>
  <si>
    <t>Dickinson, Hessel and Luettgen</t>
  </si>
  <si>
    <t>Macejkovic Inc</t>
  </si>
  <si>
    <t>Botsford-Reichel</t>
  </si>
  <si>
    <t>Schumm, Quigley and Goldner</t>
  </si>
  <si>
    <t>Hahn Group</t>
  </si>
  <si>
    <t>Crooks and Sons</t>
  </si>
  <si>
    <t>Wehner and Sons</t>
  </si>
  <si>
    <t>Botsford, Ebert and Keebler</t>
  </si>
  <si>
    <t>Runte and Sons</t>
  </si>
  <si>
    <t>Dach Group</t>
  </si>
  <si>
    <t>Ernser-Ebert</t>
  </si>
  <si>
    <t>Koss Group</t>
  </si>
  <si>
    <t>Von, Torp and Deckow</t>
  </si>
  <si>
    <t>Morar, Runolfsdottir and Kris</t>
  </si>
  <si>
    <t>Fahey, Paucek and Barrows</t>
  </si>
  <si>
    <t>Stanton-Quitzon</t>
  </si>
  <si>
    <t>Fay, Stroman and O'Keefe</t>
  </si>
  <si>
    <t>Morar, Nolan and Hoeger</t>
  </si>
  <si>
    <t>Herzog Group</t>
  </si>
  <si>
    <t>Kreiger and Sons</t>
  </si>
  <si>
    <t>Walsh-Weber</t>
  </si>
  <si>
    <t>Heaney-Schneider</t>
  </si>
  <si>
    <t>Bernhard-McCullough</t>
  </si>
  <si>
    <t>Weissnat-D'Amore</t>
  </si>
  <si>
    <t>Bruen, Daugherty and Strosin</t>
  </si>
  <si>
    <t>Bailey, Heaney and Champlin</t>
  </si>
  <si>
    <t>Bartoletti and Sons</t>
  </si>
  <si>
    <t>Green-Leuschke</t>
  </si>
  <si>
    <t>Pouros LLC</t>
  </si>
  <si>
    <t>Rau-Erdman</t>
  </si>
  <si>
    <t>Gutkowski-Williamson</t>
  </si>
  <si>
    <t>Daugherty, Torphy and Goldner</t>
  </si>
  <si>
    <t>Hoppe LLC</t>
  </si>
  <si>
    <t>McLaughlin-Glover</t>
  </si>
  <si>
    <t>Graham LLC</t>
  </si>
  <si>
    <t>Davis, Herzog and Hudson</t>
  </si>
  <si>
    <t>Gleichner-Kuhic</t>
  </si>
  <si>
    <t>Miller-Dibbert</t>
  </si>
  <si>
    <t>Hane, Wolf and Gleichner</t>
  </si>
  <si>
    <t>Bauch-Strosin</t>
  </si>
  <si>
    <t>Walter, Sporer and Fisher</t>
  </si>
  <si>
    <t>Parker, Terry and Upton</t>
  </si>
  <si>
    <t>Leannon-Crooks</t>
  </si>
  <si>
    <t>McCullough-West</t>
  </si>
  <si>
    <t>Doyle, Moore and Streich</t>
  </si>
  <si>
    <t>Champlin, Murphy and Kassulke</t>
  </si>
  <si>
    <t>McClure Inc</t>
  </si>
  <si>
    <t>Ruecker and Sons</t>
  </si>
  <si>
    <t>Kris-Ankunding</t>
  </si>
  <si>
    <t>Weimann Inc</t>
  </si>
  <si>
    <t>Auer Inc</t>
  </si>
  <si>
    <t>Dare, Feest and Rosenbaum</t>
  </si>
  <si>
    <t>Kshlerin, Ledner and Flatley</t>
  </si>
  <si>
    <t>Price-Breitenberg</t>
  </si>
  <si>
    <t>Grant, Hayes and Jast</t>
  </si>
  <si>
    <t>Donnelly, Hettinger and Pacocha</t>
  </si>
  <si>
    <t>Goodwin Group</t>
  </si>
  <si>
    <t>Murphy, Hahn and Heaney</t>
  </si>
  <si>
    <t>Rippin Group</t>
  </si>
  <si>
    <t>Renner and Sons</t>
  </si>
  <si>
    <t>Bogan, Walsh and Powlowski</t>
  </si>
  <si>
    <t>Bins Inc</t>
  </si>
  <si>
    <t>Watsica, Spencer and Carter</t>
  </si>
  <si>
    <t>Kohler and Sons</t>
  </si>
  <si>
    <t>Walter, Schowalter and Denesik</t>
  </si>
  <si>
    <t>Schmitt and Sons</t>
  </si>
  <si>
    <t>Erdman and Sons</t>
  </si>
  <si>
    <t>MacGyver, Halvorson and Dietrich</t>
  </si>
  <si>
    <t>Stark-Gislason</t>
  </si>
  <si>
    <t>Prosacco-Kub</t>
  </si>
  <si>
    <t>Green-Kuhlman</t>
  </si>
  <si>
    <t>Runolfsson-Konopelski</t>
  </si>
  <si>
    <t>Witting-Harvey</t>
  </si>
  <si>
    <t>Kozey LLC</t>
  </si>
  <si>
    <t>Kunde, Trantow and Smitham</t>
  </si>
  <si>
    <t>Hills LLC</t>
  </si>
  <si>
    <t>Frami, Homenick and Okuneva</t>
  </si>
  <si>
    <t>Lind Inc</t>
  </si>
  <si>
    <t>O'Conner Inc</t>
  </si>
  <si>
    <t>Ondricka-Leuschke</t>
  </si>
  <si>
    <t>Leuschke, Will and Wuckert</t>
  </si>
  <si>
    <t>Bartell LLC</t>
  </si>
  <si>
    <t>Paucek, Borer and Dooley</t>
  </si>
  <si>
    <t>Gislason LLC</t>
  </si>
  <si>
    <t>Wilderman-Waters</t>
  </si>
  <si>
    <t>Shields, Beatty and DuBuque</t>
  </si>
  <si>
    <t>Hand-Lindgren</t>
  </si>
  <si>
    <t>Nikolaus, Koelpin and Kilback</t>
  </si>
  <si>
    <t>Hessel, Ullrich and O'Keefe</t>
  </si>
  <si>
    <t>Auer, Reichert and Conn</t>
  </si>
  <si>
    <t>Klocko, Brekke and O'Connell</t>
  </si>
  <si>
    <t>Mueller-Doyle</t>
  </si>
  <si>
    <t>Hauck-McDermott</t>
  </si>
  <si>
    <t>Bahringer-Rohan</t>
  </si>
  <si>
    <t>O'Hara-Russel</t>
  </si>
  <si>
    <t>MacGyver, Morar and Bosco</t>
  </si>
  <si>
    <t>Rice-Steuber</t>
  </si>
  <si>
    <t>Wisoky, Vandervort and Beahan</t>
  </si>
  <si>
    <t>Reynolds, Parisian and Steuber</t>
  </si>
  <si>
    <t>Smith Group</t>
  </si>
  <si>
    <t>Swaniawski Inc</t>
  </si>
  <si>
    <t>VonRueden, Hodkiewicz and Schmeler</t>
  </si>
  <si>
    <t>Dare LLC</t>
  </si>
  <si>
    <t>Hand Group</t>
  </si>
  <si>
    <t>Simonis, Adams and Homenick</t>
  </si>
  <si>
    <t>Greenfelder, Miller and Sauer</t>
  </si>
  <si>
    <t>Deckow, Wunsch and Gerlach</t>
  </si>
  <si>
    <t>McDermott LLC</t>
  </si>
  <si>
    <t>VonRueden-Borer</t>
  </si>
  <si>
    <t>Maggio-Skiles</t>
  </si>
  <si>
    <t>Littel-Rau</t>
  </si>
  <si>
    <t>Bartoletti, Morar and Senger</t>
  </si>
  <si>
    <t>Schimmel-Rath</t>
  </si>
  <si>
    <t>Abbott, Skiles and Hermiston</t>
  </si>
  <si>
    <t>Feil, Hayes and Johnston</t>
  </si>
  <si>
    <t>Macejkovic-Nitzsche</t>
  </si>
  <si>
    <t>Funk, Collier and Kilback</t>
  </si>
  <si>
    <t>Hagenes-Price</t>
  </si>
  <si>
    <t>Parisian, Wyman and Wolf</t>
  </si>
  <si>
    <t>Roberts, Dietrich and Lind</t>
  </si>
  <si>
    <t>West Group</t>
  </si>
  <si>
    <t>Collins, Luettgen and Dooley</t>
  </si>
  <si>
    <t>Hansen, Halvorson and Cremin</t>
  </si>
  <si>
    <t>Brekke, Stark and Cummings</t>
  </si>
  <si>
    <t>Lakin-Glover</t>
  </si>
  <si>
    <t>Wehner-Littel</t>
  </si>
  <si>
    <t>Franecki-Green</t>
  </si>
  <si>
    <t>Anderson-Senger</t>
  </si>
  <si>
    <t>Leannon and Sons</t>
  </si>
  <si>
    <t>Bernhard, Lockman and Nolan</t>
  </si>
  <si>
    <t>Goyette, Corwin and Jast</t>
  </si>
  <si>
    <t>Kuvalis and Sons</t>
  </si>
  <si>
    <t>Emard-Hand</t>
  </si>
  <si>
    <t>Pagac, Lindgren and Kling</t>
  </si>
  <si>
    <t>Denesik Group</t>
  </si>
  <si>
    <t>Weber, Harvey and Hilpert</t>
  </si>
  <si>
    <t>Hahn-Tillman</t>
  </si>
  <si>
    <t>Rippin LLC</t>
  </si>
  <si>
    <t>Stark LLC</t>
  </si>
  <si>
    <t>Monahan-Hilpert</t>
  </si>
  <si>
    <t>Midel</t>
  </si>
  <si>
    <t>Davis LLC</t>
  </si>
  <si>
    <t>Quitzon, Windler and Labadie</t>
  </si>
  <si>
    <t>Mueller, Runolfsson and Jacobson</t>
  </si>
  <si>
    <t>Sipes and Sons</t>
  </si>
  <si>
    <t>Romaguera-Douglas</t>
  </si>
  <si>
    <t>Koepp Inc</t>
  </si>
  <si>
    <t>Farrell LLC</t>
  </si>
  <si>
    <t>Ankunding LLC</t>
  </si>
  <si>
    <t>Wuckert, Swift and Becker</t>
  </si>
  <si>
    <t>Yakidoo</t>
  </si>
  <si>
    <t>Meemm</t>
  </si>
  <si>
    <t>Rhybox</t>
  </si>
  <si>
    <t>Gleason LLC</t>
  </si>
  <si>
    <t>Wolf-Wolff</t>
  </si>
  <si>
    <t>Armstrong LLC</t>
  </si>
  <si>
    <t>Hauck-Erdman</t>
  </si>
  <si>
    <t>Murphy, Mohr and Hermiston</t>
  </si>
  <si>
    <t>Schmitt-Stoltenberg</t>
  </si>
  <si>
    <t>Rutherford-Bins</t>
  </si>
  <si>
    <t>Bradtke, Johnston and Shanahan</t>
  </si>
  <si>
    <t>Schinner-Dickinson</t>
  </si>
  <si>
    <t>Jast-Legros</t>
  </si>
  <si>
    <t>Schumm-Kihn</t>
  </si>
  <si>
    <t>Lemke LLC</t>
  </si>
  <si>
    <t>Johnston, Ritchie and Mitchell</t>
  </si>
  <si>
    <t>Harris and Sons</t>
  </si>
  <si>
    <t>Flipopia</t>
  </si>
  <si>
    <t>Opportunity</t>
  </si>
  <si>
    <t>Initial contact</t>
  </si>
  <si>
    <t>Abata</t>
  </si>
  <si>
    <t>Ntags</t>
  </si>
  <si>
    <t>Skippad</t>
  </si>
  <si>
    <t>Aivee</t>
  </si>
  <si>
    <t>Youspan</t>
  </si>
  <si>
    <t>Realfire</t>
  </si>
  <si>
    <t>Quinu</t>
  </si>
  <si>
    <t>Devpulse</t>
  </si>
  <si>
    <t>Skiptube</t>
  </si>
  <si>
    <t>Skyndu</t>
  </si>
  <si>
    <t>Steuber-Lowe</t>
  </si>
  <si>
    <t>Towne, Daugherty and Bogan</t>
  </si>
  <si>
    <t>Bradtke Group</t>
  </si>
  <si>
    <t>Bahringer, Durgan and Pfannerstill</t>
  </si>
  <si>
    <t>Kshlerin, Schneider and Boyer</t>
  </si>
  <si>
    <t>Ondricka, Windler and Jacobs</t>
  </si>
  <si>
    <t>Simonis Group</t>
  </si>
  <si>
    <t>Wolf, Dibbert and Kuhic</t>
  </si>
  <si>
    <t>Douglas-Zemlak</t>
  </si>
  <si>
    <t>Kshlerin, Huel and Ratke</t>
  </si>
  <si>
    <t>Hintz, Schinner and Kshlerin</t>
  </si>
  <si>
    <t>Kuhn LLC</t>
  </si>
  <si>
    <t>McKenzie, Reichel and Champlin</t>
  </si>
  <si>
    <t>Kiehn-Windler</t>
  </si>
  <si>
    <t>Leffler, Ebert and Wilkinson</t>
  </si>
  <si>
    <t>Heidenreich, Langosh and Conn</t>
  </si>
  <si>
    <t>Balistreri-Turcotte</t>
  </si>
  <si>
    <t>Spinka, Jacobi and Hickle</t>
  </si>
  <si>
    <t>Satterfield and Sons</t>
  </si>
  <si>
    <t>Block-Kozey</t>
  </si>
  <si>
    <t>Oberbrunner-Oberbrunner</t>
  </si>
  <si>
    <t>Ruecker LLC</t>
  </si>
  <si>
    <t>Hessel and Sons</t>
  </si>
  <si>
    <t>Morissette and Sons</t>
  </si>
  <si>
    <t>Schoen-O'Conner</t>
  </si>
  <si>
    <t>Spinka-Carroll</t>
  </si>
  <si>
    <t>Robel-Huels</t>
  </si>
  <si>
    <t>Dicki and Sons</t>
  </si>
  <si>
    <t>Predovic-Mueller</t>
  </si>
  <si>
    <t>Koss, McLaughlin and Moen</t>
  </si>
  <si>
    <t>Gorczany, Buckridge and Robel</t>
  </si>
  <si>
    <t>Howell-Lubowitz</t>
  </si>
  <si>
    <t>Mills Inc</t>
  </si>
  <si>
    <t>Kerluke Group</t>
  </si>
  <si>
    <t>Fadel-Gorczany</t>
  </si>
  <si>
    <t>Dooley, Roob and Quitzon</t>
  </si>
  <si>
    <t>Pacocha-Gislason</t>
  </si>
  <si>
    <t>Hickle-Champlin</t>
  </si>
  <si>
    <t>Little LLC</t>
  </si>
  <si>
    <t>Jerde and Sons</t>
  </si>
  <si>
    <t>Cole, Morissette and Gorczany</t>
  </si>
  <si>
    <t>Schuster-Yost</t>
  </si>
  <si>
    <t>Thompson-Daniel</t>
  </si>
  <si>
    <t>Wuckert Group</t>
  </si>
  <si>
    <t>Hauck-Mayer</t>
  </si>
  <si>
    <t>Rau Group</t>
  </si>
  <si>
    <t>Kreiger-Rodriguez</t>
  </si>
  <si>
    <t>Schuster-Schiller</t>
  </si>
  <si>
    <t>Casper Group</t>
  </si>
  <si>
    <t>Cole and Sons</t>
  </si>
  <si>
    <t>Bosco-Boyer</t>
  </si>
  <si>
    <t>Gulgowski-Volkman</t>
  </si>
  <si>
    <t>Gulgowski, Funk and Schultz</t>
  </si>
  <si>
    <t>Watsica-Wisoky</t>
  </si>
  <si>
    <t>Erdman-Breitenberg</t>
  </si>
  <si>
    <t>Kshlerin and Sons</t>
  </si>
  <si>
    <t>Schaden LLC</t>
  </si>
  <si>
    <t>Funk, Mosciski and Doyle</t>
  </si>
  <si>
    <t>Haag and Sons</t>
  </si>
  <si>
    <t>Davis Group</t>
  </si>
  <si>
    <t>Denesik, Lynch and Deckow</t>
  </si>
  <si>
    <t>Schiller, Fahey and Ferry</t>
  </si>
  <si>
    <t>Wiza, Sporer and Rempel</t>
  </si>
  <si>
    <t>Feeney Inc</t>
  </si>
  <si>
    <t>Reynolds, Larson and Marquardt</t>
  </si>
  <si>
    <t>Medhurst, Moen and Olson</t>
  </si>
  <si>
    <t>Weissnat, Schaden and Runolfsson</t>
  </si>
  <si>
    <t>Streich, Mann and Mante</t>
  </si>
  <si>
    <t>Zulauf-Kassulke</t>
  </si>
  <si>
    <t>Kilback-Swaniawski</t>
  </si>
  <si>
    <t>Cronin, Schneider and Cormier</t>
  </si>
  <si>
    <t>Lindgren LLC</t>
  </si>
  <si>
    <t>Schinner, Rice and Mills</t>
  </si>
  <si>
    <t>Bailey-Morissette</t>
  </si>
  <si>
    <t>Corwin, Borer and Hoppe</t>
  </si>
  <si>
    <t>Kassulke-Kertzmann</t>
  </si>
  <si>
    <t>Stark-Farrell</t>
  </si>
  <si>
    <t>Larkin, Gleichner and Lockman</t>
  </si>
  <si>
    <t>Casper, Block and Harvey</t>
  </si>
  <si>
    <t>Bins, Stamm and Reichert</t>
  </si>
  <si>
    <t>Kutch, Pfeffer and Mosciski</t>
  </si>
  <si>
    <t>Kshlerin, Walter and Kuhic</t>
  </si>
  <si>
    <t>Aufderhar, Smitham and Schmitt</t>
  </si>
  <si>
    <t>Gulgowski, Grady and Koss</t>
  </si>
  <si>
    <t>Kwilith</t>
  </si>
  <si>
    <t>Jaxspan</t>
  </si>
  <si>
    <t>Quatz</t>
  </si>
  <si>
    <t>Dabshots</t>
  </si>
  <si>
    <t>Npath</t>
  </si>
  <si>
    <t>Tagfeed</t>
  </si>
  <si>
    <t>Lakin and Sons</t>
  </si>
  <si>
    <t>Sporer, Kovacek and Pacocha</t>
  </si>
  <si>
    <t>Wyman-Fadel</t>
  </si>
  <si>
    <t>Skiles, Conn and Stark</t>
  </si>
  <si>
    <t>Bartoletti, Kunze and Koelpin</t>
  </si>
  <si>
    <t>Lockman-Moore</t>
  </si>
  <si>
    <t>Jerde-Donnelly</t>
  </si>
  <si>
    <t>Walker, Connelly and Thiel</t>
  </si>
  <si>
    <t>Mitchell and Sons</t>
  </si>
  <si>
    <t>Tillman, Kautzer and Heidenreich</t>
  </si>
  <si>
    <t>Gorczany, Witting and Ritchie</t>
  </si>
  <si>
    <t>Kreiger, Homenick and Baumbach</t>
  </si>
  <si>
    <t>Nitzsche Group</t>
  </si>
  <si>
    <t>Toy, Schneider and Ullrich</t>
  </si>
  <si>
    <t>Zboncak Group</t>
  </si>
  <si>
    <t>DuBuque Inc</t>
  </si>
  <si>
    <t>Kiehn-Jerde</t>
  </si>
  <si>
    <t>Halvorson-Casper</t>
  </si>
  <si>
    <t>Harvey, Powlowski and Jast</t>
  </si>
  <si>
    <t>Gusikowski Inc</t>
  </si>
  <si>
    <t>Little-Feest</t>
  </si>
  <si>
    <t>Cummings Group</t>
  </si>
  <si>
    <t>Hintz-Bins</t>
  </si>
  <si>
    <t>Schinner, Trantow and Brown</t>
  </si>
  <si>
    <t>Moen, Murazik and Pacocha</t>
  </si>
  <si>
    <t>Mann, Konopelski and Turner</t>
  </si>
  <si>
    <t>Vandervort, Walker and Von</t>
  </si>
  <si>
    <t>Hansen-Deckow</t>
  </si>
  <si>
    <t>Hauck-Larson</t>
  </si>
  <si>
    <t>Zboncak LLC</t>
  </si>
  <si>
    <t>Ratke, Hudson and Champlin</t>
  </si>
  <si>
    <t>Satterfield-Wilderman</t>
  </si>
  <si>
    <t>Greenfelder, Maggio and Ullrich</t>
  </si>
  <si>
    <t>Steuber-Legros</t>
  </si>
  <si>
    <t>Dicki Inc</t>
  </si>
  <si>
    <t>Beatty-Gutmann</t>
  </si>
  <si>
    <t>Schiller, Haley and Denesik</t>
  </si>
  <si>
    <t>Koepp-O'Conner</t>
  </si>
  <si>
    <t>Yundt-Quigley</t>
  </si>
  <si>
    <t>Gulgowski and Sons</t>
  </si>
  <si>
    <t>Gerlach-Cummings</t>
  </si>
  <si>
    <t>West and Sons</t>
  </si>
  <si>
    <t>O'Reilly-Goodwin</t>
  </si>
  <si>
    <t>Powlowski, DuBuque and Hauck</t>
  </si>
  <si>
    <t>Keebler Inc</t>
  </si>
  <si>
    <t>Purdy-Hansen</t>
  </si>
  <si>
    <t>Strosin Group</t>
  </si>
  <si>
    <t>Breitenberg, McKenzie and Langworth</t>
  </si>
  <si>
    <t>Kulas, Treutel and Glover</t>
  </si>
  <si>
    <t>Abernathy, Rolfson and Kuphal</t>
  </si>
  <si>
    <t>Corwin, Murray and Altenwerth</t>
  </si>
  <si>
    <t>Schoen, Conn and Prohaska</t>
  </si>
  <si>
    <t>Wunsch, Will and Rice</t>
  </si>
  <si>
    <t>Hoeger, Herman and Paucek</t>
  </si>
  <si>
    <t>Fliptune</t>
  </si>
  <si>
    <t>Plajo</t>
  </si>
  <si>
    <t>Aimbu</t>
  </si>
  <si>
    <t>Brightbean</t>
  </si>
  <si>
    <t>Wordware</t>
  </si>
  <si>
    <t>Cogidoo</t>
  </si>
  <si>
    <t>Feedbug</t>
  </si>
  <si>
    <t>Dabvine</t>
  </si>
  <si>
    <t>Zoonder</t>
  </si>
  <si>
    <t>Skimia</t>
  </si>
  <si>
    <t>Camimbo</t>
  </si>
  <si>
    <t>Blogspan</t>
  </si>
  <si>
    <t>Babbleblab</t>
  </si>
  <si>
    <t>Divape</t>
  </si>
  <si>
    <t>Roodel</t>
  </si>
  <si>
    <t>Yambee</t>
  </si>
  <si>
    <t>Hills Group</t>
  </si>
  <si>
    <t>Wilkinson LLC</t>
  </si>
  <si>
    <t>Denesik, Bednar and Jakubowski</t>
  </si>
  <si>
    <t>O'Kon, Cruickshank and Krajcik</t>
  </si>
  <si>
    <t>Crona-Grady</t>
  </si>
  <si>
    <t>Tillman-Kovacek</t>
  </si>
  <si>
    <t>Romaguera Inc</t>
  </si>
  <si>
    <t>Stamm LLC</t>
  </si>
  <si>
    <t>Hamill-Ryan</t>
  </si>
  <si>
    <t>Reichert-Volkman</t>
  </si>
  <si>
    <t>Schmeler, Mayer and O'Connell</t>
  </si>
  <si>
    <t>Bode-Hessel</t>
  </si>
  <si>
    <t>Streich LLC</t>
  </si>
  <si>
    <t>Welch Inc</t>
  </si>
  <si>
    <t>Mosciski-Kovacek</t>
  </si>
  <si>
    <t>Aufderhar, Mraz and Braun</t>
  </si>
  <si>
    <t>Hoppe-Runte</t>
  </si>
  <si>
    <t>Kunze-Nitzsche</t>
  </si>
  <si>
    <t>Bahringer-MacGyver</t>
  </si>
  <si>
    <t>Erdman-Rippin</t>
  </si>
  <si>
    <t>Skiles Group</t>
  </si>
  <si>
    <t>Hills, Turcotte and Wolff</t>
  </si>
  <si>
    <t>Schowalter-Emard</t>
  </si>
  <si>
    <t>Kessler Inc</t>
  </si>
  <si>
    <t>Durgan, Shanahan and Lindgren</t>
  </si>
  <si>
    <t>Kertzmann, Keeling and Harris</t>
  </si>
  <si>
    <t>Brakus Inc</t>
  </si>
  <si>
    <t>Pfannerstill-Thiel</t>
  </si>
  <si>
    <t>Predovic, Tremblay and Huels</t>
  </si>
  <si>
    <t>Will-Cremin</t>
  </si>
  <si>
    <t>Schmidt Inc</t>
  </si>
  <si>
    <t>Waters and Sons</t>
  </si>
  <si>
    <t>Baumbach-Stiedemann</t>
  </si>
  <si>
    <t>Sauer, Bartell and Friesen</t>
  </si>
  <si>
    <t>Tromp Group</t>
  </si>
  <si>
    <t>Harber, Lynch and Kassulke</t>
  </si>
  <si>
    <t>Beer LLC</t>
  </si>
  <si>
    <t>Casper LLC</t>
  </si>
  <si>
    <t>Feeney-Smith</t>
  </si>
  <si>
    <t>Hand, Beer and Feest</t>
  </si>
  <si>
    <t>Schneider Inc</t>
  </si>
  <si>
    <t>Jast and Sons</t>
  </si>
  <si>
    <t>Lehner, Ledner and Strosin</t>
  </si>
  <si>
    <t>Strosin, Ebert and Hessel</t>
  </si>
  <si>
    <t>Rath, Gleason and Shanahan</t>
  </si>
  <si>
    <t>Cormier-Baumbach</t>
  </si>
  <si>
    <t>Langworth, Herzog and Veum</t>
  </si>
  <si>
    <t>Botsford-Ruecker</t>
  </si>
  <si>
    <t>Bernier, D'Amore and Quitzon</t>
  </si>
  <si>
    <t>Gleichner-Crist</t>
  </si>
  <si>
    <t>Bosco-Kemmer</t>
  </si>
  <si>
    <t>Pacocha-Powlowski</t>
  </si>
  <si>
    <t>Smith Inc</t>
  </si>
  <si>
    <t>Stark Inc</t>
  </si>
  <si>
    <t>Bailey-VonRueden</t>
  </si>
  <si>
    <t>Rogahn-Cummerata</t>
  </si>
  <si>
    <t>Cole LLC</t>
  </si>
  <si>
    <t>Kling LLC</t>
  </si>
  <si>
    <t>Murray-Rice</t>
  </si>
  <si>
    <t>Cummerata and Sons</t>
  </si>
  <si>
    <t>Hayes Inc</t>
  </si>
  <si>
    <t>Pouros Group</t>
  </si>
  <si>
    <t>Howe-Pfeffer</t>
  </si>
  <si>
    <t>Lind, Swaniawski and Spinka</t>
  </si>
  <si>
    <t>Bechtelar and Sons</t>
  </si>
  <si>
    <t>Marquardt-Crooks</t>
  </si>
  <si>
    <t>Rice LLC</t>
  </si>
  <si>
    <t>Fahey Group</t>
  </si>
  <si>
    <t>Crona-Beer</t>
  </si>
  <si>
    <t>Runte-Baumbach</t>
  </si>
  <si>
    <t>Nitzsche, O'Reilly and White</t>
  </si>
  <si>
    <t>Rippin, Brakus and Cole</t>
  </si>
  <si>
    <t>Beahan-Jenkins</t>
  </si>
  <si>
    <t>Balistreri, Corkery and Mertz</t>
  </si>
  <si>
    <t>Willms-Farrell</t>
  </si>
  <si>
    <t>O'Reilly, Dach and Simonis</t>
  </si>
  <si>
    <t>Kunde-Lockman</t>
  </si>
  <si>
    <t>Legros-Auer</t>
  </si>
  <si>
    <t>Orn LLC</t>
  </si>
  <si>
    <t>Turcotte-VonRueden</t>
  </si>
  <si>
    <t>Vandervort Inc</t>
  </si>
  <si>
    <t>Schaden, Dicki and Kiehn</t>
  </si>
  <si>
    <t>Bosco Group</t>
  </si>
  <si>
    <t>Rosenbaum Group</t>
  </si>
  <si>
    <t>Auer-Bradtke</t>
  </si>
  <si>
    <t>Armstrong, Hermann and Sawayn</t>
  </si>
  <si>
    <t>Feeney LLC</t>
  </si>
  <si>
    <t>Marquardt, Denesik and Schmeler</t>
  </si>
  <si>
    <t>Bernier, Herman and Schulist</t>
  </si>
  <si>
    <t>Boyer and Sons</t>
  </si>
  <si>
    <t>Ratke Inc</t>
  </si>
  <si>
    <t>Padberg, Koepp and Walsh</t>
  </si>
  <si>
    <t>Monahan, Dooley and Jast</t>
  </si>
  <si>
    <t>Lehner, Jacobi and Koepp</t>
  </si>
  <si>
    <t>Ondricka-Jerde</t>
  </si>
  <si>
    <t>Gerhold, Fahey and Schowalter</t>
  </si>
  <si>
    <t>Harvey-Gottlieb</t>
  </si>
  <si>
    <t>Botsford, Hudson and Becker</t>
  </si>
  <si>
    <t>Bogan Group</t>
  </si>
  <si>
    <t>Morissette Group</t>
  </si>
  <si>
    <t>Huels-Hyatt</t>
  </si>
  <si>
    <t>Price-Pagac</t>
  </si>
  <si>
    <t>Harris-Lindgren</t>
  </si>
  <si>
    <t>Schimmel-Langosh</t>
  </si>
  <si>
    <t>Bosco, Hills and Reinger</t>
  </si>
  <si>
    <t>Crooks, Herzog and Leannon</t>
  </si>
  <si>
    <t>Greenholt, Gorczany and Osinski</t>
  </si>
  <si>
    <t>Dach-Shields</t>
  </si>
  <si>
    <t>Blanda-Bednar</t>
  </si>
  <si>
    <t>Bergnaum, Johnson and Grimes</t>
  </si>
  <si>
    <t>Lesch LLC</t>
  </si>
  <si>
    <t>Reichert LLC</t>
  </si>
  <si>
    <t>Breitenberg-Huel</t>
  </si>
  <si>
    <t>O'Conner-Braun</t>
  </si>
  <si>
    <t>Shanahan, Senger and Rogahn</t>
  </si>
  <si>
    <t>Aimbo</t>
  </si>
  <si>
    <t>Skajo</t>
  </si>
  <si>
    <t>Yodel</t>
  </si>
  <si>
    <t>Greenfelder-Johns</t>
  </si>
  <si>
    <t>Mosciski, Hansen and Ruecker</t>
  </si>
  <si>
    <t>Balistreri LLC</t>
  </si>
  <si>
    <t>Barrows, Jacobs and O'Hara</t>
  </si>
  <si>
    <t>Schaefer-Lockman</t>
  </si>
  <si>
    <t>Barrows-Waelchi</t>
  </si>
  <si>
    <t>Walsh Inc</t>
  </si>
  <si>
    <t>Trantow Group</t>
  </si>
  <si>
    <t>Murphy, Hudson and Considine</t>
  </si>
  <si>
    <t>Tagchat</t>
  </si>
  <si>
    <t>Lost</t>
  </si>
  <si>
    <t>Yata</t>
  </si>
  <si>
    <t>Cogibox</t>
  </si>
  <si>
    <t>Skynoodle</t>
  </si>
  <si>
    <t>Heidenreich, Stehr and Johnston</t>
  </si>
  <si>
    <t>Schultz-Kirlin</t>
  </si>
  <si>
    <t>Blick-Schamberger</t>
  </si>
  <si>
    <t>White-Donnelly</t>
  </si>
  <si>
    <t>Wuckert and Sons</t>
  </si>
  <si>
    <t>Batz, Fay and Murray</t>
  </si>
  <si>
    <t>Harvey-Reichel</t>
  </si>
  <si>
    <t>Hilpert and Sons</t>
  </si>
  <si>
    <t>Stanton and Sons</t>
  </si>
  <si>
    <t>Dare, Kassulke and Nicolas</t>
  </si>
  <si>
    <t>O'Connell, Harber and Koelpin</t>
  </si>
  <si>
    <t>Schmidt-Hettinger</t>
  </si>
  <si>
    <t>Abernathy-Kohler</t>
  </si>
  <si>
    <t>Kessler-Hirthe</t>
  </si>
  <si>
    <t>Schowalter-Jacobs</t>
  </si>
  <si>
    <t>Parker LLC</t>
  </si>
  <si>
    <t>Youtags</t>
  </si>
  <si>
    <t>Lemke-Roberts</t>
  </si>
  <si>
    <t>Smith, Stiedemann and Rowe</t>
  </si>
  <si>
    <t>Bogisich, Kuvalis and Herman</t>
  </si>
  <si>
    <t>Okuneva-Schumm</t>
  </si>
  <si>
    <t>Nader-Ortiz</t>
  </si>
  <si>
    <t>Goyette LLC</t>
  </si>
  <si>
    <t>Treutel and Sons</t>
  </si>
  <si>
    <t>Murphy Group</t>
  </si>
  <si>
    <t>Hamill Group</t>
  </si>
  <si>
    <t>Keeling-Lang</t>
  </si>
  <si>
    <t>MacGyver, Ondricka and McLaughlin</t>
  </si>
  <si>
    <t>Linklinks</t>
  </si>
  <si>
    <t>Larson and Sons</t>
  </si>
  <si>
    <t>Bradtke-Stehr</t>
  </si>
  <si>
    <t>Bartoletti LLC</t>
  </si>
  <si>
    <t>Halvorson-Corkery</t>
  </si>
  <si>
    <t>Reynolds, Gottlieb and Prohaska</t>
  </si>
  <si>
    <t>Rempel, Senger and Schimmel</t>
  </si>
  <si>
    <t>Kunde, Harris and Bernier</t>
  </si>
  <si>
    <t>D'Amore-Pacocha</t>
  </si>
  <si>
    <t>Mante-Toy</t>
  </si>
  <si>
    <t>Smith-Parisian</t>
  </si>
  <si>
    <t>Wuckert LLC</t>
  </si>
  <si>
    <t>Murray Inc</t>
  </si>
  <si>
    <t>Treutel, Balistreri and Brakus</t>
  </si>
  <si>
    <t>Paucek LLC</t>
  </si>
  <si>
    <t>Flatley Inc</t>
  </si>
  <si>
    <t>Huel LLC</t>
  </si>
  <si>
    <t>Strosin-Feeney</t>
  </si>
  <si>
    <t>Lesch-Sporer</t>
  </si>
  <si>
    <t>Steuber-Gibson</t>
  </si>
  <si>
    <t>Grady Inc</t>
  </si>
  <si>
    <t>Jast, Hirthe and Murphy</t>
  </si>
  <si>
    <t>Kulas-Barrows</t>
  </si>
  <si>
    <t>Quitzon Inc</t>
  </si>
  <si>
    <t>Haley, Boyer and Prohaska</t>
  </si>
  <si>
    <t>Ernser-Schulist</t>
  </si>
  <si>
    <t>Considine Inc</t>
  </si>
  <si>
    <t>Moen-Beer</t>
  </si>
  <si>
    <t>Abernathy, Ward and Boyle</t>
  </si>
  <si>
    <t>Realbridge</t>
  </si>
  <si>
    <t>Nurturing</t>
  </si>
  <si>
    <t>Blogtag</t>
  </si>
  <si>
    <t>Yacero</t>
  </si>
  <si>
    <t>Viva</t>
  </si>
  <si>
    <t>Jaxworks</t>
  </si>
  <si>
    <t>Kwideo</t>
  </si>
  <si>
    <t>Geba</t>
  </si>
  <si>
    <t>Gigashots</t>
  </si>
  <si>
    <t>Reilly-Bahringer</t>
  </si>
  <si>
    <t>Runolfsson-Rogahn</t>
  </si>
  <si>
    <t>Purdy LLC</t>
  </si>
  <si>
    <t>Terry, Corwin and Harris</t>
  </si>
  <si>
    <t>Stokes LLC</t>
  </si>
  <si>
    <t>Graham, Bergnaum and Kreiger</t>
  </si>
  <si>
    <t>Wuckert-Yost</t>
  </si>
  <si>
    <t>Schoen, Rohan and Mosciski</t>
  </si>
  <si>
    <t>Morar-Heathcote</t>
  </si>
  <si>
    <t>Larkin, Doyle and Corwin</t>
  </si>
  <si>
    <t>Gerhold-Nicolas</t>
  </si>
  <si>
    <t>Hoeger, Kreiger and Deckow</t>
  </si>
  <si>
    <t>O'Reilly-Kerluke</t>
  </si>
  <si>
    <t>Labadie LLC</t>
  </si>
  <si>
    <t>Brown Group</t>
  </si>
  <si>
    <t>Stoltenberg-Kuhn</t>
  </si>
  <si>
    <t>Huels-Reichert</t>
  </si>
  <si>
    <t>Bailey-O'Conner</t>
  </si>
  <si>
    <t>Hudson, Spencer and Bahringer</t>
  </si>
  <si>
    <t>Howell, McCullough and Wuckert</t>
  </si>
  <si>
    <t>Crona, Bashirian and Armstrong</t>
  </si>
  <si>
    <t>Veum, Steuber and Blick</t>
  </si>
  <si>
    <t>Torp-Krajcik</t>
  </si>
  <si>
    <t>Dach LLC</t>
  </si>
  <si>
    <t>Carter-Blick</t>
  </si>
  <si>
    <t>Klocko-Lindgren</t>
  </si>
  <si>
    <t>Koepp, Bosco and Hodkiewicz</t>
  </si>
  <si>
    <t>Ratke and Sons</t>
  </si>
  <si>
    <t>Hudson, Bergnaum and Gerlach</t>
  </si>
  <si>
    <t>Lynch-Gulgowski</t>
  </si>
  <si>
    <t>Ryan Group</t>
  </si>
  <si>
    <t>Barton, Schumm and Wilderman</t>
  </si>
  <si>
    <t>Williamson, Gottlieb and Kuphal</t>
  </si>
  <si>
    <t>Larkin, Kshlerin and Moore</t>
  </si>
  <si>
    <t>Kautzer and Sons</t>
  </si>
  <si>
    <t>Jaskolski, Krajcik and Bergnaum</t>
  </si>
  <si>
    <t>Kutch Inc</t>
  </si>
  <si>
    <t>Becker Inc</t>
  </si>
  <si>
    <t>Mills, Schuppe and Stracke</t>
  </si>
  <si>
    <t>McGlynn-Friesen</t>
  </si>
  <si>
    <t>Stoltenberg-Koepp</t>
  </si>
  <si>
    <t>Emmerich, Schinner and McKenzie</t>
  </si>
  <si>
    <t>Stoltenberg, Hoppe and Funk</t>
  </si>
  <si>
    <t>Schowalter and Sons</t>
  </si>
  <si>
    <t>Lakin-Ondricka</t>
  </si>
  <si>
    <t>Kunde, Smitham and Hills</t>
  </si>
  <si>
    <t>Kilback-Blick</t>
  </si>
  <si>
    <t>Ledner LLC</t>
  </si>
  <si>
    <t>Reichel and Sons</t>
  </si>
  <si>
    <t>Mills-Donnelly</t>
  </si>
  <si>
    <t>Shanahan Inc</t>
  </si>
  <si>
    <t>West-Wyman</t>
  </si>
  <si>
    <t>Wunsch LLC</t>
  </si>
  <si>
    <t>Ritchie, Rutherford and Blick</t>
  </si>
  <si>
    <t>Ratke-Zulauf</t>
  </si>
  <si>
    <t>Hodkiewicz-Wunsch</t>
  </si>
  <si>
    <t>Zulauf Group</t>
  </si>
  <si>
    <t>Powlowski, Weissnat and Pollich</t>
  </si>
  <si>
    <t>Swift-Wolf</t>
  </si>
  <si>
    <t>Paucek, Sanford and Feil</t>
  </si>
  <si>
    <t>Quigley, Volkman and Kihn</t>
  </si>
  <si>
    <t>Kerluke and Sons</t>
  </si>
  <si>
    <t>Carroll and Sons</t>
  </si>
  <si>
    <t>Jerde, Torphy and Hirthe</t>
  </si>
  <si>
    <t>Hermann-Kreiger</t>
  </si>
  <si>
    <t>Camido</t>
  </si>
  <si>
    <t>Eamia</t>
  </si>
  <si>
    <t>Centimia</t>
  </si>
  <si>
    <t>Browsetype</t>
  </si>
  <si>
    <t>Babbleopia</t>
  </si>
  <si>
    <t>Yakitri</t>
  </si>
  <si>
    <t>Linkbuzz</t>
  </si>
  <si>
    <t>Oozz</t>
  </si>
  <si>
    <t>Blogtags</t>
  </si>
  <si>
    <t>Senger and Sons</t>
  </si>
  <si>
    <t>Windler-Gutmann</t>
  </si>
  <si>
    <t>Mueller-Conroy</t>
  </si>
  <si>
    <t>Kohler, Konopelski and Runolfsdottir</t>
  </si>
  <si>
    <t>Schuster, Beahan and Nolan</t>
  </si>
  <si>
    <t>Donnelly, Jacobi and Gutmann</t>
  </si>
  <si>
    <t>Considine-Boyer</t>
  </si>
  <si>
    <t>Pfeffer LLC</t>
  </si>
  <si>
    <t>Nader, McClure and Reynolds</t>
  </si>
  <si>
    <t>Kohler-Kuhlman</t>
  </si>
  <si>
    <t>Krajcik-Schroeder</t>
  </si>
  <si>
    <t>Dietrich and Sons</t>
  </si>
  <si>
    <t>Stracke-Fritsch</t>
  </si>
  <si>
    <t>Berge-Mills</t>
  </si>
  <si>
    <t>Barrows and Sons</t>
  </si>
  <si>
    <t>Rice-Bins</t>
  </si>
  <si>
    <t>Heathcote, Lemke and Abbott</t>
  </si>
  <si>
    <t>Borer-Leannon</t>
  </si>
  <si>
    <t>King, Lockman and Hansen</t>
  </si>
  <si>
    <t>Funk-Stehr</t>
  </si>
  <si>
    <t>Dooley, Jast and Lindgren</t>
  </si>
  <si>
    <t>Shanahan and Sons</t>
  </si>
  <si>
    <t>Heller Inc</t>
  </si>
  <si>
    <t>Treutel, Grant and Mayert</t>
  </si>
  <si>
    <t>Batz and Sons</t>
  </si>
  <si>
    <t>Bergnaum, Heidenreich and Shields</t>
  </si>
  <si>
    <t>Thompson Inc</t>
  </si>
  <si>
    <t>Bashirian Group</t>
  </si>
  <si>
    <t>Hamill-Funk</t>
  </si>
  <si>
    <t>Senger-Kunze</t>
  </si>
  <si>
    <t>Quitzon, Lindgren and Ruecker</t>
  </si>
  <si>
    <t>Maggio, Heidenreich and Wolf</t>
  </si>
  <si>
    <t>Bechtelar Inc</t>
  </si>
  <si>
    <t>Wyman, Crona and Little</t>
  </si>
  <si>
    <t>Lindgren-Hoeger</t>
  </si>
  <si>
    <t>Thiel-Abbott</t>
  </si>
  <si>
    <t>Gulgowski, Schumm and Johnston</t>
  </si>
  <si>
    <t>Halvorson, O'Hara and Johnson</t>
  </si>
  <si>
    <t>Rau-Hammes</t>
  </si>
  <si>
    <t>Denesik-Heaney</t>
  </si>
  <si>
    <t>Smith-Murphy</t>
  </si>
  <si>
    <t>Pagac, Barrows and Keeling</t>
  </si>
  <si>
    <t>Grant-Hahn</t>
  </si>
  <si>
    <t>Rooxo</t>
  </si>
  <si>
    <t>Kimia</t>
  </si>
  <si>
    <t>Yoveo</t>
  </si>
  <si>
    <t>Oyoba</t>
  </si>
  <si>
    <t>Oloo</t>
  </si>
  <si>
    <t>Eadel</t>
  </si>
  <si>
    <t>Oyondu</t>
  </si>
  <si>
    <t>Realpoint</t>
  </si>
  <si>
    <t>Trudeo</t>
  </si>
  <si>
    <t>Realbuzz</t>
  </si>
  <si>
    <t>Vimbo</t>
  </si>
  <si>
    <t>Rhynoodle</t>
  </si>
  <si>
    <t>Green, Block and Mayer</t>
  </si>
  <si>
    <t>Morissette LLC</t>
  </si>
  <si>
    <t>Stoltenberg, Labadie and Spencer</t>
  </si>
  <si>
    <t>Ondricka, Lubowitz and O'Connell</t>
  </si>
  <si>
    <t>Dickinson and Sons</t>
  </si>
  <si>
    <t>Waelchi Group</t>
  </si>
  <si>
    <t>Stanton-Mayert</t>
  </si>
  <si>
    <t>Rath-Harvey</t>
  </si>
  <si>
    <t>Zboncak-Lebsack</t>
  </si>
  <si>
    <t>Franecki, Rath and Roob</t>
  </si>
  <si>
    <t>Koch-Harvey</t>
  </si>
  <si>
    <t>Ankunding-Pfeffer</t>
  </si>
  <si>
    <t>Johnson-Funk</t>
  </si>
  <si>
    <t>Rodriguez, Rippin and Dooley</t>
  </si>
  <si>
    <t>Larson, Carter and Bins</t>
  </si>
  <si>
    <t>Jenkins Group</t>
  </si>
  <si>
    <t>Bahringer, Crist and Reynolds</t>
  </si>
  <si>
    <t>Ledner Group</t>
  </si>
  <si>
    <t>Bode-Schiller</t>
  </si>
  <si>
    <t>Kessler, Mitchell and Torp</t>
  </si>
  <si>
    <t>Powlowski and Sons</t>
  </si>
  <si>
    <t>Davis Inc</t>
  </si>
  <si>
    <t>Kuhic, Fadel and Herman</t>
  </si>
  <si>
    <t>Ward, Heathcote and Mante</t>
  </si>
  <si>
    <t>Schaefer-Stroman</t>
  </si>
  <si>
    <t>Williamson, Thiel and Ratke</t>
  </si>
  <si>
    <t>Grimes, Murray and Pfannerstill</t>
  </si>
  <si>
    <t>Bruen, Morar and McLaughlin</t>
  </si>
  <si>
    <t>Sporer-Wolff</t>
  </si>
  <si>
    <t>Upton, Mosciski and Hane</t>
  </si>
  <si>
    <t>Schulist LLC</t>
  </si>
  <si>
    <t>Cummings, Green and Ritchie</t>
  </si>
  <si>
    <t>Raynor-Graham</t>
  </si>
  <si>
    <t>Durgan, Raynor and Leuschke</t>
  </si>
  <si>
    <t>Rogahn-Ratke</t>
  </si>
  <si>
    <t>Nikolaus-Kirlin</t>
  </si>
  <si>
    <t>Becker, Kris and Medhurst</t>
  </si>
  <si>
    <t>Schmitt-Block</t>
  </si>
  <si>
    <t>Pfeffer-Cronin</t>
  </si>
  <si>
    <t>Wunsch, Reilly and Blick</t>
  </si>
  <si>
    <t>Daniel-Murphy</t>
  </si>
  <si>
    <t>Klein, Gislason and O'Reilly</t>
  </si>
  <si>
    <t>Kiehn, Frami and Lehner</t>
  </si>
  <si>
    <t>Shields Group</t>
  </si>
  <si>
    <t>Metz-Heller</t>
  </si>
  <si>
    <t>Kling Group</t>
  </si>
  <si>
    <t>Mann-Heathcote</t>
  </si>
  <si>
    <t>Durgan-Haag</t>
  </si>
  <si>
    <t>Ortiz-Greenfelder</t>
  </si>
  <si>
    <t>Labadie-Moore</t>
  </si>
  <si>
    <t>Kertzmann Inc</t>
  </si>
  <si>
    <t>Langosh, Bruen and Koelpin</t>
  </si>
  <si>
    <t>Olson Inc</t>
  </si>
  <si>
    <t>McKenzie-Farrell</t>
  </si>
  <si>
    <t>Osinski, Blick and Morar</t>
  </si>
  <si>
    <t>Schultz-Flatley</t>
  </si>
  <si>
    <t>Doyle-Haley</t>
  </si>
  <si>
    <t>Miller Inc</t>
  </si>
  <si>
    <t>Stokes, Harris and Douglas</t>
  </si>
  <si>
    <t>Schoen, Hermann and Bechtelar</t>
  </si>
  <si>
    <t>Deckow, Runolfsdottir and Schuppe</t>
  </si>
  <si>
    <t>Lehner, Larson and Roberts</t>
  </si>
  <si>
    <t>Dickinson Inc</t>
  </si>
  <si>
    <t>Cormier Group</t>
  </si>
  <si>
    <t>Donnelly Inc</t>
  </si>
  <si>
    <t>Mante-Hermann</t>
  </si>
  <si>
    <t>Pollich, Simonis and Kerluke</t>
  </si>
  <si>
    <t>Leannon, Breitenberg and Crist</t>
  </si>
  <si>
    <t>Mueller-Glover</t>
  </si>
  <si>
    <t>Towne, Mills and Kuhlman</t>
  </si>
  <si>
    <t>Durgan Group</t>
  </si>
  <si>
    <t>Wehner LLC</t>
  </si>
  <si>
    <t>Crooks, Corwin and Stoltenberg</t>
  </si>
  <si>
    <t>Flatley-Hansen</t>
  </si>
  <si>
    <t>Herman, Hansen and Kerluke</t>
  </si>
  <si>
    <t>Mraz, Murazik and Kling</t>
  </si>
  <si>
    <t>Balistreri, Roberts and Gottlieb</t>
  </si>
  <si>
    <t>Armstrong, Schaefer and Upton</t>
  </si>
  <si>
    <t>Ryan LLC</t>
  </si>
  <si>
    <t>Bode-Kautzer</t>
  </si>
  <si>
    <t>Bauch, Hamill and Johns</t>
  </si>
  <si>
    <t>Schultz Group</t>
  </si>
  <si>
    <t>Robel and Sons</t>
  </si>
  <si>
    <t>Flipbug</t>
  </si>
  <si>
    <t>Opened</t>
  </si>
  <si>
    <t>Hane-Heller</t>
  </si>
  <si>
    <t>Fisher, Jones and Cummerata</t>
  </si>
  <si>
    <t>Orn and Sons</t>
  </si>
  <si>
    <t>O'Connell Inc</t>
  </si>
  <si>
    <t>Ferry Inc</t>
  </si>
  <si>
    <t>Dibbert-Fahey</t>
  </si>
  <si>
    <t>Sipes-Kautzer</t>
  </si>
  <si>
    <t>Harris-Yost</t>
  </si>
  <si>
    <t>Schinner-Daugherty</t>
  </si>
  <si>
    <t>Barrows, Kihn and Bergnaum</t>
  </si>
  <si>
    <t>Schultz, Lind and Jenkins</t>
  </si>
  <si>
    <t>Kohler-Boyle</t>
  </si>
  <si>
    <t>Kirlin-Wilderman</t>
  </si>
  <si>
    <t>O'Hara-Kihn</t>
  </si>
  <si>
    <t>Hirthe, Runolfsson and Farrell</t>
  </si>
  <si>
    <t>Towne, Mohr and Emard</t>
  </si>
  <si>
    <t>Wilkinson Inc</t>
  </si>
  <si>
    <t>Goldner, Stracke and Ryan</t>
  </si>
  <si>
    <t>Olson, Runte and Ferry</t>
  </si>
  <si>
    <t>Pacocha-O'Hara</t>
  </si>
  <si>
    <t>Spinka, Parisian and Daniel</t>
  </si>
  <si>
    <t>Bergstrom, Dibbert and Witting</t>
  </si>
  <si>
    <t>Bergstrom-Farrell</t>
  </si>
  <si>
    <t>Kayveo</t>
  </si>
  <si>
    <t>Ziemann-Labadie</t>
  </si>
  <si>
    <t>VonRueden-Mosciski</t>
  </si>
  <si>
    <t>Roberts, Schaefer and Ortiz</t>
  </si>
  <si>
    <t>Hane, Harber and McClure</t>
  </si>
  <si>
    <t>Haag, Ziemann and Greenfelder</t>
  </si>
  <si>
    <t>Senger-Quigley</t>
  </si>
  <si>
    <t>Carroll-Fahey</t>
  </si>
  <si>
    <t>Schneider Group</t>
  </si>
  <si>
    <t>Mertz, Hodkiewicz and Howell</t>
  </si>
  <si>
    <t>Cartwright and Sons</t>
  </si>
  <si>
    <t>Sauer, Kozey and Mohr</t>
  </si>
  <si>
    <t>Yundt-Denesik</t>
  </si>
  <si>
    <t>Graham, Moen and Mosciski</t>
  </si>
  <si>
    <t>Adams Inc</t>
  </si>
  <si>
    <t>Tillman, Kessler and Bechtelar</t>
  </si>
  <si>
    <t>King-Weissnat</t>
  </si>
  <si>
    <t>Bluezoom</t>
  </si>
  <si>
    <t>Thoughtworks</t>
  </si>
  <si>
    <t>Skipstorm</t>
  </si>
  <si>
    <t>Snaptags</t>
  </si>
  <si>
    <t>Photofeed</t>
  </si>
  <si>
    <t>Larkin-Glover</t>
  </si>
  <si>
    <t>Conroy-Keeling</t>
  </si>
  <si>
    <t>Ratke-Abshire</t>
  </si>
  <si>
    <t>Quigley and Sons</t>
  </si>
  <si>
    <t>O'Keefe and Sons</t>
  </si>
  <si>
    <t>Rogahn, Nolan and Bernhard</t>
  </si>
  <si>
    <t>Braun, Swaniawski and Harris</t>
  </si>
  <si>
    <t>Cartwright-Hodkiewicz</t>
  </si>
  <si>
    <t>Goyette Inc</t>
  </si>
  <si>
    <t>Halvorson, Walker and White</t>
  </si>
  <si>
    <t>McGlynn-Watsica</t>
  </si>
  <si>
    <t>Kertzmann Group</t>
  </si>
  <si>
    <t>Kirlin, Bruen and Legros</t>
  </si>
  <si>
    <t>Okuneva-Gislason</t>
  </si>
  <si>
    <t>Stanton, Mayer and Sauer</t>
  </si>
  <si>
    <t>Pagac-Farrell</t>
  </si>
  <si>
    <t>Trantow, O'Keefe and Hyatt</t>
  </si>
  <si>
    <t>Thiel LLC</t>
  </si>
  <si>
    <t>Corkery-Little</t>
  </si>
  <si>
    <t>Youopia</t>
  </si>
  <si>
    <t>Proposal sent</t>
  </si>
  <si>
    <t>Wikizz</t>
  </si>
  <si>
    <t>Feednation</t>
  </si>
  <si>
    <t>Fiveclub</t>
  </si>
  <si>
    <t>Cassin-Schmeler</t>
  </si>
  <si>
    <t>Murazik, Konopelski and McLaughlin</t>
  </si>
  <si>
    <t>Dibbert, Jacobi and Rippin</t>
  </si>
  <si>
    <t>Wilderman, Nicolas and Sanford</t>
  </si>
  <si>
    <t>Maggio, Sanford and Rodriguez</t>
  </si>
  <si>
    <t>Feil, O'Keefe and Skiles</t>
  </si>
  <si>
    <t>Kutch-Weimann</t>
  </si>
  <si>
    <t>Braun, Stroman and Terry</t>
  </si>
  <si>
    <t>Farrell Inc</t>
  </si>
  <si>
    <t>Stark, Lueilwitz and Boyle</t>
  </si>
  <si>
    <t>Wilderman-Kunze</t>
  </si>
  <si>
    <t>Rowe-Volkman</t>
  </si>
  <si>
    <t>Towne-Mayer</t>
  </si>
  <si>
    <t>Franecki, Torphy and Hayes</t>
  </si>
  <si>
    <t>O'Conner-Gibson</t>
  </si>
  <si>
    <t>Adams-Casper</t>
  </si>
  <si>
    <t>Crist LLC</t>
  </si>
  <si>
    <t>Schmeler-Bayer</t>
  </si>
  <si>
    <t>Ferry-Weber</t>
  </si>
  <si>
    <t>Weber Group</t>
  </si>
  <si>
    <t>McKenzie Inc</t>
  </si>
  <si>
    <t>Hermiston Inc</t>
  </si>
  <si>
    <t>Jones Group</t>
  </si>
  <si>
    <t>Bernhard, Stokes and Carroll</t>
  </si>
  <si>
    <t>O'Connell-Deckow</t>
  </si>
  <si>
    <t>Monahan-Turner</t>
  </si>
  <si>
    <t>Oberbrunner, Hintz and Frami</t>
  </si>
  <si>
    <t>Rogahn, Rice and Christiansen</t>
  </si>
  <si>
    <t>Carter, Bayer and Okuneva</t>
  </si>
  <si>
    <t>King-Simonis</t>
  </si>
  <si>
    <t>Quitzon-Ruecker</t>
  </si>
  <si>
    <t>Turner-Leuschke</t>
  </si>
  <si>
    <t>Jazzy</t>
  </si>
  <si>
    <t>Trudoo</t>
  </si>
  <si>
    <t>Devify</t>
  </si>
  <si>
    <t>Zooveo</t>
  </si>
  <si>
    <t>Yamia</t>
  </si>
  <si>
    <t>Buzzdog</t>
  </si>
  <si>
    <t>Stamm, Weissnat and Collier</t>
  </si>
  <si>
    <t>Barton, Hodkiewicz and Hickle</t>
  </si>
  <si>
    <t>Jones, Stark and MacGyver</t>
  </si>
  <si>
    <t>Walsh and Sons</t>
  </si>
  <si>
    <t>Kulas, Cummings and Bechtelar</t>
  </si>
  <si>
    <t>Hessel-McClure</t>
  </si>
  <si>
    <t>Pagac and Sons</t>
  </si>
  <si>
    <t>White, Murazik and Larkin</t>
  </si>
  <si>
    <t>Pfeffer-Prohaska</t>
  </si>
  <si>
    <t>Hyatt, Hudson and Predovic</t>
  </si>
  <si>
    <t>Maggio, Bartoletti and Hoppe</t>
  </si>
  <si>
    <t>Schimmel, Denesik and Schmeler</t>
  </si>
  <si>
    <t>Schmitt-Bradtke</t>
  </si>
  <si>
    <t>Wilkinson, Balistreri and Beier</t>
  </si>
  <si>
    <t>Leannon-Romaguera</t>
  </si>
  <si>
    <t>Jakubowski, Effertz and Lemke</t>
  </si>
  <si>
    <t>Hirthe, Fisher and Dooley</t>
  </si>
  <si>
    <t>Tremblay Inc</t>
  </si>
  <si>
    <t>Mertz, Adams and Bradtke</t>
  </si>
  <si>
    <t>Hermiston LLC</t>
  </si>
  <si>
    <t>Mayer Group</t>
  </si>
  <si>
    <t>Wolf-Deckow</t>
  </si>
  <si>
    <t>Franecki, Grant and Prosacco</t>
  </si>
  <si>
    <t>Batz-Russel</t>
  </si>
  <si>
    <t>Russel-Stiedemann</t>
  </si>
  <si>
    <t>Zemlak, O'Reilly and Schowalter</t>
  </si>
  <si>
    <t>Douglas-Wiza</t>
  </si>
  <si>
    <t>Heidenreich, Murazik and Walsh</t>
  </si>
  <si>
    <t>Konopelski, McDermott and Wunsch</t>
  </si>
  <si>
    <t>Greenholt, Kirlin and Torphy</t>
  </si>
  <si>
    <t>Skipfire</t>
  </si>
  <si>
    <t>Buzzshare</t>
  </si>
  <si>
    <t>Photobean</t>
  </si>
  <si>
    <t>Agimba</t>
  </si>
  <si>
    <t>Twitterbridge</t>
  </si>
  <si>
    <t>Quamba</t>
  </si>
  <si>
    <t>Topiclounge</t>
  </si>
  <si>
    <t>Meezzy</t>
  </si>
  <si>
    <t>Nicolas, Champlin and Dietrich</t>
  </si>
  <si>
    <t>Shanahan, Gislason and Vandervort</t>
  </si>
  <si>
    <t>Bogan, Weimann and Rath</t>
  </si>
  <si>
    <t>Kemmer, O'Hara and DuBuque</t>
  </si>
  <si>
    <t>Kerluke-McKenzie</t>
  </si>
  <si>
    <t>Green, Kuhn and O'Connell</t>
  </si>
  <si>
    <t>Conroy-Bartoletti</t>
  </si>
  <si>
    <t>Schamberger LLC</t>
  </si>
  <si>
    <t>Renner Inc</t>
  </si>
  <si>
    <t>McKenzie, Reynolds and Hane</t>
  </si>
  <si>
    <t>Schmidt, Hahn and Frami</t>
  </si>
  <si>
    <t>Adams Group</t>
  </si>
  <si>
    <t>Beier, Wolf and Schuster</t>
  </si>
  <si>
    <t>Flatley Group</t>
  </si>
  <si>
    <t>Barton Inc</t>
  </si>
  <si>
    <t>Skiles, Deckow and Hintz</t>
  </si>
  <si>
    <t>Upton-Parisian</t>
  </si>
  <si>
    <t>Quigley-Kling</t>
  </si>
  <si>
    <t>Reilly and Sons</t>
  </si>
  <si>
    <t>Kassulke-Keebler</t>
  </si>
  <si>
    <t>Morar-Berge</t>
  </si>
  <si>
    <t>Emard Group</t>
  </si>
  <si>
    <t>Nolan Group</t>
  </si>
  <si>
    <t>Stroman, Wehner and Stamm</t>
  </si>
  <si>
    <t>Doyle, Osinski and Gleichner</t>
  </si>
  <si>
    <t>Nader, Steuber and Kulas</t>
  </si>
  <si>
    <t>Schmidt-Kunze</t>
  </si>
  <si>
    <t>MacGyver, Moore and Smith</t>
  </si>
  <si>
    <t>Quigley Group</t>
  </si>
  <si>
    <t>Lockman Inc</t>
  </si>
  <si>
    <t>Schmidt, Skiles and Dare</t>
  </si>
  <si>
    <t>Von LLC</t>
  </si>
  <si>
    <t>Ruecker Inc</t>
  </si>
  <si>
    <t>Heaney, Fadel and Wiegand</t>
  </si>
  <si>
    <t>Kohler, Dietrich and Bosco</t>
  </si>
  <si>
    <t>Stoltenberg-Fahey</t>
  </si>
  <si>
    <t>Ledner-Lindgren</t>
  </si>
  <si>
    <t>Olson LLC</t>
  </si>
  <si>
    <t>Wunsch, Hegmann and Bradtke</t>
  </si>
  <si>
    <t>Bernier, Stamm and Lemke</t>
  </si>
  <si>
    <t>Mitchell-Veum</t>
  </si>
  <si>
    <t>Hayes, Christiansen and Bahringer</t>
  </si>
  <si>
    <t>Lang and Sons</t>
  </si>
  <si>
    <t>Mills-Ziemann</t>
  </si>
  <si>
    <t>Hoppe, Becker and Jacobs</t>
  </si>
  <si>
    <t>Christiansen-Bechtelar</t>
  </si>
  <si>
    <t>Bartoletti Group</t>
  </si>
  <si>
    <t>Rippin and Sons</t>
  </si>
  <si>
    <t>Sauer-Huels</t>
  </si>
  <si>
    <t>Kerluke-Schuster</t>
  </si>
  <si>
    <t>King-McKenzie</t>
  </si>
  <si>
    <t>Langosh-Stark</t>
  </si>
  <si>
    <t>Kreiger Group</t>
  </si>
  <si>
    <t>Livetube</t>
  </si>
  <si>
    <t>Rowe-Jacobs</t>
  </si>
  <si>
    <t>Donnelly-Kunze</t>
  </si>
  <si>
    <t>Batz-Gleichner</t>
  </si>
  <si>
    <t>Borer-Aufderhar</t>
  </si>
  <si>
    <t>Hirthe, Parisian and Pouros</t>
  </si>
  <si>
    <t>Murphy Inc</t>
  </si>
  <si>
    <t>Jabberstorm</t>
  </si>
  <si>
    <t>Won</t>
  </si>
  <si>
    <t>Thoughtsphere</t>
  </si>
  <si>
    <t>Fivebridge</t>
  </si>
  <si>
    <t>Dabtype</t>
  </si>
  <si>
    <t>Corkery LLC</t>
  </si>
  <si>
    <t>Ledner, Koelpin and Rath</t>
  </si>
  <si>
    <t>Walter LLC</t>
  </si>
  <si>
    <t>Runolfsdottir-Kulas</t>
  </si>
  <si>
    <t>Senger LLC</t>
  </si>
  <si>
    <t>Legros-DuBuque</t>
  </si>
  <si>
    <t>Mertz Group</t>
  </si>
  <si>
    <t>Harber Inc</t>
  </si>
  <si>
    <t>Borer, Durgan and Weber</t>
  </si>
  <si>
    <t>Davis-Waelchi</t>
  </si>
  <si>
    <t>Hessel, Zboncak and Rath</t>
  </si>
  <si>
    <t>Harvey Group</t>
  </si>
  <si>
    <t>Stoltenberg, Gulgowski and Murazik</t>
  </si>
  <si>
    <t>Hickle LLC</t>
  </si>
  <si>
    <t>Miller-Goyette</t>
  </si>
  <si>
    <t>Ankunding, Mayer and Sanford</t>
  </si>
  <si>
    <t>Anderson Inc</t>
  </si>
  <si>
    <t>Sanford, Koch and Kulas</t>
  </si>
  <si>
    <t>Champlin LLC</t>
  </si>
  <si>
    <t>Beer, Toy and Reichert</t>
  </si>
  <si>
    <t>Langworth-Conn</t>
  </si>
  <si>
    <t>Ankunding, Kozey and Hauck</t>
  </si>
  <si>
    <t>Kuhic, Abernathy and Ward</t>
  </si>
  <si>
    <t>Monahan-Reinger</t>
  </si>
  <si>
    <t>Kilback, Klein and Lemke</t>
  </si>
  <si>
    <t>Huel Inc</t>
  </si>
  <si>
    <t>Reinger, Price and Zemlak</t>
  </si>
  <si>
    <t>Rogahn Group</t>
  </si>
  <si>
    <t>Jacobson-Bogan</t>
  </si>
  <si>
    <t>Kreiger-Stroman</t>
  </si>
  <si>
    <t>Wilderman, Kulas and Emard</t>
  </si>
  <si>
    <t>Mohr, Feil and Fisher</t>
  </si>
  <si>
    <t>Hagenes, Schuppe and Homenick</t>
  </si>
  <si>
    <t>Senger Inc</t>
  </si>
  <si>
    <t>Bernier-Denesik</t>
  </si>
  <si>
    <t>Bergnaum Group</t>
  </si>
  <si>
    <t>Johnson-Zieme</t>
  </si>
  <si>
    <t>Lesch-Ryan</t>
  </si>
  <si>
    <t>Rutherford-Doyle</t>
  </si>
  <si>
    <t>Swaniawski and Sons</t>
  </si>
  <si>
    <t>Auer-Donnelly</t>
  </si>
  <si>
    <t>Lockman, Kris and Hansen</t>
  </si>
  <si>
    <t>Cronin-Dare</t>
  </si>
  <si>
    <t>Effertz, Kuhlman and Koch</t>
  </si>
  <si>
    <t>Simonis-Beahan</t>
  </si>
  <si>
    <t>Crona-Smitham</t>
  </si>
  <si>
    <t>Eimbee</t>
  </si>
  <si>
    <t>Jaloo</t>
  </si>
  <si>
    <t>Fivespan</t>
  </si>
  <si>
    <t>Digitube</t>
  </si>
  <si>
    <t>Wisozk, Hickle and Olson</t>
  </si>
  <si>
    <t>Donnelly-Bergnaum</t>
  </si>
  <si>
    <t>Jacobs-Cruickshank</t>
  </si>
  <si>
    <t>Walter-Altenwerth</t>
  </si>
  <si>
    <t>Schinner-Leannon</t>
  </si>
  <si>
    <t>Torp-Goldner</t>
  </si>
  <si>
    <t>Dooley-Feest</t>
  </si>
  <si>
    <t>Ondricka-Beer</t>
  </si>
  <si>
    <t>Hansen Group</t>
  </si>
  <si>
    <t>Kris, Hartmann and Mraz</t>
  </si>
  <si>
    <t>Klein LLC</t>
  </si>
  <si>
    <t>Simonis and Sons</t>
  </si>
  <si>
    <t>Schinner-Paucek</t>
  </si>
  <si>
    <t>Hirthe, Keebler and Beahan</t>
  </si>
  <si>
    <t>Koch-Swaniawski</t>
  </si>
  <si>
    <t>Abbott, Greenholt and Schimmel</t>
  </si>
  <si>
    <t>Shields-Corkery</t>
  </si>
  <si>
    <t>Terry, Miller and Daugherty</t>
  </si>
  <si>
    <t>Kshlerin, Monahan and Jerde</t>
  </si>
  <si>
    <t>Heaney, Mayer and Tromp</t>
  </si>
  <si>
    <t>Becker-Mann</t>
  </si>
  <si>
    <t>Ziemann-Becker</t>
  </si>
  <si>
    <t>Klocko, Sanford and Mertz</t>
  </si>
  <si>
    <t>Hand, Gutmann and Ruecker</t>
  </si>
  <si>
    <t>Balistreri Inc</t>
  </si>
  <si>
    <t>Medhurst-Wintheiser</t>
  </si>
  <si>
    <t>Braun, Schamberger and McKenzie</t>
  </si>
  <si>
    <t>Gutkowski Inc</t>
  </si>
  <si>
    <t>Wunsch Group</t>
  </si>
  <si>
    <t>Twitterworks</t>
  </si>
  <si>
    <t>Qualified</t>
  </si>
  <si>
    <t>Demizz</t>
  </si>
  <si>
    <t>Voomm</t>
  </si>
  <si>
    <t>Zazio</t>
  </si>
  <si>
    <t>Bubblebox</t>
  </si>
  <si>
    <t>Chatterbridge</t>
  </si>
  <si>
    <t>Linkbridge</t>
  </si>
  <si>
    <t>DabZ</t>
  </si>
  <si>
    <t>Gabvine</t>
  </si>
  <si>
    <t>Voolith</t>
  </si>
  <si>
    <t>Eire</t>
  </si>
  <si>
    <t>Devpoint</t>
  </si>
  <si>
    <t>Twimbo</t>
  </si>
  <si>
    <t>Youfeed</t>
  </si>
  <si>
    <t>Realcube</t>
  </si>
  <si>
    <t>Mycat</t>
  </si>
  <si>
    <t>Innojam</t>
  </si>
  <si>
    <t>Twinder</t>
  </si>
  <si>
    <t>Reallinks</t>
  </si>
  <si>
    <t>Einti</t>
  </si>
  <si>
    <t>Meevee</t>
  </si>
  <si>
    <t>Zoomcast</t>
  </si>
  <si>
    <t>Demimbu</t>
  </si>
  <si>
    <t>Vipe</t>
  </si>
  <si>
    <t>Twitterbeat</t>
  </si>
  <si>
    <t>Topicshots</t>
  </si>
  <si>
    <t>Quire</t>
  </si>
  <si>
    <t>Emmerich and Sons</t>
  </si>
  <si>
    <t>McKenzie LLC</t>
  </si>
  <si>
    <t>Lueilwitz-Cole</t>
  </si>
  <si>
    <t>Casper-Flatley</t>
  </si>
  <si>
    <t>Paucek, Pouros and Wunsch</t>
  </si>
  <si>
    <t>Crona Inc</t>
  </si>
  <si>
    <t>Waters LLC</t>
  </si>
  <si>
    <t>Wyman-Jast</t>
  </si>
  <si>
    <t>Kuhic-Parker</t>
  </si>
  <si>
    <t>Swaniawski-McCullough</t>
  </si>
  <si>
    <t>DuBuque-Hartmann</t>
  </si>
  <si>
    <t>Spencer-Bauch</t>
  </si>
  <si>
    <t>Hand-Bernhard</t>
  </si>
  <si>
    <t>McLaughlin Group</t>
  </si>
  <si>
    <t>Mertz-Dare</t>
  </si>
  <si>
    <t>Simonis, Wyman and Connelly</t>
  </si>
  <si>
    <t>Turner LLC</t>
  </si>
  <si>
    <t>Herzog-Kub</t>
  </si>
  <si>
    <t>Kris Inc</t>
  </si>
  <si>
    <t>Thompson and Sons</t>
  </si>
  <si>
    <t>Morar-Johns</t>
  </si>
  <si>
    <t>Hessel Inc</t>
  </si>
  <si>
    <t>Wiegand-Braun</t>
  </si>
  <si>
    <t>VonRueden, Kreiger and McGlynn</t>
  </si>
  <si>
    <t>Schmitt-Vandervort</t>
  </si>
  <si>
    <t>Nicolas and Sons</t>
  </si>
  <si>
    <t>Stanton, Stracke and Hegmann</t>
  </si>
  <si>
    <t>Kuvalis, McClure and Leannon</t>
  </si>
  <si>
    <t>Berge, Tremblay and Langworth</t>
  </si>
  <si>
    <t>Schiller Group</t>
  </si>
  <si>
    <t>Considine Group</t>
  </si>
  <si>
    <t>Hammes Group</t>
  </si>
  <si>
    <t>O'Reilly-Ruecker</t>
  </si>
  <si>
    <t>Kreiger, Pfannerstill and Spencer</t>
  </si>
  <si>
    <t>Schoen, Langworth and Howe</t>
  </si>
  <si>
    <t>Hartmann Group</t>
  </si>
  <si>
    <t>Swaniawski, Stokes and Beatty</t>
  </si>
  <si>
    <t>Rohan, Bogisich and Herman</t>
  </si>
  <si>
    <t>Toy LLC</t>
  </si>
  <si>
    <t>Raynor, Hand and Grady</t>
  </si>
  <si>
    <t>Corwin-Nolan</t>
  </si>
  <si>
    <t>Green-Jenkins</t>
  </si>
  <si>
    <t>Bogan, Schmeler and Schimmel</t>
  </si>
  <si>
    <t>Mitchell Inc</t>
  </si>
  <si>
    <t>Reichel, Spencer and Rau</t>
  </si>
  <si>
    <t>Feeney, Schneider and Boyle</t>
  </si>
  <si>
    <t>Sipes Group</t>
  </si>
  <si>
    <t>Kunze and Sons</t>
  </si>
  <si>
    <t>Schaden-Rau</t>
  </si>
  <si>
    <t>Jenkins and Sons</t>
  </si>
  <si>
    <t>Dibbert, Parisian and Stiedemann</t>
  </si>
  <si>
    <t>Daniel and Sons</t>
  </si>
  <si>
    <t>Ullrich-Runte</t>
  </si>
  <si>
    <t>Gorczany LLC</t>
  </si>
  <si>
    <t>Mayert-Heller</t>
  </si>
  <si>
    <t>Schoen-Gutmann</t>
  </si>
  <si>
    <t>Langosh-Kunde</t>
  </si>
  <si>
    <t>Harvey and Sons</t>
  </si>
  <si>
    <t>Shanahan-Emard</t>
  </si>
  <si>
    <t>Goldner-Carter</t>
  </si>
  <si>
    <t>McClure and Sons</t>
  </si>
  <si>
    <t>Nicolas Group</t>
  </si>
  <si>
    <t>Stanton, Gislason and Mosciski</t>
  </si>
  <si>
    <t>Ward-DuBuque</t>
  </si>
  <si>
    <t>Willms Group</t>
  </si>
  <si>
    <t>Towne, Koss and Romaguera</t>
  </si>
  <si>
    <t>Treutel, Carter and Daniel</t>
  </si>
  <si>
    <t>Brekke LLC</t>
  </si>
  <si>
    <t>Franecki and Sons</t>
  </si>
  <si>
    <t>Ondricka-Heller</t>
  </si>
  <si>
    <t>Heidenreich, Hirthe and Kohler</t>
  </si>
  <si>
    <t>Donnelly-O'Keefe</t>
  </si>
  <si>
    <t>Johnston LLC</t>
  </si>
  <si>
    <t>Runolfsdottir Inc</t>
  </si>
  <si>
    <t>Glover Inc</t>
  </si>
  <si>
    <t>Swaniawski-DuBuque</t>
  </si>
  <si>
    <t>Schneider, Lowe and O'Kon</t>
  </si>
  <si>
    <t>Bergstrom and Sons</t>
  </si>
  <si>
    <t>Lueilwitz, Rodriguez and Wiegand</t>
  </si>
  <si>
    <t>Nitzsche, Howe and Anderson</t>
  </si>
  <si>
    <t>Durgan, McLaughlin and Will</t>
  </si>
  <si>
    <t>Terry, Mayer and Wehner</t>
  </si>
  <si>
    <t>Metz, Heaney and Hand</t>
  </si>
  <si>
    <t>Wilderman Group</t>
  </si>
  <si>
    <t>MacGyver, McGlynn and Buckridge</t>
  </si>
  <si>
    <t>Veum-Friesen</t>
  </si>
  <si>
    <t>Dibbert, Hayes and Doyle</t>
  </si>
  <si>
    <t>Bechtelar LLC</t>
  </si>
  <si>
    <t>Crist, Cole and Hegmann</t>
  </si>
  <si>
    <t>Kihn, Gusikowski and Kris</t>
  </si>
  <si>
    <t>Farrell and Sons</t>
  </si>
  <si>
    <t>Cummings-Williamson</t>
  </si>
  <si>
    <t>Ritchie LLC</t>
  </si>
  <si>
    <t>Ritchie-Luettgen</t>
  </si>
  <si>
    <t>Davis-Keebler</t>
  </si>
  <si>
    <t>Tremblay-Will</t>
  </si>
  <si>
    <t>Runte-O'Connell</t>
  </si>
  <si>
    <t>Ziemann Group</t>
  </si>
  <si>
    <t>Pacocha Group</t>
  </si>
  <si>
    <t>Runte-Feeney</t>
  </si>
  <si>
    <t>Zemlak-Brekke</t>
  </si>
  <si>
    <t>Conn LLC</t>
  </si>
  <si>
    <t>Gibson-Ullrich</t>
  </si>
  <si>
    <t>Parker, Spencer and O'Conner</t>
  </si>
  <si>
    <t>Maggio-Lehner</t>
  </si>
  <si>
    <t>Yost-Ratke</t>
  </si>
  <si>
    <t>McGlynn-Nitzsche</t>
  </si>
  <si>
    <t>Schuster-Pfeffer</t>
  </si>
  <si>
    <t>Hagenes, Schinner and Leannon</t>
  </si>
  <si>
    <t>Fahey-Kozey</t>
  </si>
  <si>
    <t>Harber LLC</t>
  </si>
  <si>
    <t>Wunsch, Spencer and Baumbach</t>
  </si>
  <si>
    <t>Lindgren Group</t>
  </si>
  <si>
    <t>Moore, Emard and Larkin</t>
  </si>
  <si>
    <t>Bahringer LLC</t>
  </si>
  <si>
    <t>Koepp, Zemlak and Ortiz</t>
  </si>
  <si>
    <t>Jacobson Group</t>
  </si>
  <si>
    <t>Fritsch-Greenfelder</t>
  </si>
  <si>
    <t>Balistreri, Mosciski and Emmerich</t>
  </si>
  <si>
    <t>Schumm and Sons</t>
  </si>
  <si>
    <t>O'Keefe LLC</t>
  </si>
  <si>
    <t>Reinger, Wiegand and O'Reilly</t>
  </si>
  <si>
    <t>McDermott-Jenkins</t>
  </si>
  <si>
    <t>Trantow LLC</t>
  </si>
  <si>
    <t>Gutmann and Sons</t>
  </si>
  <si>
    <t>Goyette, D'Amore and Murphy</t>
  </si>
  <si>
    <t>Beier Group</t>
  </si>
  <si>
    <t>McGlynn-Shanahan</t>
  </si>
  <si>
    <t>Kuvalis-Casper</t>
  </si>
  <si>
    <t>Hintz LLC</t>
  </si>
  <si>
    <t>Boehm-Yundt</t>
  </si>
  <si>
    <t>Borer, Cassin and Fahey</t>
  </si>
  <si>
    <t>Pfannerstill, Turcotte and Stokes</t>
  </si>
  <si>
    <t>Rogahn-Ward</t>
  </si>
  <si>
    <t>Gutmann LLC</t>
  </si>
  <si>
    <t>Morar, Lueilwitz and Brekke</t>
  </si>
  <si>
    <t>Green Inc</t>
  </si>
  <si>
    <t>Beer-Schowalter</t>
  </si>
  <si>
    <t>Swift LLC</t>
  </si>
  <si>
    <t>Heathcote, Price and Morar</t>
  </si>
  <si>
    <t>Mayert, Dicki and Boehm</t>
  </si>
  <si>
    <t>Kassulke-Kunde</t>
  </si>
  <si>
    <t>Bauch and Sons</t>
  </si>
  <si>
    <t>Mayert-Gleason</t>
  </si>
  <si>
    <t>Sporer-Hermann</t>
  </si>
  <si>
    <t>Zoomzone</t>
  </si>
  <si>
    <t>Talane</t>
  </si>
  <si>
    <t>Realmix</t>
  </si>
  <si>
    <t>Riffpedia</t>
  </si>
  <si>
    <t>Devshare</t>
  </si>
  <si>
    <t>Livefish</t>
  </si>
  <si>
    <t>Jamia</t>
  </si>
  <si>
    <t>Gigabox</t>
  </si>
  <si>
    <t>Eare</t>
  </si>
  <si>
    <t>Linktype</t>
  </si>
  <si>
    <t>Thoughtmix</t>
  </si>
  <si>
    <t>Wolf-Dooley</t>
  </si>
  <si>
    <t>Jacobs, Abernathy and Bernier</t>
  </si>
  <si>
    <t>Renner LLC</t>
  </si>
  <si>
    <t>Connelly-Jaskolski</t>
  </si>
  <si>
    <t>Dooley LLC</t>
  </si>
  <si>
    <t>Rempel Inc</t>
  </si>
  <si>
    <t>Schaden Group</t>
  </si>
  <si>
    <t>Dickens-Franecki</t>
  </si>
  <si>
    <t>Champlin, Hamill and Olson</t>
  </si>
  <si>
    <t>Kirlin-Volkman</t>
  </si>
  <si>
    <t>Grant LLC</t>
  </si>
  <si>
    <t>Hamill, Gleason and Padberg</t>
  </si>
  <si>
    <t>Bauch-Wintheiser</t>
  </si>
  <si>
    <t>Torp-Rohan</t>
  </si>
  <si>
    <t>Vandervort-Barton</t>
  </si>
  <si>
    <t>Corwin Group</t>
  </si>
  <si>
    <t>Tillman-Herman</t>
  </si>
  <si>
    <t>Nader, Kozey and Sawayn</t>
  </si>
  <si>
    <t>Kohler-Rice</t>
  </si>
  <si>
    <t>Oberbrunner Group</t>
  </si>
  <si>
    <t>Parisian-Schoen</t>
  </si>
  <si>
    <t>Orn, Bogan and Schowalter</t>
  </si>
  <si>
    <t>Pfannerstill, Cummings and Cormier</t>
  </si>
  <si>
    <t>Yost-Larkin</t>
  </si>
  <si>
    <t>Von-O'Hara</t>
  </si>
  <si>
    <t>Pollich LLC</t>
  </si>
  <si>
    <t>Murazik Group</t>
  </si>
  <si>
    <t>Hettinger-Cummings</t>
  </si>
  <si>
    <t>Wilkinson, Dickens and Mills</t>
  </si>
  <si>
    <t>Schmitt Inc</t>
  </si>
  <si>
    <t>Rogahn, Gusikowski and Lehner</t>
  </si>
  <si>
    <t>Schaden-Davis</t>
  </si>
  <si>
    <t>Pagac, Crona and Dare</t>
  </si>
  <si>
    <t>Macejkovic, Kemmer and Sawayn</t>
  </si>
  <si>
    <t>Luettgen Group</t>
  </si>
  <si>
    <t>Fisher Inc</t>
  </si>
  <si>
    <t>Greenholt and Sons</t>
  </si>
  <si>
    <t>McDermott Inc</t>
  </si>
  <si>
    <t>Collins, Bruen and Hahn</t>
  </si>
  <si>
    <t>Beier LLC</t>
  </si>
  <si>
    <t>Mraz-Smitham</t>
  </si>
  <si>
    <t>Jacobs and Sons</t>
  </si>
  <si>
    <t>Sanford and Sons</t>
  </si>
  <si>
    <t>Gislason Group</t>
  </si>
  <si>
    <t>Littel, Leuschke and Bernier</t>
  </si>
  <si>
    <t>Collier Inc</t>
  </si>
  <si>
    <t>Towne Group</t>
  </si>
  <si>
    <t>Kris and Sons</t>
  </si>
  <si>
    <t>Wolf-Boyle</t>
  </si>
  <si>
    <t>Schuppe-Roberts</t>
  </si>
  <si>
    <t>Morar-Towne</t>
  </si>
  <si>
    <t>Kris LLC</t>
  </si>
  <si>
    <t>McGlynn, VonRueden and Stanton</t>
  </si>
  <si>
    <t>Witting LLC</t>
  </si>
  <si>
    <t>Stehr-Schultz</t>
  </si>
  <si>
    <t>Hartmann-Upton</t>
  </si>
  <si>
    <t>Orn, Langosh and Adams</t>
  </si>
  <si>
    <t>Graham-Lueilwitz</t>
  </si>
  <si>
    <t>Morissette-Witting</t>
  </si>
  <si>
    <t>Christiansen, Ondricka and Cummings</t>
  </si>
  <si>
    <t>Dicki Group</t>
  </si>
  <si>
    <t>Pouros-Ferry</t>
  </si>
  <si>
    <t>Gutkowski, Dibbert and Brekke</t>
  </si>
  <si>
    <t>Ratke, Considine and Dicki</t>
  </si>
  <si>
    <t>Schamberger, Wolff and Strosin</t>
  </si>
  <si>
    <t>Jacobson, White and Murray</t>
  </si>
  <si>
    <t>Carroll-Kulas</t>
  </si>
  <si>
    <t>Kuhic-Lebsack</t>
  </si>
  <si>
    <t>Hilpert, Robel and Conn</t>
  </si>
  <si>
    <t>Windler-Vandervort</t>
  </si>
  <si>
    <t>Champlin, Mueller and Nader</t>
  </si>
  <si>
    <t>Feest-Flatley</t>
  </si>
  <si>
    <t>Kozey, Wiegand and Balistreri</t>
  </si>
  <si>
    <t>Cartwright, Deckow and Hettinger</t>
  </si>
  <si>
    <t>Funk, Orn and Ziemann</t>
  </si>
  <si>
    <t>Lind, Kris and Dach</t>
  </si>
  <si>
    <t>Von Inc</t>
  </si>
  <si>
    <t>Kuhic, Kiehn and Satterfield</t>
  </si>
  <si>
    <t>Ratke, Schowalter and Hilpert</t>
  </si>
  <si>
    <t>Lakin, Langworth and Kozey</t>
  </si>
  <si>
    <t>Ankunding, Nienow and Larson</t>
  </si>
  <si>
    <t>Parisian, Breitenberg and Prohaska</t>
  </si>
  <si>
    <t>Stoltenberg and Sons</t>
  </si>
  <si>
    <t>Haag-Fisher</t>
  </si>
  <si>
    <t>Ledner-Kessler</t>
  </si>
  <si>
    <t>Hodkiewicz-Greenfelder</t>
  </si>
  <si>
    <t>Bode, Ritchie and Koss</t>
  </si>
  <si>
    <t>Yundt, Stokes and Effertz</t>
  </si>
  <si>
    <t>Mills, Hilll and Strosin</t>
  </si>
  <si>
    <t>Rodriguez-Cummings</t>
  </si>
  <si>
    <t>Spencer LLC</t>
  </si>
  <si>
    <t>Mayert-Reinger</t>
  </si>
  <si>
    <t>Hand, Strosin and Toy</t>
  </si>
  <si>
    <t>Hegmann, Bergnaum and White</t>
  </si>
  <si>
    <t>Heathcote, Thiel and Aufderhar</t>
  </si>
  <si>
    <t>White-Davis</t>
  </si>
  <si>
    <t>Nader-Stroman</t>
  </si>
  <si>
    <t>Crooks-Schimmel</t>
  </si>
  <si>
    <t>Stroman-Yundt</t>
  </si>
  <si>
    <t>Reinger, Marquardt and Durgan</t>
  </si>
  <si>
    <t>Hermann and Sons</t>
  </si>
  <si>
    <t>Robel Inc</t>
  </si>
  <si>
    <t>Hilll-Skiles</t>
  </si>
  <si>
    <t>Pagac, Huel and Emmerich</t>
  </si>
  <si>
    <t>Klein, Wintheiser and Macejkovic</t>
  </si>
  <si>
    <t>Swift, Kunze and Schumm</t>
  </si>
  <si>
    <t>Lubowitz, Padberg and Romaguera</t>
  </si>
  <si>
    <t>Flatley-Huels</t>
  </si>
  <si>
    <t>McDermott, Balistreri and Effertz</t>
  </si>
  <si>
    <t>Wordify</t>
  </si>
  <si>
    <t>Fivechat</t>
  </si>
  <si>
    <t>Dazzlesphere</t>
  </si>
  <si>
    <t>Meejo</t>
  </si>
  <si>
    <t>Ozu</t>
  </si>
  <si>
    <t>Voonte</t>
  </si>
  <si>
    <t>Jabbersphere</t>
  </si>
  <si>
    <t>Gabcube</t>
  </si>
  <si>
    <t>Zoombox</t>
  </si>
  <si>
    <t>Oyope</t>
  </si>
  <si>
    <t>Topicstorm</t>
  </si>
  <si>
    <t>Vidoo</t>
  </si>
  <si>
    <t>Gabtype</t>
  </si>
  <si>
    <t>Skyba</t>
  </si>
  <si>
    <t>Dynava</t>
  </si>
  <si>
    <t>Oyoyo</t>
  </si>
  <si>
    <t>Roombo</t>
  </si>
  <si>
    <t>Jabberbean</t>
  </si>
  <si>
    <t>Yakijo</t>
  </si>
  <si>
    <t>Mudo</t>
  </si>
  <si>
    <t>Avavee</t>
  </si>
  <si>
    <t>Zoomdog</t>
  </si>
  <si>
    <t>Latz</t>
  </si>
  <si>
    <t>Voonder</t>
  </si>
  <si>
    <t>Heller-Sanford</t>
  </si>
  <si>
    <t>Aufderhar, Crona and Wilkinson</t>
  </si>
  <si>
    <t>Smitham, Russel and O'Connell</t>
  </si>
  <si>
    <t>Boehm, Rosenbaum and Beahan</t>
  </si>
  <si>
    <t>Parisian, MacGyver and Moen</t>
  </si>
  <si>
    <t>Reichert-Howe</t>
  </si>
  <si>
    <t>Beahan Group</t>
  </si>
  <si>
    <t>Fahey-Pouros</t>
  </si>
  <si>
    <t>Zemlak, O'Hara and Wilderman</t>
  </si>
  <si>
    <t>Rempel, King and Wehner</t>
  </si>
  <si>
    <t>Schmidt Group</t>
  </si>
  <si>
    <t>Gottlieb, Jakubowski and Rowe</t>
  </si>
  <si>
    <t>Wilkinson and Sons</t>
  </si>
  <si>
    <t>Ankunding, Casper and Leuschke</t>
  </si>
  <si>
    <t>Kulas Inc</t>
  </si>
  <si>
    <t>Olson-Lakin</t>
  </si>
  <si>
    <t>Cartwright, Bosco and Schuppe</t>
  </si>
  <si>
    <t>VonRueden, Murray and Mosciski</t>
  </si>
  <si>
    <t>Kiehn Inc</t>
  </si>
  <si>
    <t>Daugherty, Keeling and Leannon</t>
  </si>
  <si>
    <t>Brakus, Huel and Hamill</t>
  </si>
  <si>
    <t>Legros-Effertz</t>
  </si>
  <si>
    <t>Lueilwitz-Spencer</t>
  </si>
  <si>
    <t>Waters, Gislason and Auer</t>
  </si>
  <si>
    <t>Schamberger, Runte and Lehner</t>
  </si>
  <si>
    <t>Carter-Sanford</t>
  </si>
  <si>
    <t>Mann-Braun</t>
  </si>
  <si>
    <t>Terry, Cole and Zemlak</t>
  </si>
  <si>
    <t>Christiansen-Hartmann</t>
  </si>
  <si>
    <t>Mraz, Bernier and Satterfield</t>
  </si>
  <si>
    <t>Nader, Bednar and Macejkovic</t>
  </si>
  <si>
    <t>Schimmel-Denesik</t>
  </si>
  <si>
    <t>Cummings, Weimann and Zulauf</t>
  </si>
  <si>
    <t>Aufderhar Inc</t>
  </si>
  <si>
    <t>Watsica-Pollich</t>
  </si>
  <si>
    <t>Hilll-Stehr</t>
  </si>
  <si>
    <t>Dooley Group</t>
  </si>
  <si>
    <t>Lebsack-Carroll</t>
  </si>
  <si>
    <t>Tremblay and Sons</t>
  </si>
  <si>
    <t>Wiegand-Schroeder</t>
  </si>
  <si>
    <t>Reynolds Inc</t>
  </si>
  <si>
    <t>Huel-Smitham</t>
  </si>
  <si>
    <t>Cassin Group</t>
  </si>
  <si>
    <t>Effertz, Stark and DuBuque</t>
  </si>
  <si>
    <t>Harris-Lockman</t>
  </si>
  <si>
    <t>Klocko, Herzog and Ruecker</t>
  </si>
  <si>
    <t>Gibson Inc</t>
  </si>
  <si>
    <t>Dickinson-Murphy</t>
  </si>
  <si>
    <t>Bernier-Beatty</t>
  </si>
  <si>
    <t>Daugherty LLC</t>
  </si>
  <si>
    <t>Ziemann-Kessler</t>
  </si>
  <si>
    <t>Schumm, Crona and Auer</t>
  </si>
  <si>
    <t>Crooks-Green</t>
  </si>
  <si>
    <t>Pacocha-Bartell</t>
  </si>
  <si>
    <t>Thompson-Osinski</t>
  </si>
  <si>
    <t>Little-Runte</t>
  </si>
  <si>
    <t>Weissnat, Stamm and Marquardt</t>
  </si>
  <si>
    <t>Kuphal Inc</t>
  </si>
  <si>
    <t>Jaskolski-Welch</t>
  </si>
  <si>
    <t>Shanahan, O'Keefe and Lemke</t>
  </si>
  <si>
    <t>Heller-Morissette</t>
  </si>
  <si>
    <t>Goldner Inc</t>
  </si>
  <si>
    <t>Hyatt-Pouros</t>
  </si>
  <si>
    <t>Kshlerin, Jacobson and Funk</t>
  </si>
  <si>
    <t>Heidenreich, MacGyver and Greenholt</t>
  </si>
  <si>
    <t>Blanda, Champlin and Rempel</t>
  </si>
  <si>
    <t>Funk Inc</t>
  </si>
  <si>
    <t>Wehner-Dach</t>
  </si>
  <si>
    <t>VonRueden LLC</t>
  </si>
  <si>
    <t>Connelly and Sons</t>
  </si>
  <si>
    <t>McKenzie-Spinka</t>
  </si>
  <si>
    <t>Tillman, Hand and Lesch</t>
  </si>
  <si>
    <t>Von-Ritchie</t>
  </si>
  <si>
    <t>Batz LLC</t>
  </si>
  <si>
    <t>Reilly LLC</t>
  </si>
  <si>
    <t>Kirlin-Bartell</t>
  </si>
  <si>
    <t>Buckridge-Hickle</t>
  </si>
  <si>
    <t>Daugherty Inc</t>
  </si>
  <si>
    <t>Gusikowski, Lakin and Rice</t>
  </si>
  <si>
    <t>Orn-Crist</t>
  </si>
  <si>
    <t>Metz Inc</t>
  </si>
  <si>
    <t>Hermann Group</t>
  </si>
  <si>
    <t>Flatley, Lemke and Grady</t>
  </si>
  <si>
    <t>Terry, Gleichner and Stehr</t>
  </si>
  <si>
    <t>Barton, Altenwerth and Bailey</t>
  </si>
  <si>
    <t>Kautzer Group</t>
  </si>
  <si>
    <t>Turcotte, Anderson and Cormier</t>
  </si>
  <si>
    <t>Kuphal, Schmeler and Christiansen</t>
  </si>
  <si>
    <t>Kuvalis Group</t>
  </si>
  <si>
    <t>Hilpert-Auer</t>
  </si>
  <si>
    <t>Smitham Group</t>
  </si>
  <si>
    <t>Stokes and Sons</t>
  </si>
  <si>
    <t>Mills Group</t>
  </si>
  <si>
    <t>Considine, Treutel and Koss</t>
  </si>
  <si>
    <t>Senger, Goldner and Simonis</t>
  </si>
  <si>
    <t>Grant, Blanda and Block</t>
  </si>
  <si>
    <t>Herzog LLC</t>
  </si>
  <si>
    <t>Spinka, Kozey and Shanahan</t>
  </si>
  <si>
    <t>Osinski-Dicki</t>
  </si>
  <si>
    <t>Crona, Aufderhar and Satterfield</t>
  </si>
  <si>
    <t>Monahan-Cummings</t>
  </si>
  <si>
    <t>Corkery-Steuber</t>
  </si>
  <si>
    <t>Bergnaum, Koch and Rutherford</t>
  </si>
  <si>
    <t>Herman, Doyle and Hilpert</t>
  </si>
  <si>
    <t>D'Amore, Marvin and Jacobs</t>
  </si>
  <si>
    <t>Upton-Abshire</t>
  </si>
  <si>
    <t>Cormier-Schulist</t>
  </si>
  <si>
    <t>Schowalter LLC</t>
  </si>
  <si>
    <t>Runolfsson-Hudson</t>
  </si>
  <si>
    <t>Hudson-Hahn</t>
  </si>
  <si>
    <t>Leannon, Yost and Nitzsche</t>
  </si>
  <si>
    <t>Denesik, Swaniawski and Schulist</t>
  </si>
  <si>
    <t>Price, Haley and Satterfield</t>
  </si>
  <si>
    <t>Witting Group</t>
  </si>
  <si>
    <t>Funk-Kuphal</t>
  </si>
  <si>
    <t>Collier, Rempel and Kertzmann</t>
  </si>
  <si>
    <t>Lang-Halvorson</t>
  </si>
  <si>
    <t>Kovacek-Quigley</t>
  </si>
  <si>
    <t>Howell-Weimann</t>
  </si>
  <si>
    <t>Beatty-Marvin</t>
  </si>
  <si>
    <t>Miller LLC</t>
  </si>
  <si>
    <t>Mosciski-Buckridge</t>
  </si>
  <si>
    <t>Harber-Ebert</t>
  </si>
  <si>
    <t>Mann, Bogan and Reilly</t>
  </si>
  <si>
    <t>Aufderhar, Metz and Casper</t>
  </si>
  <si>
    <t>Reichert, Gislason and Koepp</t>
  </si>
  <si>
    <t>Carroll-Bogisich</t>
  </si>
  <si>
    <t>Batz, Wisozk and Hamill</t>
  </si>
  <si>
    <t>Leuschke, Beer and White</t>
  </si>
  <si>
    <t>Kutch-Cronin</t>
  </si>
  <si>
    <t>Parisian, Volkman and Gerhold</t>
  </si>
  <si>
    <t>Stanton, Smith and Bernhard</t>
  </si>
  <si>
    <t>Ryan-Schimmel</t>
  </si>
  <si>
    <t>Cronin Group</t>
  </si>
  <si>
    <t>Kautzer, Hodkiewicz and Bode</t>
  </si>
  <si>
    <t>Labadie Inc</t>
  </si>
  <si>
    <t>Mertz-Koelpin</t>
  </si>
  <si>
    <t>Dietrich, Stehr and Herman</t>
  </si>
  <si>
    <t>Prohaska, Christiansen and Yost</t>
  </si>
  <si>
    <t>Walker Group</t>
  </si>
  <si>
    <t>Monahan, Pfannerstill and Lindgren</t>
  </si>
  <si>
    <t>Boehm Inc</t>
  </si>
  <si>
    <t>Bins-Hodkiewicz</t>
  </si>
  <si>
    <t>O'Reilly-Heller</t>
  </si>
  <si>
    <t>Baumbach and Sons</t>
  </si>
  <si>
    <t>Brekke Inc</t>
  </si>
  <si>
    <t>Bauch, Fadel and Reichert</t>
  </si>
  <si>
    <t>Wolf, Halvorson and Koepp</t>
  </si>
  <si>
    <t>Boehm, Satterfield and Quigley</t>
  </si>
  <si>
    <t>Marquardt-Bergnaum</t>
  </si>
  <si>
    <t>Bashirian, Wiegand and Jerde</t>
  </si>
  <si>
    <t>Beatty, Baumbach and Lubowitz</t>
  </si>
  <si>
    <t>Pouros, Boyle and Ullrich</t>
  </si>
  <si>
    <t>Brakus-Metz</t>
  </si>
  <si>
    <t>Dibbert Group</t>
  </si>
  <si>
    <t>Weimann-Will</t>
  </si>
  <si>
    <t>Weimann-Dibbert</t>
  </si>
  <si>
    <t>Hettinger-Gleason</t>
  </si>
  <si>
    <t>Ritchie and Sons</t>
  </si>
  <si>
    <t>Mann, Erdman and O'Keefe</t>
  </si>
  <si>
    <t>Herzog, Legros and Wuckert</t>
  </si>
  <si>
    <t>Schuster, Spencer and Gerhold</t>
  </si>
  <si>
    <t>Hodkiewicz, Toy and Konopelski</t>
  </si>
  <si>
    <t>Larkin-Little</t>
  </si>
  <si>
    <t>Schmidt LLC</t>
  </si>
  <si>
    <t>Murray-Watsica</t>
  </si>
  <si>
    <t>Boyer Group</t>
  </si>
  <si>
    <t>Stroman, Block and Koepp</t>
  </si>
  <si>
    <t>Johnson and Sons</t>
  </si>
  <si>
    <t>Mueller-Conn</t>
  </si>
  <si>
    <t>Balistreri-Schultz</t>
  </si>
  <si>
    <t>Cruickshank Group</t>
  </si>
  <si>
    <t>Homenick Group</t>
  </si>
  <si>
    <t>Muller LLC</t>
  </si>
  <si>
    <t>Schuster LLC</t>
  </si>
  <si>
    <t>Dare, Tillman and Becker</t>
  </si>
  <si>
    <t>Nolan, Maggio and Hoeger</t>
  </si>
  <si>
    <t>Hermiston-Bergstrom</t>
  </si>
  <si>
    <t>Bradtke and Sons</t>
  </si>
  <si>
    <t>Cruickshank and Sons</t>
  </si>
  <si>
    <t>Wolff Inc</t>
  </si>
  <si>
    <t>Lockman-O'Connell</t>
  </si>
  <si>
    <t>Stehr-Maggio</t>
  </si>
  <si>
    <t>Schaefer-O'Keefe</t>
  </si>
  <si>
    <t>Rempel-Greenfelder</t>
  </si>
  <si>
    <t>Berge Inc</t>
  </si>
  <si>
    <t>Powlowski-Simonis</t>
  </si>
  <si>
    <t>Prohaska-Kuvalis</t>
  </si>
  <si>
    <t>Brakus-Simonis</t>
  </si>
  <si>
    <t>Tillman, VonRueden and Ondricka</t>
  </si>
  <si>
    <t>Batz Inc</t>
  </si>
  <si>
    <t>Medhurst and Sons</t>
  </si>
  <si>
    <t>Schoen Inc</t>
  </si>
  <si>
    <t>Toy-Grady</t>
  </si>
  <si>
    <t>Keeling and Sons</t>
  </si>
  <si>
    <t>Gusikowski and Sons</t>
  </si>
  <si>
    <t>Bahringer, Jerde and Dibbert</t>
  </si>
  <si>
    <t>Murray-Koepp</t>
  </si>
  <si>
    <t>Erdman-Beahan</t>
  </si>
  <si>
    <t>Hayes LLC</t>
  </si>
  <si>
    <t>Kutch, Bauch and Heathcote</t>
  </si>
  <si>
    <t>Heathcote-Hettinger</t>
  </si>
  <si>
    <t>Powlowski-Kuhlman</t>
  </si>
  <si>
    <t>Wyman, Becker and Mueller</t>
  </si>
  <si>
    <t>Rosenbaum-Conn</t>
  </si>
  <si>
    <t>Rolfson-Kub</t>
  </si>
  <si>
    <t>Fahey-Zulauf</t>
  </si>
  <si>
    <t>Brakus Group</t>
  </si>
  <si>
    <t>Fay, Barrows and Walter</t>
  </si>
  <si>
    <t>Jerde Group</t>
  </si>
  <si>
    <t>Quigley LLC</t>
  </si>
  <si>
    <t>Daugherty, Bednar and Ebert</t>
  </si>
  <si>
    <t>Ondricka and Sons</t>
  </si>
  <si>
    <t>Towne-Kuhlman</t>
  </si>
  <si>
    <t>Feest-Beahan</t>
  </si>
  <si>
    <t>Roob and Sons</t>
  </si>
  <si>
    <t>Monahan Group</t>
  </si>
  <si>
    <t>Will Inc</t>
  </si>
  <si>
    <t>Balistreri, Keeling and Prohaska</t>
  </si>
  <si>
    <t>Thiel-Wilderman</t>
  </si>
  <si>
    <t>Gleason Inc</t>
  </si>
  <si>
    <t>Bailey, Wehner and Schimmel</t>
  </si>
  <si>
    <t>Zulauf-Kemmer</t>
  </si>
  <si>
    <t>Torphy-Weissnat</t>
  </si>
  <si>
    <t>Wyman-Luettgen</t>
  </si>
  <si>
    <t>Kihn, Corkery and Dach</t>
  </si>
  <si>
    <t>Braun LLC</t>
  </si>
  <si>
    <t>Bailey, Ratke and Miller</t>
  </si>
  <si>
    <t>Becker-Heaney</t>
  </si>
  <si>
    <t>O'Hara, Stark and Kunde</t>
  </si>
  <si>
    <t>Twimm</t>
  </si>
  <si>
    <t>Bubbletube</t>
  </si>
  <si>
    <t>O'Conner, Bradtke and Hilll</t>
  </si>
  <si>
    <t>Dietrich-Murphy</t>
  </si>
  <si>
    <t>Price, Huels and Olson</t>
  </si>
  <si>
    <t>Rolfson Inc</t>
  </si>
  <si>
    <t>Sipes, Pollich and Hilll</t>
  </si>
  <si>
    <t>Rempel-Brekke</t>
  </si>
  <si>
    <t>Osinski-Wilderman</t>
  </si>
  <si>
    <t>McDermott-Mayer</t>
  </si>
  <si>
    <t>Ailane</t>
  </si>
  <si>
    <t>Gabspot</t>
  </si>
  <si>
    <t>Abernathy-Collins</t>
  </si>
  <si>
    <t>Reynolds and Sons</t>
  </si>
  <si>
    <t>Klein Inc</t>
  </si>
  <si>
    <t>Pollich, Dietrich and Becker</t>
  </si>
  <si>
    <t>Farrell-Rippin</t>
  </si>
  <si>
    <t>Funk, Conroy and Hudson</t>
  </si>
  <si>
    <t>Tillman and Sons</t>
  </si>
  <si>
    <t>Mills-Graham</t>
  </si>
  <si>
    <t>D'Amore, Kihn and Pfeffer</t>
  </si>
  <si>
    <t>Twitterlist</t>
  </si>
  <si>
    <t>Sales Accepted</t>
  </si>
  <si>
    <t>Rhynyx</t>
  </si>
  <si>
    <t>Gevee</t>
  </si>
  <si>
    <t>Jaxbean</t>
  </si>
  <si>
    <t>Fanoodle</t>
  </si>
  <si>
    <t>Browseblab</t>
  </si>
  <si>
    <t>Browsedrive</t>
  </si>
  <si>
    <t>Shufflester</t>
  </si>
  <si>
    <t>Katz</t>
  </si>
  <si>
    <t>Flipstorm</t>
  </si>
  <si>
    <t>Zoonoodle</t>
  </si>
  <si>
    <t>JumpXS</t>
  </si>
  <si>
    <t>Edgeify</t>
  </si>
  <si>
    <t>Kwimbee</t>
  </si>
  <si>
    <t>Rhyzio</t>
  </si>
  <si>
    <t>Wordtune</t>
  </si>
  <si>
    <t>Skyble</t>
  </si>
  <si>
    <t>Oba</t>
  </si>
  <si>
    <t>Devbug</t>
  </si>
  <si>
    <t>McCullough-Hammes</t>
  </si>
  <si>
    <t>Botsford LLC</t>
  </si>
  <si>
    <t>Bauch-Schmitt</t>
  </si>
  <si>
    <t>Koepp-Hand</t>
  </si>
  <si>
    <t>Konopelski, Feest and Fisher</t>
  </si>
  <si>
    <t>Goyette-Green</t>
  </si>
  <si>
    <t>McCullough Inc</t>
  </si>
  <si>
    <t>Botsford Group</t>
  </si>
  <si>
    <t>Hand-Fisher</t>
  </si>
  <si>
    <t>Bins, Dooley and Kirlin</t>
  </si>
  <si>
    <t>Yost Group</t>
  </si>
  <si>
    <t>MacGyver, Kautzer and Stamm</t>
  </si>
  <si>
    <t>Mills, Heller and Herzog</t>
  </si>
  <si>
    <t>Kuhlman, Friesen and Emmerich</t>
  </si>
  <si>
    <t>Fritsch-Kertzmann</t>
  </si>
  <si>
    <t>Padberg LLC</t>
  </si>
  <si>
    <t>Rath, Hand and Ryan</t>
  </si>
  <si>
    <t>Weber LLC</t>
  </si>
  <si>
    <t>Weissnat-Mitchell</t>
  </si>
  <si>
    <t>Ruecker Group</t>
  </si>
  <si>
    <t>Kessler and Sons</t>
  </si>
  <si>
    <t>Gutkowski and Sons</t>
  </si>
  <si>
    <t>Fritsch-Bradtke</t>
  </si>
  <si>
    <t>Leannon-Ledner</t>
  </si>
  <si>
    <t>Rogahn, O'Reilly and McDermott</t>
  </si>
  <si>
    <t>Swift, Franecki and Orn</t>
  </si>
  <si>
    <t>Sipes, Schimmel and Torp</t>
  </si>
  <si>
    <t>Torphy-Medhurst</t>
  </si>
  <si>
    <t>Muller-Muller</t>
  </si>
  <si>
    <t>Hegmann-Daniel</t>
  </si>
  <si>
    <t>Gusikowski LLC</t>
  </si>
  <si>
    <t>Konopelski, Littel and Romaguera</t>
  </si>
  <si>
    <t>Dibbert LLC</t>
  </si>
  <si>
    <t>Wuckert, Kiehn and Weissnat</t>
  </si>
  <si>
    <t>Nikolaus, Veum and Beahan</t>
  </si>
  <si>
    <t>Bergstrom-Barrows</t>
  </si>
  <si>
    <t>Spinka-White</t>
  </si>
  <si>
    <t>Wintheiser Group</t>
  </si>
  <si>
    <t>Hauck, Wiza and Mitchell</t>
  </si>
  <si>
    <t>Nolan, Abernathy and Fay</t>
  </si>
  <si>
    <t>Brekke, Jacobi and Crist</t>
  </si>
  <si>
    <t>Steuber, Schuster and Rutherford</t>
  </si>
  <si>
    <t>Luettgen Inc</t>
  </si>
  <si>
    <t>Donnelly and Sons</t>
  </si>
  <si>
    <t>Kshlerin-Jones</t>
  </si>
  <si>
    <t>Howell, Hickle and Jacobs</t>
  </si>
  <si>
    <t>Auer-Corwin</t>
  </si>
  <si>
    <t>Johnson, Wehner and Boyle</t>
  </si>
  <si>
    <t>Lebsack-Schmidt</t>
  </si>
  <si>
    <t>Hudson LLC</t>
  </si>
  <si>
    <t>Corkery, Wiegand and Ullrich</t>
  </si>
  <si>
    <t>Langworth and Sons</t>
  </si>
  <si>
    <t>Wilderman and Sons</t>
  </si>
  <si>
    <t>Muller-Kohler</t>
  </si>
  <si>
    <t>Leuschke-Zboncak</t>
  </si>
  <si>
    <t>Walter and Sons</t>
  </si>
  <si>
    <t>Terry and Sons</t>
  </si>
  <si>
    <t>Monahan Inc</t>
  </si>
  <si>
    <t>Mayer Inc</t>
  </si>
  <si>
    <t>Hirthe LLC</t>
  </si>
  <si>
    <t>Steuber, Frami and Witting</t>
  </si>
  <si>
    <t>Abbott-Dibbert</t>
  </si>
  <si>
    <t>Lindgren-McDermott</t>
  </si>
  <si>
    <t>Kreiger-Dooley</t>
  </si>
  <si>
    <t>Prohaska and Sons</t>
  </si>
  <si>
    <t>Kessler-Fisher</t>
  </si>
  <si>
    <t>Howell Inc</t>
  </si>
  <si>
    <t>Jaskolski, Rippin and Pfannerstill</t>
  </si>
  <si>
    <t>Mertz-Grimes</t>
  </si>
  <si>
    <t>Heller and Sons</t>
  </si>
  <si>
    <t>Rau and Sons</t>
  </si>
  <si>
    <t>Koepp-Abbott</t>
  </si>
  <si>
    <t>Ward, Koepp and Thiel</t>
  </si>
  <si>
    <t>Conroy Group</t>
  </si>
  <si>
    <t>Baumbach Inc</t>
  </si>
  <si>
    <t>Kirlin Group</t>
  </si>
  <si>
    <t>Grant, Kihn and Volkman</t>
  </si>
  <si>
    <t>Rodriguez-Leannon</t>
  </si>
  <si>
    <t>Jacobs-Dickinson</t>
  </si>
  <si>
    <t>Durgan and Sons</t>
  </si>
  <si>
    <t>Bechtelar-Price</t>
  </si>
  <si>
    <t>Spencer, Walter and Wolf</t>
  </si>
  <si>
    <t>Herman-Graham</t>
  </si>
  <si>
    <t>Kulas-Cummings</t>
  </si>
  <si>
    <t>Towne LLC</t>
  </si>
  <si>
    <t>Stark, Beahan and Frami</t>
  </si>
  <si>
    <t>Hackett, Breitenberg and Feil</t>
  </si>
  <si>
    <t>Moore, Bergstrom and Greenholt</t>
  </si>
  <si>
    <t>Bartoletti-Sawayn</t>
  </si>
  <si>
    <t>Shields, Veum and Legros</t>
  </si>
  <si>
    <t>Kautzer-Shanahan</t>
  </si>
  <si>
    <t>Walter, Roberts and Grant</t>
  </si>
  <si>
    <t>Ferry, Kassulke and Abshire</t>
  </si>
  <si>
    <t>Douglas Inc</t>
  </si>
  <si>
    <t>Nitzsche Inc</t>
  </si>
  <si>
    <t>Schroeder-Boyle</t>
  </si>
  <si>
    <t>Torp-Bernhard</t>
  </si>
  <si>
    <t>Medhurst-Marvin</t>
  </si>
  <si>
    <t>Barrows-Abbott</t>
  </si>
  <si>
    <t>Hermann LLC</t>
  </si>
  <si>
    <t>Kautzer, Bahringer and Littel</t>
  </si>
  <si>
    <t>Weber and Sons</t>
  </si>
  <si>
    <t>Pfannerstill, Denesik and Rodriguez</t>
  </si>
  <si>
    <t>Kirlin-Rodriguez</t>
  </si>
  <si>
    <t>Mante-Towne</t>
  </si>
  <si>
    <t>Rau, Veum and Purdy</t>
  </si>
  <si>
    <t>Hyatt-Dare</t>
  </si>
  <si>
    <t>Leuschke, Wuckert and Yundt</t>
  </si>
  <si>
    <t>Mayer, Ryan and Satterfield</t>
  </si>
  <si>
    <t>Mann-Moore</t>
  </si>
  <si>
    <t>Ebert, Schinner and Haag</t>
  </si>
  <si>
    <t>Hegmann-Kris</t>
  </si>
  <si>
    <t>Williamson, Williamson and Walker</t>
  </si>
  <si>
    <t>Runolfsson, Schinner and Beier</t>
  </si>
  <si>
    <t>Schamberger, Hartmann and Jones</t>
  </si>
  <si>
    <t>Marvin, Gutkowski and Anderson</t>
  </si>
  <si>
    <t>Kutch, Dickinson and Ullrich</t>
  </si>
  <si>
    <t>Wolf LLC</t>
  </si>
  <si>
    <t>Quitzon, O'Conner and Erdman</t>
  </si>
  <si>
    <t>Tremblay, Jacobson and Hackett</t>
  </si>
  <si>
    <t>Bauch-Kovacek</t>
  </si>
  <si>
    <t>Marvin, Hills and Hirthe</t>
  </si>
  <si>
    <t>Leannon, Schowalter and Waters</t>
  </si>
  <si>
    <t>Kemmer and Sons</t>
  </si>
  <si>
    <t>Dickens, Lubowitz and Emard</t>
  </si>
  <si>
    <t>Emard and Sons</t>
  </si>
  <si>
    <t>Lind Group</t>
  </si>
  <si>
    <t>Wolff Group</t>
  </si>
  <si>
    <t>Rogahn-Rodriguez</t>
  </si>
  <si>
    <t>Ratke, Bogan and Kautzer</t>
  </si>
  <si>
    <t>Greenholt-Kiehn</t>
  </si>
  <si>
    <t>Hayes and Sons</t>
  </si>
  <si>
    <t>Bernhard, Auer and Pollich</t>
  </si>
  <si>
    <t>Champlin-Christiansen</t>
  </si>
  <si>
    <t>Tillman Group</t>
  </si>
  <si>
    <t>Rutherford-Botsford</t>
  </si>
  <si>
    <t>Monahan, Witting and Schaden</t>
  </si>
  <si>
    <t>Feedfish</t>
  </si>
  <si>
    <t>Oodoo</t>
  </si>
  <si>
    <t>Realblab</t>
  </si>
  <si>
    <t>Babblestorm</t>
  </si>
  <si>
    <t>Nlounge</t>
  </si>
  <si>
    <t>Fatz</t>
  </si>
  <si>
    <t>Pixonyx</t>
  </si>
  <si>
    <t>Avaveo</t>
  </si>
  <si>
    <t>Skilith</t>
  </si>
  <si>
    <t>Brainlounge</t>
  </si>
  <si>
    <t>Wikido</t>
  </si>
  <si>
    <t>Brainverse</t>
  </si>
  <si>
    <t>O'Conner-Zboncak</t>
  </si>
  <si>
    <t>Goldner Group</t>
  </si>
  <si>
    <t>Pfannerstill, VonRueden and Greenfelder</t>
  </si>
  <si>
    <t>Padberg, Ferry and Abshire</t>
  </si>
  <si>
    <t>Effertz-Wehner</t>
  </si>
  <si>
    <t>Ebert-Cummerata</t>
  </si>
  <si>
    <t>Nolan-DuBuque</t>
  </si>
  <si>
    <t>Franecki-Baumbach</t>
  </si>
  <si>
    <t>Cremin Group</t>
  </si>
  <si>
    <t>Friesen, Jacobson and Lockman</t>
  </si>
  <si>
    <t>West, Rodriguez and Larson</t>
  </si>
  <si>
    <t>Douglas-Purdy</t>
  </si>
  <si>
    <t>Wilkinson Group</t>
  </si>
  <si>
    <t>Greenholt LLC</t>
  </si>
  <si>
    <t>Torp, Nitzsche and Nicolas</t>
  </si>
  <si>
    <t>Lindgren-Kuphal</t>
  </si>
  <si>
    <t>Becker-Legros</t>
  </si>
  <si>
    <t>Auer-Kub</t>
  </si>
  <si>
    <t>Abshire-Turcotte</t>
  </si>
  <si>
    <t>Haag LLC</t>
  </si>
  <si>
    <t>Kunde, Jast and Medhurst</t>
  </si>
  <si>
    <t>Wiegand-Shanahan</t>
  </si>
  <si>
    <t>Kris-Haley</t>
  </si>
  <si>
    <t>McCullough, Wehner and Mitchell</t>
  </si>
  <si>
    <t>Bernier Group</t>
  </si>
  <si>
    <t>Schroeder-Cartwright</t>
  </si>
  <si>
    <t>Deckow Inc</t>
  </si>
  <si>
    <t>Hintz and Sons</t>
  </si>
  <si>
    <t>Rolfson-Nicolas</t>
  </si>
  <si>
    <t>Hahn-Mraz</t>
  </si>
  <si>
    <t>Parisian Group</t>
  </si>
  <si>
    <t>Mann-Balistreri</t>
  </si>
  <si>
    <t>Becker, Wolff and Legros</t>
  </si>
  <si>
    <t>Sporer-Harber</t>
  </si>
  <si>
    <t>Hickle, Witting and Langworth</t>
  </si>
  <si>
    <t>Wilkinson, Ebert and Toy</t>
  </si>
  <si>
    <t>Marquardt-Steuber</t>
  </si>
  <si>
    <t>Deckow-Beatty</t>
  </si>
  <si>
    <t>Dicki, Ferry and Dare</t>
  </si>
  <si>
    <t>Schmidt and Sons</t>
  </si>
  <si>
    <t>Greenfelder and Sons</t>
  </si>
  <si>
    <t>McKenzie, Kovacek and Reichel</t>
  </si>
  <si>
    <t>Greenfelder Inc</t>
  </si>
  <si>
    <t>Goyette and Sons</t>
  </si>
  <si>
    <t>Pacocha and Sons</t>
  </si>
  <si>
    <t>Wiza Group</t>
  </si>
  <si>
    <t>Murray-Ullrich</t>
  </si>
  <si>
    <t>Ward LLC</t>
  </si>
  <si>
    <t>Ferry-Bernier</t>
  </si>
  <si>
    <t>Glover and Sons</t>
  </si>
  <si>
    <t>Brakus, Reichel and Funk</t>
  </si>
  <si>
    <t>Huels and Sons</t>
  </si>
  <si>
    <t>Schuppe-Funk</t>
  </si>
  <si>
    <t>Buckridge, Lakin and Nader</t>
  </si>
  <si>
    <t>Ryan, Schneider and Medhurst</t>
  </si>
  <si>
    <t>Braun-Zieme</t>
  </si>
  <si>
    <t>Legros-Pacocha</t>
  </si>
  <si>
    <t>Block, Tromp and Johnston</t>
  </si>
  <si>
    <t>Johnson, Kiehn and Walsh</t>
  </si>
  <si>
    <t>Smith and Sons</t>
  </si>
  <si>
    <t>Spencer-Jacobs</t>
  </si>
  <si>
    <t>Wolf, Kozey and Olson</t>
  </si>
  <si>
    <t>Runolfsdottir and Sons</t>
  </si>
  <si>
    <t>Orn-Green</t>
  </si>
  <si>
    <t>Braun-Denesik</t>
  </si>
  <si>
    <t>Tromp-Jacobs</t>
  </si>
  <si>
    <t>Morar-Lebsack</t>
  </si>
  <si>
    <t>Gislason, Dare and Yundt</t>
  </si>
  <si>
    <t>Lehner, Jacobson and Brakus</t>
  </si>
  <si>
    <t>Homenick, Barton and Mayert</t>
  </si>
  <si>
    <t>VonRueden, Hayes and Conn</t>
  </si>
  <si>
    <t>Nitzsche-Reichel</t>
  </si>
  <si>
    <t>Mosciski, Wisozk and Hamill</t>
  </si>
  <si>
    <t>Buckridge-Langosh</t>
  </si>
  <si>
    <t>Hessel, Ward and Bernhard</t>
  </si>
  <si>
    <t>Huels, Kutch and Gorczany</t>
  </si>
  <si>
    <t>Stehr LLC</t>
  </si>
  <si>
    <t>Casper-Bahringer</t>
  </si>
  <si>
    <t>DuBuque, Cormier and Reichel</t>
  </si>
  <si>
    <t>Welch LLC</t>
  </si>
  <si>
    <t>Keeling, Miller and Rolfson</t>
  </si>
  <si>
    <t>Smith, Daniel and Bruen</t>
  </si>
  <si>
    <t>Windler Group</t>
  </si>
  <si>
    <t>Moore Inc</t>
  </si>
  <si>
    <t>Herzog-Jacobi</t>
  </si>
  <si>
    <t>Murazik, Johnson and Roob</t>
  </si>
  <si>
    <t>Koss, Reilly and Monahan</t>
  </si>
  <si>
    <t>Douglas, Kulas and Roberts</t>
  </si>
  <si>
    <t>Jacobs, Fay and Konopelski</t>
  </si>
  <si>
    <t>Dooley-Walker</t>
  </si>
  <si>
    <t>Connelly, Tillman and Smith</t>
  </si>
  <si>
    <t>Emard-Hartmann</t>
  </si>
  <si>
    <t>Schaden-Bauch</t>
  </si>
  <si>
    <t>Hartmann LLC</t>
  </si>
  <si>
    <t>Wehner-Kuphal</t>
  </si>
  <si>
    <t>Mydeo</t>
  </si>
  <si>
    <t>Tazzy</t>
  </si>
  <si>
    <t>Roomm</t>
  </si>
  <si>
    <t>Plambee</t>
  </si>
  <si>
    <t>Agivu</t>
  </si>
  <si>
    <t>Browsebug</t>
  </si>
  <si>
    <t>Fadeo</t>
  </si>
  <si>
    <t>Bluejam</t>
  </si>
  <si>
    <t>Kazu</t>
  </si>
  <si>
    <t>Eayo</t>
  </si>
  <si>
    <t>LiveZ</t>
  </si>
  <si>
    <t>Brainbox</t>
  </si>
  <si>
    <t>Mymm</t>
  </si>
  <si>
    <t>Oyonder</t>
  </si>
  <si>
    <t>Skinder</t>
  </si>
  <si>
    <t>Minyx</t>
  </si>
  <si>
    <t>Ooba</t>
  </si>
  <si>
    <t>Zoomlounge</t>
  </si>
  <si>
    <t>Tazz</t>
  </si>
  <si>
    <t>Dynazzy</t>
  </si>
  <si>
    <t>Wikibox</t>
  </si>
  <si>
    <t>Tagcat</t>
  </si>
  <si>
    <t>Quimm</t>
  </si>
  <si>
    <t>Mita</t>
  </si>
  <si>
    <t>Devcast</t>
  </si>
  <si>
    <t>Yombu</t>
  </si>
  <si>
    <t>Janyx</t>
  </si>
  <si>
    <t>Avamba</t>
  </si>
  <si>
    <t>Eidel</t>
  </si>
  <si>
    <t>Zoozzy</t>
  </si>
  <si>
    <t>Omba</t>
  </si>
  <si>
    <t>Thoughtbridge</t>
  </si>
  <si>
    <t>Skidoo</t>
  </si>
  <si>
    <t>Tagtune</t>
  </si>
  <si>
    <t>Edgewire</t>
  </si>
  <si>
    <t>Kamba</t>
  </si>
  <si>
    <t>Vitz</t>
  </si>
  <si>
    <t>Twiyo</t>
  </si>
  <si>
    <t>Lazzy</t>
  </si>
  <si>
    <t>Miboo</t>
  </si>
  <si>
    <t>Jabbertype</t>
  </si>
  <si>
    <t>Izio</t>
  </si>
  <si>
    <t>Stamm, Hintz and Smith</t>
  </si>
  <si>
    <t>Armstrong, Murphy and Mosciski</t>
  </si>
  <si>
    <t>Kshlerin Inc</t>
  </si>
  <si>
    <t>Cartwright-O'Reilly</t>
  </si>
  <si>
    <t>Koss, Buckridge and Ritchie</t>
  </si>
  <si>
    <t>Konopelski, Lebsack and Breitenberg</t>
  </si>
  <si>
    <t>Stokes Inc</t>
  </si>
  <si>
    <t>Schinner LLC</t>
  </si>
  <si>
    <t>Kovacek Inc</t>
  </si>
  <si>
    <t>Nienow, Kris and Lehner</t>
  </si>
  <si>
    <t>Larson, Rutherford and Boyer</t>
  </si>
  <si>
    <t>McCullough-Wuckert</t>
  </si>
  <si>
    <t>Cruickshank Inc</t>
  </si>
  <si>
    <t>Wolf, Lakin and Hodkiewicz</t>
  </si>
  <si>
    <t>Okuneva and Sons</t>
  </si>
  <si>
    <t>Schneider LLC</t>
  </si>
  <si>
    <t>Weimann and Sons</t>
  </si>
  <si>
    <t>Bins, Jaskolski and Dach</t>
  </si>
  <si>
    <t>Hodkiewicz, Corwin and West</t>
  </si>
  <si>
    <t>Rodriguez-Howell</t>
  </si>
  <si>
    <t>Auer, Spencer and Schumm</t>
  </si>
  <si>
    <t>Daniel, Torp and Homenick</t>
  </si>
  <si>
    <t>Wiegand, Kassulke and McClure</t>
  </si>
  <si>
    <t>Bode, Streich and Howe</t>
  </si>
  <si>
    <t>Buckridge LLC</t>
  </si>
  <si>
    <t>Romaguera-Legros</t>
  </si>
  <si>
    <t>Walter, Nader and Wintheiser</t>
  </si>
  <si>
    <t>Ankunding-Harber</t>
  </si>
  <si>
    <t>Funk, Rath and Gottlieb</t>
  </si>
  <si>
    <t>Cassin-Schamberger</t>
  </si>
  <si>
    <t>Bradtke, Ebert and Greenfelder</t>
  </si>
  <si>
    <t>McCullough-Abshire</t>
  </si>
  <si>
    <t>Shanahan-Erdman</t>
  </si>
  <si>
    <t>Upton LLC</t>
  </si>
  <si>
    <t>Metz, Anderson and McCullough</t>
  </si>
  <si>
    <t>Lakin, Bosco and Von</t>
  </si>
  <si>
    <t>Halvorson, Schaefer and D'Amore</t>
  </si>
  <si>
    <t>Hettinger and Sons</t>
  </si>
  <si>
    <t>Baumbach LLC</t>
  </si>
  <si>
    <t>Effertz-Jaskolski</t>
  </si>
  <si>
    <t>Jerde Inc</t>
  </si>
  <si>
    <t>Schoen-Kessler</t>
  </si>
  <si>
    <t>Flatley, Kiehn and Blanda</t>
  </si>
  <si>
    <t>Dicki-Yundt</t>
  </si>
  <si>
    <t>Kilback Group</t>
  </si>
  <si>
    <t>Ferry LLC</t>
  </si>
  <si>
    <t>Cormier, Moore and Bogisich</t>
  </si>
  <si>
    <t>Effertz LLC</t>
  </si>
  <si>
    <t>Conroy and Sons</t>
  </si>
  <si>
    <t>Emmerich-Heathcote</t>
  </si>
  <si>
    <t>Harris LLC</t>
  </si>
  <si>
    <t>Yost-Kessler</t>
  </si>
  <si>
    <t>Orn, Schmeler and Legros</t>
  </si>
  <si>
    <t>Olson, Wilderman and Dach</t>
  </si>
  <si>
    <t>Kulas, Halvorson and O'Reilly</t>
  </si>
  <si>
    <t>Dibbert, Kuhn and Kling</t>
  </si>
  <si>
    <t>Cronin LLC</t>
  </si>
  <si>
    <t>Dooley, Schiller and Leuschke</t>
  </si>
  <si>
    <t>Rempel-Ferry</t>
  </si>
  <si>
    <t>Simonis, Lemke and Kutch</t>
  </si>
  <si>
    <t>Auer-Dooley</t>
  </si>
  <si>
    <t>Koch Inc</t>
  </si>
  <si>
    <t>Kozey, Hills and Steuber</t>
  </si>
  <si>
    <t>Windler and Sons</t>
  </si>
  <si>
    <t>Abshire and Sons</t>
  </si>
  <si>
    <t>Ward, Marks and Rolfson</t>
  </si>
  <si>
    <t>Emmerich, Veum and Gutkowski</t>
  </si>
  <si>
    <t>Wilderman LLC</t>
  </si>
  <si>
    <t>Dooley, Cummings and Schowalter</t>
  </si>
  <si>
    <t>Miller and Sons</t>
  </si>
  <si>
    <t>Wolff, Greenfelder and Graham</t>
  </si>
  <si>
    <t>Cronin, Herman and Heathcote</t>
  </si>
  <si>
    <t>Rosenbaum LLC</t>
  </si>
  <si>
    <t>Hudson Inc</t>
  </si>
  <si>
    <t>Erdman, Rowe and Adams</t>
  </si>
  <si>
    <t>Langosh-Borer</t>
  </si>
  <si>
    <t>Schiller-Mitchell</t>
  </si>
  <si>
    <t>Heller, Prohaska and Wolff</t>
  </si>
  <si>
    <t>Murray and Sons</t>
  </si>
  <si>
    <t>Stark, Sporer and Jenkins</t>
  </si>
  <si>
    <t>Brakus-Kub</t>
  </si>
  <si>
    <t>Reichel-Wilkinson</t>
  </si>
  <si>
    <t>Wisozk Inc</t>
  </si>
  <si>
    <t>Tromp and Sons</t>
  </si>
  <si>
    <t>Raynor and Sons</t>
  </si>
  <si>
    <t>Olson, Hamill and Jast</t>
  </si>
  <si>
    <t>Kirlin, Kemmer and Hegmann</t>
  </si>
  <si>
    <t>Schowalter, Carroll and Harris</t>
  </si>
  <si>
    <t>Rowe Inc</t>
  </si>
  <si>
    <t>Schinner-Ullrich</t>
  </si>
  <si>
    <t>Torphy, Deckow and Tremblay</t>
  </si>
  <si>
    <t>Kuphal Group</t>
  </si>
  <si>
    <t>Breitenberg Group</t>
  </si>
  <si>
    <t>Von, Predovic and McLaughlin</t>
  </si>
  <si>
    <t>Walsh-McLaughlin</t>
  </si>
  <si>
    <t>Cassin, McClure and Torp</t>
  </si>
  <si>
    <t>Schneider-Stracke</t>
  </si>
  <si>
    <t>Welch, Rowe and Harber</t>
  </si>
  <si>
    <t>Hammes, Rohan and Leannon</t>
  </si>
  <si>
    <t>Kris, Farrell and Auer</t>
  </si>
  <si>
    <t>Littel-Wehner</t>
  </si>
  <si>
    <t>Hettinger, D'Amore and Gislason</t>
  </si>
  <si>
    <t>Lesch and Sons</t>
  </si>
  <si>
    <t>Emard Inc</t>
  </si>
  <si>
    <t>Deckow-Vandervort</t>
  </si>
  <si>
    <t>Hartmann-Ferry</t>
  </si>
  <si>
    <t>Metz-Kilback</t>
  </si>
  <si>
    <t>Ledner-Wilkinson</t>
  </si>
  <si>
    <t>Keeling-Bogan</t>
  </si>
  <si>
    <t>Mante, Witting and Hoppe</t>
  </si>
  <si>
    <t>Krajcik-Boehm</t>
  </si>
  <si>
    <t>Koepp-Stanton</t>
  </si>
  <si>
    <t>Reynolds-Weissnat</t>
  </si>
  <si>
    <t>Bins-Barrows</t>
  </si>
  <si>
    <t>Hamill, Herman and Schamberger</t>
  </si>
  <si>
    <t>Sawayn-Kuhic</t>
  </si>
  <si>
    <t>Considine-Kris</t>
  </si>
  <si>
    <t>Nolan Inc</t>
  </si>
  <si>
    <t>Kuhn Group</t>
  </si>
  <si>
    <t>Greenholt Inc</t>
  </si>
  <si>
    <t>Schowalter-Bartoletti</t>
  </si>
  <si>
    <t>Satterfield-Jast</t>
  </si>
  <si>
    <t>Beer-Lueilwitz</t>
  </si>
  <si>
    <t>Stark and Sons</t>
  </si>
  <si>
    <t>Hoppe, Larson and Rolfson</t>
  </si>
  <si>
    <t>Jakubowski, Carroll and Jacobi</t>
  </si>
  <si>
    <t>Ferry and Sons</t>
  </si>
  <si>
    <t>Muller, Ullrich and Auer</t>
  </si>
  <si>
    <t>Terry-Mayer</t>
  </si>
  <si>
    <t>Nitzsche, Maggio and Leuschke</t>
  </si>
  <si>
    <t>Luettgen-Jaskolski</t>
  </si>
  <si>
    <t>Hegmann, Schulist and Bogisich</t>
  </si>
  <si>
    <t>Cruickshank-Treutel</t>
  </si>
  <si>
    <t>Legros-O'Connell</t>
  </si>
  <si>
    <t>Christiansen-Lakin</t>
  </si>
  <si>
    <t>Ernser Group</t>
  </si>
  <si>
    <t>Beahan LLC</t>
  </si>
  <si>
    <t>Hermiston, Funk and Anderson</t>
  </si>
  <si>
    <t>Hermiston, Sanford and Kassulke</t>
  </si>
  <si>
    <t>Shields Inc</t>
  </si>
  <si>
    <t>Turcotte, Feil and Ziemann</t>
  </si>
  <si>
    <t>Blick-Kreiger</t>
  </si>
  <si>
    <t>Friesen, Schmitt and Mante</t>
  </si>
  <si>
    <t>Beahan-Larson</t>
  </si>
  <si>
    <t>Wolff, Wolf and Kub</t>
  </si>
  <si>
    <t>Denesik, Hessel and Bechtelar</t>
  </si>
  <si>
    <t>Feil-Dickinson</t>
  </si>
  <si>
    <t>Wunsch-Hagenes</t>
  </si>
  <si>
    <t>Tromp-Labadie</t>
  </si>
  <si>
    <t>Beahan, Moen and Franecki</t>
  </si>
  <si>
    <t>Ziemann-Waelchi</t>
  </si>
  <si>
    <t>Weber, Watsica and MacGyver</t>
  </si>
  <si>
    <t>DuBuque-Olson</t>
  </si>
  <si>
    <t>Donnelly LLC</t>
  </si>
  <si>
    <t>Hintz, Brakus and Paucek</t>
  </si>
  <si>
    <t>Bruen, Bednar and Hoppe</t>
  </si>
  <si>
    <t>Zulauf Inc</t>
  </si>
  <si>
    <t>Funk, Hoppe and Breitenberg</t>
  </si>
  <si>
    <t>McKenzie-Tromp</t>
  </si>
  <si>
    <t>Keebler and Sons</t>
  </si>
  <si>
    <t>Conn, Doyle and Goodwin</t>
  </si>
  <si>
    <t>Fadel and Sons</t>
  </si>
  <si>
    <t>Dibbert, Green and Gleichner</t>
  </si>
  <si>
    <t>Vandervort LLC</t>
  </si>
  <si>
    <t>Buckridge-Hayes</t>
  </si>
  <si>
    <t>Steuber LLC</t>
  </si>
  <si>
    <t>Macejkovic and Sons</t>
  </si>
  <si>
    <t>Spencer and Sons</t>
  </si>
  <si>
    <t>Wisozk Group</t>
  </si>
  <si>
    <t>Bashirian, Greenholt and Koch</t>
  </si>
  <si>
    <t>Denesik, Rippin and Anderson</t>
  </si>
  <si>
    <t>Mueller-Tromp</t>
  </si>
  <si>
    <t>Dare, Witting and Goyette</t>
  </si>
  <si>
    <t>Mitchell, Jaskolski and Haley</t>
  </si>
  <si>
    <t>Reichert-Schneider</t>
  </si>
  <si>
    <t>Watsica Inc</t>
  </si>
  <si>
    <t>Olson-Brown</t>
  </si>
  <si>
    <t>Altenwerth LLC</t>
  </si>
  <si>
    <t>Grimes-Stehr</t>
  </si>
  <si>
    <t>Kub-Goyette</t>
  </si>
  <si>
    <t>Waelchi, Gutkowski and Ondricka</t>
  </si>
  <si>
    <t>Grimes, Beier and Hickle</t>
  </si>
  <si>
    <t>Hudson, Bins and Feeney</t>
  </si>
  <si>
    <t>Kreiger, Dooley and Bradtke</t>
  </si>
  <si>
    <t>Kessler-Mohr</t>
  </si>
  <si>
    <t>Ward, Grimes and Fay</t>
  </si>
  <si>
    <t>Kling, Crooks and Wisozk</t>
  </si>
  <si>
    <t>Feil LLC</t>
  </si>
  <si>
    <t>Hansen-Erdman</t>
  </si>
  <si>
    <t>Russel, Rice and Emard</t>
  </si>
  <si>
    <t>Goldner, Muller and Waelchi</t>
  </si>
  <si>
    <t>Kuhlman, Romaguera and Goldner</t>
  </si>
  <si>
    <t>Torp-Bogan</t>
  </si>
  <si>
    <t>Beier, Dare and Feest</t>
  </si>
  <si>
    <t>Mohr LLC</t>
  </si>
  <si>
    <t>Fritsch-Strosin</t>
  </si>
  <si>
    <t>Harris-Labadie</t>
  </si>
  <si>
    <t>Schuppe LLC</t>
  </si>
  <si>
    <t>Howell, Jacobson and Hammes</t>
  </si>
  <si>
    <t>Schneider-Doyle</t>
  </si>
  <si>
    <t>Zulauf LLC</t>
  </si>
  <si>
    <t>Kaymbo</t>
  </si>
  <si>
    <t>Tromp, Stoltenberg and Hartmann</t>
  </si>
  <si>
    <t>Lemke Group</t>
  </si>
  <si>
    <t>Emmerich Inc</t>
  </si>
  <si>
    <t>Howe-Mayer</t>
  </si>
  <si>
    <t>Rosenbaum and Sons</t>
  </si>
  <si>
    <t>Johnson-Smith</t>
  </si>
  <si>
    <t>Legros, Simonis and Spinka</t>
  </si>
  <si>
    <t>Bergnaum, Smitham and Hintz</t>
  </si>
  <si>
    <t>Jakubowski, Okuneva and Erdman</t>
  </si>
  <si>
    <t>Lemke Inc</t>
  </si>
  <si>
    <t>Macejkovic-Senger</t>
  </si>
  <si>
    <t>Halvorson, Torp and Swift</t>
  </si>
  <si>
    <t>Simonis Inc</t>
  </si>
  <si>
    <t>Hand, Armstrong and Cremin</t>
  </si>
  <si>
    <t>Carroll, Feest and Kozey</t>
  </si>
  <si>
    <t>Sanford, Haley and Botsford</t>
  </si>
  <si>
    <t>Aufderhar LLC</t>
  </si>
  <si>
    <t>Kreiger-Gleason</t>
  </si>
  <si>
    <t>Rempel-Pagac</t>
  </si>
  <si>
    <t>Bailey, Boehm and Johnston</t>
  </si>
  <si>
    <t>Lang-Mraz</t>
  </si>
  <si>
    <t>Organization that has been identified as a lead and entered into the company's CRM system.</t>
  </si>
  <si>
    <t>Country where the organization is based.</t>
  </si>
  <si>
    <t>Latitude</t>
  </si>
  <si>
    <t>Latitude of the country</t>
  </si>
  <si>
    <t>Longitude of the country</t>
  </si>
  <si>
    <t>Industry where the organization operates.</t>
  </si>
  <si>
    <t>Size of the organization in terms of employee count.</t>
  </si>
  <si>
    <t>Sales representative to whom the lead is assigned / owns the lead</t>
  </si>
  <si>
    <t>Date when the lead was entered into the CRM system for the first time.</t>
  </si>
  <si>
    <t>Product that the organization is interested in.</t>
  </si>
  <si>
    <t>Status of the lead. Each lead can be assigned statuses as follows:</t>
  </si>
  <si>
    <t>1. New - just added</t>
  </si>
  <si>
    <t>2.Qualified - marketing has qualified the lead as valid.</t>
  </si>
  <si>
    <t>3. Sales Accepted - sales has accepted the qualified lead as valid.</t>
  </si>
  <si>
    <t>4. Opportunity- sales is working with the lead</t>
  </si>
  <si>
    <t>5. Customer - lead is converted to a customer</t>
  </si>
  <si>
    <t>6. Churned Customer - customer has stopped using the product</t>
  </si>
  <si>
    <t>7. Disqualified - marketing or sales has disqualified the lead as invalid (can happen at any stage).</t>
  </si>
  <si>
    <t>Column indicating the sequence of a step in the lead conversion process.</t>
  </si>
  <si>
    <t>Stage of the lead who is in the opportunity phase . Stage can be assigned as follows:</t>
  </si>
  <si>
    <t>1. Opened - sales is working on establishing the initial communication</t>
  </si>
  <si>
    <t>2.Initial contact - initial communication is established</t>
  </si>
  <si>
    <t>3. Nurturing - ongoing communication with the organization about the offer</t>
  </si>
  <si>
    <t>4. Proposal sent - a proposal is sent to the organization</t>
  </si>
  <si>
    <t>5. Won - organization has accepted the offer</t>
  </si>
  <si>
    <t>6.Lost - organization won't become a customer</t>
  </si>
  <si>
    <t>Column indicating the sequence of a step in the opportunity phase</t>
  </si>
  <si>
    <t>Deal Value</t>
  </si>
  <si>
    <t>Potential value of the deal</t>
  </si>
  <si>
    <t>Probability that the deal will close</t>
  </si>
  <si>
    <t>Date when the deal is expected to close</t>
  </si>
  <si>
    <t>Date when the deal was actually closed.  This value is set when lead converts to the customer.  Stage "won" doesn't qualify lead as a customer yet.</t>
  </si>
  <si>
    <t>Row Labels</t>
  </si>
  <si>
    <t>(blank)</t>
  </si>
  <si>
    <t>Grand Total</t>
  </si>
  <si>
    <t>Count of Organization</t>
  </si>
  <si>
    <t>Lead %</t>
  </si>
  <si>
    <t>Customer %</t>
  </si>
  <si>
    <t>Conversion Index</t>
  </si>
  <si>
    <t>Lost Deals</t>
  </si>
  <si>
    <t>Total Deals</t>
  </si>
  <si>
    <t>Lost Rate</t>
  </si>
  <si>
    <t>Agent</t>
  </si>
  <si>
    <t>Won Deals</t>
  </si>
  <si>
    <t xml:space="preserve"> Win Rate</t>
  </si>
  <si>
    <t>Laura Thompson nhiều Deals nhưng Win Rate thấp</t>
  </si>
  <si>
    <t>John Smith có Win Rate cao nhất và cũng là người có ít Deals nhưng hiệu quả lại cao</t>
  </si>
  <si>
    <t>Sum of Deal Value, $</t>
  </si>
  <si>
    <t>Agents</t>
  </si>
  <si>
    <t>Count of Deal Value, $</t>
  </si>
  <si>
    <t>Win rate = 83 / (83+61) = 58% đây là tỷ lệ lịch sử thắng</t>
  </si>
  <si>
    <t>Deal đã đóng</t>
  </si>
  <si>
    <t>Deal đang mở</t>
  </si>
  <si>
    <t>(Multiple Items)</t>
  </si>
  <si>
    <t>Tính Forecast</t>
  </si>
  <si>
    <r>
      <t xml:space="preserve">Công ty có thể kỳ vọng khoảng </t>
    </r>
    <r>
      <rPr>
        <b/>
        <sz val="11"/>
        <color theme="1"/>
        <rFont val="Aptos Narrow"/>
        <family val="2"/>
        <charset val="186"/>
        <scheme val="minor"/>
      </rPr>
      <t>1.1 triệu USD</t>
    </r>
    <r>
      <rPr>
        <sz val="11"/>
        <color theme="1"/>
        <rFont val="Aptos Narrow"/>
        <family val="2"/>
        <charset val="186"/>
        <scheme val="minor"/>
      </rPr>
      <t xml:space="preserve"> từ pipeline hiện tại.</t>
    </r>
  </si>
  <si>
    <t>2024</t>
  </si>
  <si>
    <t>2025</t>
  </si>
  <si>
    <t>Xác xuất thắng thực tế của công ty</t>
  </si>
  <si>
    <t>Không tính các Stage Lost, Won vì đây là các Deal đã đóng = 723</t>
  </si>
  <si>
    <t>Delay Days</t>
  </si>
  <si>
    <t>Average of Delay Days</t>
  </si>
  <si>
    <t>422,711×58%≈243,000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</si>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</sst>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10" x14ac:knownFonts="1">
    <font>
      <sz val="11"/>
      <color theme="1"/>
      <name val="Aptos Narrow"/>
      <family val="2"/>
      <charset val="186"/>
      <scheme val="minor"/>
    </font>
    <font>
      <sz val="8"/>
      <name val="Aptos Narrow"/>
      <family val="2"/>
      <charset val="186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charset val="186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86"/>
      <scheme val="minor"/>
    </font>
    <font>
      <sz val="11"/>
      <name val="Aptos Narrow"/>
      <family val="2"/>
      <charset val="186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3F3F3F"/>
      </top>
      <bottom style="thin">
        <color rgb="FF7F7F7F"/>
      </bottom>
      <diagonal/>
    </border>
    <border>
      <left/>
      <right style="thin">
        <color rgb="FF7F7F7F"/>
      </right>
      <top style="thin">
        <color rgb="FF3F3F3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2" borderId="2" applyNumberFormat="0" applyAlignment="0" applyProtection="0"/>
    <xf numFmtId="0" fontId="5" fillId="2" borderId="1" applyNumberFormat="0" applyAlignment="0" applyProtection="0"/>
  </cellStyleXfs>
  <cellXfs count="4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0" fontId="5" fillId="2" borderId="1" xfId="3"/>
    <xf numFmtId="0" fontId="4" fillId="2" borderId="2" xfId="2"/>
    <xf numFmtId="0" fontId="2" fillId="2" borderId="1" xfId="3" applyFont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7" fillId="4" borderId="9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6" fillId="4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0" fontId="0" fillId="0" borderId="9" xfId="0" applyBorder="1"/>
    <xf numFmtId="164" fontId="6" fillId="0" borderId="9" xfId="1" applyNumberFormat="1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164" fontId="6" fillId="0" borderId="9" xfId="1" applyNumberFormat="1" applyFont="1" applyBorder="1"/>
    <xf numFmtId="165" fontId="0" fillId="0" borderId="0" xfId="0" applyNumberFormat="1"/>
    <xf numFmtId="0" fontId="8" fillId="7" borderId="0" xfId="0" applyFont="1" applyFill="1" applyAlignment="1">
      <alignment horizontal="left"/>
    </xf>
    <xf numFmtId="165" fontId="8" fillId="7" borderId="0" xfId="0" applyNumberFormat="1" applyFont="1" applyFill="1"/>
    <xf numFmtId="0" fontId="0" fillId="7" borderId="0" xfId="0" applyFill="1" applyAlignment="1">
      <alignment horizontal="left"/>
    </xf>
    <xf numFmtId="164" fontId="9" fillId="0" borderId="9" xfId="1" applyNumberFormat="1" applyFont="1" applyBorder="1"/>
    <xf numFmtId="0" fontId="9" fillId="4" borderId="9" xfId="0" applyFont="1" applyFill="1" applyBorder="1" applyAlignment="1">
      <alignment horizontal="left"/>
    </xf>
    <xf numFmtId="0" fontId="9" fillId="4" borderId="9" xfId="0" applyFont="1" applyFill="1" applyBorder="1"/>
    <xf numFmtId="164" fontId="9" fillId="4" borderId="9" xfId="1" applyNumberFormat="1" applyFont="1" applyFill="1" applyBorder="1"/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0" fillId="8" borderId="0" xfId="0" applyFill="1"/>
    <xf numFmtId="43" fontId="0" fillId="0" borderId="0" xfId="0" applyNumberFormat="1"/>
    <xf numFmtId="3" fontId="0" fillId="0" borderId="0" xfId="0" applyNumberFormat="1"/>
    <xf numFmtId="166" fontId="0" fillId="0" borderId="0" xfId="0" applyNumberFormat="1"/>
    <xf numFmtId="0" fontId="0" fillId="7" borderId="0" xfId="0" applyFill="1"/>
    <xf numFmtId="1" fontId="0" fillId="0" borderId="0" xfId="0" applyNumberFormat="1"/>
    <xf numFmtId="0" fontId="5" fillId="2" borderId="7" xfId="3" applyBorder="1" applyAlignment="1">
      <alignment horizontal="center"/>
    </xf>
    <xf numFmtId="0" fontId="5" fillId="2" borderId="8" xfId="3" applyBorder="1" applyAlignment="1">
      <alignment horizontal="center"/>
    </xf>
    <xf numFmtId="9" fontId="2" fillId="3" borderId="5" xfId="1" applyFont="1" applyFill="1" applyBorder="1" applyAlignment="1">
      <alignment horizontal="center"/>
    </xf>
    <xf numFmtId="9" fontId="2" fillId="3" borderId="6" xfId="1" applyFont="1" applyFill="1" applyBorder="1" applyAlignment="1">
      <alignment horizontal="center"/>
    </xf>
    <xf numFmtId="0" fontId="4" fillId="2" borderId="3" xfId="2" applyBorder="1" applyAlignment="1">
      <alignment horizontal="center"/>
    </xf>
    <xf numFmtId="0" fontId="4" fillId="2" borderId="4" xfId="2" applyBorder="1" applyAlignment="1">
      <alignment horizontal="center"/>
    </xf>
  </cellXfs>
  <cellStyles count="4">
    <cellStyle name="Calculation" xfId="3" builtinId="22"/>
    <cellStyle name="Normal" xfId="0" builtinId="0"/>
    <cellStyle name="Output" xfId="2" builtinId="21"/>
    <cellStyle name="Percent" xfId="1" builtinId="5"/>
  </cellStyles>
  <dxfs count="45">
    <dxf>
      <numFmt numFmtId="1" formatCode="0"/>
    </dxf>
    <dxf>
      <numFmt numFmtId="1" formatCode="0"/>
    </dxf>
    <dxf>
      <numFmt numFmtId="166" formatCode="_(* #,##0_);_(* \(#,##0\);_(* &quot;-&quot;??_);_(@_)"/>
    </dxf>
    <dxf>
      <numFmt numFmtId="35" formatCode="_(* #,##0.00_);_(* \(#,##0.00\);_(* &quot;-&quot;??_);_(@_)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theme="9" tint="-0.499984740745262"/>
      </font>
    </dxf>
    <dxf>
      <font>
        <color theme="9" tint="-0.499984740745262"/>
      </font>
    </dxf>
    <dxf>
      <numFmt numFmtId="165" formatCode="_(&quot;$&quot;* #,##0_);_(&quot;$&quot;* \(#,##0\);_(&quot;$&quot;* &quot;-&quot;??_);_(@_)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167" formatCode="dd/mm/yyyy"/>
    </dxf>
    <dxf>
      <numFmt numFmtId="167" formatCode="dd/mm/yyyy"/>
    </dxf>
    <dxf>
      <numFmt numFmtId="167" formatCode="dd/mm/yyyy"/>
    </dxf>
    <dxf>
      <numFmt numFmtId="0" formatCode="General"/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2.677771296294" createdVersion="8" refreshedVersion="8" minRefreshableVersion="3" recordCount="3001" xr:uid="{C9704254-FF10-4CD5-8882-8C6A5B9865A3}">
  <cacheSource type="worksheet">
    <worksheetSource ref="A1:Q1048576" sheet="CRM_data"/>
  </cacheSource>
  <cacheFields count="17">
    <cacheField name="Organization" numFmtId="0">
      <sharedItems containsBlank="1" count="3001">
        <s v="Thoughtblab"/>
        <s v="Jaxnation"/>
        <s v="Mybuzz"/>
        <s v="Kare"/>
        <s v="Skaboo"/>
        <s v="Flashset"/>
        <s v="Yozio"/>
        <s v="Tanoodle"/>
        <s v="Reilly, Wisozk and Stamm"/>
        <s v="O'Conner-Sawayn"/>
        <s v="Klocko-Sporer"/>
        <s v="Borer Inc"/>
        <s v="Jacobson, Crist and O'Kon"/>
        <s v="Hickle Inc"/>
        <s v="Zulauf, Osinski and Lakin"/>
        <s v="Cruickshank, Lubowitz and Marquardt"/>
        <s v="Roberts-Glover"/>
        <s v="Bauch Group"/>
        <s v="Reynolds, Kunze and Christiansen"/>
        <s v="Skiles, Koepp and Walter"/>
        <s v="Hermiston and Sons"/>
        <s v="Roberts-Stracke"/>
        <s v="Frami, Gerlach and Sporer"/>
        <s v="Schumm-Block"/>
        <s v="Beahan, Nitzsche and Williamson"/>
        <s v="Bergstrom, Kling and Mayer"/>
        <s v="Stroman, Ritchie and Toy"/>
        <s v="Williamson, Smitham and Muller"/>
        <s v="Kub-Brown"/>
        <s v="Medhurst Group"/>
        <s v="Murray-Lehner"/>
        <s v="McLaughlin, Effertz and Swift"/>
        <s v="Shields LLC"/>
        <s v="Koch Group"/>
        <s v="Langosh Group"/>
        <s v="Wiegand, Friesen and Ortiz"/>
        <s v="Ward-Schinner"/>
        <s v="Kub, Hintz and Simonis"/>
        <s v="Greenfelder-Klocko"/>
        <s v="Rice, Walker and Hermiston"/>
        <s v="Frami, Brekke and Crooks"/>
        <s v="Cassin, Windler and Friesen"/>
        <s v="Greenfelder, O'Reilly and Dietrich"/>
        <s v="Kris, Brekke and Gulgowski"/>
        <s v="Adams and Sons"/>
        <s v="Kunze, O'Reilly and Von"/>
        <s v="Rempel and Sons"/>
        <s v="Smitham-Sipes"/>
        <s v="Krajcik-Tromp"/>
        <s v="Gusikowski, Erdman and Ryan"/>
        <s v="Renner, Bashirian and Lind"/>
        <s v="Spencer, Jerde and Green"/>
        <s v="Maggio-Reynolds"/>
        <s v="Blognation"/>
        <s v="Dablist"/>
        <s v="Meedoo"/>
        <s v="Runte Group"/>
        <s v="VonRueden Inc"/>
        <s v="Treutel-Willms"/>
        <s v="Medhurst, Weber and Waters"/>
        <s v="Hansen LLC"/>
        <s v="Bechtelar-Heidenreich"/>
        <s v="Rosenbaum, Breitenberg and Langworth"/>
        <s v="Kunde Group"/>
        <s v="Abernathy and Sons"/>
        <s v="Erdman, Wilkinson and Stracke"/>
        <s v="Bogisich, Denesik and Crona"/>
        <s v="Davis-Schuppe"/>
        <s v="Huel-Dooley"/>
        <s v="Bergstrom LLC"/>
        <s v="Considine, Collins and Hudson"/>
        <s v="Kunde-Lindgren"/>
        <s v="Crooks Group"/>
        <s v="O'Conner Group"/>
        <s v="Bogan-Goyette"/>
        <s v="Hilll, Runolfsdottir and Barrows"/>
        <s v="Lubowitz, McClure and Hettinger"/>
        <s v="Herman LLC"/>
        <s v="Bednar-Schuppe"/>
        <s v="Reynolds-Olson"/>
        <s v="Jacobi, Johnson and Harris"/>
        <s v="Beatty Group"/>
        <s v="Hettinger, Kuhic and Dooley"/>
        <s v="O'Kon-Fay"/>
        <s v="Leuschke LLC"/>
        <s v="Dooley, Stracke and Wiegand"/>
        <s v="Heathcote-Ryan"/>
        <s v="Leuschke, Mohr and Rolfson"/>
        <s v="Reinger and Sons"/>
        <s v="Klocko Group"/>
        <s v="Koch, Kerluke and Kuphal"/>
        <s v="Wolf Inc"/>
        <s v="Hoeger-Jakubowski"/>
        <s v="Ziemann LLC"/>
        <s v="Flashspan"/>
        <s v="Wordpedia"/>
        <s v="Quaxo"/>
        <s v="Skivee"/>
        <s v="BlogXS"/>
        <s v="Buzzster"/>
        <s v="Wyman-Goodwin"/>
        <s v="Cruickshank-Weimann"/>
        <s v="Schaden-Bode"/>
        <s v="Walker LLC"/>
        <s v="Tremblay, Lebsack and Gerhold"/>
        <s v="O'Reilly-Ferry"/>
        <s v="Bartoletti-Aufderhar"/>
        <s v="Kiehn-Kshlerin"/>
        <s v="Haley Group"/>
        <s v="Hegmann, Larkin and Bednar"/>
        <s v="Lynch, Kihn and Bartell"/>
        <s v="Schinner, Bogisich and Batz"/>
        <s v="Grimes and Sons"/>
        <s v="VonRueden, Gerlach and Schiller"/>
        <s v="Heller, Effertz and Tromp"/>
        <s v="Emard-Lind"/>
        <s v="O'Hara-Wyman"/>
        <s v="Tillman-Greenholt"/>
        <s v="Powlowski LLC"/>
        <s v="O'Reilly-Stanton"/>
        <s v="O'Reilly-Bruen"/>
        <s v="Kirlin and Sons"/>
        <s v="MacGyver LLC"/>
        <s v="Lemke-Crooks"/>
        <s v="Hirthe, Grady and Cummings"/>
        <s v="Crooks-Wiza"/>
        <s v="Ortiz, Bashirian and Pfannerstill"/>
        <s v="Orn, Blanda and Oberbrunner"/>
        <s v="Boyle Inc"/>
        <s v="Rodriguez, Little and Jast"/>
        <s v="Bosco LLC"/>
        <s v="Bergnaum LLC"/>
        <s v="Corkery, Block and Frami"/>
        <s v="Auer, Bogisich and Kovacek"/>
        <s v="Jones and Sons"/>
        <s v="Wilderman, Bayer and Hickle"/>
        <s v="Rutherford, Lueilwitz and Frami"/>
        <s v="Lang LLC"/>
        <s v="Auer Group"/>
        <s v="Hilll, Jacobi and Cormier"/>
        <s v="Reinger LLC"/>
        <s v="Heaney, Hickle and Marquardt"/>
        <s v="Hudson-Morar"/>
        <s v="Heller-Hartmann"/>
        <s v="Torphy-Pouros"/>
        <s v="Zulauf-Gutkowski"/>
        <s v="Kunde, O'Keefe and Skiles"/>
        <s v="Raynor Group"/>
        <s v="Konopelski Group"/>
        <s v="Johnson, Sporer and Kertzmann"/>
        <s v="Predovic, Ryan and Wisoky"/>
        <s v="Bernhard-Padberg"/>
        <s v="Kemmer, Crona and Dietrich"/>
        <s v="Bruen and Sons"/>
        <s v="Hickle, Rutherford and Ritchie"/>
        <s v="Hegmann, Jones and Schiller"/>
        <s v="Heidenreich, Bergnaum and Gleason"/>
        <s v="Senger-Deckow"/>
        <s v="Krajcik, Hagenes and Cronin"/>
        <s v="Parisian, Kub and Wilderman"/>
        <s v="Funk-Herman"/>
        <s v="Mraz Group"/>
        <s v="Oberbrunner-Moore"/>
        <s v="McLaughlin-Schmidt"/>
        <s v="Hane, Berge and Gleason"/>
        <s v="Mynte"/>
        <s v="Borer, Cremin and Rolfson"/>
        <s v="Hyatt and Sons"/>
        <s v="Hamill-Purdy"/>
        <s v="Wiegand LLC"/>
        <s v="Bogan-Goldner"/>
        <s v="Gabtune"/>
        <s v="Vandervort, Mosciski and White"/>
        <s v="Labadie-Rath"/>
        <s v="Berge LLC"/>
        <s v="Cole, McKenzie and Lakin"/>
        <s v="Quigley-Monahan"/>
        <s v="Rhycero"/>
        <s v="Quimba"/>
        <s v="Edgeblab"/>
        <s v="Twitternation"/>
        <s v="Hoeger, Flatley and Anderson"/>
        <s v="Hermiston, Ziemann and Howell"/>
        <s v="Monahan, Ondricka and Nienow"/>
        <s v="Kovacek, Hermiston and McCullough"/>
        <s v="Macejkovic LLC"/>
        <s v="Keeling-Sauer"/>
        <s v="Berge Group"/>
        <s v="Jenkins-Turcotte"/>
        <s v="Kutch LLC"/>
        <s v="Durgan-Little"/>
        <s v="Hilpert-Wyman"/>
        <s v="Stiedemann-Roob"/>
        <s v="Reichel, Runolfsdottir and Stoltenberg"/>
        <s v="Terry, Jenkins and Baumbach"/>
        <s v="Runolfsdottir-O'Conner"/>
        <s v="Kutch Group"/>
        <s v="Corwin, Abbott and Robel"/>
        <s v="Ward, Kuhic and Torp"/>
        <s v="Beier-Lang"/>
        <s v="Auer, Hackett and Bruen"/>
        <s v="Buckridge, Brekke and Daniel"/>
        <s v="Fay Inc"/>
        <s v="Braun, Goldner and Durgan"/>
        <s v="Gibson-Hettinger"/>
        <s v="Gutmann, Kunze and Schaden"/>
        <s v="Schamberger-Dicki"/>
        <s v="Harvey Inc"/>
        <s v="Bins, Lakin and Daugherty"/>
        <s v="Reynolds, Bogisich and Block"/>
        <s v="Auer, Schmeler and Morissette"/>
        <s v="Hegmann Group"/>
        <s v="Will-Stamm"/>
        <s v="Goldner-Weimann"/>
        <s v="Hodkiewicz-Howe"/>
        <s v="Keeling Inc"/>
        <s v="Harris Inc"/>
        <s v="Roberts and Sons"/>
        <s v="Hauck-Beahan"/>
        <s v="Ryan, Toy and O'Reilly"/>
        <s v="Orn Inc"/>
        <s v="Kuhlman Inc"/>
        <s v="Von, Becker and Fisher"/>
        <s v="Mertz, Casper and Klein"/>
        <s v="Botsford, King and Steuber"/>
        <s v="Funk-Hane"/>
        <s v="Hartmann-Pollich"/>
        <s v="Frami-Gusikowski"/>
        <s v="Lueilwitz Inc"/>
        <s v="Kreiger-Rice"/>
        <s v="Blick Inc"/>
        <s v="Bauch-Morar"/>
        <s v="Auer, Deckow and Torp"/>
        <s v="Kuvalis-Strosin"/>
        <s v="Hintz-Fadel"/>
        <s v="Kiehn-Bernier"/>
        <s v="Zooxo"/>
        <s v="Jetpulse"/>
        <s v="InnoZ"/>
        <s v="Chatterpoint"/>
        <s v="Trunyx"/>
        <s v="Luettgen, Franecki and Roberts"/>
        <s v="Kilback, Cremin and Bergnaum"/>
        <s v="Toy-O'Hara"/>
        <s v="Lubowitz, Herman and Fisher"/>
        <s v="Schulist, Bailey and Dickens"/>
        <s v="Jakubowski-Purdy"/>
        <s v="Hackett LLC"/>
        <s v="Gottlieb Group"/>
        <s v="Hermiston-Hyatt"/>
        <s v="Goldner LLC"/>
        <s v="Deckow, Dicki and Pagac"/>
        <s v="Kuphal-Wuckert"/>
        <s v="Yundt-McLaughlin"/>
        <s v="D'Amore, Auer and Wilkinson"/>
        <s v="Fahey-Kulas"/>
        <s v="Osinski, Langworth and Auer"/>
        <s v="Hane, Hettinger and Denesik"/>
        <s v="Rohan Inc"/>
        <s v="Koelpin, Bahringer and Beatty"/>
        <s v="Flatley-Metz"/>
        <s v="Reilly-Dicki"/>
        <s v="Pagac, Marvin and Wilkinson"/>
        <s v="Stanton-Adams"/>
        <s v="Ward, Rau and Ledner"/>
        <s v="Thiel-Ullrich"/>
        <s v="Johnson-Macejkovic"/>
        <s v="Koch-Lakin"/>
        <s v="Bauch-Fritsch"/>
        <s v="Kihn, Swaniawski and Lebsack"/>
        <s v="Barrows LLC"/>
        <s v="Langworth, Lemke and Carroll"/>
        <s v="Kilback, Johns and Dicki"/>
        <s v="Labadie, Sawayn and Ruecker"/>
        <s v="Kazio"/>
        <s v="Jayo"/>
        <s v="Feedspan"/>
        <s v="Browsecat"/>
        <s v="Layo"/>
        <s v="Photospace"/>
        <s v="Zoovu"/>
        <s v="Topicblab"/>
        <s v="Kwinu"/>
        <s v="Block Group"/>
        <s v="Cummings-Johnson"/>
        <s v="Bosco, Greenholt and Langworth"/>
        <s v="Lind-Bogisich"/>
        <s v="Luettgen, Kozey and Dach"/>
        <s v="Mante LLC"/>
        <s v="Considine LLC"/>
        <s v="Steuber Group"/>
        <s v="Goyette-Reynolds"/>
        <s v="Lowe and Sons"/>
        <s v="Williamson and Sons"/>
        <s v="Waelchi LLC"/>
        <s v="Ebert, Hegmann and Thiel"/>
        <s v="Wolf, Vandervort and Von"/>
        <s v="Mohr-Gleichner"/>
        <s v="Yost, Terry and Veum"/>
        <s v="Hartmann and Sons"/>
        <s v="Cronin-Walker"/>
        <s v="Bayer-Okuneva"/>
        <s v="Bernhard Inc"/>
        <s v="O'Keefe, Witting and Emard"/>
        <s v="Windler, Bogan and Osinski"/>
        <s v="Champlin, Brown and Miller"/>
        <s v="Kerluke LLC"/>
        <s v="Turner-Tillman"/>
        <s v="Kunde, Kris and Wunsch"/>
        <s v="Hegmann and Sons"/>
        <s v="Strosin LLC"/>
        <s v="Heathcote, Ernser and Smitham"/>
        <s v="Konopelski Inc"/>
        <s v="Kerluke-Kihn"/>
        <s v="Barton and Sons"/>
        <s v="Nader-Rath"/>
        <s v="Hauck-Brekke"/>
        <s v="Kunze-Upton"/>
        <s v="Dare and Sons"/>
        <s v="Welch-Stehr"/>
        <s v="King-Wiza"/>
        <s v="Maggio, Feeney and Koss"/>
        <s v="Upton, Wilderman and Becker"/>
        <s v="Larkin and Sons"/>
        <s v="Johns LLC"/>
        <s v="Hand-Senger"/>
        <s v="Terry, Reinger and Graham"/>
        <s v="Schaefer-Roob"/>
        <s v="Deckow, Jacobs and Koelpin"/>
        <s v="Metz, Kovacek and O'Reilly"/>
        <s v="Brown, Hilll and Kling"/>
        <s v="Bednar, Casper and Spinka"/>
        <s v="Schmeler and Sons"/>
        <s v="Stark, Friesen and Legros"/>
        <s v="Jakubowski, Corwin and Larson"/>
        <s v="Walter-Hagenes"/>
        <s v="Zemlak, Roberts and Dach"/>
        <s v="Wunsch-Gusikowski"/>
        <s v="Rempel, Weber and Keebler"/>
        <s v="Douglas Group"/>
        <s v="Johnson-Schoen"/>
        <s v="Hickle, Nader and Baumbach"/>
        <s v="Romaguera LLC"/>
        <s v="Murray LLC"/>
        <s v="Champlin-Stokes"/>
        <s v="Jaskolski, Hane and Cummerata"/>
        <s v="Jacobs LLC"/>
        <s v="Nitzsche-Cartwright"/>
        <s v="Kanoodle"/>
        <s v="Youbridge"/>
        <s v="Jabbercube"/>
        <s v="Dabfeed"/>
        <s v="Skiba"/>
        <s v="Voonyx"/>
        <s v="Harber and Sons"/>
        <s v="Gorczany-Hayes"/>
        <s v="Ritchie Inc"/>
        <s v="Strosin-Romaguera"/>
        <s v="Wyman-Homenick"/>
        <s v="Koelpin, Gulgowski and Boyle"/>
        <s v="Daniel, Kshlerin and VonRueden"/>
        <s v="Macejkovic Group"/>
        <s v="Volkman and Sons"/>
        <s v="Russel Group"/>
        <s v="Romaguera, Fadel and Jast"/>
        <s v="Kris, Bode and Fisher"/>
        <s v="Sawayn, Hansen and Marquardt"/>
        <s v="Kutch, Batz and McGlynn"/>
        <s v="Mohr-Bogisich"/>
        <s v="Christiansen Inc"/>
        <s v="Adams-Koch"/>
        <s v="Ebert-Howe"/>
        <s v="Collins Group"/>
        <s v="Russel, Beahan and Hoppe"/>
        <s v="Jast, Upton and Bosco"/>
        <s v="Schimmel-Doyle"/>
        <s v="Schneider-Lesch"/>
        <s v="Harris-Boyle"/>
        <s v="Wehner, Botsford and Brown"/>
        <s v="Wilkinson-Jast"/>
        <s v="Littel-Cummerata"/>
        <s v="Weber, Morissette and Douglas"/>
        <s v="Ondricka, Will and Goldner"/>
        <s v="Tromp-Walter"/>
        <s v="Schumm-Dickens"/>
        <s v="Hessel-Grant"/>
        <s v="Mayer, Cruickshank and Spencer"/>
        <s v="O'Reilly, Hane and Toy"/>
        <s v="Upton, Pacocha and Keeling"/>
        <s v="Leffler, Daniel and Runolfsdottir"/>
        <s v="Nienow Inc"/>
        <s v="Ernser-Franecki"/>
        <s v="Stroman Inc"/>
        <s v="Cartwright, Medhurst and Harris"/>
        <s v="Torp and Sons"/>
        <s v="Russel, Upton and Kuhn"/>
        <s v="Huels, Gottlieb and Hoppe"/>
        <s v="Podcat"/>
        <s v="Bubblemix"/>
        <s v="Aibox"/>
        <s v="Topdrive"/>
        <s v="Shuffledrive"/>
        <s v="Abatz"/>
        <s v="Demivee"/>
        <s v="Oyoloo"/>
        <s v="Reichel, Hamill and Hand"/>
        <s v="Johns-Blanda"/>
        <s v="Carroll-Collier"/>
        <s v="McKenzie and Sons"/>
        <s v="Abbott-Schumm"/>
        <s v="Watsica LLC"/>
        <s v="Bradtke, Kuhic and Wiza"/>
        <s v="Kilback LLC"/>
        <s v="Treutel, Tillman and Wuckert"/>
        <s v="Erdman, Ward and Aufderhar"/>
        <s v="Smith LLC"/>
        <s v="O'Kon-Watsica"/>
        <s v="Beer-Carter"/>
        <s v="Hilll Inc"/>
        <s v="Maggio LLC"/>
        <s v="Connelly-Thompson"/>
        <s v="Lind, Mueller and O'Conner"/>
        <s v="Torphy and Sons"/>
        <s v="Williamson-Nicolas"/>
        <s v="Howe and Sons"/>
        <s v="Wisoky and Sons"/>
        <s v="Johnston, Ankunding and Raynor"/>
        <s v="Daniel-Hackett"/>
        <s v="Wilkinson-Wolff"/>
        <s v="Cummerata, Tillman and Konopelski"/>
        <s v="Pfeffer, Terry and Kiehn"/>
        <s v="Cremin Inc"/>
        <s v="Hauck, Hermiston and Hodkiewicz"/>
        <s v="Wyman Group"/>
        <s v="Marvin, Maggio and Herman"/>
        <s v="Aufderhar-Daugherty"/>
        <s v="Brown-Erdman"/>
        <s v="Kub and Sons"/>
        <s v="Towne, Jacobs and Runte"/>
        <s v="Jatri"/>
        <s v="Yodo"/>
        <s v="Skalith"/>
        <s v="Vinder"/>
        <s v="Photojam"/>
        <s v="Voonix"/>
        <s v="Dynabox"/>
        <s v="Riffpath"/>
        <s v="Tambee"/>
        <s v="Feedmix"/>
        <s v="Babbleset"/>
        <s v="Flashdog"/>
        <s v="Myworks"/>
        <s v="Feedfire"/>
        <s v="Cogilith"/>
        <s v="Vinte"/>
        <s v="Flashpoint"/>
        <s v="Meembee"/>
        <s v="Brightdog"/>
        <s v="Edgepulse"/>
        <s v="Wunsch Inc"/>
        <s v="Wisoky-Schneider"/>
        <s v="Gutmann-Williamson"/>
        <s v="Breitenberg Inc"/>
        <s v="Koelpin and Sons"/>
        <s v="Bernhard, Lindgren and Harvey"/>
        <s v="Stoltenberg-Weimann"/>
        <s v="Wilderman-Romaguera"/>
        <s v="Luettgen-Gorczany"/>
        <s v="Gleason Group"/>
        <s v="Yost-Stiedemann"/>
        <s v="Pagac LLC"/>
        <s v="Turcotte-Abshire"/>
        <s v="Goodwin-Bernier"/>
        <s v="Shields and Sons"/>
        <s v="Gulgowski Group"/>
        <s v="Paucek-Hodkiewicz"/>
        <s v="Kreiger Inc"/>
        <s v="Schinner Group"/>
        <s v="Haag Inc"/>
        <s v="Ratke, Runolfsson and Pollich"/>
        <s v="Hodkiewicz, Stanton and Howell"/>
        <s v="Koepp, Walsh and Kovacek"/>
        <s v="McLaughlin-Baumbach"/>
        <s v="Koepp, Kihn and Yost"/>
        <s v="Aufderhar-Donnelly"/>
        <s v="Cassin LLC"/>
        <s v="Hoppe-Price"/>
        <s v="Stracke-West"/>
        <s v="Hessel-Miller"/>
        <s v="Murazik-Towne"/>
        <s v="Prohaska, Hahn and Klocko"/>
        <s v="Schaefer, Feest and Watsica"/>
        <s v="Lind and Sons"/>
        <s v="Swaniawski-Quigley"/>
        <s v="Effertz-Pfannerstill"/>
        <s v="Becker LLC"/>
        <s v="Thompson-Schaefer"/>
        <s v="Jones LLC"/>
        <s v="Spencer-Beahan"/>
        <s v="Hessel-Conn"/>
        <s v="Skiles, Sawayn and Bradtke"/>
        <s v="Okuneva, Dooley and Schaden"/>
        <s v="Kub, Aufderhar and Ward"/>
        <s v="Orn-Kassulke"/>
        <s v="Mills, Ortiz and McGlynn"/>
        <s v="Gleason-Price"/>
        <s v="Schaden and Sons"/>
        <s v="Von and Sons"/>
        <s v="Bartell-Kirlin"/>
        <s v="Gutkowski-Baumbach"/>
        <s v="Osinski, Wisoky and Schimmel"/>
        <s v="Schneider-Schuppe"/>
        <s v="Crist, Okuneva and Veum"/>
        <s v="Rosenbaum-Upton"/>
        <s v="Wolf Group"/>
        <s v="Nolan, D'Amore and Wyman"/>
        <s v="Kunde, Reinger and Jerde"/>
        <s v="Edgeclub"/>
        <s v="Schmidt-Beier"/>
        <s v="Smitham and Sons"/>
        <s v="Spencer, Langworth and Hackett"/>
        <s v="Lebsack LLC"/>
        <s v="Muller Inc"/>
        <s v="Oberbrunner-Metz"/>
        <s v="Schamberger-Rutherford"/>
        <s v="Trilia"/>
        <s v="Yotz"/>
        <s v="Teklist"/>
        <s v="Tagopia"/>
        <s v="Skyvu"/>
        <s v="Divanoodle"/>
        <s v="Meeveo"/>
        <s v="Avamm"/>
        <s v="Edgetag"/>
        <s v="Photolist"/>
        <s v="Tavu"/>
        <s v="Jetwire"/>
        <s v="Ntag"/>
        <s v="Twinte"/>
        <s v="Livepath"/>
        <s v="Meetz"/>
        <s v="Gigaclub"/>
        <s v="Yadel"/>
        <s v="Eabox"/>
        <s v="Dabjam"/>
        <s v="Blogpad"/>
        <s v="Topiczoom"/>
        <s v="Rhyloo"/>
        <s v="Mydo"/>
        <s v="Thoughtstorm"/>
        <s v="Topicware"/>
        <s v="Tekfly"/>
        <s v="Wikivu"/>
        <s v="Schroeder, Reichert and Hettinger"/>
        <s v="Gorczany, Kuphal and Mayert"/>
        <s v="Dietrich, Boehm and Corkery"/>
        <s v="Murphy, Schuster and Kub"/>
        <s v="Pouros-Schneider"/>
        <s v="Crist, Price and Johns"/>
        <s v="Littel LLC"/>
        <s v="Wisozk-Thompson"/>
        <s v="D'Amore Group"/>
        <s v="Mitchell Group"/>
        <s v="Lowe-Grimes"/>
        <s v="O'Reilly, Harvey and Cassin"/>
        <s v="Hilll, Reynolds and Stamm"/>
        <s v="Schinner, Turcotte and Borer"/>
        <s v="Bahringer Inc"/>
        <s v="Green-Kunze"/>
        <s v="Huels, Cruickshank and Hayes"/>
        <s v="Reynolds-Wiza"/>
        <s v="McGlynn Group"/>
        <s v="Gorczany-Legros"/>
        <s v="Gulgowski, Kub and Miller"/>
        <s v="Metz, Kub and Fahey"/>
        <s v="Abshire LLC"/>
        <s v="Lockman-Littel"/>
        <s v="Bradtke Inc"/>
        <s v="Cartwright-Orn"/>
        <s v="Littel-Hilpert"/>
        <s v="Franecki LLC"/>
        <s v="Mayert-Renner"/>
        <s v="Emmerich-Padberg"/>
        <s v="Grimes-Marvin"/>
        <s v="Maggio, Wilderman and Mueller"/>
        <s v="Toy, Gottlieb and Veum"/>
        <s v="Hoeger, Hyatt and Glover"/>
        <s v="Ferry, Denesik and Satterfield"/>
        <s v="Bruen, Quigley and Kling"/>
        <s v="Gibson and Sons"/>
        <s v="Little and Sons"/>
        <s v="O'Conner, Stracke and White"/>
        <s v="Smitham LLC"/>
        <s v="Dickinson, Jacobi and McKenzie"/>
        <s v="Feest-Schoen"/>
        <s v="Hane, Kassulke and Hermiston"/>
        <s v="Lesch, Hauck and Bogan"/>
        <s v="Johnson-McDermott"/>
        <s v="Dare, Lesch and Gorczany"/>
        <s v="Reilly Inc"/>
        <s v="Hyatt Group"/>
        <s v="Waters Inc"/>
        <s v="Balistreri-Berge"/>
        <s v="Champlin, Altenwerth and Reichel"/>
        <s v="Johnston-Bahringer"/>
        <s v="Rath and Sons"/>
        <s v="Langosh-Oberbrunner"/>
        <s v="Dickinson LLC"/>
        <s v="Heathcote, Barrows and Doyle"/>
        <s v="Cummerata, Wyman and Conn"/>
        <s v="O'Reilly, Torphy and Jakubowski"/>
        <s v="Boyer LLC"/>
        <s v="Bradtke, Predovic and Monahan"/>
        <s v="Schuppe Inc"/>
        <s v="Hand-Heller"/>
        <s v="Prohaska-Jenkins"/>
        <s v="Johnston, Hettinger and Luettgen"/>
        <s v="Rodriguez, Miller and Bradtke"/>
        <s v="Batz, Schamberger and Feeney"/>
        <s v="Ortiz-Christiansen"/>
        <s v="Toy-Friesen"/>
        <s v="Sawayn and Sons"/>
        <s v="Turcotte-Hand"/>
        <s v="Bayer Group"/>
        <s v="Leffler-Okuneva"/>
        <s v="Little, Deckow and Kunde"/>
        <s v="Ortiz, Cartwright and Leffler"/>
        <s v="Bernier and Sons"/>
        <s v="Rempel-Towne"/>
        <s v="Sauer-Heaney"/>
        <s v="Funk and Sons"/>
        <s v="Cruickshank, Cormier and Willms"/>
        <s v="Roberts, Boehm and Swift"/>
        <s v="Gerlach, Kiehn and Weber"/>
        <s v="Sawayn, Sanford and Skiles"/>
        <s v="Harris, Schmidt and Kautzer"/>
        <s v="Stamm-Rath"/>
        <s v="Hamill, Koepp and Quigley"/>
        <s v="Hodkiewicz-Powlowski"/>
        <s v="Moore Group"/>
        <s v="Schumm-Auer"/>
        <s v="Ward, Daugherty and Homenick"/>
        <s v="Pollich, Robel and Friesen"/>
        <s v="Weimann, Pacocha and McCullough"/>
        <s v="Champlin, Borer and Purdy"/>
        <s v="Erdman, Medhurst and Rowe"/>
        <s v="Gutmann-Hoppe"/>
        <s v="Lakin-Bradtke"/>
        <s v="Ziemann, Bergstrom and Harber"/>
        <s v="Mitchell-Hauck"/>
        <s v="Labadie-Keeling"/>
        <s v="Borer Group"/>
        <s v="Goldner, Grant and Krajcik"/>
        <s v="Schinner and Sons"/>
        <s v="Kihn Inc"/>
        <s v="Abbott-Wisoky"/>
        <s v="Strosin, Bahringer and Reilly"/>
        <s v="McKenzie, Jerde and Altenwerth"/>
        <s v="Runolfsdottir, Mills and Jacobi"/>
        <s v="Tremblay, Thompson and Robel"/>
        <s v="Rutherford LLC"/>
        <s v="Rice-Bayer"/>
        <s v="Blanda, Gibson and Mills"/>
        <s v="Deckow, Dickens and Koss"/>
        <s v="Sporer-Beer"/>
        <s v="Hudson Group"/>
        <s v="Gutmann-Friesen"/>
        <s v="Schmidt, Konopelski and Larson"/>
        <s v="O'Connell Group"/>
        <s v="Willms-Hagenes"/>
        <s v="Metz-Kuvalis"/>
        <s v="Jakubowski Group"/>
        <s v="Volkman Inc"/>
        <s v="Haley, Ritchie and Anderson"/>
        <s v="Hoeger Inc"/>
        <s v="Monahan-Quitzon"/>
        <s v="Crona, Keeling and Daniel"/>
        <s v="Bergnaum, Hyatt and Purdy"/>
        <s v="Schiller-Stehr"/>
        <s v="Kuhlman Group"/>
        <s v="Bogan Inc"/>
        <s v="Yundt Inc"/>
        <s v="Sawayn-Bogan"/>
        <s v="Spinka, Johns and Tromp"/>
        <s v="Zieme-Cronin"/>
        <s v="Gleichner-Kohler"/>
        <s v="Morar-Goyette"/>
        <s v="Howell and Sons"/>
        <s v="Metz LLC"/>
        <s v="Schamberger Group"/>
        <s v="Dickinson, King and Jenkins"/>
        <s v="Jakubowski LLC"/>
        <s v="King-Rohan"/>
        <s v="Rowe and Sons"/>
        <s v="Barrows Group"/>
        <s v="Kertzmann-Kris"/>
        <s v="Hettinger, Trantow and Altenwerth"/>
        <s v="Doyle, Krajcik and Wintheiser"/>
        <s v="Koss-Mertz"/>
        <s v="Shanahan-Hodkiewicz"/>
        <s v="Kunde and Sons"/>
        <s v="Kassulke, McClure and Greenfelder"/>
        <s v="Konopelski and Sons"/>
        <s v="Thoughtbeat"/>
        <s v="Pixope"/>
        <s v="Leexo"/>
        <s v="Divavu"/>
        <s v="Zava"/>
        <s v="Lajo"/>
        <s v="Ainyx"/>
        <s v="Gigazoom"/>
        <s v="Trilith"/>
        <s v="Eazzy"/>
        <s v="Pixoboo"/>
        <s v="Muxo"/>
        <s v="Koss, Walter and Murray"/>
        <s v="Goyette, Gottlieb and Cummings"/>
        <s v="Buckridge, Schinner and Walker"/>
        <s v="Reichel-Kutch"/>
        <s v="Schoen-Waelchi"/>
        <s v="Stracke, Hodkiewicz and Leuschke"/>
        <s v="Mohr, Adams and Emmerich"/>
        <s v="Turner Inc"/>
        <s v="Blick, Kessler and Gislason"/>
        <s v="Koss-Maggio"/>
        <s v="Predovic and Sons"/>
        <s v="Pacocha, Wuckert and Kerluke"/>
        <s v="Macejkovic-Legros"/>
        <s v="Harber-Murray"/>
        <s v="Krajcik, Hammes and Feil"/>
        <s v="Kshlerin Group"/>
        <s v="Balistreri-Kub"/>
        <s v="Rippin-Franecki"/>
        <s v="Wehner, Kshlerin and King"/>
        <s v="Predovic LLC"/>
        <s v="Dare Inc"/>
        <s v="Roob-DuBuque"/>
        <s v="Smitham, Stamm and Howe"/>
        <s v="Ward-Cruickshank"/>
        <s v="Strosin-Runte"/>
        <s v="Zulauf-Schmidt"/>
        <s v="Leffler-Hirthe"/>
        <s v="McLaughlin LLC"/>
        <s v="Sanford-Doyle"/>
        <s v="Deckow and Sons"/>
        <s v="Price Inc"/>
        <s v="Hammes, Romaguera and Emmerich"/>
        <s v="Schinner, Mraz and Friesen"/>
        <s v="Morissette, Heathcote and Bayer"/>
        <s v="Kirlin LLC"/>
        <s v="Fritsch-Anderson"/>
        <s v="Hegmann, Vandervort and Grimes"/>
        <s v="Nicolas LLC"/>
        <s v="Green-Wuckert"/>
        <s v="Walsh, Walter and Kuhic"/>
        <s v="Hauck Inc"/>
        <s v="Keeling-Gerhold"/>
        <s v="Bailey and Sons"/>
        <s v="Thompson-Schuster"/>
        <s v="Bechtelar, Bechtelar and Kub"/>
        <s v="Krajcik and Sons"/>
        <s v="Macejkovic, Goodwin and Towne"/>
        <s v="O'Reilly LLC"/>
        <s v="Kiehn Group"/>
        <s v="Williamson-O'Conner"/>
        <s v="Runolfsdottir-Huels"/>
        <s v="Walter Group"/>
        <s v="Oberbrunner LLC"/>
        <s v="Howell, Kozey and Pfannerstill"/>
        <s v="Jacobson LLC"/>
        <s v="Grant Inc"/>
        <s v="Davis, Yundt and Cartwright"/>
        <s v="Schuster, Altenwerth and Hettinger"/>
        <s v="Wuckert-Mayert"/>
        <s v="Heller, Cassin and Douglas"/>
        <s v="Schroeder, Jacobson and Gottlieb"/>
        <s v="Klocko-Effertz"/>
        <s v="Rohan, Lueilwitz and Barrows"/>
        <s v="Kunde Inc"/>
        <s v="DuBuque, Smith and Price"/>
        <s v="Jerde LLC"/>
        <s v="O'Reilly-Kling"/>
        <s v="Gutkowski, Cassin and Conn"/>
        <s v="Gusikowski-Murray"/>
        <s v="Haag-Murazik"/>
        <s v="Doyle-Shields"/>
        <s v="Windler, Gutmann and Von"/>
        <s v="Larkin, Nikolaus and Zboncak"/>
        <s v="O'Keefe-Simonis"/>
        <s v="Torphy LLC"/>
        <s v="Wolff, Stehr and Gutmann"/>
        <s v="Murphy, Pfeffer and Hodkiewicz"/>
        <s v="Moore-Bailey"/>
        <s v="Dach, Gottlieb and Denesik"/>
        <s v="Sipes, Weimann and Veum"/>
        <s v="Dooley Inc"/>
        <s v="Beier Inc"/>
        <s v="Schumm, Leuschke and Pfeffer"/>
        <s v="Huels, Rippin and MacGyver"/>
        <s v="Konopelski-Fritsch"/>
        <s v="Fisher, Ebert and Rodriguez"/>
        <s v="Schoen and Sons"/>
        <s v="Osinski-Jones"/>
        <s v="Pfannerstill, Bernhard and Schuster"/>
        <s v="Kozey and Sons"/>
        <s v="Stiedemann, Cruickshank and Wintheiser"/>
        <s v="Smitham, Fadel and Wisoky"/>
        <s v="Schuppe-Hauck"/>
        <s v="Leenti"/>
        <s v="Centidel"/>
        <s v="Yabox"/>
        <s v="Brainsphere"/>
        <s v="Voolia"/>
        <s v="Yodoo"/>
        <s v="Lazz"/>
        <s v="Centizu"/>
        <s v="Skinix"/>
        <s v="Photobug"/>
        <s v="Zoombeat"/>
        <s v="Buzzbean"/>
        <s v="Trupe"/>
        <s v="Shuffletag"/>
        <s v="Skibox"/>
        <s v="Riffwire"/>
        <s v="Tagpad"/>
        <s v="Browsezoom"/>
        <s v="Shufflebeat"/>
        <s v="Skinte"/>
        <s v="Innotype"/>
        <s v="Twitterwire"/>
        <s v="Block and Sons"/>
        <s v="Ernser-Rolfson"/>
        <s v="Leannon Inc"/>
        <s v="Bins LLC"/>
        <s v="Farrell Group"/>
        <s v="Jacobs-Rice"/>
        <s v="Rosenbaum Inc"/>
        <s v="Schoen-Kovacek"/>
        <s v="Fritsch, Kemmer and Littel"/>
        <s v="Crona, Morissette and Pouros"/>
        <s v="Bayer, Altenwerth and Kozey"/>
        <s v="Langworth Inc"/>
        <s v="Schroeder, Stiedemann and Frami"/>
        <s v="Predovic Group"/>
        <s v="Lockman, Rath and Lynch"/>
        <s v="Waters-Swift"/>
        <s v="Wisoky, Collins and Kling"/>
        <s v="Koch and Sons"/>
        <s v="Swaniawski-Schneider"/>
        <s v="Jaskolski, Auer and Morissette"/>
        <s v="Sauer Inc"/>
        <s v="Osinski-Schultz"/>
        <s v="Pouros-Gottlieb"/>
        <s v="Lueilwitz and Sons"/>
        <s v="Kirlin Inc"/>
        <s v="Stokes-Gulgowski"/>
        <s v="Heller-Streich"/>
        <s v="Pollich, Cole and Morar"/>
        <s v="Cummings, Mosciski and Bayer"/>
        <s v="Fay LLC"/>
        <s v="Kassulke Inc"/>
        <s v="Osinski Group"/>
        <s v="Blanda, Schuster and Schulist"/>
        <s v="Reinger-Rutherford"/>
        <s v="Hintz-Franecki"/>
        <s v="Emmerich, Hammes and Jacobs"/>
        <s v="Blick Group"/>
        <s v="Rutherford, Christiansen and Marquardt"/>
        <s v="Littel-Ritchie"/>
        <s v="Carroll, Boehm and Zemlak"/>
        <s v="Lockman and Sons"/>
        <s v="Dickinson, Hessel and Luettgen"/>
        <s v="Macejkovic Inc"/>
        <s v="Botsford-Reichel"/>
        <s v="Schumm, Quigley and Goldner"/>
        <s v="Hahn Group"/>
        <s v="Crooks and Sons"/>
        <s v="Wehner and Sons"/>
        <s v="Botsford, Ebert and Keebler"/>
        <s v="Runte and Sons"/>
        <s v="Dach Group"/>
        <s v="Ernser-Ebert"/>
        <s v="Koss Group"/>
        <s v="Von, Torp and Deckow"/>
        <s v="Morar, Runolfsdottir and Kris"/>
        <s v="Fahey, Paucek and Barrows"/>
        <s v="Stanton-Quitzon"/>
        <s v="Fay, Stroman and O'Keefe"/>
        <s v="Morar, Nolan and Hoeger"/>
        <s v="Herzog Group"/>
        <s v="Kreiger and Sons"/>
        <s v="Walsh-Weber"/>
        <s v="Heaney-Schneider"/>
        <s v="Bernhard-McCullough"/>
        <s v="Weissnat-D'Amore"/>
        <s v="Bruen, Daugherty and Strosin"/>
        <s v="Bailey, Heaney and Champlin"/>
        <s v="Bartoletti and Sons"/>
        <s v="Green-Leuschke"/>
        <s v="Pouros LLC"/>
        <s v="Rau-Erdman"/>
        <s v="Gutkowski-Williamson"/>
        <s v="Daugherty, Torphy and Goldner"/>
        <s v="Hoppe LLC"/>
        <s v="McLaughlin-Glover"/>
        <s v="Graham LLC"/>
        <s v="Davis, Herzog and Hudson"/>
        <s v="Gleichner-Kuhic"/>
        <s v="Miller-Dibbert"/>
        <s v="Hane, Wolf and Gleichner"/>
        <s v="Bauch-Strosin"/>
        <s v="Walter, Sporer and Fisher"/>
        <s v="Parker, Terry and Upton"/>
        <s v="Leannon-Crooks"/>
        <s v="McCullough-West"/>
        <s v="Doyle, Moore and Streich"/>
        <s v="Champlin, Murphy and Kassulke"/>
        <s v="McClure Inc"/>
        <s v="Ruecker and Sons"/>
        <s v="Kris-Ankunding"/>
        <s v="Weimann Inc"/>
        <s v="Auer Inc"/>
        <s v="Dare, Feest and Rosenbaum"/>
        <s v="Kshlerin, Ledner and Flatley"/>
        <s v="Price-Breitenberg"/>
        <s v="Grant, Hayes and Jast"/>
        <s v="Donnelly, Hettinger and Pacocha"/>
        <s v="Goodwin Group"/>
        <s v="Murphy, Hahn and Heaney"/>
        <s v="Rippin Group"/>
        <s v="Renner and Sons"/>
        <s v="Bogan, Walsh and Powlowski"/>
        <s v="Bins Inc"/>
        <s v="Watsica, Spencer and Carter"/>
        <s v="Kohler and Sons"/>
        <s v="Walter, Schowalter and Denesik"/>
        <s v="Schmitt and Sons"/>
        <s v="Erdman and Sons"/>
        <s v="MacGyver, Halvorson and Dietrich"/>
        <s v="Stark-Gislason"/>
        <s v="Prosacco-Kub"/>
        <s v="Green-Kuhlman"/>
        <s v="Runolfsson-Konopelski"/>
        <s v="Witting-Harvey"/>
        <s v="Kozey LLC"/>
        <s v="Kunde, Trantow and Smitham"/>
        <s v="Hills LLC"/>
        <s v="Frami, Homenick and Okuneva"/>
        <s v="Lind Inc"/>
        <s v="O'Conner Inc"/>
        <s v="Ondricka-Leuschke"/>
        <s v="Leuschke, Will and Wuckert"/>
        <s v="Bartell LLC"/>
        <s v="Paucek, Borer and Dooley"/>
        <s v="Gislason LLC"/>
        <s v="Wilderman-Waters"/>
        <s v="Shields, Beatty and DuBuque"/>
        <s v="Hand-Lindgren"/>
        <s v="Nikolaus, Koelpin and Kilback"/>
        <s v="Hessel, Ullrich and O'Keefe"/>
        <s v="Auer, Reichert and Conn"/>
        <s v="Klocko, Brekke and O'Connell"/>
        <s v="Mueller-Doyle"/>
        <s v="Hauck-McDermott"/>
        <s v="Bahringer-Rohan"/>
        <s v="O'Hara-Russel"/>
        <s v="MacGyver, Morar and Bosco"/>
        <s v="Rice-Steuber"/>
        <s v="Wisoky, Vandervort and Beahan"/>
        <s v="Reynolds, Parisian and Steuber"/>
        <s v="Smith Group"/>
        <s v="Swaniawski Inc"/>
        <s v="VonRueden, Hodkiewicz and Schmeler"/>
        <s v="Dare LLC"/>
        <s v="Hand Group"/>
        <s v="Simonis, Adams and Homenick"/>
        <s v="Greenfelder, Miller and Sauer"/>
        <s v="Deckow, Wunsch and Gerlach"/>
        <s v="McDermott LLC"/>
        <s v="VonRueden-Borer"/>
        <s v="Maggio-Skiles"/>
        <s v="Littel-Rau"/>
        <s v="Bartoletti, Morar and Senger"/>
        <s v="Schimmel-Rath"/>
        <s v="Abbott, Skiles and Hermiston"/>
        <s v="Feil, Hayes and Johnston"/>
        <s v="Macejkovic-Nitzsche"/>
        <s v="Funk, Collier and Kilback"/>
        <s v="Hagenes-Price"/>
        <s v="Parisian, Wyman and Wolf"/>
        <s v="Roberts, Dietrich and Lind"/>
        <s v="West Group"/>
        <s v="Collins, Luettgen and Dooley"/>
        <s v="Hansen, Halvorson and Cremin"/>
        <s v="Brekke, Stark and Cummings"/>
        <s v="Lakin-Glover"/>
        <s v="Wehner-Littel"/>
        <s v="Franecki-Green"/>
        <s v="Anderson-Senger"/>
        <s v="Leannon and Sons"/>
        <s v="Bernhard, Lockman and Nolan"/>
        <s v="Goyette, Corwin and Jast"/>
        <s v="Kuvalis and Sons"/>
        <s v="Emard-Hand"/>
        <s v="Pagac, Lindgren and Kling"/>
        <s v="Denesik Group"/>
        <s v="Weber, Harvey and Hilpert"/>
        <s v="Hahn-Tillman"/>
        <s v="Rippin LLC"/>
        <s v="Stark LLC"/>
        <s v="Monahan-Hilpert"/>
        <s v="Midel"/>
        <s v="Davis LLC"/>
        <s v="Quitzon, Windler and Labadie"/>
        <s v="Mueller, Runolfsson and Jacobson"/>
        <s v="Sipes and Sons"/>
        <s v="Romaguera-Douglas"/>
        <s v="Koepp Inc"/>
        <s v="Farrell LLC"/>
        <s v="Ankunding LLC"/>
        <s v="Wuckert, Swift and Becker"/>
        <s v="Yakidoo"/>
        <s v="Meemm"/>
        <s v="Rhybox"/>
        <s v="Gleason LLC"/>
        <s v="Wolf-Wolff"/>
        <s v="Armstrong LLC"/>
        <s v="Hauck-Erdman"/>
        <s v="Murphy, Mohr and Hermiston"/>
        <s v="Schmitt-Stoltenberg"/>
        <s v="Rutherford-Bins"/>
        <s v="Bradtke, Johnston and Shanahan"/>
        <s v="Schinner-Dickinson"/>
        <s v="Jast-Legros"/>
        <s v="Schumm-Kihn"/>
        <s v="Lemke LLC"/>
        <s v="Johnston, Ritchie and Mitchell"/>
        <s v="Harris and Sons"/>
        <s v="Flipopia"/>
        <s v="Abata"/>
        <s v="Ntags"/>
        <s v="Skippad"/>
        <s v="Aivee"/>
        <s v="Youspan"/>
        <s v="Realfire"/>
        <s v="Quinu"/>
        <s v="Devpulse"/>
        <s v="Skiptube"/>
        <s v="Skyndu"/>
        <s v="Steuber-Lowe"/>
        <s v="Towne, Daugherty and Bogan"/>
        <s v="Bradtke Group"/>
        <s v="Bahringer, Durgan and Pfannerstill"/>
        <s v="Kshlerin, Schneider and Boyer"/>
        <s v="Ondricka, Windler and Jacobs"/>
        <s v="Simonis Group"/>
        <s v="Wolf, Dibbert and Kuhic"/>
        <s v="Douglas-Zemlak"/>
        <s v="Kshlerin, Huel and Ratke"/>
        <s v="Hintz, Schinner and Kshlerin"/>
        <s v="Kuhn LLC"/>
        <s v="McKenzie, Reichel and Champlin"/>
        <s v="Kiehn-Windler"/>
        <s v="Leffler, Ebert and Wilkinson"/>
        <s v="Heidenreich, Langosh and Conn"/>
        <s v="Balistreri-Turcotte"/>
        <s v="Spinka, Jacobi and Hickle"/>
        <s v="Satterfield and Sons"/>
        <s v="Block-Kozey"/>
        <s v="Oberbrunner-Oberbrunner"/>
        <s v="Ruecker LLC"/>
        <s v="Hessel and Sons"/>
        <s v="Morissette and Sons"/>
        <s v="Schoen-O'Conner"/>
        <s v="Spinka-Carroll"/>
        <s v="Robel-Huels"/>
        <s v="Dicki and Sons"/>
        <s v="Predovic-Mueller"/>
        <s v="Koss, McLaughlin and Moen"/>
        <s v="Gorczany, Buckridge and Robel"/>
        <s v="Howell-Lubowitz"/>
        <s v="Mills Inc"/>
        <s v="Kerluke Group"/>
        <s v="Fadel-Gorczany"/>
        <s v="Dooley, Roob and Quitzon"/>
        <s v="Pacocha-Gislason"/>
        <s v="Hickle-Champlin"/>
        <s v="Little LLC"/>
        <s v="Jerde and Sons"/>
        <s v="Cole, Morissette and Gorczany"/>
        <s v="Schuster-Yost"/>
        <s v="Thompson-Daniel"/>
        <s v="Wuckert Group"/>
        <s v="Hauck-Mayer"/>
        <s v="Rau Group"/>
        <s v="Kreiger-Rodriguez"/>
        <s v="Schuster-Schiller"/>
        <s v="Casper Group"/>
        <s v="Cole and Sons"/>
        <s v="Bosco-Boyer"/>
        <s v="Gulgowski-Volkman"/>
        <s v="Gulgowski, Funk and Schultz"/>
        <s v="Watsica-Wisoky"/>
        <s v="Erdman-Breitenberg"/>
        <s v="Kshlerin and Sons"/>
        <s v="Schaden LLC"/>
        <s v="Funk, Mosciski and Doyle"/>
        <s v="Haag and Sons"/>
        <s v="Davis Group"/>
        <s v="Denesik, Lynch and Deckow"/>
        <s v="Schiller, Fahey and Ferry"/>
        <s v="Wiza, Sporer and Rempel"/>
        <s v="Feeney Inc"/>
        <s v="Reynolds, Larson and Marquardt"/>
        <s v="Medhurst, Moen and Olson"/>
        <s v="Weissnat, Schaden and Runolfsson"/>
        <s v="Streich, Mann and Mante"/>
        <s v="Zulauf-Kassulke"/>
        <s v="Kilback-Swaniawski"/>
        <s v="Cronin, Schneider and Cormier"/>
        <s v="Lindgren LLC"/>
        <s v="Schinner, Rice and Mills"/>
        <s v="Bailey-Morissette"/>
        <s v="Corwin, Borer and Hoppe"/>
        <s v="Kassulke-Kertzmann"/>
        <s v="Stark-Farrell"/>
        <s v="Larkin, Gleichner and Lockman"/>
        <s v="Casper, Block and Harvey"/>
        <s v="Bins, Stamm and Reichert"/>
        <s v="Kutch, Pfeffer and Mosciski"/>
        <s v="Kshlerin, Walter and Kuhic"/>
        <s v="Aufderhar, Smitham and Schmitt"/>
        <s v="Gulgowski, Grady and Koss"/>
        <s v="Kwilith"/>
        <s v="Jaxspan"/>
        <s v="Quatz"/>
        <s v="Dabshots"/>
        <s v="Npath"/>
        <s v="Tagfeed"/>
        <s v="Lakin and Sons"/>
        <s v="Sporer, Kovacek and Pacocha"/>
        <s v="Wyman-Fadel"/>
        <s v="Skiles, Conn and Stark"/>
        <s v="Bartoletti, Kunze and Koelpin"/>
        <s v="Lockman-Moore"/>
        <s v="Jerde-Donnelly"/>
        <s v="Walker, Connelly and Thiel"/>
        <s v="Mitchell and Sons"/>
        <s v="Tillman, Kautzer and Heidenreich"/>
        <s v="Gorczany, Witting and Ritchie"/>
        <s v="Kreiger, Homenick and Baumbach"/>
        <s v="Nitzsche Group"/>
        <s v="Toy, Schneider and Ullrich"/>
        <s v="Zboncak Group"/>
        <s v="DuBuque Inc"/>
        <s v="Kiehn-Jerde"/>
        <s v="Halvorson-Casper"/>
        <s v="Harvey, Powlowski and Jast"/>
        <s v="Gusikowski Inc"/>
        <s v="Little-Feest"/>
        <s v="Cummings Group"/>
        <s v="Hintz-Bins"/>
        <s v="Schinner, Trantow and Brown"/>
        <s v="Moen, Murazik and Pacocha"/>
        <s v="Mann, Konopelski and Turner"/>
        <s v="Vandervort, Walker and Von"/>
        <s v="Hansen-Deckow"/>
        <s v="Hauck-Larson"/>
        <s v="Zboncak LLC"/>
        <s v="Ratke, Hudson and Champlin"/>
        <s v="Satterfield-Wilderman"/>
        <s v="Greenfelder, Maggio and Ullrich"/>
        <s v="Steuber-Legros"/>
        <s v="Dicki Inc"/>
        <s v="Beatty-Gutmann"/>
        <s v="Schiller, Haley and Denesik"/>
        <s v="Koepp-O'Conner"/>
        <s v="Yundt-Quigley"/>
        <s v="Gulgowski and Sons"/>
        <s v="Gerlach-Cummings"/>
        <s v="West and Sons"/>
        <s v="O'Reilly-Goodwin"/>
        <s v="Powlowski, DuBuque and Hauck"/>
        <s v="Keebler Inc"/>
        <s v="Purdy-Hansen"/>
        <s v="Strosin Group"/>
        <s v="Breitenberg, McKenzie and Langworth"/>
        <s v="Kulas, Treutel and Glover"/>
        <s v="Abernathy, Rolfson and Kuphal"/>
        <s v="Corwin, Murray and Altenwerth"/>
        <s v="Schoen, Conn and Prohaska"/>
        <s v="Wunsch, Will and Rice"/>
        <s v="Hoeger, Herman and Paucek"/>
        <s v="Fliptune"/>
        <s v="Plajo"/>
        <s v="Aimbu"/>
        <s v="Brightbean"/>
        <s v="Wordware"/>
        <s v="Cogidoo"/>
        <s v="Feedbug"/>
        <s v="Dabvine"/>
        <s v="Zoonder"/>
        <s v="Skimia"/>
        <s v="Camimbo"/>
        <s v="Blogspan"/>
        <s v="Babbleblab"/>
        <s v="Divape"/>
        <s v="Roodel"/>
        <s v="Yambee"/>
        <s v="Hills Group"/>
        <s v="Wilkinson LLC"/>
        <s v="Denesik, Bednar and Jakubowski"/>
        <s v="O'Kon, Cruickshank and Krajcik"/>
        <s v="Crona-Grady"/>
        <s v="Tillman-Kovacek"/>
        <s v="Romaguera Inc"/>
        <s v="Stamm LLC"/>
        <s v="Hamill-Ryan"/>
        <s v="Reichert-Volkman"/>
        <s v="Schmeler, Mayer and O'Connell"/>
        <s v="Bode-Hessel"/>
        <s v="Streich LLC"/>
        <s v="Welch Inc"/>
        <s v="Mosciski-Kovacek"/>
        <s v="Aufderhar, Mraz and Braun"/>
        <s v="Hoppe-Runte"/>
        <s v="Kunze-Nitzsche"/>
        <s v="Bahringer-MacGyver"/>
        <s v="Erdman-Rippin"/>
        <s v="Skiles Group"/>
        <s v="Hills, Turcotte and Wolff"/>
        <s v="Schowalter-Emard"/>
        <s v="Kessler Inc"/>
        <s v="Durgan, Shanahan and Lindgren"/>
        <s v="Kertzmann, Keeling and Harris"/>
        <s v="Brakus Inc"/>
        <s v="Pfannerstill-Thiel"/>
        <s v="Predovic, Tremblay and Huels"/>
        <s v="Will-Cremin"/>
        <s v="Schmidt Inc"/>
        <s v="Waters and Sons"/>
        <s v="Baumbach-Stiedemann"/>
        <s v="Sauer, Bartell and Friesen"/>
        <s v="Tromp Group"/>
        <s v="Harber, Lynch and Kassulke"/>
        <s v="Beer LLC"/>
        <s v="Casper LLC"/>
        <s v="Feeney-Smith"/>
        <s v="Hand, Beer and Feest"/>
        <s v="Schneider Inc"/>
        <s v="Jast and Sons"/>
        <s v="Lehner, Ledner and Strosin"/>
        <s v="Strosin, Ebert and Hessel"/>
        <s v="Rath, Gleason and Shanahan"/>
        <s v="Cormier-Baumbach"/>
        <s v="Langworth, Herzog and Veum"/>
        <s v="Botsford-Ruecker"/>
        <s v="Bernier, D'Amore and Quitzon"/>
        <s v="Gleichner-Crist"/>
        <s v="Bosco-Kemmer"/>
        <s v="Pacocha-Powlowski"/>
        <s v="Smith Inc"/>
        <s v="Stark Inc"/>
        <s v="Bailey-VonRueden"/>
        <s v="Rogahn-Cummerata"/>
        <s v="Cole LLC"/>
        <s v="Kling LLC"/>
        <s v="Murray-Rice"/>
        <s v="Cummerata and Sons"/>
        <s v="Hayes Inc"/>
        <s v="Pouros Group"/>
        <s v="Howe-Pfeffer"/>
        <s v="Lind, Swaniawski and Spinka"/>
        <s v="Bechtelar and Sons"/>
        <s v="Marquardt-Crooks"/>
        <s v="Rice LLC"/>
        <s v="Fahey Group"/>
        <s v="Crona-Beer"/>
        <s v="Runte-Baumbach"/>
        <s v="Nitzsche, O'Reilly and White"/>
        <s v="Rippin, Brakus and Cole"/>
        <s v="Beahan-Jenkins"/>
        <s v="Balistreri, Corkery and Mertz"/>
        <s v="Willms-Farrell"/>
        <s v="O'Reilly, Dach and Simonis"/>
        <s v="Kunde-Lockman"/>
        <s v="Legros-Auer"/>
        <s v="Orn LLC"/>
        <s v="Turcotte-VonRueden"/>
        <s v="Vandervort Inc"/>
        <s v="Schaden, Dicki and Kiehn"/>
        <s v="Bosco Group"/>
        <s v="Rosenbaum Group"/>
        <s v="Auer-Bradtke"/>
        <s v="Armstrong, Hermann and Sawayn"/>
        <s v="Feeney LLC"/>
        <s v="Marquardt, Denesik and Schmeler"/>
        <s v="Bernier, Herman and Schulist"/>
        <s v="Boyer and Sons"/>
        <s v="Ratke Inc"/>
        <s v="Padberg, Koepp and Walsh"/>
        <s v="Monahan, Dooley and Jast"/>
        <s v="Lehner, Jacobi and Koepp"/>
        <s v="Ondricka-Jerde"/>
        <s v="Gerhold, Fahey and Schowalter"/>
        <s v="Harvey-Gottlieb"/>
        <s v="Botsford, Hudson and Becker"/>
        <s v="Bogan Group"/>
        <s v="Morissette Group"/>
        <s v="Huels-Hyatt"/>
        <s v="Price-Pagac"/>
        <s v="Harris-Lindgren"/>
        <s v="Schimmel-Langosh"/>
        <s v="Bosco, Hills and Reinger"/>
        <s v="Crooks, Herzog and Leannon"/>
        <s v="Greenholt, Gorczany and Osinski"/>
        <s v="Dach-Shields"/>
        <s v="Blanda-Bednar"/>
        <s v="Bergnaum, Johnson and Grimes"/>
        <s v="Lesch LLC"/>
        <s v="Reichert LLC"/>
        <s v="Breitenberg-Huel"/>
        <s v="O'Conner-Braun"/>
        <s v="Shanahan, Senger and Rogahn"/>
        <s v="Aimbo"/>
        <s v="Skajo"/>
        <s v="Yodel"/>
        <s v="Greenfelder-Johns"/>
        <s v="Mosciski, Hansen and Ruecker"/>
        <s v="Balistreri LLC"/>
        <s v="Barrows, Jacobs and O'Hara"/>
        <s v="Schaefer-Lockman"/>
        <s v="Barrows-Waelchi"/>
        <s v="Walsh Inc"/>
        <s v="Trantow Group"/>
        <s v="Murphy, Hudson and Considine"/>
        <s v="Tagchat"/>
        <s v="Yata"/>
        <s v="Cogibox"/>
        <s v="Skynoodle"/>
        <s v="Heidenreich, Stehr and Johnston"/>
        <s v="Schultz-Kirlin"/>
        <s v="Blick-Schamberger"/>
        <s v="White-Donnelly"/>
        <s v="Wuckert and Sons"/>
        <s v="Batz, Fay and Murray"/>
        <s v="Harvey-Reichel"/>
        <s v="Hilpert and Sons"/>
        <s v="Stanton and Sons"/>
        <s v="Dare, Kassulke and Nicolas"/>
        <s v="O'Connell, Harber and Koelpin"/>
        <s v="Schmidt-Hettinger"/>
        <s v="Abernathy-Kohler"/>
        <s v="Kessler-Hirthe"/>
        <s v="Schowalter-Jacobs"/>
        <s v="Parker LLC"/>
        <s v="Youtags"/>
        <s v="Lemke-Roberts"/>
        <s v="Smith, Stiedemann and Rowe"/>
        <s v="Bogisich, Kuvalis and Herman"/>
        <s v="Okuneva-Schumm"/>
        <s v="Nader-Ortiz"/>
        <s v="Goyette LLC"/>
        <s v="Treutel and Sons"/>
        <s v="Murphy Group"/>
        <s v="Hamill Group"/>
        <s v="Keeling-Lang"/>
        <s v="MacGyver, Ondricka and McLaughlin"/>
        <s v="Linklinks"/>
        <s v="Larson and Sons"/>
        <s v="Bradtke-Stehr"/>
        <s v="Bartoletti LLC"/>
        <s v="Halvorson-Corkery"/>
        <s v="Reynolds, Gottlieb and Prohaska"/>
        <s v="Rempel, Senger and Schimmel"/>
        <s v="Kunde, Harris and Bernier"/>
        <s v="D'Amore-Pacocha"/>
        <s v="Mante-Toy"/>
        <s v="Smith-Parisian"/>
        <s v="Wuckert LLC"/>
        <s v="Murray Inc"/>
        <s v="Treutel, Balistreri and Brakus"/>
        <s v="Paucek LLC"/>
        <s v="Flatley Inc"/>
        <s v="Huel LLC"/>
        <s v="Strosin-Feeney"/>
        <s v="Lesch-Sporer"/>
        <s v="Steuber-Gibson"/>
        <s v="Grady Inc"/>
        <s v="Jast, Hirthe and Murphy"/>
        <s v="Kulas-Barrows"/>
        <s v="Quitzon Inc"/>
        <s v="Haley, Boyer and Prohaska"/>
        <s v="Ernser-Schulist"/>
        <s v="Considine Inc"/>
        <s v="Moen-Beer"/>
        <s v="Abernathy, Ward and Boyle"/>
        <s v="Realbridge"/>
        <s v="Blogtag"/>
        <s v="Yacero"/>
        <s v="Viva"/>
        <s v="Jaxworks"/>
        <s v="Kwideo"/>
        <s v="Geba"/>
        <s v="Gigashots"/>
        <s v="Reilly-Bahringer"/>
        <s v="Runolfsson-Rogahn"/>
        <s v="Purdy LLC"/>
        <s v="Terry, Corwin and Harris"/>
        <s v="Stokes LLC"/>
        <s v="Graham, Bergnaum and Kreiger"/>
        <s v="Wuckert-Yost"/>
        <s v="Schoen, Rohan and Mosciski"/>
        <s v="Morar-Heathcote"/>
        <s v="Larkin, Doyle and Corwin"/>
        <s v="Gerhold-Nicolas"/>
        <s v="Hoeger, Kreiger and Deckow"/>
        <s v="O'Reilly-Kerluke"/>
        <s v="Labadie LLC"/>
        <s v="Brown Group"/>
        <s v="Stoltenberg-Kuhn"/>
        <s v="Huels-Reichert"/>
        <s v="Bailey-O'Conner"/>
        <s v="Hudson, Spencer and Bahringer"/>
        <s v="Howell, McCullough and Wuckert"/>
        <s v="Crona, Bashirian and Armstrong"/>
        <s v="Veum, Steuber and Blick"/>
        <s v="Torp-Krajcik"/>
        <s v="Dach LLC"/>
        <s v="Carter-Blick"/>
        <s v="Klocko-Lindgren"/>
        <s v="Koepp, Bosco and Hodkiewicz"/>
        <s v="Ratke and Sons"/>
        <s v="Hudson, Bergnaum and Gerlach"/>
        <s v="Lynch-Gulgowski"/>
        <s v="Ryan Group"/>
        <s v="Barton, Schumm and Wilderman"/>
        <s v="Williamson, Gottlieb and Kuphal"/>
        <s v="Larkin, Kshlerin and Moore"/>
        <s v="Kautzer and Sons"/>
        <s v="Jaskolski, Krajcik and Bergnaum"/>
        <s v="Kutch Inc"/>
        <s v="Becker Inc"/>
        <s v="Mills, Schuppe and Stracke"/>
        <s v="McGlynn-Friesen"/>
        <s v="Stoltenberg-Koepp"/>
        <s v="Emmerich, Schinner and McKenzie"/>
        <s v="Stoltenberg, Hoppe and Funk"/>
        <s v="Schowalter and Sons"/>
        <s v="Lakin-Ondricka"/>
        <s v="Kunde, Smitham and Hills"/>
        <s v="Kilback-Blick"/>
        <s v="Ledner LLC"/>
        <s v="Reichel and Sons"/>
        <s v="Mills-Donnelly"/>
        <s v="Shanahan Inc"/>
        <s v="West-Wyman"/>
        <s v="Wunsch LLC"/>
        <s v="Ritchie, Rutherford and Blick"/>
        <s v="Ratke-Zulauf"/>
        <s v="Hodkiewicz-Wunsch"/>
        <s v="Zulauf Group"/>
        <s v="Powlowski, Weissnat and Pollich"/>
        <s v="Swift-Wolf"/>
        <s v="Paucek, Sanford and Feil"/>
        <s v="Quigley, Volkman and Kihn"/>
        <s v="Kerluke and Sons"/>
        <s v="Carroll and Sons"/>
        <s v="Jerde, Torphy and Hirthe"/>
        <s v="Hermann-Kreiger"/>
        <s v="Camido"/>
        <s v="Eamia"/>
        <s v="Centimia"/>
        <s v="Browsetype"/>
        <s v="Babbleopia"/>
        <s v="Yakitri"/>
        <s v="Linkbuzz"/>
        <s v="Oozz"/>
        <s v="Blogtags"/>
        <s v="Senger and Sons"/>
        <s v="Windler-Gutmann"/>
        <s v="Mueller-Conroy"/>
        <s v="Kohler, Konopelski and Runolfsdottir"/>
        <s v="Schuster, Beahan and Nolan"/>
        <s v="Donnelly, Jacobi and Gutmann"/>
        <s v="Considine-Boyer"/>
        <s v="Pfeffer LLC"/>
        <s v="Nader, McClure and Reynolds"/>
        <s v="Kohler-Kuhlman"/>
        <s v="Krajcik-Schroeder"/>
        <s v="Dietrich and Sons"/>
        <s v="Stracke-Fritsch"/>
        <s v="Berge-Mills"/>
        <s v="Barrows and Sons"/>
        <s v="Rice-Bins"/>
        <s v="Heathcote, Lemke and Abbott"/>
        <s v="Borer-Leannon"/>
        <s v="King, Lockman and Hansen"/>
        <s v="Funk-Stehr"/>
        <s v="Dooley, Jast and Lindgren"/>
        <s v="Shanahan and Sons"/>
        <s v="Heller Inc"/>
        <s v="Treutel, Grant and Mayert"/>
        <s v="Batz and Sons"/>
        <s v="Bergnaum, Heidenreich and Shields"/>
        <s v="Thompson Inc"/>
        <s v="Bashirian Group"/>
        <s v="Hamill-Funk"/>
        <s v="Senger-Kunze"/>
        <s v="Quitzon, Lindgren and Ruecker"/>
        <s v="Maggio, Heidenreich and Wolf"/>
        <s v="Bechtelar Inc"/>
        <s v="Wyman, Crona and Little"/>
        <s v="Lindgren-Hoeger"/>
        <s v="Thiel-Abbott"/>
        <s v="Gulgowski, Schumm and Johnston"/>
        <s v="Halvorson, O'Hara and Johnson"/>
        <s v="Rau-Hammes"/>
        <s v="Denesik-Heaney"/>
        <s v="Smith-Murphy"/>
        <s v="Pagac, Barrows and Keeling"/>
        <s v="Grant-Hahn"/>
        <s v="Rooxo"/>
        <s v="Kimia"/>
        <s v="Yoveo"/>
        <s v="Oyoba"/>
        <s v="Oloo"/>
        <s v="Eadel"/>
        <s v="Oyondu"/>
        <s v="Realpoint"/>
        <s v="Trudeo"/>
        <s v="Realbuzz"/>
        <s v="Vimbo"/>
        <s v="Rhynoodle"/>
        <s v="Green, Block and Mayer"/>
        <s v="Morissette LLC"/>
        <s v="Stoltenberg, Labadie and Spencer"/>
        <s v="Ondricka, Lubowitz and O'Connell"/>
        <s v="Dickinson and Sons"/>
        <s v="Waelchi Group"/>
        <s v="Stanton-Mayert"/>
        <s v="Rath-Harvey"/>
        <s v="Zboncak-Lebsack"/>
        <s v="Franecki, Rath and Roob"/>
        <s v="Koch-Harvey"/>
        <s v="Ankunding-Pfeffer"/>
        <s v="Johnson-Funk"/>
        <s v="Rodriguez, Rippin and Dooley"/>
        <s v="Larson, Carter and Bins"/>
        <s v="Jenkins Group"/>
        <s v="Bahringer, Crist and Reynolds"/>
        <s v="Ledner Group"/>
        <s v="Bode-Schiller"/>
        <s v="Kessler, Mitchell and Torp"/>
        <s v="Powlowski and Sons"/>
        <s v="Davis Inc"/>
        <s v="Kuhic, Fadel and Herman"/>
        <s v="Ward, Heathcote and Mante"/>
        <s v="Schaefer-Stroman"/>
        <s v="Williamson, Thiel and Ratke"/>
        <s v="Grimes, Murray and Pfannerstill"/>
        <s v="Bruen, Morar and McLaughlin"/>
        <s v="Sporer-Wolff"/>
        <s v="Upton, Mosciski and Hane"/>
        <s v="Schulist LLC"/>
        <s v="Cummings, Green and Ritchie"/>
        <s v="Raynor-Graham"/>
        <s v="Durgan, Raynor and Leuschke"/>
        <s v="Rogahn-Ratke"/>
        <s v="Nikolaus-Kirlin"/>
        <s v="Becker, Kris and Medhurst"/>
        <s v="Schmitt-Block"/>
        <s v="Pfeffer-Cronin"/>
        <s v="Wunsch, Reilly and Blick"/>
        <s v="Daniel-Murphy"/>
        <s v="Klein, Gislason and O'Reilly"/>
        <s v="Kiehn, Frami and Lehner"/>
        <s v="Shields Group"/>
        <s v="Metz-Heller"/>
        <s v="Kling Group"/>
        <s v="Mann-Heathcote"/>
        <s v="Durgan-Haag"/>
        <s v="Ortiz-Greenfelder"/>
        <s v="Labadie-Moore"/>
        <s v="Kertzmann Inc"/>
        <s v="Langosh, Bruen and Koelpin"/>
        <s v="Olson Inc"/>
        <s v="McKenzie-Farrell"/>
        <s v="Osinski, Blick and Morar"/>
        <s v="Schultz-Flatley"/>
        <s v="Doyle-Haley"/>
        <s v="Miller Inc"/>
        <s v="Stokes, Harris and Douglas"/>
        <s v="Schoen, Hermann and Bechtelar"/>
        <s v="Deckow, Runolfsdottir and Schuppe"/>
        <s v="Lehner, Larson and Roberts"/>
        <s v="Dickinson Inc"/>
        <s v="Cormier Group"/>
        <s v="Donnelly Inc"/>
        <s v="Mante-Hermann"/>
        <s v="Pollich, Simonis and Kerluke"/>
        <s v="Leannon, Breitenberg and Crist"/>
        <s v="Mueller-Glover"/>
        <s v="Towne, Mills and Kuhlman"/>
        <s v="Durgan Group"/>
        <s v="Wehner LLC"/>
        <s v="Crooks, Corwin and Stoltenberg"/>
        <s v="Flatley-Hansen"/>
        <s v="Herman, Hansen and Kerluke"/>
        <s v="Mraz, Murazik and Kling"/>
        <s v="Balistreri, Roberts and Gottlieb"/>
        <s v="Armstrong, Schaefer and Upton"/>
        <s v="Ryan LLC"/>
        <s v="Bode-Kautzer"/>
        <s v="Bauch, Hamill and Johns"/>
        <s v="Schultz Group"/>
        <s v="Robel and Sons"/>
        <s v="Flipbug"/>
        <s v="Hane-Heller"/>
        <s v="Fisher, Jones and Cummerata"/>
        <s v="Orn and Sons"/>
        <s v="O'Connell Inc"/>
        <s v="Ferry Inc"/>
        <s v="Dibbert-Fahey"/>
        <s v="Sipes-Kautzer"/>
        <s v="Harris-Yost"/>
        <s v="Schinner-Daugherty"/>
        <s v="Barrows, Kihn and Bergnaum"/>
        <s v="Schultz, Lind and Jenkins"/>
        <s v="Kohler-Boyle"/>
        <s v="Kirlin-Wilderman"/>
        <s v="O'Hara-Kihn"/>
        <s v="Hirthe, Runolfsson and Farrell"/>
        <s v="Towne, Mohr and Emard"/>
        <s v="Wilkinson Inc"/>
        <s v="Goldner, Stracke and Ryan"/>
        <s v="Olson, Runte and Ferry"/>
        <s v="Pacocha-O'Hara"/>
        <s v="Spinka, Parisian and Daniel"/>
        <s v="Bergstrom, Dibbert and Witting"/>
        <s v="Bergstrom-Farrell"/>
        <s v="Kayveo"/>
        <s v="Ziemann-Labadie"/>
        <s v="VonRueden-Mosciski"/>
        <s v="Roberts, Schaefer and Ortiz"/>
        <s v="Hane, Harber and McClure"/>
        <s v="Haag, Ziemann and Greenfelder"/>
        <s v="Senger-Quigley"/>
        <s v="Carroll-Fahey"/>
        <s v="Schneider Group"/>
        <s v="Mertz, Hodkiewicz and Howell"/>
        <s v="Cartwright and Sons"/>
        <s v="Sauer, Kozey and Mohr"/>
        <s v="Yundt-Denesik"/>
        <s v="Graham, Moen and Mosciski"/>
        <s v="Adams Inc"/>
        <s v="Tillman, Kessler and Bechtelar"/>
        <s v="King-Weissnat"/>
        <s v="Bluezoom"/>
        <s v="Thoughtworks"/>
        <s v="Skipstorm"/>
        <s v="Snaptags"/>
        <s v="Photofeed"/>
        <s v="Larkin-Glover"/>
        <s v="Conroy-Keeling"/>
        <s v="Ratke-Abshire"/>
        <s v="Quigley and Sons"/>
        <s v="O'Keefe and Sons"/>
        <s v="Rogahn, Nolan and Bernhard"/>
        <s v="Braun, Swaniawski and Harris"/>
        <s v="Cartwright-Hodkiewicz"/>
        <s v="Goyette Inc"/>
        <s v="Halvorson, Walker and White"/>
        <s v="McGlynn-Watsica"/>
        <s v="Kertzmann Group"/>
        <s v="Kirlin, Bruen and Legros"/>
        <s v="Okuneva-Gislason"/>
        <s v="Stanton, Mayer and Sauer"/>
        <s v="Pagac-Farrell"/>
        <s v="Trantow, O'Keefe and Hyatt"/>
        <s v="Thiel LLC"/>
        <s v="Corkery-Little"/>
        <s v="Youopia"/>
        <s v="Wikizz"/>
        <s v="Feednation"/>
        <s v="Fiveclub"/>
        <s v="Cassin-Schmeler"/>
        <s v="Murazik, Konopelski and McLaughlin"/>
        <s v="Dibbert, Jacobi and Rippin"/>
        <s v="Wilderman, Nicolas and Sanford"/>
        <s v="Maggio, Sanford and Rodriguez"/>
        <s v="Feil, O'Keefe and Skiles"/>
        <s v="Kutch-Weimann"/>
        <s v="Braun, Stroman and Terry"/>
        <s v="Farrell Inc"/>
        <s v="Stark, Lueilwitz and Boyle"/>
        <s v="Wilderman-Kunze"/>
        <s v="Rowe-Volkman"/>
        <s v="Towne-Mayer"/>
        <s v="Franecki, Torphy and Hayes"/>
        <s v="O'Conner-Gibson"/>
        <s v="Adams-Casper"/>
        <s v="Crist LLC"/>
        <s v="Schmeler-Bayer"/>
        <s v="Ferry-Weber"/>
        <s v="Weber Group"/>
        <s v="McKenzie Inc"/>
        <s v="Hermiston Inc"/>
        <s v="Jones Group"/>
        <s v="Bernhard, Stokes and Carroll"/>
        <s v="O'Connell-Deckow"/>
        <s v="Monahan-Turner"/>
        <s v="Oberbrunner, Hintz and Frami"/>
        <s v="Rogahn, Rice and Christiansen"/>
        <s v="Carter, Bayer and Okuneva"/>
        <s v="King-Simonis"/>
        <s v="Quitzon-Ruecker"/>
        <s v="Turner-Leuschke"/>
        <s v="Jazzy"/>
        <s v="Trudoo"/>
        <s v="Devify"/>
        <s v="Zooveo"/>
        <s v="Yamia"/>
        <s v="Buzzdog"/>
        <s v="Stamm, Weissnat and Collier"/>
        <s v="Barton, Hodkiewicz and Hickle"/>
        <s v="Jones, Stark and MacGyver"/>
        <s v="Walsh and Sons"/>
        <s v="Kulas, Cummings and Bechtelar"/>
        <s v="Hessel-McClure"/>
        <s v="Pagac and Sons"/>
        <s v="White, Murazik and Larkin"/>
        <s v="Pfeffer-Prohaska"/>
        <s v="Hyatt, Hudson and Predovic"/>
        <s v="Maggio, Bartoletti and Hoppe"/>
        <s v="Schimmel, Denesik and Schmeler"/>
        <s v="Schmitt-Bradtke"/>
        <s v="Wilkinson, Balistreri and Beier"/>
        <s v="Leannon-Romaguera"/>
        <s v="Jakubowski, Effertz and Lemke"/>
        <s v="Hirthe, Fisher and Dooley"/>
        <s v="Tremblay Inc"/>
        <s v="Mertz, Adams and Bradtke"/>
        <s v="Hermiston LLC"/>
        <s v="Mayer Group"/>
        <s v="Wolf-Deckow"/>
        <s v="Franecki, Grant and Prosacco"/>
        <s v="Batz-Russel"/>
        <s v="Russel-Stiedemann"/>
        <s v="Zemlak, O'Reilly and Schowalter"/>
        <s v="Douglas-Wiza"/>
        <s v="Heidenreich, Murazik and Walsh"/>
        <s v="Konopelski, McDermott and Wunsch"/>
        <s v="Greenholt, Kirlin and Torphy"/>
        <s v="Skipfire"/>
        <s v="Buzzshare"/>
        <s v="Photobean"/>
        <s v="Agimba"/>
        <s v="Twitterbridge"/>
        <s v="Quamba"/>
        <s v="Topiclounge"/>
        <s v="Meezzy"/>
        <s v="Nicolas, Champlin and Dietrich"/>
        <s v="Shanahan, Gislason and Vandervort"/>
        <s v="Bogan, Weimann and Rath"/>
        <s v="Kemmer, O'Hara and DuBuque"/>
        <s v="Kerluke-McKenzie"/>
        <s v="Green, Kuhn and O'Connell"/>
        <s v="Conroy-Bartoletti"/>
        <s v="Schamberger LLC"/>
        <s v="Renner Inc"/>
        <s v="McKenzie, Reynolds and Hane"/>
        <s v="Schmidt, Hahn and Frami"/>
        <s v="Adams Group"/>
        <s v="Beier, Wolf and Schuster"/>
        <s v="Flatley Group"/>
        <s v="Barton Inc"/>
        <s v="Skiles, Deckow and Hintz"/>
        <s v="Upton-Parisian"/>
        <s v="Quigley-Kling"/>
        <s v="Reilly and Sons"/>
        <s v="Kassulke-Keebler"/>
        <s v="Morar-Berge"/>
        <s v="Emard Group"/>
        <s v="Nolan Group"/>
        <s v="Stroman, Wehner and Stamm"/>
        <s v="Doyle, Osinski and Gleichner"/>
        <s v="Nader, Steuber and Kulas"/>
        <s v="Schmidt-Kunze"/>
        <s v="MacGyver, Moore and Smith"/>
        <s v="Quigley Group"/>
        <s v="Lockman Inc"/>
        <s v="Schmidt, Skiles and Dare"/>
        <s v="Von LLC"/>
        <s v="Ruecker Inc"/>
        <s v="Heaney, Fadel and Wiegand"/>
        <s v="Kohler, Dietrich and Bosco"/>
        <s v="Stoltenberg-Fahey"/>
        <s v="Ledner-Lindgren"/>
        <s v="Olson LLC"/>
        <s v="Wunsch, Hegmann and Bradtke"/>
        <s v="Bernier, Stamm and Lemke"/>
        <s v="Mitchell-Veum"/>
        <s v="Hayes, Christiansen and Bahringer"/>
        <s v="Lang and Sons"/>
        <s v="Mills-Ziemann"/>
        <s v="Hoppe, Becker and Jacobs"/>
        <s v="Christiansen-Bechtelar"/>
        <s v="Bartoletti Group"/>
        <s v="Rippin and Sons"/>
        <s v="Sauer-Huels"/>
        <s v="Kerluke-Schuster"/>
        <s v="King-McKenzie"/>
        <s v="Langosh-Stark"/>
        <s v="Kreiger Group"/>
        <s v="Livetube"/>
        <s v="Rowe-Jacobs"/>
        <s v="Donnelly-Kunze"/>
        <s v="Batz-Gleichner"/>
        <s v="Borer-Aufderhar"/>
        <s v="Hirthe, Parisian and Pouros"/>
        <s v="Murphy Inc"/>
        <s v="Jabberstorm"/>
        <s v="Thoughtsphere"/>
        <s v="Fivebridge"/>
        <s v="Dabtype"/>
        <s v="Corkery LLC"/>
        <s v="Ledner, Koelpin and Rath"/>
        <s v="Walter LLC"/>
        <s v="Runolfsdottir-Kulas"/>
        <s v="Senger LLC"/>
        <s v="Legros-DuBuque"/>
        <s v="Mertz Group"/>
        <s v="Harber Inc"/>
        <s v="Borer, Durgan and Weber"/>
        <s v="Davis-Waelchi"/>
        <s v="Hessel, Zboncak and Rath"/>
        <s v="Harvey Group"/>
        <s v="Stoltenberg, Gulgowski and Murazik"/>
        <s v="Hickle LLC"/>
        <s v="Miller-Goyette"/>
        <s v="Ankunding, Mayer and Sanford"/>
        <s v="Anderson Inc"/>
        <s v="Sanford, Koch and Kulas"/>
        <s v="Champlin LLC"/>
        <s v="Beer, Toy and Reichert"/>
        <s v="Langworth-Conn"/>
        <s v="Ankunding, Kozey and Hauck"/>
        <s v="Kuhic, Abernathy and Ward"/>
        <s v="Monahan-Reinger"/>
        <s v="Kilback, Klein and Lemke"/>
        <s v="Huel Inc"/>
        <s v="Reinger, Price and Zemlak"/>
        <s v="Rogahn Group"/>
        <s v="Jacobson-Bogan"/>
        <s v="Kreiger-Stroman"/>
        <s v="Wilderman, Kulas and Emard"/>
        <s v="Mohr, Feil and Fisher"/>
        <s v="Hagenes, Schuppe and Homenick"/>
        <s v="Senger Inc"/>
        <s v="Bernier-Denesik"/>
        <s v="Bergnaum Group"/>
        <s v="Johnson-Zieme"/>
        <s v="Lesch-Ryan"/>
        <s v="Rutherford-Doyle"/>
        <s v="Swaniawski and Sons"/>
        <s v="Auer-Donnelly"/>
        <s v="Lockman, Kris and Hansen"/>
        <s v="Cronin-Dare"/>
        <s v="Effertz, Kuhlman and Koch"/>
        <s v="Simonis-Beahan"/>
        <s v="Crona-Smitham"/>
        <s v="Eimbee"/>
        <s v="Jaloo"/>
        <s v="Fivespan"/>
        <s v="Digitube"/>
        <s v="Wisozk, Hickle and Olson"/>
        <s v="Donnelly-Bergnaum"/>
        <s v="Jacobs-Cruickshank"/>
        <s v="Walter-Altenwerth"/>
        <s v="Schinner-Leannon"/>
        <s v="Torp-Goldner"/>
        <s v="Dooley-Feest"/>
        <s v="Ondricka-Beer"/>
        <s v="Hansen Group"/>
        <s v="Kris, Hartmann and Mraz"/>
        <s v="Klein LLC"/>
        <s v="Simonis and Sons"/>
        <s v="Schinner-Paucek"/>
        <s v="Hirthe, Keebler and Beahan"/>
        <s v="Koch-Swaniawski"/>
        <s v="Abbott, Greenholt and Schimmel"/>
        <s v="Shields-Corkery"/>
        <s v="Terry, Miller and Daugherty"/>
        <s v="Kshlerin, Monahan and Jerde"/>
        <s v="Heaney, Mayer and Tromp"/>
        <s v="Becker-Mann"/>
        <s v="Ziemann-Becker"/>
        <s v="Klocko, Sanford and Mertz"/>
        <s v="Hand, Gutmann and Ruecker"/>
        <s v="Balistreri Inc"/>
        <s v="Medhurst-Wintheiser"/>
        <s v="Braun, Schamberger and McKenzie"/>
        <s v="Gutkowski Inc"/>
        <s v="Wunsch Group"/>
        <s v="Twitterworks"/>
        <s v="Demizz"/>
        <s v="Voomm"/>
        <s v="Zazio"/>
        <s v="Bubblebox"/>
        <s v="Chatterbridge"/>
        <s v="Linkbridge"/>
        <s v="DabZ"/>
        <s v="Gabvine"/>
        <s v="Voolith"/>
        <s v="Eire"/>
        <s v="Devpoint"/>
        <s v="Twimbo"/>
        <s v="Youfeed"/>
        <s v="Realcube"/>
        <s v="Mycat"/>
        <s v="Innojam"/>
        <s v="Twinder"/>
        <s v="Reallinks"/>
        <s v="Einti"/>
        <s v="Meevee"/>
        <s v="Zoomcast"/>
        <s v="Demimbu"/>
        <s v="Vipe"/>
        <s v="Twitterbeat"/>
        <s v="Topicshots"/>
        <s v="Quire"/>
        <s v="Emmerich and Sons"/>
        <s v="McKenzie LLC"/>
        <s v="Lueilwitz-Cole"/>
        <s v="Casper-Flatley"/>
        <s v="Paucek, Pouros and Wunsch"/>
        <s v="Crona Inc"/>
        <s v="Waters LLC"/>
        <s v="Wyman-Jast"/>
        <s v="Kuhic-Parker"/>
        <s v="Swaniawski-McCullough"/>
        <s v="DuBuque-Hartmann"/>
        <s v="Spencer-Bauch"/>
        <s v="Hand-Bernhard"/>
        <s v="McLaughlin Group"/>
        <s v="Mertz-Dare"/>
        <s v="Simonis, Wyman and Connelly"/>
        <s v="Turner LLC"/>
        <s v="Herzog-Kub"/>
        <s v="Kris Inc"/>
        <s v="Thompson and Sons"/>
        <s v="Morar-Johns"/>
        <s v="Hessel Inc"/>
        <s v="Wiegand-Braun"/>
        <s v="VonRueden, Kreiger and McGlynn"/>
        <s v="Schmitt-Vandervort"/>
        <s v="Nicolas and Sons"/>
        <s v="Stanton, Stracke and Hegmann"/>
        <s v="Kuvalis, McClure and Leannon"/>
        <s v="Berge, Tremblay and Langworth"/>
        <s v="Schiller Group"/>
        <s v="Considine Group"/>
        <s v="Hammes Group"/>
        <s v="O'Reilly-Ruecker"/>
        <s v="Kreiger, Pfannerstill and Spencer"/>
        <s v="Schoen, Langworth and Howe"/>
        <s v="Hartmann Group"/>
        <s v="Swaniawski, Stokes and Beatty"/>
        <s v="Rohan, Bogisich and Herman"/>
        <s v="Toy LLC"/>
        <s v="Raynor, Hand and Grady"/>
        <s v="Corwin-Nolan"/>
        <s v="Green-Jenkins"/>
        <s v="Bogan, Schmeler and Schimmel"/>
        <s v="Mitchell Inc"/>
        <s v="Reichel, Spencer and Rau"/>
        <s v="Feeney, Schneider and Boyle"/>
        <s v="Sipes Group"/>
        <s v="Kunze and Sons"/>
        <s v="Schaden-Rau"/>
        <s v="Jenkins and Sons"/>
        <s v="Dibbert, Parisian and Stiedemann"/>
        <s v="Daniel and Sons"/>
        <s v="Ullrich-Runte"/>
        <s v="Gorczany LLC"/>
        <s v="Mayert-Heller"/>
        <s v="Schoen-Gutmann"/>
        <s v="Langosh-Kunde"/>
        <s v="Harvey and Sons"/>
        <s v="Shanahan-Emard"/>
        <s v="Goldner-Carter"/>
        <s v="McClure and Sons"/>
        <s v="Nicolas Group"/>
        <s v="Stanton, Gislason and Mosciski"/>
        <s v="Ward-DuBuque"/>
        <s v="Willms Group"/>
        <s v="Towne, Koss and Romaguera"/>
        <s v="Treutel, Carter and Daniel"/>
        <s v="Brekke LLC"/>
        <s v="Franecki and Sons"/>
        <s v="Ondricka-Heller"/>
        <s v="Heidenreich, Hirthe and Kohler"/>
        <s v="Donnelly-O'Keefe"/>
        <s v="Johnston LLC"/>
        <s v="Runolfsdottir Inc"/>
        <s v="Glover Inc"/>
        <s v="Swaniawski-DuBuque"/>
        <s v="Schneider, Lowe and O'Kon"/>
        <s v="Bergstrom and Sons"/>
        <s v="Lueilwitz, Rodriguez and Wiegand"/>
        <s v="Nitzsche, Howe and Anderson"/>
        <s v="Durgan, McLaughlin and Will"/>
        <s v="Terry, Mayer and Wehner"/>
        <s v="Metz, Heaney and Hand"/>
        <s v="Wilderman Group"/>
        <s v="MacGyver, McGlynn and Buckridge"/>
        <s v="Veum-Friesen"/>
        <s v="Dibbert, Hayes and Doyle"/>
        <s v="Bechtelar LLC"/>
        <s v="Crist, Cole and Hegmann"/>
        <s v="Kihn, Gusikowski and Kris"/>
        <s v="Farrell and Sons"/>
        <s v="Cummings-Williamson"/>
        <s v="Ritchie LLC"/>
        <s v="Ritchie-Luettgen"/>
        <s v="Davis-Keebler"/>
        <s v="Tremblay-Will"/>
        <s v="Runte-O'Connell"/>
        <s v="Ziemann Group"/>
        <s v="Pacocha Group"/>
        <s v="Runte-Feeney"/>
        <s v="Zemlak-Brekke"/>
        <s v="Conn LLC"/>
        <s v="Gibson-Ullrich"/>
        <s v="Parker, Spencer and O'Conner"/>
        <s v="Maggio-Lehner"/>
        <s v="Yost-Ratke"/>
        <s v="McGlynn-Nitzsche"/>
        <s v="Schuster-Pfeffer"/>
        <s v="Hagenes, Schinner and Leannon"/>
        <s v="Fahey-Kozey"/>
        <s v="Harber LLC"/>
        <s v="Wunsch, Spencer and Baumbach"/>
        <s v="Lindgren Group"/>
        <s v="Moore, Emard and Larkin"/>
        <s v="Bahringer LLC"/>
        <s v="Koepp, Zemlak and Ortiz"/>
        <s v="Jacobson Group"/>
        <s v="Fritsch-Greenfelder"/>
        <s v="Balistreri, Mosciski and Emmerich"/>
        <s v="Schumm and Sons"/>
        <s v="O'Keefe LLC"/>
        <s v="Reinger, Wiegand and O'Reilly"/>
        <s v="McDermott-Jenkins"/>
        <s v="Trantow LLC"/>
        <s v="Gutmann and Sons"/>
        <s v="Goyette, D'Amore and Murphy"/>
        <s v="Beier Group"/>
        <s v="McGlynn-Shanahan"/>
        <s v="Kuvalis-Casper"/>
        <s v="Hintz LLC"/>
        <s v="Boehm-Yundt"/>
        <s v="Borer, Cassin and Fahey"/>
        <s v="Pfannerstill, Turcotte and Stokes"/>
        <s v="Rogahn-Ward"/>
        <s v="Gutmann LLC"/>
        <s v="Morar, Lueilwitz and Brekke"/>
        <s v="Green Inc"/>
        <s v="Beer-Schowalter"/>
        <s v="Swift LLC"/>
        <s v="Heathcote, Price and Morar"/>
        <s v="Mayert, Dicki and Boehm"/>
        <s v="Kassulke-Kunde"/>
        <s v="Bauch and Sons"/>
        <s v="Mayert-Gleason"/>
        <s v="Sporer-Hermann"/>
        <s v="Zoomzone"/>
        <s v="Talane"/>
        <s v="Realmix"/>
        <s v="Riffpedia"/>
        <s v="Devshare"/>
        <s v="Livefish"/>
        <s v="Jamia"/>
        <s v="Gigabox"/>
        <s v="Eare"/>
        <s v="Linktype"/>
        <s v="Thoughtmix"/>
        <s v="Wolf-Dooley"/>
        <s v="Jacobs, Abernathy and Bernier"/>
        <s v="Renner LLC"/>
        <s v="Connelly-Jaskolski"/>
        <s v="Dooley LLC"/>
        <s v="Rempel Inc"/>
        <s v="Schaden Group"/>
        <s v="Dickens-Franecki"/>
        <s v="Champlin, Hamill and Olson"/>
        <s v="Kirlin-Volkman"/>
        <s v="Grant LLC"/>
        <s v="Hamill, Gleason and Padberg"/>
        <s v="Bauch-Wintheiser"/>
        <s v="Torp-Rohan"/>
        <s v="Vandervort-Barton"/>
        <s v="Corwin Group"/>
        <s v="Tillman-Herman"/>
        <s v="Nader, Kozey and Sawayn"/>
        <s v="Kohler-Rice"/>
        <s v="Oberbrunner Group"/>
        <s v="Parisian-Schoen"/>
        <s v="Orn, Bogan and Schowalter"/>
        <s v="Pfannerstill, Cummings and Cormier"/>
        <s v="Yost-Larkin"/>
        <s v="Von-O'Hara"/>
        <s v="Pollich LLC"/>
        <s v="Murazik Group"/>
        <s v="Hettinger-Cummings"/>
        <s v="Wilkinson, Dickens and Mills"/>
        <s v="Schmitt Inc"/>
        <s v="Rogahn, Gusikowski and Lehner"/>
        <s v="Schaden-Davis"/>
        <s v="Pagac, Crona and Dare"/>
        <s v="Macejkovic, Kemmer and Sawayn"/>
        <s v="Luettgen Group"/>
        <s v="Fisher Inc"/>
        <s v="Greenholt and Sons"/>
        <s v="McDermott Inc"/>
        <s v="Collins, Bruen and Hahn"/>
        <s v="Beier LLC"/>
        <s v="Mraz-Smitham"/>
        <s v="Jacobs and Sons"/>
        <s v="Sanford and Sons"/>
        <s v="Gislason Group"/>
        <s v="Littel, Leuschke and Bernier"/>
        <s v="Collier Inc"/>
        <s v="Towne Group"/>
        <s v="Kris and Sons"/>
        <s v="Wolf-Boyle"/>
        <s v="Schuppe-Roberts"/>
        <s v="Morar-Towne"/>
        <s v="Kris LLC"/>
        <s v="McGlynn, VonRueden and Stanton"/>
        <s v="Witting LLC"/>
        <s v="Stehr-Schultz"/>
        <s v="Hartmann-Upton"/>
        <s v="Orn, Langosh and Adams"/>
        <s v="Graham-Lueilwitz"/>
        <s v="Morissette-Witting"/>
        <s v="Christiansen, Ondricka and Cummings"/>
        <s v="Dicki Group"/>
        <s v="Pouros-Ferry"/>
        <s v="Gutkowski, Dibbert and Brekke"/>
        <s v="Ratke, Considine and Dicki"/>
        <s v="Schamberger, Wolff and Strosin"/>
        <s v="Jacobson, White and Murray"/>
        <s v="Carroll-Kulas"/>
        <s v="Kuhic-Lebsack"/>
        <s v="Hilpert, Robel and Conn"/>
        <s v="Windler-Vandervort"/>
        <s v="Champlin, Mueller and Nader"/>
        <s v="Feest-Flatley"/>
        <s v="Kozey, Wiegand and Balistreri"/>
        <s v="Cartwright, Deckow and Hettinger"/>
        <s v="Funk, Orn and Ziemann"/>
        <s v="Lind, Kris and Dach"/>
        <s v="Von Inc"/>
        <s v="Kuhic, Kiehn and Satterfield"/>
        <s v="Ratke, Schowalter and Hilpert"/>
        <s v="Lakin, Langworth and Kozey"/>
        <s v="Ankunding, Nienow and Larson"/>
        <s v="Parisian, Breitenberg and Prohaska"/>
        <s v="Stoltenberg and Sons"/>
        <s v="Haag-Fisher"/>
        <s v="Ledner-Kessler"/>
        <s v="Hodkiewicz-Greenfelder"/>
        <s v="Bode, Ritchie and Koss"/>
        <s v="Yundt, Stokes and Effertz"/>
        <s v="Mills, Hilll and Strosin"/>
        <s v="Rodriguez-Cummings"/>
        <s v="Spencer LLC"/>
        <s v="Mayert-Reinger"/>
        <s v="Hand, Strosin and Toy"/>
        <s v="Hegmann, Bergnaum and White"/>
        <s v="Heathcote, Thiel and Aufderhar"/>
        <s v="White-Davis"/>
        <s v="Nader-Stroman"/>
        <s v="Crooks-Schimmel"/>
        <s v="Stroman-Yundt"/>
        <s v="Reinger, Marquardt and Durgan"/>
        <s v="Hermann and Sons"/>
        <s v="Robel Inc"/>
        <s v="Hilll-Skiles"/>
        <s v="Pagac, Huel and Emmerich"/>
        <s v="Klein, Wintheiser and Macejkovic"/>
        <s v="Swift, Kunze and Schumm"/>
        <s v="Lubowitz, Padberg and Romaguera"/>
        <s v="Flatley-Huels"/>
        <s v="McDermott, Balistreri and Effertz"/>
        <s v="Wordify"/>
        <s v="Fivechat"/>
        <s v="Dazzlesphere"/>
        <s v="Meejo"/>
        <s v="Ozu"/>
        <s v="Voonte"/>
        <s v="Jabbersphere"/>
        <s v="Gabcube"/>
        <s v="Zoombox"/>
        <s v="Oyope"/>
        <s v="Topicstorm"/>
        <s v="Vidoo"/>
        <s v="Gabtype"/>
        <s v="Skyba"/>
        <s v="Dynava"/>
        <s v="Oyoyo"/>
        <s v="Roombo"/>
        <s v="Jabberbean"/>
        <s v="Yakijo"/>
        <s v="Mudo"/>
        <s v="Avavee"/>
        <s v="Zoomdog"/>
        <s v="Latz"/>
        <s v="Voonder"/>
        <s v="Heller-Sanford"/>
        <s v="Aufderhar, Crona and Wilkinson"/>
        <s v="Smitham, Russel and O'Connell"/>
        <s v="Boehm, Rosenbaum and Beahan"/>
        <s v="Parisian, MacGyver and Moen"/>
        <s v="Reichert-Howe"/>
        <s v="Beahan Group"/>
        <s v="Fahey-Pouros"/>
        <s v="Zemlak, O'Hara and Wilderman"/>
        <s v="Rempel, King and Wehner"/>
        <s v="Schmidt Group"/>
        <s v="Gottlieb, Jakubowski and Rowe"/>
        <s v="Wilkinson and Sons"/>
        <s v="Ankunding, Casper and Leuschke"/>
        <s v="Kulas Inc"/>
        <s v="Olson-Lakin"/>
        <s v="Cartwright, Bosco and Schuppe"/>
        <s v="VonRueden, Murray and Mosciski"/>
        <s v="Kiehn Inc"/>
        <s v="Daugherty, Keeling and Leannon"/>
        <s v="Brakus, Huel and Hamill"/>
        <s v="Legros-Effertz"/>
        <s v="Lueilwitz-Spencer"/>
        <s v="Waters, Gislason and Auer"/>
        <s v="Schamberger, Runte and Lehner"/>
        <s v="Carter-Sanford"/>
        <s v="Mann-Braun"/>
        <s v="Terry, Cole and Zemlak"/>
        <s v="Christiansen-Hartmann"/>
        <s v="Mraz, Bernier and Satterfield"/>
        <s v="Nader, Bednar and Macejkovic"/>
        <s v="Schimmel-Denesik"/>
        <s v="Cummings, Weimann and Zulauf"/>
        <s v="Aufderhar Inc"/>
        <s v="Watsica-Pollich"/>
        <s v="Hilll-Stehr"/>
        <s v="Dooley Group"/>
        <s v="Lebsack-Carroll"/>
        <s v="Tremblay and Sons"/>
        <s v="Wiegand-Schroeder"/>
        <s v="Reynolds Inc"/>
        <s v="Huel-Smitham"/>
        <s v="Cassin Group"/>
        <s v="Effertz, Stark and DuBuque"/>
        <s v="Harris-Lockman"/>
        <s v="Klocko, Herzog and Ruecker"/>
        <s v="Gibson Inc"/>
        <s v="Dickinson-Murphy"/>
        <s v="Bernier-Beatty"/>
        <s v="Daugherty LLC"/>
        <s v="Ziemann-Kessler"/>
        <s v="Schumm, Crona and Auer"/>
        <s v="Crooks-Green"/>
        <s v="Pacocha-Bartell"/>
        <s v="Thompson-Osinski"/>
        <s v="Little-Runte"/>
        <s v="Weissnat, Stamm and Marquardt"/>
        <s v="Kuphal Inc"/>
        <s v="Jaskolski-Welch"/>
        <s v="Shanahan, O'Keefe and Lemke"/>
        <s v="Heller-Morissette"/>
        <s v="Goldner Inc"/>
        <s v="Hyatt-Pouros"/>
        <s v="Kshlerin, Jacobson and Funk"/>
        <s v="Heidenreich, MacGyver and Greenholt"/>
        <s v="Blanda, Champlin and Rempel"/>
        <s v="Funk Inc"/>
        <s v="Wehner-Dach"/>
        <s v="VonRueden LLC"/>
        <s v="Connelly and Sons"/>
        <s v="McKenzie-Spinka"/>
        <s v="Tillman, Hand and Lesch"/>
        <s v="Von-Ritchie"/>
        <s v="Batz LLC"/>
        <s v="Reilly LLC"/>
        <s v="Kirlin-Bartell"/>
        <s v="Buckridge-Hickle"/>
        <s v="Daugherty Inc"/>
        <s v="Gusikowski, Lakin and Rice"/>
        <s v="Orn-Crist"/>
        <s v="Metz Inc"/>
        <s v="Hermann Group"/>
        <s v="Flatley, Lemke and Grady"/>
        <s v="Terry, Gleichner and Stehr"/>
        <s v="Barton, Altenwerth and Bailey"/>
        <s v="Kautzer Group"/>
        <s v="Turcotte, Anderson and Cormier"/>
        <s v="Kuphal, Schmeler and Christiansen"/>
        <s v="Kuvalis Group"/>
        <s v="Hilpert-Auer"/>
        <s v="Smitham Group"/>
        <s v="Stokes and Sons"/>
        <s v="Mills Group"/>
        <s v="Considine, Treutel and Koss"/>
        <s v="Senger, Goldner and Simonis"/>
        <s v="Grant, Blanda and Block"/>
        <s v="Herzog LLC"/>
        <s v="Spinka, Kozey and Shanahan"/>
        <s v="Osinski-Dicki"/>
        <s v="Crona, Aufderhar and Satterfield"/>
        <s v="Monahan-Cummings"/>
        <s v="Corkery-Steuber"/>
        <s v="Bergnaum, Koch and Rutherford"/>
        <s v="Herman, Doyle and Hilpert"/>
        <s v="D'Amore, Marvin and Jacobs"/>
        <s v="Upton-Abshire"/>
        <s v="Cormier-Schulist"/>
        <s v="Schowalter LLC"/>
        <s v="Runolfsson-Hudson"/>
        <s v="Hudson-Hahn"/>
        <s v="Leannon, Yost and Nitzsche"/>
        <s v="Denesik, Swaniawski and Schulist"/>
        <s v="Price, Haley and Satterfield"/>
        <s v="Witting Group"/>
        <s v="Funk-Kuphal"/>
        <s v="Collier, Rempel and Kertzmann"/>
        <s v="Lang-Halvorson"/>
        <s v="Kovacek-Quigley"/>
        <s v="Howell-Weimann"/>
        <s v="Beatty-Marvin"/>
        <s v="Miller LLC"/>
        <s v="Mosciski-Buckridge"/>
        <s v="Harber-Ebert"/>
        <s v="Mann, Bogan and Reilly"/>
        <s v="Aufderhar, Metz and Casper"/>
        <s v="Reichert, Gislason and Koepp"/>
        <s v="Carroll-Bogisich"/>
        <s v="Batz, Wisozk and Hamill"/>
        <s v="Leuschke, Beer and White"/>
        <s v="Kutch-Cronin"/>
        <s v="Parisian, Volkman and Gerhold"/>
        <s v="Stanton, Smith and Bernhard"/>
        <s v="Ryan-Schimmel"/>
        <s v="Cronin Group"/>
        <s v="Kautzer, Hodkiewicz and Bode"/>
        <s v="Labadie Inc"/>
        <s v="Mertz-Koelpin"/>
        <s v="Dietrich, Stehr and Herman"/>
        <s v="Prohaska, Christiansen and Yost"/>
        <s v="Walker Group"/>
        <s v="Monahan, Pfannerstill and Lindgren"/>
        <s v="Boehm Inc"/>
        <s v="Bins-Hodkiewicz"/>
        <s v="O'Reilly-Heller"/>
        <s v="Baumbach and Sons"/>
        <s v="Brekke Inc"/>
        <s v="Bauch, Fadel and Reichert"/>
        <s v="Wolf, Halvorson and Koepp"/>
        <s v="Boehm, Satterfield and Quigley"/>
        <s v="Marquardt-Bergnaum"/>
        <s v="Bashirian, Wiegand and Jerde"/>
        <s v="Beatty, Baumbach and Lubowitz"/>
        <s v="Pouros, Boyle and Ullrich"/>
        <s v="Brakus-Metz"/>
        <s v="Dibbert Group"/>
        <s v="Weimann-Will"/>
        <s v="Weimann-Dibbert"/>
        <s v="Hettinger-Gleason"/>
        <s v="Ritchie and Sons"/>
        <s v="Mann, Erdman and O'Keefe"/>
        <s v="Herzog, Legros and Wuckert"/>
        <s v="Schuster, Spencer and Gerhold"/>
        <s v="Hodkiewicz, Toy and Konopelski"/>
        <s v="Larkin-Little"/>
        <s v="Schmidt LLC"/>
        <s v="Murray-Watsica"/>
        <s v="Boyer Group"/>
        <s v="Stroman, Block and Koepp"/>
        <s v="Johnson and Sons"/>
        <s v="Mueller-Conn"/>
        <s v="Balistreri-Schultz"/>
        <s v="Cruickshank Group"/>
        <s v="Homenick Group"/>
        <s v="Muller LLC"/>
        <s v="Schuster LLC"/>
        <s v="Dare, Tillman and Becker"/>
        <s v="Nolan, Maggio and Hoeger"/>
        <s v="Hermiston-Bergstrom"/>
        <s v="Bradtke and Sons"/>
        <s v="Cruickshank and Sons"/>
        <s v="Wolff Inc"/>
        <s v="Lockman-O'Connell"/>
        <s v="Stehr-Maggio"/>
        <s v="Schaefer-O'Keefe"/>
        <s v="Rempel-Greenfelder"/>
        <s v="Berge Inc"/>
        <s v="Powlowski-Simonis"/>
        <s v="Prohaska-Kuvalis"/>
        <s v="Brakus-Simonis"/>
        <s v="Tillman, VonRueden and Ondricka"/>
        <s v="Batz Inc"/>
        <s v="Medhurst and Sons"/>
        <s v="Schoen Inc"/>
        <s v="Toy-Grady"/>
        <s v="Keeling and Sons"/>
        <s v="Gusikowski and Sons"/>
        <s v="Bahringer, Jerde and Dibbert"/>
        <s v="Murray-Koepp"/>
        <s v="Erdman-Beahan"/>
        <s v="Hayes LLC"/>
        <s v="Kutch, Bauch and Heathcote"/>
        <s v="Heathcote-Hettinger"/>
        <s v="Powlowski-Kuhlman"/>
        <s v="Wyman, Becker and Mueller"/>
        <s v="Rosenbaum-Conn"/>
        <s v="Rolfson-Kub"/>
        <s v="Fahey-Zulauf"/>
        <s v="Brakus Group"/>
        <s v="Fay, Barrows and Walter"/>
        <s v="Jerde Group"/>
        <s v="Quigley LLC"/>
        <s v="Daugherty, Bednar and Ebert"/>
        <s v="Ondricka and Sons"/>
        <s v="Towne-Kuhlman"/>
        <s v="Feest-Beahan"/>
        <s v="Roob and Sons"/>
        <s v="Monahan Group"/>
        <s v="Will Inc"/>
        <s v="Balistreri, Keeling and Prohaska"/>
        <s v="Thiel-Wilderman"/>
        <s v="Gleason Inc"/>
        <s v="Bailey, Wehner and Schimmel"/>
        <s v="Zulauf-Kemmer"/>
        <s v="Torphy-Weissnat"/>
        <s v="Wyman-Luettgen"/>
        <s v="Kihn, Corkery and Dach"/>
        <s v="Braun LLC"/>
        <s v="Bailey, Ratke and Miller"/>
        <s v="Becker-Heaney"/>
        <s v="O'Hara, Stark and Kunde"/>
        <s v="Twimm"/>
        <s v="Bubbletube"/>
        <s v="O'Conner, Bradtke and Hilll"/>
        <s v="Dietrich-Murphy"/>
        <s v="Price, Huels and Olson"/>
        <s v="Rolfson Inc"/>
        <s v="Sipes, Pollich and Hilll"/>
        <s v="Rempel-Brekke"/>
        <s v="Osinski-Wilderman"/>
        <s v="McDermott-Mayer"/>
        <s v="Ailane"/>
        <s v="Gabspot"/>
        <s v="Abernathy-Collins"/>
        <s v="Reynolds and Sons"/>
        <s v="Klein Inc"/>
        <s v="Pollich, Dietrich and Becker"/>
        <s v="Farrell-Rippin"/>
        <s v="Funk, Conroy and Hudson"/>
        <s v="Tillman and Sons"/>
        <s v="Mills-Graham"/>
        <s v="D'Amore, Kihn and Pfeffer"/>
        <s v="Twitterlist"/>
        <s v="Rhynyx"/>
        <s v="Gevee"/>
        <s v="Jaxbean"/>
        <s v="Fanoodle"/>
        <s v="Browseblab"/>
        <s v="Browsedrive"/>
        <s v="Shufflester"/>
        <s v="Katz"/>
        <s v="Flipstorm"/>
        <s v="Zoonoodle"/>
        <s v="JumpXS"/>
        <s v="Edgeify"/>
        <s v="Kwimbee"/>
        <s v="Rhyzio"/>
        <s v="Wordtune"/>
        <s v="Skyble"/>
        <s v="Oba"/>
        <s v="Devbug"/>
        <s v="McCullough-Hammes"/>
        <s v="Botsford LLC"/>
        <s v="Bauch-Schmitt"/>
        <s v="Koepp-Hand"/>
        <s v="Konopelski, Feest and Fisher"/>
        <s v="Goyette-Green"/>
        <s v="McCullough Inc"/>
        <s v="Botsford Group"/>
        <s v="Hand-Fisher"/>
        <s v="Bins, Dooley and Kirlin"/>
        <s v="Yost Group"/>
        <s v="MacGyver, Kautzer and Stamm"/>
        <s v="Mills, Heller and Herzog"/>
        <s v="Kuhlman, Friesen and Emmerich"/>
        <s v="Fritsch-Kertzmann"/>
        <s v="Padberg LLC"/>
        <s v="Rath, Hand and Ryan"/>
        <s v="Weber LLC"/>
        <s v="Weissnat-Mitchell"/>
        <s v="Ruecker Group"/>
        <s v="Kessler and Sons"/>
        <s v="Gutkowski and Sons"/>
        <s v="Fritsch-Bradtke"/>
        <s v="Leannon-Ledner"/>
        <s v="Rogahn, O'Reilly and McDermott"/>
        <s v="Swift, Franecki and Orn"/>
        <s v="Sipes, Schimmel and Torp"/>
        <s v="Torphy-Medhurst"/>
        <s v="Muller-Muller"/>
        <s v="Hegmann-Daniel"/>
        <s v="Gusikowski LLC"/>
        <s v="Konopelski, Littel and Romaguera"/>
        <s v="Dibbert LLC"/>
        <s v="Wuckert, Kiehn and Weissnat"/>
        <s v="Nikolaus, Veum and Beahan"/>
        <s v="Bergstrom-Barrows"/>
        <s v="Spinka-White"/>
        <s v="Wintheiser Group"/>
        <s v="Hauck, Wiza and Mitchell"/>
        <s v="Nolan, Abernathy and Fay"/>
        <s v="Brekke, Jacobi and Crist"/>
        <s v="Steuber, Schuster and Rutherford"/>
        <s v="Luettgen Inc"/>
        <s v="Donnelly and Sons"/>
        <s v="Kshlerin-Jones"/>
        <s v="Howell, Hickle and Jacobs"/>
        <s v="Auer-Corwin"/>
        <s v="Johnson, Wehner and Boyle"/>
        <s v="Lebsack-Schmidt"/>
        <s v="Hudson LLC"/>
        <s v="Corkery, Wiegand and Ullrich"/>
        <s v="Langworth and Sons"/>
        <s v="Wilderman and Sons"/>
        <s v="Muller-Kohler"/>
        <s v="Leuschke-Zboncak"/>
        <s v="Walter and Sons"/>
        <s v="Terry and Sons"/>
        <s v="Monahan Inc"/>
        <s v="Mayer Inc"/>
        <s v="Hirthe LLC"/>
        <s v="Steuber, Frami and Witting"/>
        <s v="Abbott-Dibbert"/>
        <s v="Lindgren-McDermott"/>
        <s v="Kreiger-Dooley"/>
        <s v="Prohaska and Sons"/>
        <s v="Kessler-Fisher"/>
        <s v="Howell Inc"/>
        <s v="Jaskolski, Rippin and Pfannerstill"/>
        <s v="Mertz-Grimes"/>
        <s v="Heller and Sons"/>
        <s v="Rau and Sons"/>
        <s v="Koepp-Abbott"/>
        <s v="Ward, Koepp and Thiel"/>
        <s v="Conroy Group"/>
        <s v="Baumbach Inc"/>
        <s v="Kirlin Group"/>
        <s v="Grant, Kihn and Volkman"/>
        <s v="Rodriguez-Leannon"/>
        <s v="Jacobs-Dickinson"/>
        <s v="Durgan and Sons"/>
        <s v="Bechtelar-Price"/>
        <s v="Spencer, Walter and Wolf"/>
        <s v="Herman-Graham"/>
        <s v="Kulas-Cummings"/>
        <s v="Towne LLC"/>
        <s v="Stark, Beahan and Frami"/>
        <s v="Hackett, Breitenberg and Feil"/>
        <s v="Moore, Bergstrom and Greenholt"/>
        <s v="Bartoletti-Sawayn"/>
        <s v="Shields, Veum and Legros"/>
        <s v="Kautzer-Shanahan"/>
        <s v="Walter, Roberts and Grant"/>
        <s v="Ferry, Kassulke and Abshire"/>
        <s v="Douglas Inc"/>
        <s v="Nitzsche Inc"/>
        <s v="Schroeder-Boyle"/>
        <s v="Torp-Bernhard"/>
        <s v="Medhurst-Marvin"/>
        <s v="Barrows-Abbott"/>
        <s v="Hermann LLC"/>
        <s v="Kautzer, Bahringer and Littel"/>
        <s v="Weber and Sons"/>
        <s v="Pfannerstill, Denesik and Rodriguez"/>
        <s v="Kirlin-Rodriguez"/>
        <s v="Mante-Towne"/>
        <s v="Rau, Veum and Purdy"/>
        <s v="Hyatt-Dare"/>
        <s v="Leuschke, Wuckert and Yundt"/>
        <s v="Mayer, Ryan and Satterfield"/>
        <s v="Mann-Moore"/>
        <s v="Ebert, Schinner and Haag"/>
        <s v="Hegmann-Kris"/>
        <s v="Williamson, Williamson and Walker"/>
        <s v="Runolfsson, Schinner and Beier"/>
        <s v="Schamberger, Hartmann and Jones"/>
        <s v="Marvin, Gutkowski and Anderson"/>
        <s v="Kutch, Dickinson and Ullrich"/>
        <s v="Wolf LLC"/>
        <s v="Quitzon, O'Conner and Erdman"/>
        <s v="Tremblay, Jacobson and Hackett"/>
        <s v="Bauch-Kovacek"/>
        <s v="Marvin, Hills and Hirthe"/>
        <s v="Leannon, Schowalter and Waters"/>
        <s v="Kemmer and Sons"/>
        <s v="Dickens, Lubowitz and Emard"/>
        <s v="Emard and Sons"/>
        <s v="Lind Group"/>
        <s v="Wolff Group"/>
        <s v="Rogahn-Rodriguez"/>
        <s v="Ratke, Bogan and Kautzer"/>
        <s v="Greenholt-Kiehn"/>
        <s v="Hayes and Sons"/>
        <s v="Bernhard, Auer and Pollich"/>
        <s v="Champlin-Christiansen"/>
        <s v="Tillman Group"/>
        <s v="Rutherford-Botsford"/>
        <s v="Monahan, Witting and Schaden"/>
        <s v="Feedfish"/>
        <s v="Oodoo"/>
        <s v="Realblab"/>
        <s v="Babblestorm"/>
        <s v="Nlounge"/>
        <s v="Fatz"/>
        <s v="Pixonyx"/>
        <s v="Avaveo"/>
        <s v="Skilith"/>
        <s v="Brainlounge"/>
        <s v="Wikido"/>
        <s v="Brainverse"/>
        <s v="O'Conner-Zboncak"/>
        <s v="Goldner Group"/>
        <s v="Pfannerstill, VonRueden and Greenfelder"/>
        <s v="Padberg, Ferry and Abshire"/>
        <s v="Effertz-Wehner"/>
        <s v="Ebert-Cummerata"/>
        <s v="Nolan-DuBuque"/>
        <s v="Franecki-Baumbach"/>
        <s v="Cremin Group"/>
        <s v="Friesen, Jacobson and Lockman"/>
        <s v="West, Rodriguez and Larson"/>
        <s v="Douglas-Purdy"/>
        <s v="Wilkinson Group"/>
        <s v="Greenholt LLC"/>
        <s v="Torp, Nitzsche and Nicolas"/>
        <s v="Lindgren-Kuphal"/>
        <s v="Becker-Legros"/>
        <s v="Auer-Kub"/>
        <s v="Abshire-Turcotte"/>
        <s v="Haag LLC"/>
        <s v="Kunde, Jast and Medhurst"/>
        <s v="Wiegand-Shanahan"/>
        <s v="Kris-Haley"/>
        <s v="McCullough, Wehner and Mitchell"/>
        <s v="Bernier Group"/>
        <s v="Schroeder-Cartwright"/>
        <s v="Deckow Inc"/>
        <s v="Hintz and Sons"/>
        <s v="Rolfson-Nicolas"/>
        <s v="Hahn-Mraz"/>
        <s v="Parisian Group"/>
        <s v="Mann-Balistreri"/>
        <s v="Becker, Wolff and Legros"/>
        <s v="Sporer-Harber"/>
        <s v="Hickle, Witting and Langworth"/>
        <s v="Wilkinson, Ebert and Toy"/>
        <s v="Marquardt-Steuber"/>
        <s v="Deckow-Beatty"/>
        <s v="Dicki, Ferry and Dare"/>
        <s v="Schmidt and Sons"/>
        <s v="Greenfelder and Sons"/>
        <s v="McKenzie, Kovacek and Reichel"/>
        <s v="Greenfelder Inc"/>
        <s v="Goyette and Sons"/>
        <s v="Pacocha and Sons"/>
        <s v="Wiza Group"/>
        <s v="Murray-Ullrich"/>
        <s v="Ward LLC"/>
        <s v="Ferry-Bernier"/>
        <s v="Glover and Sons"/>
        <s v="Brakus, Reichel and Funk"/>
        <s v="Huels and Sons"/>
        <s v="Schuppe-Funk"/>
        <s v="Buckridge, Lakin and Nader"/>
        <s v="Ryan, Schneider and Medhurst"/>
        <s v="Braun-Zieme"/>
        <s v="Legros-Pacocha"/>
        <s v="Block, Tromp and Johnston"/>
        <s v="Johnson, Kiehn and Walsh"/>
        <s v="Smith and Sons"/>
        <s v="Spencer-Jacobs"/>
        <s v="Wolf, Kozey and Olson"/>
        <s v="Runolfsdottir and Sons"/>
        <s v="Orn-Green"/>
        <s v="Braun-Denesik"/>
        <s v="Tromp-Jacobs"/>
        <s v="Morar-Lebsack"/>
        <s v="Gislason, Dare and Yundt"/>
        <s v="Lehner, Jacobson and Brakus"/>
        <s v="Homenick, Barton and Mayert"/>
        <s v="VonRueden, Hayes and Conn"/>
        <s v="Nitzsche-Reichel"/>
        <s v="Mosciski, Wisozk and Hamill"/>
        <s v="Buckridge-Langosh"/>
        <s v="Hessel, Ward and Bernhard"/>
        <s v="Huels, Kutch and Gorczany"/>
        <s v="Stehr LLC"/>
        <s v="Casper-Bahringer"/>
        <s v="DuBuque, Cormier and Reichel"/>
        <s v="Welch LLC"/>
        <s v="Keeling, Miller and Rolfson"/>
        <s v="Smith, Daniel and Bruen"/>
        <s v="Windler Group"/>
        <s v="Moore Inc"/>
        <s v="Herzog-Jacobi"/>
        <s v="Murazik, Johnson and Roob"/>
        <s v="Koss, Reilly and Monahan"/>
        <s v="Douglas, Kulas and Roberts"/>
        <s v="Jacobs, Fay and Konopelski"/>
        <s v="Dooley-Walker"/>
        <s v="Connelly, Tillman and Smith"/>
        <s v="Emard-Hartmann"/>
        <s v="Schaden-Bauch"/>
        <s v="Hartmann LLC"/>
        <s v="Wehner-Kuphal"/>
        <s v="Mydeo"/>
        <s v="Tazzy"/>
        <s v="Roomm"/>
        <s v="Plambee"/>
        <s v="Agivu"/>
        <s v="Browsebug"/>
        <s v="Fadeo"/>
        <s v="Bluejam"/>
        <s v="Kazu"/>
        <s v="Eayo"/>
        <s v="LiveZ"/>
        <s v="Brainbox"/>
        <s v="Mymm"/>
        <s v="Oyonder"/>
        <s v="Skinder"/>
        <s v="Minyx"/>
        <s v="Ooba"/>
        <s v="Zoomlounge"/>
        <s v="Tazz"/>
        <s v="Dynazzy"/>
        <s v="Wikibox"/>
        <s v="Tagcat"/>
        <s v="Quimm"/>
        <s v="Mita"/>
        <s v="Devcast"/>
        <s v="Yombu"/>
        <s v="Janyx"/>
        <s v="Avamba"/>
        <s v="Eidel"/>
        <s v="Zoozzy"/>
        <s v="Omba"/>
        <s v="Thoughtbridge"/>
        <s v="Skidoo"/>
        <s v="Tagtune"/>
        <s v="Edgewire"/>
        <s v="Kamba"/>
        <s v="Vitz"/>
        <s v="Twiyo"/>
        <s v="Lazzy"/>
        <s v="Miboo"/>
        <s v="Jabbertype"/>
        <s v="Izio"/>
        <s v="Stamm, Hintz and Smith"/>
        <s v="Armstrong, Murphy and Mosciski"/>
        <s v="Kshlerin Inc"/>
        <s v="Cartwright-O'Reilly"/>
        <s v="Koss, Buckridge and Ritchie"/>
        <s v="Konopelski, Lebsack and Breitenberg"/>
        <s v="Stokes Inc"/>
        <s v="Schinner LLC"/>
        <s v="Kovacek Inc"/>
        <s v="Nienow, Kris and Lehner"/>
        <s v="Larson, Rutherford and Boyer"/>
        <s v="McCullough-Wuckert"/>
        <s v="Cruickshank Inc"/>
        <s v="Wolf, Lakin and Hodkiewicz"/>
        <s v="Okuneva and Sons"/>
        <s v="Schneider LLC"/>
        <s v="Weimann and Sons"/>
        <s v="Bins, Jaskolski and Dach"/>
        <s v="Hodkiewicz, Corwin and West"/>
        <s v="Rodriguez-Howell"/>
        <s v="Auer, Spencer and Schumm"/>
        <s v="Daniel, Torp and Homenick"/>
        <s v="Wiegand, Kassulke and McClure"/>
        <s v="Bode, Streich and Howe"/>
        <s v="Buckridge LLC"/>
        <s v="Romaguera-Legros"/>
        <s v="Walter, Nader and Wintheiser"/>
        <s v="Ankunding-Harber"/>
        <s v="Funk, Rath and Gottlieb"/>
        <s v="Cassin-Schamberger"/>
        <s v="Bradtke, Ebert and Greenfelder"/>
        <s v="McCullough-Abshire"/>
        <s v="Shanahan-Erdman"/>
        <s v="Upton LLC"/>
        <s v="Metz, Anderson and McCullough"/>
        <s v="Lakin, Bosco and Von"/>
        <s v="Halvorson, Schaefer and D'Amore"/>
        <s v="Hettinger and Sons"/>
        <s v="Baumbach LLC"/>
        <s v="Effertz-Jaskolski"/>
        <s v="Jerde Inc"/>
        <s v="Schoen-Kessler"/>
        <s v="Flatley, Kiehn and Blanda"/>
        <s v="Dicki-Yundt"/>
        <s v="Kilback Group"/>
        <s v="Ferry LLC"/>
        <s v="Cormier, Moore and Bogisich"/>
        <s v="Effertz LLC"/>
        <s v="Conroy and Sons"/>
        <s v="Emmerich-Heathcote"/>
        <s v="Harris LLC"/>
        <s v="Yost-Kessler"/>
        <s v="Orn, Schmeler and Legros"/>
        <s v="Olson, Wilderman and Dach"/>
        <s v="Kulas, Halvorson and O'Reilly"/>
        <s v="Dibbert, Kuhn and Kling"/>
        <s v="Cronin LLC"/>
        <s v="Dooley, Schiller and Leuschke"/>
        <s v="Rempel-Ferry"/>
        <s v="Simonis, Lemke and Kutch"/>
        <s v="Auer-Dooley"/>
        <s v="Koch Inc"/>
        <s v="Kozey, Hills and Steuber"/>
        <s v="Windler and Sons"/>
        <s v="Abshire and Sons"/>
        <s v="Ward, Marks and Rolfson"/>
        <s v="Emmerich, Veum and Gutkowski"/>
        <s v="Wilderman LLC"/>
        <s v="Dooley, Cummings and Schowalter"/>
        <s v="Miller and Sons"/>
        <s v="Wolff, Greenfelder and Graham"/>
        <s v="Cronin, Herman and Heathcote"/>
        <s v="Rosenbaum LLC"/>
        <s v="Hudson Inc"/>
        <s v="Erdman, Rowe and Adams"/>
        <s v="Langosh-Borer"/>
        <s v="Schiller-Mitchell"/>
        <s v="Heller, Prohaska and Wolff"/>
        <s v="Murray and Sons"/>
        <s v="Stark, Sporer and Jenkins"/>
        <s v="Brakus-Kub"/>
        <s v="Reichel-Wilkinson"/>
        <s v="Wisozk Inc"/>
        <s v="Tromp and Sons"/>
        <s v="Raynor and Sons"/>
        <s v="Olson, Hamill and Jast"/>
        <s v="Kirlin, Kemmer and Hegmann"/>
        <s v="Schowalter, Carroll and Harris"/>
        <s v="Rowe Inc"/>
        <s v="Schinner-Ullrich"/>
        <s v="Torphy, Deckow and Tremblay"/>
        <s v="Kuphal Group"/>
        <s v="Breitenberg Group"/>
        <s v="Von, Predovic and McLaughlin"/>
        <s v="Walsh-McLaughlin"/>
        <s v="Cassin, McClure and Torp"/>
        <s v="Schneider-Stracke"/>
        <s v="Welch, Rowe and Harber"/>
        <s v="Hammes, Rohan and Leannon"/>
        <s v="Kris, Farrell and Auer"/>
        <s v="Littel-Wehner"/>
        <s v="Hettinger, D'Amore and Gislason"/>
        <s v="Lesch and Sons"/>
        <s v="Emard Inc"/>
        <s v="Deckow-Vandervort"/>
        <s v="Hartmann-Ferry"/>
        <s v="Metz-Kilback"/>
        <s v="Ledner-Wilkinson"/>
        <s v="Keeling-Bogan"/>
        <s v="Mante, Witting and Hoppe"/>
        <s v="Krajcik-Boehm"/>
        <s v="Koepp-Stanton"/>
        <s v="Reynolds-Weissnat"/>
        <s v="Bins-Barrows"/>
        <s v="Hamill, Herman and Schamberger"/>
        <s v="Sawayn-Kuhic"/>
        <s v="Considine-Kris"/>
        <s v="Nolan Inc"/>
        <s v="Kuhn Group"/>
        <s v="Greenholt Inc"/>
        <s v="Schowalter-Bartoletti"/>
        <s v="Satterfield-Jast"/>
        <s v="Beer-Lueilwitz"/>
        <s v="Stark and Sons"/>
        <s v="Hoppe, Larson and Rolfson"/>
        <s v="Jakubowski, Carroll and Jacobi"/>
        <s v="Ferry and Sons"/>
        <s v="Muller, Ullrich and Auer"/>
        <s v="Terry-Mayer"/>
        <s v="Nitzsche, Maggio and Leuschke"/>
        <s v="Luettgen-Jaskolski"/>
        <s v="Hegmann, Schulist and Bogisich"/>
        <s v="Cruickshank-Treutel"/>
        <s v="Legros-O'Connell"/>
        <s v="Christiansen-Lakin"/>
        <s v="Ernser Group"/>
        <s v="Beahan LLC"/>
        <s v="Hermiston, Funk and Anderson"/>
        <s v="Hermiston, Sanford and Kassulke"/>
        <s v="Shields Inc"/>
        <s v="Turcotte, Feil and Ziemann"/>
        <s v="Blick-Kreiger"/>
        <s v="Friesen, Schmitt and Mante"/>
        <s v="Beahan-Larson"/>
        <s v="Wolff, Wolf and Kub"/>
        <s v="Denesik, Hessel and Bechtelar"/>
        <s v="Feil-Dickinson"/>
        <s v="Wunsch-Hagenes"/>
        <s v="Tromp-Labadie"/>
        <s v="Beahan, Moen and Franecki"/>
        <s v="Ziemann-Waelchi"/>
        <s v="Weber, Watsica and MacGyver"/>
        <s v="DuBuque-Olson"/>
        <s v="Donnelly LLC"/>
        <s v="Hintz, Brakus and Paucek"/>
        <s v="Bruen, Bednar and Hoppe"/>
        <s v="Zulauf Inc"/>
        <s v="Funk, Hoppe and Breitenberg"/>
        <s v="McKenzie-Tromp"/>
        <s v="Keebler and Sons"/>
        <s v="Conn, Doyle and Goodwin"/>
        <s v="Fadel and Sons"/>
        <s v="Dibbert, Green and Gleichner"/>
        <s v="Vandervort LLC"/>
        <s v="Buckridge-Hayes"/>
        <s v="Steuber LLC"/>
        <s v="Macejkovic and Sons"/>
        <s v="Spencer and Sons"/>
        <s v="Wisozk Group"/>
        <s v="Bashirian, Greenholt and Koch"/>
        <s v="Denesik, Rippin and Anderson"/>
        <s v="Mueller-Tromp"/>
        <s v="Dare, Witting and Goyette"/>
        <s v="Mitchell, Jaskolski and Haley"/>
        <s v="Reichert-Schneider"/>
        <s v="Watsica Inc"/>
        <s v="Olson-Brown"/>
        <s v="Altenwerth LLC"/>
        <s v="Grimes-Stehr"/>
        <s v="Kub-Goyette"/>
        <s v="Waelchi, Gutkowski and Ondricka"/>
        <s v="Grimes, Beier and Hickle"/>
        <s v="Hudson, Bins and Feeney"/>
        <s v="Kreiger, Dooley and Bradtke"/>
        <s v="Kessler-Mohr"/>
        <s v="Ward, Grimes and Fay"/>
        <s v="Kling, Crooks and Wisozk"/>
        <s v="Feil LLC"/>
        <s v="Hansen-Erdman"/>
        <s v="Russel, Rice and Emard"/>
        <s v="Goldner, Muller and Waelchi"/>
        <s v="Kuhlman, Romaguera and Goldner"/>
        <s v="Torp-Bogan"/>
        <s v="Beier, Dare and Feest"/>
        <s v="Mohr LLC"/>
        <s v="Fritsch-Strosin"/>
        <s v="Harris-Labadie"/>
        <s v="Schuppe LLC"/>
        <s v="Howell, Jacobson and Hammes"/>
        <s v="Schneider-Doyle"/>
        <s v="Zulauf LLC"/>
        <s v="Kaymbo"/>
        <s v="Tromp, Stoltenberg and Hartmann"/>
        <s v="Lemke Group"/>
        <s v="Emmerich Inc"/>
        <s v="Howe-Mayer"/>
        <s v="Rosenbaum and Sons"/>
        <s v="Johnson-Smith"/>
        <s v="Legros, Simonis and Spinka"/>
        <s v="Bergnaum, Smitham and Hintz"/>
        <s v="Jakubowski, Okuneva and Erdman"/>
        <s v="Lemke Inc"/>
        <s v="Macejkovic-Senger"/>
        <s v="Halvorson, Torp and Swift"/>
        <s v="Simonis Inc"/>
        <s v="Hand, Armstrong and Cremin"/>
        <s v="Carroll, Feest and Kozey"/>
        <s v="Sanford, Haley and Botsford"/>
        <s v="Aufderhar LLC"/>
        <s v="Kreiger-Gleason"/>
        <s v="Rempel-Pagac"/>
        <s v="Bailey, Boehm and Johnston"/>
        <s v="Lang-Mraz"/>
        <m/>
      </sharedItems>
    </cacheField>
    <cacheField name="Country" numFmtId="0">
      <sharedItems containsBlank="1"/>
    </cacheField>
    <cacheField name="Lattitude" numFmtId="0">
      <sharedItems containsBlank="1"/>
    </cacheField>
    <cacheField name="Longitude" numFmtId="0">
      <sharedItems containsBlank="1"/>
    </cacheField>
    <cacheField name="Industry" numFmtId="0">
      <sharedItems containsBlank="1"/>
    </cacheField>
    <cacheField name="Organization size" numFmtId="0">
      <sharedItems containsBlank="1"/>
    </cacheField>
    <cacheField name="Owner" numFmtId="0">
      <sharedItems containsBlank="1"/>
    </cacheField>
    <cacheField name="Lead acquisition date" numFmtId="14">
      <sharedItems containsNonDate="0" containsDate="1" containsString="0" containsBlank="1" minDate="2024-01-02T00:00:00" maxDate="2024-06-01T00:00:00"/>
    </cacheField>
    <cacheField name="Product" numFmtId="0">
      <sharedItems containsBlank="1"/>
    </cacheField>
    <cacheField name="Status" numFmtId="0">
      <sharedItems containsBlank="1" count="8">
        <s v="Churned Customer"/>
        <s v="Customer"/>
        <s v="Disqualified"/>
        <s v="New"/>
        <s v="Opportunity"/>
        <s v="Qualified"/>
        <s v="Sales Accepted"/>
        <m/>
      </sharedItems>
    </cacheField>
    <cacheField name="Status sequence" numFmtId="0">
      <sharedItems containsString="0" containsBlank="1" containsNumber="1" containsInteger="1" minValue="1" maxValue="7" count="8">
        <n v="7"/>
        <n v="6"/>
        <n v="3"/>
        <n v="1"/>
        <n v="5"/>
        <n v="2"/>
        <n v="4"/>
        <m/>
      </sharedItems>
    </cacheField>
    <cacheField name="Stage" numFmtId="0">
      <sharedItems containsBlank="1"/>
    </cacheField>
    <cacheField name="Stage sequence" numFmtId="0">
      <sharedItems containsString="0" containsBlank="1" containsNumber="1" containsInteger="1" minValue="1" maxValue="6"/>
    </cacheField>
    <cacheField name="Deal Value, $" numFmtId="0">
      <sharedItems containsString="0" containsBlank="1" containsNumber="1" containsInteger="1" minValue="200" maxValue="19997"/>
    </cacheField>
    <cacheField name="Probability, %" numFmtId="0">
      <sharedItems containsString="0" containsBlank="1" containsNumber="1" containsInteger="1" minValue="10" maxValue="100"/>
    </cacheField>
    <cacheField name="Expected close date" numFmtId="14">
      <sharedItems containsNonDate="0" containsDate="1" containsString="0" containsBlank="1" minDate="2024-01-26T00:00:00" maxDate="2025-05-28T00:00:00"/>
    </cacheField>
    <cacheField name="Actual close date" numFmtId="0">
      <sharedItems containsNonDate="0" containsDate="1" containsString="0" containsBlank="1" minDate="2024-01-10T00:00:00" maxDate="2024-09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565559143521" createdVersion="8" refreshedVersion="8" minRefreshableVersion="3" recordCount="3000" xr:uid="{75D225D0-18A0-4B33-A4D6-1231DA19F8FB}">
  <cacheSource type="worksheet">
    <worksheetSource name="Table1"/>
  </cacheSource>
  <cacheFields count="21">
    <cacheField name="Organization" numFmtId="0">
      <sharedItems count="3000">
        <s v="Thoughtblab"/>
        <s v="Jaxnation"/>
        <s v="Mybuzz"/>
        <s v="Kare"/>
        <s v="Skaboo"/>
        <s v="Flashset"/>
        <s v="Yozio"/>
        <s v="Tanoodle"/>
        <s v="Reilly, Wisozk and Stamm"/>
        <s v="O'Conner-Sawayn"/>
        <s v="Klocko-Sporer"/>
        <s v="Borer Inc"/>
        <s v="Jacobson, Crist and O'Kon"/>
        <s v="Hickle Inc"/>
        <s v="Zulauf, Osinski and Lakin"/>
        <s v="Cruickshank, Lubowitz and Marquardt"/>
        <s v="Roberts-Glover"/>
        <s v="Bauch Group"/>
        <s v="Reynolds, Kunze and Christiansen"/>
        <s v="Skiles, Koepp and Walter"/>
        <s v="Hermiston and Sons"/>
        <s v="Roberts-Stracke"/>
        <s v="Frami, Gerlach and Sporer"/>
        <s v="Schumm-Block"/>
        <s v="Beahan, Nitzsche and Williamson"/>
        <s v="Bergstrom, Kling and Mayer"/>
        <s v="Stroman, Ritchie and Toy"/>
        <s v="Williamson, Smitham and Muller"/>
        <s v="Kub-Brown"/>
        <s v="Medhurst Group"/>
        <s v="Murray-Lehner"/>
        <s v="McLaughlin, Effertz and Swift"/>
        <s v="Shields LLC"/>
        <s v="Koch Group"/>
        <s v="Langosh Group"/>
        <s v="Wiegand, Friesen and Ortiz"/>
        <s v="Ward-Schinner"/>
        <s v="Kub, Hintz and Simonis"/>
        <s v="Greenfelder-Klocko"/>
        <s v="Rice, Walker and Hermiston"/>
        <s v="Frami, Brekke and Crooks"/>
        <s v="Cassin, Windler and Friesen"/>
        <s v="Greenfelder, O'Reilly and Dietrich"/>
        <s v="Kris, Brekke and Gulgowski"/>
        <s v="Adams and Sons"/>
        <s v="Kunze, O'Reilly and Von"/>
        <s v="Rempel and Sons"/>
        <s v="Smitham-Sipes"/>
        <s v="Krajcik-Tromp"/>
        <s v="Gusikowski, Erdman and Ryan"/>
        <s v="Renner, Bashirian and Lind"/>
        <s v="Spencer, Jerde and Green"/>
        <s v="Maggio-Reynolds"/>
        <s v="Blognation"/>
        <s v="Dablist"/>
        <s v="Meedoo"/>
        <s v="Runte Group"/>
        <s v="VonRueden Inc"/>
        <s v="Treutel-Willms"/>
        <s v="Medhurst, Weber and Waters"/>
        <s v="Hansen LLC"/>
        <s v="Bechtelar-Heidenreich"/>
        <s v="Rosenbaum, Breitenberg and Langworth"/>
        <s v="Kunde Group"/>
        <s v="Abernathy and Sons"/>
        <s v="Erdman, Wilkinson and Stracke"/>
        <s v="Bogisich, Denesik and Crona"/>
        <s v="Davis-Schuppe"/>
        <s v="Huel-Dooley"/>
        <s v="Bergstrom LLC"/>
        <s v="Considine, Collins and Hudson"/>
        <s v="Kunde-Lindgren"/>
        <s v="Crooks Group"/>
        <s v="O'Conner Group"/>
        <s v="Bogan-Goyette"/>
        <s v="Hilll, Runolfsdottir and Barrows"/>
        <s v="Lubowitz, McClure and Hettinger"/>
        <s v="Herman LLC"/>
        <s v="Bednar-Schuppe"/>
        <s v="Reynolds-Olson"/>
        <s v="Jacobi, Johnson and Harris"/>
        <s v="Beatty Group"/>
        <s v="Hettinger, Kuhic and Dooley"/>
        <s v="O'Kon-Fay"/>
        <s v="Leuschke LLC"/>
        <s v="Dooley, Stracke and Wiegand"/>
        <s v="Heathcote-Ryan"/>
        <s v="Leuschke, Mohr and Rolfson"/>
        <s v="Reinger and Sons"/>
        <s v="Klocko Group"/>
        <s v="Koch, Kerluke and Kuphal"/>
        <s v="Wolf Inc"/>
        <s v="Hoeger-Jakubowski"/>
        <s v="Ziemann LLC"/>
        <s v="Flashspan"/>
        <s v="Wordpedia"/>
        <s v="Quaxo"/>
        <s v="Skivee"/>
        <s v="BlogXS"/>
        <s v="Buzzster"/>
        <s v="Wyman-Goodwin"/>
        <s v="Cruickshank-Weimann"/>
        <s v="Schaden-Bode"/>
        <s v="Walker LLC"/>
        <s v="Tremblay, Lebsack and Gerhold"/>
        <s v="O'Reilly-Ferry"/>
        <s v="Bartoletti-Aufderhar"/>
        <s v="Kiehn-Kshlerin"/>
        <s v="Haley Group"/>
        <s v="Hegmann, Larkin and Bednar"/>
        <s v="Lynch, Kihn and Bartell"/>
        <s v="Schinner, Bogisich and Batz"/>
        <s v="Grimes and Sons"/>
        <s v="VonRueden, Gerlach and Schiller"/>
        <s v="Heller, Effertz and Tromp"/>
        <s v="Emard-Lind"/>
        <s v="O'Hara-Wyman"/>
        <s v="Tillman-Greenholt"/>
        <s v="Powlowski LLC"/>
        <s v="O'Reilly-Stanton"/>
        <s v="O'Reilly-Bruen"/>
        <s v="Kirlin and Sons"/>
        <s v="MacGyver LLC"/>
        <s v="Lemke-Crooks"/>
        <s v="Hirthe, Grady and Cummings"/>
        <s v="Crooks-Wiza"/>
        <s v="Ortiz, Bashirian and Pfannerstill"/>
        <s v="Orn, Blanda and Oberbrunner"/>
        <s v="Boyle Inc"/>
        <s v="Rodriguez, Little and Jast"/>
        <s v="Bosco LLC"/>
        <s v="Bergnaum LLC"/>
        <s v="Corkery, Block and Frami"/>
        <s v="Auer, Bogisich and Kovacek"/>
        <s v="Jones and Sons"/>
        <s v="Wilderman, Bayer and Hickle"/>
        <s v="Rutherford, Lueilwitz and Frami"/>
        <s v="Lang LLC"/>
        <s v="Auer Group"/>
        <s v="Hilll, Jacobi and Cormier"/>
        <s v="Reinger LLC"/>
        <s v="Heaney, Hickle and Marquardt"/>
        <s v="Hudson-Morar"/>
        <s v="Heller-Hartmann"/>
        <s v="Torphy-Pouros"/>
        <s v="Zulauf-Gutkowski"/>
        <s v="Kunde, O'Keefe and Skiles"/>
        <s v="Raynor Group"/>
        <s v="Konopelski Group"/>
        <s v="Johnson, Sporer and Kertzmann"/>
        <s v="Predovic, Ryan and Wisoky"/>
        <s v="Bernhard-Padberg"/>
        <s v="Kemmer, Crona and Dietrich"/>
        <s v="Bruen and Sons"/>
        <s v="Hickle, Rutherford and Ritchie"/>
        <s v="Hegmann, Jones and Schiller"/>
        <s v="Heidenreich, Bergnaum and Gleason"/>
        <s v="Senger-Deckow"/>
        <s v="Krajcik, Hagenes and Cronin"/>
        <s v="Parisian, Kub and Wilderman"/>
        <s v="Funk-Herman"/>
        <s v="Mraz Group"/>
        <s v="Oberbrunner-Moore"/>
        <s v="McLaughlin-Schmidt"/>
        <s v="Hane, Berge and Gleason"/>
        <s v="Mynte"/>
        <s v="Borer, Cremin and Rolfson"/>
        <s v="Hyatt and Sons"/>
        <s v="Hamill-Purdy"/>
        <s v="Wiegand LLC"/>
        <s v="Bogan-Goldner"/>
        <s v="Gabtune"/>
        <s v="Vandervort, Mosciski and White"/>
        <s v="Labadie-Rath"/>
        <s v="Berge LLC"/>
        <s v="Cole, McKenzie and Lakin"/>
        <s v="Quigley-Monahan"/>
        <s v="Rhycero"/>
        <s v="Quimba"/>
        <s v="Edgeblab"/>
        <s v="Twitternation"/>
        <s v="Hoeger, Flatley and Anderson"/>
        <s v="Hermiston, Ziemann and Howell"/>
        <s v="Monahan, Ondricka and Nienow"/>
        <s v="Kovacek, Hermiston and McCullough"/>
        <s v="Macejkovic LLC"/>
        <s v="Keeling-Sauer"/>
        <s v="Berge Group"/>
        <s v="Jenkins-Turcotte"/>
        <s v="Kutch LLC"/>
        <s v="Durgan-Little"/>
        <s v="Hilpert-Wyman"/>
        <s v="Stiedemann-Roob"/>
        <s v="Reichel, Runolfsdottir and Stoltenberg"/>
        <s v="Terry, Jenkins and Baumbach"/>
        <s v="Runolfsdottir-O'Conner"/>
        <s v="Kutch Group"/>
        <s v="Corwin, Abbott and Robel"/>
        <s v="Ward, Kuhic and Torp"/>
        <s v="Beier-Lang"/>
        <s v="Auer, Hackett and Bruen"/>
        <s v="Buckridge, Brekke and Daniel"/>
        <s v="Fay Inc"/>
        <s v="Braun, Goldner and Durgan"/>
        <s v="Gibson-Hettinger"/>
        <s v="Gutmann, Kunze and Schaden"/>
        <s v="Schamberger-Dicki"/>
        <s v="Harvey Inc"/>
        <s v="Bins, Lakin and Daugherty"/>
        <s v="Reynolds, Bogisich and Block"/>
        <s v="Auer, Schmeler and Morissette"/>
        <s v="Hegmann Group"/>
        <s v="Will-Stamm"/>
        <s v="Goldner-Weimann"/>
        <s v="Hodkiewicz-Howe"/>
        <s v="Keeling Inc"/>
        <s v="Harris Inc"/>
        <s v="Roberts and Sons"/>
        <s v="Hauck-Beahan"/>
        <s v="Ryan, Toy and O'Reilly"/>
        <s v="Orn Inc"/>
        <s v="Kuhlman Inc"/>
        <s v="Von, Becker and Fisher"/>
        <s v="Mertz, Casper and Klein"/>
        <s v="Botsford, King and Steuber"/>
        <s v="Funk-Hane"/>
        <s v="Hartmann-Pollich"/>
        <s v="Frami-Gusikowski"/>
        <s v="Lueilwitz Inc"/>
        <s v="Kreiger-Rice"/>
        <s v="Blick Inc"/>
        <s v="Bauch-Morar"/>
        <s v="Auer, Deckow and Torp"/>
        <s v="Kuvalis-Strosin"/>
        <s v="Hintz-Fadel"/>
        <s v="Kiehn-Bernier"/>
        <s v="Zooxo"/>
        <s v="Jetpulse"/>
        <s v="InnoZ"/>
        <s v="Chatterpoint"/>
        <s v="Trunyx"/>
        <s v="Luettgen, Franecki and Roberts"/>
        <s v="Kilback, Cremin and Bergnaum"/>
        <s v="Toy-O'Hara"/>
        <s v="Lubowitz, Herman and Fisher"/>
        <s v="Schulist, Bailey and Dickens"/>
        <s v="Jakubowski-Purdy"/>
        <s v="Hackett LLC"/>
        <s v="Gottlieb Group"/>
        <s v="Hermiston-Hyatt"/>
        <s v="Goldner LLC"/>
        <s v="Deckow, Dicki and Pagac"/>
        <s v="Kuphal-Wuckert"/>
        <s v="Yundt-McLaughlin"/>
        <s v="D'Amore, Auer and Wilkinson"/>
        <s v="Fahey-Kulas"/>
        <s v="Osinski, Langworth and Auer"/>
        <s v="Hane, Hettinger and Denesik"/>
        <s v="Rohan Inc"/>
        <s v="Koelpin, Bahringer and Beatty"/>
        <s v="Flatley-Metz"/>
        <s v="Reilly-Dicki"/>
        <s v="Pagac, Marvin and Wilkinson"/>
        <s v="Stanton-Adams"/>
        <s v="Ward, Rau and Ledner"/>
        <s v="Thiel-Ullrich"/>
        <s v="Johnson-Macejkovic"/>
        <s v="Koch-Lakin"/>
        <s v="Bauch-Fritsch"/>
        <s v="Kihn, Swaniawski and Lebsack"/>
        <s v="Barrows LLC"/>
        <s v="Langworth, Lemke and Carroll"/>
        <s v="Kilback, Johns and Dicki"/>
        <s v="Labadie, Sawayn and Ruecker"/>
        <s v="Kazio"/>
        <s v="Jayo"/>
        <s v="Feedspan"/>
        <s v="Browsecat"/>
        <s v="Layo"/>
        <s v="Photospace"/>
        <s v="Zoovu"/>
        <s v="Topicblab"/>
        <s v="Kwinu"/>
        <s v="Block Group"/>
        <s v="Cummings-Johnson"/>
        <s v="Bosco, Greenholt and Langworth"/>
        <s v="Lind-Bogisich"/>
        <s v="Luettgen, Kozey and Dach"/>
        <s v="Mante LLC"/>
        <s v="Considine LLC"/>
        <s v="Steuber Group"/>
        <s v="Goyette-Reynolds"/>
        <s v="Lowe and Sons"/>
        <s v="Williamson and Sons"/>
        <s v="Waelchi LLC"/>
        <s v="Ebert, Hegmann and Thiel"/>
        <s v="Wolf, Vandervort and Von"/>
        <s v="Mohr-Gleichner"/>
        <s v="Yost, Terry and Veum"/>
        <s v="Hartmann and Sons"/>
        <s v="Cronin-Walker"/>
        <s v="Bayer-Okuneva"/>
        <s v="Bernhard Inc"/>
        <s v="O'Keefe, Witting and Emard"/>
        <s v="Windler, Bogan and Osinski"/>
        <s v="Champlin, Brown and Miller"/>
        <s v="Kerluke LLC"/>
        <s v="Turner-Tillman"/>
        <s v="Kunde, Kris and Wunsch"/>
        <s v="Hegmann and Sons"/>
        <s v="Strosin LLC"/>
        <s v="Heathcote, Ernser and Smitham"/>
        <s v="Konopelski Inc"/>
        <s v="Kerluke-Kihn"/>
        <s v="Barton and Sons"/>
        <s v="Nader-Rath"/>
        <s v="Hauck-Brekke"/>
        <s v="Kunze-Upton"/>
        <s v="Dare and Sons"/>
        <s v="Welch-Stehr"/>
        <s v="King-Wiza"/>
        <s v="Maggio, Feeney and Koss"/>
        <s v="Upton, Wilderman and Becker"/>
        <s v="Larkin and Sons"/>
        <s v="Johns LLC"/>
        <s v="Hand-Senger"/>
        <s v="Terry, Reinger and Graham"/>
        <s v="Schaefer-Roob"/>
        <s v="Deckow, Jacobs and Koelpin"/>
        <s v="Metz, Kovacek and O'Reilly"/>
        <s v="Brown, Hilll and Kling"/>
        <s v="Bednar, Casper and Spinka"/>
        <s v="Schmeler and Sons"/>
        <s v="Stark, Friesen and Legros"/>
        <s v="Jakubowski, Corwin and Larson"/>
        <s v="Walter-Hagenes"/>
        <s v="Zemlak, Roberts and Dach"/>
        <s v="Wunsch-Gusikowski"/>
        <s v="Rempel, Weber and Keebler"/>
        <s v="Douglas Group"/>
        <s v="Johnson-Schoen"/>
        <s v="Hickle, Nader and Baumbach"/>
        <s v="Romaguera LLC"/>
        <s v="Murray LLC"/>
        <s v="Champlin-Stokes"/>
        <s v="Jaskolski, Hane and Cummerata"/>
        <s v="Jacobs LLC"/>
        <s v="Nitzsche-Cartwright"/>
        <s v="Kanoodle"/>
        <s v="Youbridge"/>
        <s v="Jabbercube"/>
        <s v="Dabfeed"/>
        <s v="Skiba"/>
        <s v="Voonyx"/>
        <s v="Harber and Sons"/>
        <s v="Gorczany-Hayes"/>
        <s v="Ritchie Inc"/>
        <s v="Strosin-Romaguera"/>
        <s v="Wyman-Homenick"/>
        <s v="Koelpin, Gulgowski and Boyle"/>
        <s v="Daniel, Kshlerin and VonRueden"/>
        <s v="Macejkovic Group"/>
        <s v="Volkman and Sons"/>
        <s v="Russel Group"/>
        <s v="Romaguera, Fadel and Jast"/>
        <s v="Kris, Bode and Fisher"/>
        <s v="Sawayn, Hansen and Marquardt"/>
        <s v="Kutch, Batz and McGlynn"/>
        <s v="Mohr-Bogisich"/>
        <s v="Christiansen Inc"/>
        <s v="Adams-Koch"/>
        <s v="Ebert-Howe"/>
        <s v="Collins Group"/>
        <s v="Russel, Beahan and Hoppe"/>
        <s v="Jast, Upton and Bosco"/>
        <s v="Schimmel-Doyle"/>
        <s v="Schneider-Lesch"/>
        <s v="Harris-Boyle"/>
        <s v="Wehner, Botsford and Brown"/>
        <s v="Wilkinson-Jast"/>
        <s v="Littel-Cummerata"/>
        <s v="Weber, Morissette and Douglas"/>
        <s v="Ondricka, Will and Goldner"/>
        <s v="Tromp-Walter"/>
        <s v="Schumm-Dickens"/>
        <s v="Hessel-Grant"/>
        <s v="Mayer, Cruickshank and Spencer"/>
        <s v="O'Reilly, Hane and Toy"/>
        <s v="Upton, Pacocha and Keeling"/>
        <s v="Leffler, Daniel and Runolfsdottir"/>
        <s v="Nienow Inc"/>
        <s v="Ernser-Franecki"/>
        <s v="Stroman Inc"/>
        <s v="Cartwright, Medhurst and Harris"/>
        <s v="Torp and Sons"/>
        <s v="Russel, Upton and Kuhn"/>
        <s v="Huels, Gottlieb and Hoppe"/>
        <s v="Podcat"/>
        <s v="Bubblemix"/>
        <s v="Aibox"/>
        <s v="Topdrive"/>
        <s v="Shuffledrive"/>
        <s v="Abatz"/>
        <s v="Demivee"/>
        <s v="Oyoloo"/>
        <s v="Reichel, Hamill and Hand"/>
        <s v="Johns-Blanda"/>
        <s v="Carroll-Collier"/>
        <s v="McKenzie and Sons"/>
        <s v="Abbott-Schumm"/>
        <s v="Watsica LLC"/>
        <s v="Bradtke, Kuhic and Wiza"/>
        <s v="Kilback LLC"/>
        <s v="Treutel, Tillman and Wuckert"/>
        <s v="Erdman, Ward and Aufderhar"/>
        <s v="Smith LLC"/>
        <s v="O'Kon-Watsica"/>
        <s v="Beer-Carter"/>
        <s v="Hilll Inc"/>
        <s v="Maggio LLC"/>
        <s v="Connelly-Thompson"/>
        <s v="Lind, Mueller and O'Conner"/>
        <s v="Torphy and Sons"/>
        <s v="Williamson-Nicolas"/>
        <s v="Howe and Sons"/>
        <s v="Wisoky and Sons"/>
        <s v="Johnston, Ankunding and Raynor"/>
        <s v="Daniel-Hackett"/>
        <s v="Wilkinson-Wolff"/>
        <s v="Cummerata, Tillman and Konopelski"/>
        <s v="Pfeffer, Terry and Kiehn"/>
        <s v="Cremin Inc"/>
        <s v="Hauck, Hermiston and Hodkiewicz"/>
        <s v="Wyman Group"/>
        <s v="Marvin, Maggio and Herman"/>
        <s v="Aufderhar-Daugherty"/>
        <s v="Brown-Erdman"/>
        <s v="Kub and Sons"/>
        <s v="Towne, Jacobs and Runte"/>
        <s v="Jatri"/>
        <s v="Yodo"/>
        <s v="Skalith"/>
        <s v="Vinder"/>
        <s v="Photojam"/>
        <s v="Voonix"/>
        <s v="Dynabox"/>
        <s v="Riffpath"/>
        <s v="Tambee"/>
        <s v="Feedmix"/>
        <s v="Babbleset"/>
        <s v="Flashdog"/>
        <s v="Myworks"/>
        <s v="Feedfire"/>
        <s v="Cogilith"/>
        <s v="Vinte"/>
        <s v="Flashpoint"/>
        <s v="Meembee"/>
        <s v="Brightdog"/>
        <s v="Edgepulse"/>
        <s v="Wunsch Inc"/>
        <s v="Wisoky-Schneider"/>
        <s v="Gutmann-Williamson"/>
        <s v="Breitenberg Inc"/>
        <s v="Koelpin and Sons"/>
        <s v="Bernhard, Lindgren and Harvey"/>
        <s v="Stoltenberg-Weimann"/>
        <s v="Wilderman-Romaguera"/>
        <s v="Luettgen-Gorczany"/>
        <s v="Gleason Group"/>
        <s v="Yost-Stiedemann"/>
        <s v="Pagac LLC"/>
        <s v="Turcotte-Abshire"/>
        <s v="Goodwin-Bernier"/>
        <s v="Shields and Sons"/>
        <s v="Gulgowski Group"/>
        <s v="Paucek-Hodkiewicz"/>
        <s v="Kreiger Inc"/>
        <s v="Schinner Group"/>
        <s v="Haag Inc"/>
        <s v="Ratke, Runolfsson and Pollich"/>
        <s v="Hodkiewicz, Stanton and Howell"/>
        <s v="Koepp, Walsh and Kovacek"/>
        <s v="McLaughlin-Baumbach"/>
        <s v="Koepp, Kihn and Yost"/>
        <s v="Aufderhar-Donnelly"/>
        <s v="Cassin LLC"/>
        <s v="Hoppe-Price"/>
        <s v="Stracke-West"/>
        <s v="Hessel-Miller"/>
        <s v="Murazik-Towne"/>
        <s v="Prohaska, Hahn and Klocko"/>
        <s v="Schaefer, Feest and Watsica"/>
        <s v="Lind and Sons"/>
        <s v="Swaniawski-Quigley"/>
        <s v="Effertz-Pfannerstill"/>
        <s v="Becker LLC"/>
        <s v="Thompson-Schaefer"/>
        <s v="Jones LLC"/>
        <s v="Spencer-Beahan"/>
        <s v="Hessel-Conn"/>
        <s v="Skiles, Sawayn and Bradtke"/>
        <s v="Okuneva, Dooley and Schaden"/>
        <s v="Kub, Aufderhar and Ward"/>
        <s v="Orn-Kassulke"/>
        <s v="Mills, Ortiz and McGlynn"/>
        <s v="Gleason-Price"/>
        <s v="Schaden and Sons"/>
        <s v="Von and Sons"/>
        <s v="Bartell-Kirlin"/>
        <s v="Gutkowski-Baumbach"/>
        <s v="Osinski, Wisoky and Schimmel"/>
        <s v="Schneider-Schuppe"/>
        <s v="Crist, Okuneva and Veum"/>
        <s v="Rosenbaum-Upton"/>
        <s v="Wolf Group"/>
        <s v="Nolan, D'Amore and Wyman"/>
        <s v="Kunde, Reinger and Jerde"/>
        <s v="Edgeclub"/>
        <s v="Schmidt-Beier"/>
        <s v="Smitham and Sons"/>
        <s v="Spencer, Langworth and Hackett"/>
        <s v="Lebsack LLC"/>
        <s v="Muller Inc"/>
        <s v="Oberbrunner-Metz"/>
        <s v="Schamberger-Rutherford"/>
        <s v="Trilia"/>
        <s v="Yotz"/>
        <s v="Teklist"/>
        <s v="Tagopia"/>
        <s v="Skyvu"/>
        <s v="Divanoodle"/>
        <s v="Meeveo"/>
        <s v="Avamm"/>
        <s v="Edgetag"/>
        <s v="Photolist"/>
        <s v="Tavu"/>
        <s v="Jetwire"/>
        <s v="Ntag"/>
        <s v="Twinte"/>
        <s v="Livepath"/>
        <s v="Meetz"/>
        <s v="Gigaclub"/>
        <s v="Yadel"/>
        <s v="Eabox"/>
        <s v="Dabjam"/>
        <s v="Blogpad"/>
        <s v="Topiczoom"/>
        <s v="Rhyloo"/>
        <s v="Mydo"/>
        <s v="Thoughtstorm"/>
        <s v="Topicware"/>
        <s v="Tekfly"/>
        <s v="Wikivu"/>
        <s v="Schroeder, Reichert and Hettinger"/>
        <s v="Gorczany, Kuphal and Mayert"/>
        <s v="Dietrich, Boehm and Corkery"/>
        <s v="Murphy, Schuster and Kub"/>
        <s v="Pouros-Schneider"/>
        <s v="Crist, Price and Johns"/>
        <s v="Littel LLC"/>
        <s v="Wisozk-Thompson"/>
        <s v="D'Amore Group"/>
        <s v="Mitchell Group"/>
        <s v="Lowe-Grimes"/>
        <s v="O'Reilly, Harvey and Cassin"/>
        <s v="Hilll, Reynolds and Stamm"/>
        <s v="Schinner, Turcotte and Borer"/>
        <s v="Bahringer Inc"/>
        <s v="Green-Kunze"/>
        <s v="Huels, Cruickshank and Hayes"/>
        <s v="Reynolds-Wiza"/>
        <s v="McGlynn Group"/>
        <s v="Gorczany-Legros"/>
        <s v="Gulgowski, Kub and Miller"/>
        <s v="Metz, Kub and Fahey"/>
        <s v="Abshire LLC"/>
        <s v="Lockman-Littel"/>
        <s v="Bradtke Inc"/>
        <s v="Cartwright-Orn"/>
        <s v="Littel-Hilpert"/>
        <s v="Franecki LLC"/>
        <s v="Mayert-Renner"/>
        <s v="Emmerich-Padberg"/>
        <s v="Grimes-Marvin"/>
        <s v="Maggio, Wilderman and Mueller"/>
        <s v="Toy, Gottlieb and Veum"/>
        <s v="Hoeger, Hyatt and Glover"/>
        <s v="Ferry, Denesik and Satterfield"/>
        <s v="Bruen, Quigley and Kling"/>
        <s v="Gibson and Sons"/>
        <s v="Little and Sons"/>
        <s v="O'Conner, Stracke and White"/>
        <s v="Smitham LLC"/>
        <s v="Dickinson, Jacobi and McKenzie"/>
        <s v="Feest-Schoen"/>
        <s v="Hane, Kassulke and Hermiston"/>
        <s v="Lesch, Hauck and Bogan"/>
        <s v="Johnson-McDermott"/>
        <s v="Dare, Lesch and Gorczany"/>
        <s v="Reilly Inc"/>
        <s v="Hyatt Group"/>
        <s v="Waters Inc"/>
        <s v="Balistreri-Berge"/>
        <s v="Champlin, Altenwerth and Reichel"/>
        <s v="Johnston-Bahringer"/>
        <s v="Rath and Sons"/>
        <s v="Langosh-Oberbrunner"/>
        <s v="Dickinson LLC"/>
        <s v="Heathcote, Barrows and Doyle"/>
        <s v="Cummerata, Wyman and Conn"/>
        <s v="O'Reilly, Torphy and Jakubowski"/>
        <s v="Boyer LLC"/>
        <s v="Bradtke, Predovic and Monahan"/>
        <s v="Schuppe Inc"/>
        <s v="Hand-Heller"/>
        <s v="Prohaska-Jenkins"/>
        <s v="Johnston, Hettinger and Luettgen"/>
        <s v="Rodriguez, Miller and Bradtke"/>
        <s v="Batz, Schamberger and Feeney"/>
        <s v="Ortiz-Christiansen"/>
        <s v="Toy-Friesen"/>
        <s v="Sawayn and Sons"/>
        <s v="Turcotte-Hand"/>
        <s v="Bayer Group"/>
        <s v="Leffler-Okuneva"/>
        <s v="Little, Deckow and Kunde"/>
        <s v="Ortiz, Cartwright and Leffler"/>
        <s v="Bernier and Sons"/>
        <s v="Rempel-Towne"/>
        <s v="Sauer-Heaney"/>
        <s v="Funk and Sons"/>
        <s v="Cruickshank, Cormier and Willms"/>
        <s v="Roberts, Boehm and Swift"/>
        <s v="Gerlach, Kiehn and Weber"/>
        <s v="Sawayn, Sanford and Skiles"/>
        <s v="Harris, Schmidt and Kautzer"/>
        <s v="Stamm-Rath"/>
        <s v="Hamill, Koepp and Quigley"/>
        <s v="Hodkiewicz-Powlowski"/>
        <s v="Moore Group"/>
        <s v="Schumm-Auer"/>
        <s v="Ward, Daugherty and Homenick"/>
        <s v="Pollich, Robel and Friesen"/>
        <s v="Weimann, Pacocha and McCullough"/>
        <s v="Champlin, Borer and Purdy"/>
        <s v="Erdman, Medhurst and Rowe"/>
        <s v="Gutmann-Hoppe"/>
        <s v="Lakin-Bradtke"/>
        <s v="Ziemann, Bergstrom and Harber"/>
        <s v="Mitchell-Hauck"/>
        <s v="Labadie-Keeling"/>
        <s v="Borer Group"/>
        <s v="Goldner, Grant and Krajcik"/>
        <s v="Schinner and Sons"/>
        <s v="Kihn Inc"/>
        <s v="Abbott-Wisoky"/>
        <s v="Strosin, Bahringer and Reilly"/>
        <s v="McKenzie, Jerde and Altenwerth"/>
        <s v="Runolfsdottir, Mills and Jacobi"/>
        <s v="Tremblay, Thompson and Robel"/>
        <s v="Rutherford LLC"/>
        <s v="Rice-Bayer"/>
        <s v="Blanda, Gibson and Mills"/>
        <s v="Deckow, Dickens and Koss"/>
        <s v="Sporer-Beer"/>
        <s v="Hudson Group"/>
        <s v="Gutmann-Friesen"/>
        <s v="Schmidt, Konopelski and Larson"/>
        <s v="O'Connell Group"/>
        <s v="Willms-Hagenes"/>
        <s v="Metz-Kuvalis"/>
        <s v="Jakubowski Group"/>
        <s v="Volkman Inc"/>
        <s v="Haley, Ritchie and Anderson"/>
        <s v="Hoeger Inc"/>
        <s v="Monahan-Quitzon"/>
        <s v="Crona, Keeling and Daniel"/>
        <s v="Bergnaum, Hyatt and Purdy"/>
        <s v="Schiller-Stehr"/>
        <s v="Kuhlman Group"/>
        <s v="Bogan Inc"/>
        <s v="Yundt Inc"/>
        <s v="Sawayn-Bogan"/>
        <s v="Spinka, Johns and Tromp"/>
        <s v="Zieme-Cronin"/>
        <s v="Gleichner-Kohler"/>
        <s v="Morar-Goyette"/>
        <s v="Howell and Sons"/>
        <s v="Metz LLC"/>
        <s v="Schamberger Group"/>
        <s v="Dickinson, King and Jenkins"/>
        <s v="Jakubowski LLC"/>
        <s v="King-Rohan"/>
        <s v="Rowe and Sons"/>
        <s v="Barrows Group"/>
        <s v="Kertzmann-Kris"/>
        <s v="Hettinger, Trantow and Altenwerth"/>
        <s v="Doyle, Krajcik and Wintheiser"/>
        <s v="Koss-Mertz"/>
        <s v="Shanahan-Hodkiewicz"/>
        <s v="Kunde and Sons"/>
        <s v="Kassulke, McClure and Greenfelder"/>
        <s v="Konopelski and Sons"/>
        <s v="Thoughtbeat"/>
        <s v="Pixope"/>
        <s v="Leexo"/>
        <s v="Divavu"/>
        <s v="Zava"/>
        <s v="Lajo"/>
        <s v="Ainyx"/>
        <s v="Gigazoom"/>
        <s v="Trilith"/>
        <s v="Eazzy"/>
        <s v="Pixoboo"/>
        <s v="Muxo"/>
        <s v="Koss, Walter and Murray"/>
        <s v="Goyette, Gottlieb and Cummings"/>
        <s v="Buckridge, Schinner and Walker"/>
        <s v="Reichel-Kutch"/>
        <s v="Schoen-Waelchi"/>
        <s v="Stracke, Hodkiewicz and Leuschke"/>
        <s v="Mohr, Adams and Emmerich"/>
        <s v="Turner Inc"/>
        <s v="Blick, Kessler and Gislason"/>
        <s v="Koss-Maggio"/>
        <s v="Predovic and Sons"/>
        <s v="Pacocha, Wuckert and Kerluke"/>
        <s v="Macejkovic-Legros"/>
        <s v="Harber-Murray"/>
        <s v="Krajcik, Hammes and Feil"/>
        <s v="Kshlerin Group"/>
        <s v="Balistreri-Kub"/>
        <s v="Rippin-Franecki"/>
        <s v="Wehner, Kshlerin and King"/>
        <s v="Predovic LLC"/>
        <s v="Dare Inc"/>
        <s v="Roob-DuBuque"/>
        <s v="Smitham, Stamm and Howe"/>
        <s v="Ward-Cruickshank"/>
        <s v="Strosin-Runte"/>
        <s v="Zulauf-Schmidt"/>
        <s v="Leffler-Hirthe"/>
        <s v="McLaughlin LLC"/>
        <s v="Sanford-Doyle"/>
        <s v="Deckow and Sons"/>
        <s v="Price Inc"/>
        <s v="Hammes, Romaguera and Emmerich"/>
        <s v="Schinner, Mraz and Friesen"/>
        <s v="Morissette, Heathcote and Bayer"/>
        <s v="Kirlin LLC"/>
        <s v="Fritsch-Anderson"/>
        <s v="Hegmann, Vandervort and Grimes"/>
        <s v="Nicolas LLC"/>
        <s v="Green-Wuckert"/>
        <s v="Walsh, Walter and Kuhic"/>
        <s v="Hauck Inc"/>
        <s v="Keeling-Gerhold"/>
        <s v="Bailey and Sons"/>
        <s v="Thompson-Schuster"/>
        <s v="Bechtelar, Bechtelar and Kub"/>
        <s v="Krajcik and Sons"/>
        <s v="Macejkovic, Goodwin and Towne"/>
        <s v="O'Reilly LLC"/>
        <s v="Kiehn Group"/>
        <s v="Williamson-O'Conner"/>
        <s v="Runolfsdottir-Huels"/>
        <s v="Walter Group"/>
        <s v="Oberbrunner LLC"/>
        <s v="Howell, Kozey and Pfannerstill"/>
        <s v="Jacobson LLC"/>
        <s v="Grant Inc"/>
        <s v="Davis, Yundt and Cartwright"/>
        <s v="Schuster, Altenwerth and Hettinger"/>
        <s v="Wuckert-Mayert"/>
        <s v="Heller, Cassin and Douglas"/>
        <s v="Schroeder, Jacobson and Gottlieb"/>
        <s v="Klocko-Effertz"/>
        <s v="Rohan, Lueilwitz and Barrows"/>
        <s v="Kunde Inc"/>
        <s v="DuBuque, Smith and Price"/>
        <s v="Jerde LLC"/>
        <s v="O'Reilly-Kling"/>
        <s v="Gutkowski, Cassin and Conn"/>
        <s v="Gusikowski-Murray"/>
        <s v="Haag-Murazik"/>
        <s v="Doyle-Shields"/>
        <s v="Windler, Gutmann and Von"/>
        <s v="Larkin, Nikolaus and Zboncak"/>
        <s v="O'Keefe-Simonis"/>
        <s v="Torphy LLC"/>
        <s v="Wolff, Stehr and Gutmann"/>
        <s v="Murphy, Pfeffer and Hodkiewicz"/>
        <s v="Moore-Bailey"/>
        <s v="Dach, Gottlieb and Denesik"/>
        <s v="Sipes, Weimann and Veum"/>
        <s v="Dooley Inc"/>
        <s v="Beier Inc"/>
        <s v="Schumm, Leuschke and Pfeffer"/>
        <s v="Huels, Rippin and MacGyver"/>
        <s v="Konopelski-Fritsch"/>
        <s v="Fisher, Ebert and Rodriguez"/>
        <s v="Schoen and Sons"/>
        <s v="Osinski-Jones"/>
        <s v="Pfannerstill, Bernhard and Schuster"/>
        <s v="Kozey and Sons"/>
        <s v="Stiedemann, Cruickshank and Wintheiser"/>
        <s v="Smitham, Fadel and Wisoky"/>
        <s v="Schuppe-Hauck"/>
        <s v="Leenti"/>
        <s v="Centidel"/>
        <s v="Yabox"/>
        <s v="Brainsphere"/>
        <s v="Voolia"/>
        <s v="Yodoo"/>
        <s v="Lazz"/>
        <s v="Centizu"/>
        <s v="Skinix"/>
        <s v="Photobug"/>
        <s v="Zoombeat"/>
        <s v="Buzzbean"/>
        <s v="Trupe"/>
        <s v="Shuffletag"/>
        <s v="Skibox"/>
        <s v="Riffwire"/>
        <s v="Tagpad"/>
        <s v="Browsezoom"/>
        <s v="Shufflebeat"/>
        <s v="Skinte"/>
        <s v="Innotype"/>
        <s v="Twitterwire"/>
        <s v="Block and Sons"/>
        <s v="Ernser-Rolfson"/>
        <s v="Leannon Inc"/>
        <s v="Bins LLC"/>
        <s v="Farrell Group"/>
        <s v="Jacobs-Rice"/>
        <s v="Rosenbaum Inc"/>
        <s v="Schoen-Kovacek"/>
        <s v="Fritsch, Kemmer and Littel"/>
        <s v="Crona, Morissette and Pouros"/>
        <s v="Bayer, Altenwerth and Kozey"/>
        <s v="Langworth Inc"/>
        <s v="Schroeder, Stiedemann and Frami"/>
        <s v="Predovic Group"/>
        <s v="Lockman, Rath and Lynch"/>
        <s v="Waters-Swift"/>
        <s v="Wisoky, Collins and Kling"/>
        <s v="Koch and Sons"/>
        <s v="Swaniawski-Schneider"/>
        <s v="Jaskolski, Auer and Morissette"/>
        <s v="Sauer Inc"/>
        <s v="Osinski-Schultz"/>
        <s v="Pouros-Gottlieb"/>
        <s v="Lueilwitz and Sons"/>
        <s v="Kirlin Inc"/>
        <s v="Stokes-Gulgowski"/>
        <s v="Heller-Streich"/>
        <s v="Pollich, Cole and Morar"/>
        <s v="Cummings, Mosciski and Bayer"/>
        <s v="Fay LLC"/>
        <s v="Kassulke Inc"/>
        <s v="Osinski Group"/>
        <s v="Blanda, Schuster and Schulist"/>
        <s v="Reinger-Rutherford"/>
        <s v="Hintz-Franecki"/>
        <s v="Emmerich, Hammes and Jacobs"/>
        <s v="Blick Group"/>
        <s v="Rutherford, Christiansen and Marquardt"/>
        <s v="Littel-Ritchie"/>
        <s v="Carroll, Boehm and Zemlak"/>
        <s v="Lockman and Sons"/>
        <s v="Dickinson, Hessel and Luettgen"/>
        <s v="Macejkovic Inc"/>
        <s v="Botsford-Reichel"/>
        <s v="Schumm, Quigley and Goldner"/>
        <s v="Hahn Group"/>
        <s v="Crooks and Sons"/>
        <s v="Wehner and Sons"/>
        <s v="Botsford, Ebert and Keebler"/>
        <s v="Runte and Sons"/>
        <s v="Dach Group"/>
        <s v="Ernser-Ebert"/>
        <s v="Koss Group"/>
        <s v="Von, Torp and Deckow"/>
        <s v="Morar, Runolfsdottir and Kris"/>
        <s v="Fahey, Paucek and Barrows"/>
        <s v="Stanton-Quitzon"/>
        <s v="Fay, Stroman and O'Keefe"/>
        <s v="Morar, Nolan and Hoeger"/>
        <s v="Herzog Group"/>
        <s v="Kreiger and Sons"/>
        <s v="Walsh-Weber"/>
        <s v="Heaney-Schneider"/>
        <s v="Bernhard-McCullough"/>
        <s v="Weissnat-D'Amore"/>
        <s v="Bruen, Daugherty and Strosin"/>
        <s v="Bailey, Heaney and Champlin"/>
        <s v="Bartoletti and Sons"/>
        <s v="Green-Leuschke"/>
        <s v="Pouros LLC"/>
        <s v="Rau-Erdman"/>
        <s v="Gutkowski-Williamson"/>
        <s v="Daugherty, Torphy and Goldner"/>
        <s v="Hoppe LLC"/>
        <s v="McLaughlin-Glover"/>
        <s v="Graham LLC"/>
        <s v="Davis, Herzog and Hudson"/>
        <s v="Gleichner-Kuhic"/>
        <s v="Miller-Dibbert"/>
        <s v="Hane, Wolf and Gleichner"/>
        <s v="Bauch-Strosin"/>
        <s v="Walter, Sporer and Fisher"/>
        <s v="Parker, Terry and Upton"/>
        <s v="Leannon-Crooks"/>
        <s v="McCullough-West"/>
        <s v="Doyle, Moore and Streich"/>
        <s v="Champlin, Murphy and Kassulke"/>
        <s v="McClure Inc"/>
        <s v="Ruecker and Sons"/>
        <s v="Kris-Ankunding"/>
        <s v="Weimann Inc"/>
        <s v="Auer Inc"/>
        <s v="Dare, Feest and Rosenbaum"/>
        <s v="Kshlerin, Ledner and Flatley"/>
        <s v="Price-Breitenberg"/>
        <s v="Grant, Hayes and Jast"/>
        <s v="Donnelly, Hettinger and Pacocha"/>
        <s v="Goodwin Group"/>
        <s v="Murphy, Hahn and Heaney"/>
        <s v="Rippin Group"/>
        <s v="Renner and Sons"/>
        <s v="Bogan, Walsh and Powlowski"/>
        <s v="Bins Inc"/>
        <s v="Watsica, Spencer and Carter"/>
        <s v="Kohler and Sons"/>
        <s v="Walter, Schowalter and Denesik"/>
        <s v="Schmitt and Sons"/>
        <s v="Erdman and Sons"/>
        <s v="MacGyver, Halvorson and Dietrich"/>
        <s v="Stark-Gislason"/>
        <s v="Prosacco-Kub"/>
        <s v="Green-Kuhlman"/>
        <s v="Runolfsson-Konopelski"/>
        <s v="Witting-Harvey"/>
        <s v="Kozey LLC"/>
        <s v="Kunde, Trantow and Smitham"/>
        <s v="Hills LLC"/>
        <s v="Frami, Homenick and Okuneva"/>
        <s v="Lind Inc"/>
        <s v="O'Conner Inc"/>
        <s v="Ondricka-Leuschke"/>
        <s v="Leuschke, Will and Wuckert"/>
        <s v="Bartell LLC"/>
        <s v="Paucek, Borer and Dooley"/>
        <s v="Gislason LLC"/>
        <s v="Wilderman-Waters"/>
        <s v="Shields, Beatty and DuBuque"/>
        <s v="Hand-Lindgren"/>
        <s v="Nikolaus, Koelpin and Kilback"/>
        <s v="Hessel, Ullrich and O'Keefe"/>
        <s v="Auer, Reichert and Conn"/>
        <s v="Klocko, Brekke and O'Connell"/>
        <s v="Mueller-Doyle"/>
        <s v="Hauck-McDermott"/>
        <s v="Bahringer-Rohan"/>
        <s v="O'Hara-Russel"/>
        <s v="MacGyver, Morar and Bosco"/>
        <s v="Rice-Steuber"/>
        <s v="Wisoky, Vandervort and Beahan"/>
        <s v="Reynolds, Parisian and Steuber"/>
        <s v="Smith Group"/>
        <s v="Swaniawski Inc"/>
        <s v="VonRueden, Hodkiewicz and Schmeler"/>
        <s v="Dare LLC"/>
        <s v="Hand Group"/>
        <s v="Simonis, Adams and Homenick"/>
        <s v="Greenfelder, Miller and Sauer"/>
        <s v="Deckow, Wunsch and Gerlach"/>
        <s v="McDermott LLC"/>
        <s v="VonRueden-Borer"/>
        <s v="Maggio-Skiles"/>
        <s v="Littel-Rau"/>
        <s v="Bartoletti, Morar and Senger"/>
        <s v="Schimmel-Rath"/>
        <s v="Abbott, Skiles and Hermiston"/>
        <s v="Feil, Hayes and Johnston"/>
        <s v="Macejkovic-Nitzsche"/>
        <s v="Funk, Collier and Kilback"/>
        <s v="Hagenes-Price"/>
        <s v="Parisian, Wyman and Wolf"/>
        <s v="Roberts, Dietrich and Lind"/>
        <s v="West Group"/>
        <s v="Collins, Luettgen and Dooley"/>
        <s v="Hansen, Halvorson and Cremin"/>
        <s v="Brekke, Stark and Cummings"/>
        <s v="Lakin-Glover"/>
        <s v="Wehner-Littel"/>
        <s v="Franecki-Green"/>
        <s v="Anderson-Senger"/>
        <s v="Leannon and Sons"/>
        <s v="Bernhard, Lockman and Nolan"/>
        <s v="Goyette, Corwin and Jast"/>
        <s v="Kuvalis and Sons"/>
        <s v="Emard-Hand"/>
        <s v="Pagac, Lindgren and Kling"/>
        <s v="Denesik Group"/>
        <s v="Weber, Harvey and Hilpert"/>
        <s v="Hahn-Tillman"/>
        <s v="Rippin LLC"/>
        <s v="Stark LLC"/>
        <s v="Monahan-Hilpert"/>
        <s v="Midel"/>
        <s v="Davis LLC"/>
        <s v="Quitzon, Windler and Labadie"/>
        <s v="Mueller, Runolfsson and Jacobson"/>
        <s v="Sipes and Sons"/>
        <s v="Romaguera-Douglas"/>
        <s v="Koepp Inc"/>
        <s v="Farrell LLC"/>
        <s v="Ankunding LLC"/>
        <s v="Wuckert, Swift and Becker"/>
        <s v="Yakidoo"/>
        <s v="Meemm"/>
        <s v="Rhybox"/>
        <s v="Gleason LLC"/>
        <s v="Wolf-Wolff"/>
        <s v="Armstrong LLC"/>
        <s v="Hauck-Erdman"/>
        <s v="Murphy, Mohr and Hermiston"/>
        <s v="Schmitt-Stoltenberg"/>
        <s v="Rutherford-Bins"/>
        <s v="Bradtke, Johnston and Shanahan"/>
        <s v="Schinner-Dickinson"/>
        <s v="Jast-Legros"/>
        <s v="Schumm-Kihn"/>
        <s v="Lemke LLC"/>
        <s v="Johnston, Ritchie and Mitchell"/>
        <s v="Harris and Sons"/>
        <s v="Flipopia"/>
        <s v="Abata"/>
        <s v="Ntags"/>
        <s v="Skippad"/>
        <s v="Aivee"/>
        <s v="Youspan"/>
        <s v="Realfire"/>
        <s v="Quinu"/>
        <s v="Devpulse"/>
        <s v="Skiptube"/>
        <s v="Skyndu"/>
        <s v="Steuber-Lowe"/>
        <s v="Towne, Daugherty and Bogan"/>
        <s v="Bradtke Group"/>
        <s v="Bahringer, Durgan and Pfannerstill"/>
        <s v="Kshlerin, Schneider and Boyer"/>
        <s v="Ondricka, Windler and Jacobs"/>
        <s v="Simonis Group"/>
        <s v="Wolf, Dibbert and Kuhic"/>
        <s v="Douglas-Zemlak"/>
        <s v="Kshlerin, Huel and Ratke"/>
        <s v="Hintz, Schinner and Kshlerin"/>
        <s v="Kuhn LLC"/>
        <s v="McKenzie, Reichel and Champlin"/>
        <s v="Kiehn-Windler"/>
        <s v="Leffler, Ebert and Wilkinson"/>
        <s v="Heidenreich, Langosh and Conn"/>
        <s v="Balistreri-Turcotte"/>
        <s v="Spinka, Jacobi and Hickle"/>
        <s v="Satterfield and Sons"/>
        <s v="Block-Kozey"/>
        <s v="Oberbrunner-Oberbrunner"/>
        <s v="Ruecker LLC"/>
        <s v="Hessel and Sons"/>
        <s v="Morissette and Sons"/>
        <s v="Schoen-O'Conner"/>
        <s v="Spinka-Carroll"/>
        <s v="Robel-Huels"/>
        <s v="Dicki and Sons"/>
        <s v="Predovic-Mueller"/>
        <s v="Koss, McLaughlin and Moen"/>
        <s v="Gorczany, Buckridge and Robel"/>
        <s v="Howell-Lubowitz"/>
        <s v="Mills Inc"/>
        <s v="Kerluke Group"/>
        <s v="Fadel-Gorczany"/>
        <s v="Dooley, Roob and Quitzon"/>
        <s v="Pacocha-Gislason"/>
        <s v="Hickle-Champlin"/>
        <s v="Little LLC"/>
        <s v="Jerde and Sons"/>
        <s v="Cole, Morissette and Gorczany"/>
        <s v="Schuster-Yost"/>
        <s v="Thompson-Daniel"/>
        <s v="Wuckert Group"/>
        <s v="Hauck-Mayer"/>
        <s v="Rau Group"/>
        <s v="Kreiger-Rodriguez"/>
        <s v="Schuster-Schiller"/>
        <s v="Casper Group"/>
        <s v="Cole and Sons"/>
        <s v="Bosco-Boyer"/>
        <s v="Gulgowski-Volkman"/>
        <s v="Gulgowski, Funk and Schultz"/>
        <s v="Watsica-Wisoky"/>
        <s v="Erdman-Breitenberg"/>
        <s v="Kshlerin and Sons"/>
        <s v="Schaden LLC"/>
        <s v="Funk, Mosciski and Doyle"/>
        <s v="Haag and Sons"/>
        <s v="Davis Group"/>
        <s v="Denesik, Lynch and Deckow"/>
        <s v="Schiller, Fahey and Ferry"/>
        <s v="Wiza, Sporer and Rempel"/>
        <s v="Feeney Inc"/>
        <s v="Reynolds, Larson and Marquardt"/>
        <s v="Medhurst, Moen and Olson"/>
        <s v="Weissnat, Schaden and Runolfsson"/>
        <s v="Streich, Mann and Mante"/>
        <s v="Zulauf-Kassulke"/>
        <s v="Kilback-Swaniawski"/>
        <s v="Cronin, Schneider and Cormier"/>
        <s v="Lindgren LLC"/>
        <s v="Schinner, Rice and Mills"/>
        <s v="Bailey-Morissette"/>
        <s v="Corwin, Borer and Hoppe"/>
        <s v="Kassulke-Kertzmann"/>
        <s v="Stark-Farrell"/>
        <s v="Larkin, Gleichner and Lockman"/>
        <s v="Casper, Block and Harvey"/>
        <s v="Bins, Stamm and Reichert"/>
        <s v="Kutch, Pfeffer and Mosciski"/>
        <s v="Kshlerin, Walter and Kuhic"/>
        <s v="Aufderhar, Smitham and Schmitt"/>
        <s v="Gulgowski, Grady and Koss"/>
        <s v="Kwilith"/>
        <s v="Jaxspan"/>
        <s v="Quatz"/>
        <s v="Dabshots"/>
        <s v="Npath"/>
        <s v="Tagfeed"/>
        <s v="Lakin and Sons"/>
        <s v="Sporer, Kovacek and Pacocha"/>
        <s v="Wyman-Fadel"/>
        <s v="Skiles, Conn and Stark"/>
        <s v="Bartoletti, Kunze and Koelpin"/>
        <s v="Lockman-Moore"/>
        <s v="Jerde-Donnelly"/>
        <s v="Walker, Connelly and Thiel"/>
        <s v="Mitchell and Sons"/>
        <s v="Tillman, Kautzer and Heidenreich"/>
        <s v="Gorczany, Witting and Ritchie"/>
        <s v="Kreiger, Homenick and Baumbach"/>
        <s v="Nitzsche Group"/>
        <s v="Toy, Schneider and Ullrich"/>
        <s v="Zboncak Group"/>
        <s v="DuBuque Inc"/>
        <s v="Kiehn-Jerde"/>
        <s v="Halvorson-Casper"/>
        <s v="Harvey, Powlowski and Jast"/>
        <s v="Gusikowski Inc"/>
        <s v="Little-Feest"/>
        <s v="Cummings Group"/>
        <s v="Hintz-Bins"/>
        <s v="Schinner, Trantow and Brown"/>
        <s v="Moen, Murazik and Pacocha"/>
        <s v="Mann, Konopelski and Turner"/>
        <s v="Vandervort, Walker and Von"/>
        <s v="Hansen-Deckow"/>
        <s v="Hauck-Larson"/>
        <s v="Zboncak LLC"/>
        <s v="Ratke, Hudson and Champlin"/>
        <s v="Satterfield-Wilderman"/>
        <s v="Greenfelder, Maggio and Ullrich"/>
        <s v="Steuber-Legros"/>
        <s v="Dicki Inc"/>
        <s v="Beatty-Gutmann"/>
        <s v="Schiller, Haley and Denesik"/>
        <s v="Koepp-O'Conner"/>
        <s v="Yundt-Quigley"/>
        <s v="Gulgowski and Sons"/>
        <s v="Gerlach-Cummings"/>
        <s v="West and Sons"/>
        <s v="O'Reilly-Goodwin"/>
        <s v="Powlowski, DuBuque and Hauck"/>
        <s v="Keebler Inc"/>
        <s v="Purdy-Hansen"/>
        <s v="Strosin Group"/>
        <s v="Breitenberg, McKenzie and Langworth"/>
        <s v="Kulas, Treutel and Glover"/>
        <s v="Abernathy, Rolfson and Kuphal"/>
        <s v="Corwin, Murray and Altenwerth"/>
        <s v="Schoen, Conn and Prohaska"/>
        <s v="Wunsch, Will and Rice"/>
        <s v="Hoeger, Herman and Paucek"/>
        <s v="Fliptune"/>
        <s v="Plajo"/>
        <s v="Aimbu"/>
        <s v="Brightbean"/>
        <s v="Wordware"/>
        <s v="Cogidoo"/>
        <s v="Feedbug"/>
        <s v="Dabvine"/>
        <s v="Zoonder"/>
        <s v="Skimia"/>
        <s v="Camimbo"/>
        <s v="Blogspan"/>
        <s v="Babbleblab"/>
        <s v="Divape"/>
        <s v="Roodel"/>
        <s v="Yambee"/>
        <s v="Hills Group"/>
        <s v="Wilkinson LLC"/>
        <s v="Denesik, Bednar and Jakubowski"/>
        <s v="O'Kon, Cruickshank and Krajcik"/>
        <s v="Crona-Grady"/>
        <s v="Tillman-Kovacek"/>
        <s v="Romaguera Inc"/>
        <s v="Stamm LLC"/>
        <s v="Hamill-Ryan"/>
        <s v="Reichert-Volkman"/>
        <s v="Schmeler, Mayer and O'Connell"/>
        <s v="Bode-Hessel"/>
        <s v="Streich LLC"/>
        <s v="Welch Inc"/>
        <s v="Mosciski-Kovacek"/>
        <s v="Aufderhar, Mraz and Braun"/>
        <s v="Hoppe-Runte"/>
        <s v="Kunze-Nitzsche"/>
        <s v="Bahringer-MacGyver"/>
        <s v="Erdman-Rippin"/>
        <s v="Skiles Group"/>
        <s v="Hills, Turcotte and Wolff"/>
        <s v="Schowalter-Emard"/>
        <s v="Kessler Inc"/>
        <s v="Durgan, Shanahan and Lindgren"/>
        <s v="Kertzmann, Keeling and Harris"/>
        <s v="Brakus Inc"/>
        <s v="Pfannerstill-Thiel"/>
        <s v="Predovic, Tremblay and Huels"/>
        <s v="Will-Cremin"/>
        <s v="Schmidt Inc"/>
        <s v="Waters and Sons"/>
        <s v="Baumbach-Stiedemann"/>
        <s v="Sauer, Bartell and Friesen"/>
        <s v="Tromp Group"/>
        <s v="Harber, Lynch and Kassulke"/>
        <s v="Beer LLC"/>
        <s v="Casper LLC"/>
        <s v="Feeney-Smith"/>
        <s v="Hand, Beer and Feest"/>
        <s v="Schneider Inc"/>
        <s v="Jast and Sons"/>
        <s v="Lehner, Ledner and Strosin"/>
        <s v="Strosin, Ebert and Hessel"/>
        <s v="Rath, Gleason and Shanahan"/>
        <s v="Cormier-Baumbach"/>
        <s v="Langworth, Herzog and Veum"/>
        <s v="Botsford-Ruecker"/>
        <s v="Bernier, D'Amore and Quitzon"/>
        <s v="Gleichner-Crist"/>
        <s v="Bosco-Kemmer"/>
        <s v="Pacocha-Powlowski"/>
        <s v="Smith Inc"/>
        <s v="Stark Inc"/>
        <s v="Bailey-VonRueden"/>
        <s v="Rogahn-Cummerata"/>
        <s v="Cole LLC"/>
        <s v="Kling LLC"/>
        <s v="Murray-Rice"/>
        <s v="Cummerata and Sons"/>
        <s v="Hayes Inc"/>
        <s v="Pouros Group"/>
        <s v="Howe-Pfeffer"/>
        <s v="Lind, Swaniawski and Spinka"/>
        <s v="Bechtelar and Sons"/>
        <s v="Marquardt-Crooks"/>
        <s v="Rice LLC"/>
        <s v="Fahey Group"/>
        <s v="Crona-Beer"/>
        <s v="Runte-Baumbach"/>
        <s v="Nitzsche, O'Reilly and White"/>
        <s v="Rippin, Brakus and Cole"/>
        <s v="Beahan-Jenkins"/>
        <s v="Balistreri, Corkery and Mertz"/>
        <s v="Willms-Farrell"/>
        <s v="O'Reilly, Dach and Simonis"/>
        <s v="Kunde-Lockman"/>
        <s v="Legros-Auer"/>
        <s v="Orn LLC"/>
        <s v="Turcotte-VonRueden"/>
        <s v="Vandervort Inc"/>
        <s v="Schaden, Dicki and Kiehn"/>
        <s v="Bosco Group"/>
        <s v="Rosenbaum Group"/>
        <s v="Auer-Bradtke"/>
        <s v="Armstrong, Hermann and Sawayn"/>
        <s v="Feeney LLC"/>
        <s v="Marquardt, Denesik and Schmeler"/>
        <s v="Bernier, Herman and Schulist"/>
        <s v="Boyer and Sons"/>
        <s v="Ratke Inc"/>
        <s v="Padberg, Koepp and Walsh"/>
        <s v="Monahan, Dooley and Jast"/>
        <s v="Lehner, Jacobi and Koepp"/>
        <s v="Ondricka-Jerde"/>
        <s v="Gerhold, Fahey and Schowalter"/>
        <s v="Harvey-Gottlieb"/>
        <s v="Botsford, Hudson and Becker"/>
        <s v="Bogan Group"/>
        <s v="Morissette Group"/>
        <s v="Huels-Hyatt"/>
        <s v="Price-Pagac"/>
        <s v="Harris-Lindgren"/>
        <s v="Schimmel-Langosh"/>
        <s v="Bosco, Hills and Reinger"/>
        <s v="Crooks, Herzog and Leannon"/>
        <s v="Greenholt, Gorczany and Osinski"/>
        <s v="Dach-Shields"/>
        <s v="Blanda-Bednar"/>
        <s v="Bergnaum, Johnson and Grimes"/>
        <s v="Lesch LLC"/>
        <s v="Reichert LLC"/>
        <s v="Breitenberg-Huel"/>
        <s v="O'Conner-Braun"/>
        <s v="Shanahan, Senger and Rogahn"/>
        <s v="Aimbo"/>
        <s v="Skajo"/>
        <s v="Yodel"/>
        <s v="Greenfelder-Johns"/>
        <s v="Mosciski, Hansen and Ruecker"/>
        <s v="Balistreri LLC"/>
        <s v="Barrows, Jacobs and O'Hara"/>
        <s v="Schaefer-Lockman"/>
        <s v="Barrows-Waelchi"/>
        <s v="Walsh Inc"/>
        <s v="Trantow Group"/>
        <s v="Murphy, Hudson and Considine"/>
        <s v="Tagchat"/>
        <s v="Yata"/>
        <s v="Cogibox"/>
        <s v="Skynoodle"/>
        <s v="Heidenreich, Stehr and Johnston"/>
        <s v="Schultz-Kirlin"/>
        <s v="Blick-Schamberger"/>
        <s v="White-Donnelly"/>
        <s v="Wuckert and Sons"/>
        <s v="Batz, Fay and Murray"/>
        <s v="Harvey-Reichel"/>
        <s v="Hilpert and Sons"/>
        <s v="Stanton and Sons"/>
        <s v="Dare, Kassulke and Nicolas"/>
        <s v="O'Connell, Harber and Koelpin"/>
        <s v="Schmidt-Hettinger"/>
        <s v="Abernathy-Kohler"/>
        <s v="Kessler-Hirthe"/>
        <s v="Schowalter-Jacobs"/>
        <s v="Parker LLC"/>
        <s v="Youtags"/>
        <s v="Lemke-Roberts"/>
        <s v="Smith, Stiedemann and Rowe"/>
        <s v="Bogisich, Kuvalis and Herman"/>
        <s v="Okuneva-Schumm"/>
        <s v="Nader-Ortiz"/>
        <s v="Goyette LLC"/>
        <s v="Treutel and Sons"/>
        <s v="Murphy Group"/>
        <s v="Hamill Group"/>
        <s v="Keeling-Lang"/>
        <s v="MacGyver, Ondricka and McLaughlin"/>
        <s v="Linklinks"/>
        <s v="Larson and Sons"/>
        <s v="Bradtke-Stehr"/>
        <s v="Bartoletti LLC"/>
        <s v="Halvorson-Corkery"/>
        <s v="Reynolds, Gottlieb and Prohaska"/>
        <s v="Rempel, Senger and Schimmel"/>
        <s v="Kunde, Harris and Bernier"/>
        <s v="D'Amore-Pacocha"/>
        <s v="Mante-Toy"/>
        <s v="Smith-Parisian"/>
        <s v="Wuckert LLC"/>
        <s v="Murray Inc"/>
        <s v="Treutel, Balistreri and Brakus"/>
        <s v="Paucek LLC"/>
        <s v="Flatley Inc"/>
        <s v="Huel LLC"/>
        <s v="Strosin-Feeney"/>
        <s v="Lesch-Sporer"/>
        <s v="Steuber-Gibson"/>
        <s v="Grady Inc"/>
        <s v="Jast, Hirthe and Murphy"/>
        <s v="Kulas-Barrows"/>
        <s v="Quitzon Inc"/>
        <s v="Haley, Boyer and Prohaska"/>
        <s v="Ernser-Schulist"/>
        <s v="Considine Inc"/>
        <s v="Moen-Beer"/>
        <s v="Abernathy, Ward and Boyle"/>
        <s v="Realbridge"/>
        <s v="Blogtag"/>
        <s v="Yacero"/>
        <s v="Viva"/>
        <s v="Jaxworks"/>
        <s v="Kwideo"/>
        <s v="Geba"/>
        <s v="Gigashots"/>
        <s v="Reilly-Bahringer"/>
        <s v="Runolfsson-Rogahn"/>
        <s v="Purdy LLC"/>
        <s v="Terry, Corwin and Harris"/>
        <s v="Stokes LLC"/>
        <s v="Graham, Bergnaum and Kreiger"/>
        <s v="Wuckert-Yost"/>
        <s v="Schoen, Rohan and Mosciski"/>
        <s v="Morar-Heathcote"/>
        <s v="Larkin, Doyle and Corwin"/>
        <s v="Gerhold-Nicolas"/>
        <s v="Hoeger, Kreiger and Deckow"/>
        <s v="O'Reilly-Kerluke"/>
        <s v="Labadie LLC"/>
        <s v="Brown Group"/>
        <s v="Stoltenberg-Kuhn"/>
        <s v="Huels-Reichert"/>
        <s v="Bailey-O'Conner"/>
        <s v="Hudson, Spencer and Bahringer"/>
        <s v="Howell, McCullough and Wuckert"/>
        <s v="Crona, Bashirian and Armstrong"/>
        <s v="Veum, Steuber and Blick"/>
        <s v="Torp-Krajcik"/>
        <s v="Dach LLC"/>
        <s v="Carter-Blick"/>
        <s v="Klocko-Lindgren"/>
        <s v="Koepp, Bosco and Hodkiewicz"/>
        <s v="Ratke and Sons"/>
        <s v="Hudson, Bergnaum and Gerlach"/>
        <s v="Lynch-Gulgowski"/>
        <s v="Ryan Group"/>
        <s v="Barton, Schumm and Wilderman"/>
        <s v="Williamson, Gottlieb and Kuphal"/>
        <s v="Larkin, Kshlerin and Moore"/>
        <s v="Kautzer and Sons"/>
        <s v="Jaskolski, Krajcik and Bergnaum"/>
        <s v="Kutch Inc"/>
        <s v="Becker Inc"/>
        <s v="Mills, Schuppe and Stracke"/>
        <s v="McGlynn-Friesen"/>
        <s v="Stoltenberg-Koepp"/>
        <s v="Emmerich, Schinner and McKenzie"/>
        <s v="Stoltenberg, Hoppe and Funk"/>
        <s v="Schowalter and Sons"/>
        <s v="Lakin-Ondricka"/>
        <s v="Kunde, Smitham and Hills"/>
        <s v="Kilback-Blick"/>
        <s v="Ledner LLC"/>
        <s v="Reichel and Sons"/>
        <s v="Mills-Donnelly"/>
        <s v="Shanahan Inc"/>
        <s v="West-Wyman"/>
        <s v="Wunsch LLC"/>
        <s v="Ritchie, Rutherford and Blick"/>
        <s v="Ratke-Zulauf"/>
        <s v="Hodkiewicz-Wunsch"/>
        <s v="Zulauf Group"/>
        <s v="Powlowski, Weissnat and Pollich"/>
        <s v="Swift-Wolf"/>
        <s v="Paucek, Sanford and Feil"/>
        <s v="Quigley, Volkman and Kihn"/>
        <s v="Kerluke and Sons"/>
        <s v="Carroll and Sons"/>
        <s v="Jerde, Torphy and Hirthe"/>
        <s v="Hermann-Kreiger"/>
        <s v="Camido"/>
        <s v="Eamia"/>
        <s v="Centimia"/>
        <s v="Browsetype"/>
        <s v="Babbleopia"/>
        <s v="Yakitri"/>
        <s v="Linkbuzz"/>
        <s v="Oozz"/>
        <s v="Blogtags"/>
        <s v="Senger and Sons"/>
        <s v="Windler-Gutmann"/>
        <s v="Mueller-Conroy"/>
        <s v="Kohler, Konopelski and Runolfsdottir"/>
        <s v="Schuster, Beahan and Nolan"/>
        <s v="Donnelly, Jacobi and Gutmann"/>
        <s v="Considine-Boyer"/>
        <s v="Pfeffer LLC"/>
        <s v="Nader, McClure and Reynolds"/>
        <s v="Kohler-Kuhlman"/>
        <s v="Krajcik-Schroeder"/>
        <s v="Dietrich and Sons"/>
        <s v="Stracke-Fritsch"/>
        <s v="Berge-Mills"/>
        <s v="Barrows and Sons"/>
        <s v="Rice-Bins"/>
        <s v="Heathcote, Lemke and Abbott"/>
        <s v="Borer-Leannon"/>
        <s v="King, Lockman and Hansen"/>
        <s v="Funk-Stehr"/>
        <s v="Dooley, Jast and Lindgren"/>
        <s v="Shanahan and Sons"/>
        <s v="Heller Inc"/>
        <s v="Treutel, Grant and Mayert"/>
        <s v="Batz and Sons"/>
        <s v="Bergnaum, Heidenreich and Shields"/>
        <s v="Thompson Inc"/>
        <s v="Bashirian Group"/>
        <s v="Hamill-Funk"/>
        <s v="Senger-Kunze"/>
        <s v="Quitzon, Lindgren and Ruecker"/>
        <s v="Maggio, Heidenreich and Wolf"/>
        <s v="Bechtelar Inc"/>
        <s v="Wyman, Crona and Little"/>
        <s v="Lindgren-Hoeger"/>
        <s v="Thiel-Abbott"/>
        <s v="Gulgowski, Schumm and Johnston"/>
        <s v="Halvorson, O'Hara and Johnson"/>
        <s v="Rau-Hammes"/>
        <s v="Denesik-Heaney"/>
        <s v="Smith-Murphy"/>
        <s v="Pagac, Barrows and Keeling"/>
        <s v="Grant-Hahn"/>
        <s v="Rooxo"/>
        <s v="Kimia"/>
        <s v="Yoveo"/>
        <s v="Oyoba"/>
        <s v="Oloo"/>
        <s v="Eadel"/>
        <s v="Oyondu"/>
        <s v="Realpoint"/>
        <s v="Trudeo"/>
        <s v="Realbuzz"/>
        <s v="Vimbo"/>
        <s v="Rhynoodle"/>
        <s v="Green, Block and Mayer"/>
        <s v="Morissette LLC"/>
        <s v="Stoltenberg, Labadie and Spencer"/>
        <s v="Ondricka, Lubowitz and O'Connell"/>
        <s v="Dickinson and Sons"/>
        <s v="Waelchi Group"/>
        <s v="Stanton-Mayert"/>
        <s v="Rath-Harvey"/>
        <s v="Zboncak-Lebsack"/>
        <s v="Franecki, Rath and Roob"/>
        <s v="Koch-Harvey"/>
        <s v="Ankunding-Pfeffer"/>
        <s v="Johnson-Funk"/>
        <s v="Rodriguez, Rippin and Dooley"/>
        <s v="Larson, Carter and Bins"/>
        <s v="Jenkins Group"/>
        <s v="Bahringer, Crist and Reynolds"/>
        <s v="Ledner Group"/>
        <s v="Bode-Schiller"/>
        <s v="Kessler, Mitchell and Torp"/>
        <s v="Powlowski and Sons"/>
        <s v="Davis Inc"/>
        <s v="Kuhic, Fadel and Herman"/>
        <s v="Ward, Heathcote and Mante"/>
        <s v="Schaefer-Stroman"/>
        <s v="Williamson, Thiel and Ratke"/>
        <s v="Grimes, Murray and Pfannerstill"/>
        <s v="Bruen, Morar and McLaughlin"/>
        <s v="Sporer-Wolff"/>
        <s v="Upton, Mosciski and Hane"/>
        <s v="Schulist LLC"/>
        <s v="Cummings, Green and Ritchie"/>
        <s v="Raynor-Graham"/>
        <s v="Durgan, Raynor and Leuschke"/>
        <s v="Rogahn-Ratke"/>
        <s v="Nikolaus-Kirlin"/>
        <s v="Becker, Kris and Medhurst"/>
        <s v="Schmitt-Block"/>
        <s v="Pfeffer-Cronin"/>
        <s v="Wunsch, Reilly and Blick"/>
        <s v="Daniel-Murphy"/>
        <s v="Klein, Gislason and O'Reilly"/>
        <s v="Kiehn, Frami and Lehner"/>
        <s v="Shields Group"/>
        <s v="Metz-Heller"/>
        <s v="Kling Group"/>
        <s v="Mann-Heathcote"/>
        <s v="Durgan-Haag"/>
        <s v="Ortiz-Greenfelder"/>
        <s v="Labadie-Moore"/>
        <s v="Kertzmann Inc"/>
        <s v="Langosh, Bruen and Koelpin"/>
        <s v="Olson Inc"/>
        <s v="McKenzie-Farrell"/>
        <s v="Osinski, Blick and Morar"/>
        <s v="Schultz-Flatley"/>
        <s v="Doyle-Haley"/>
        <s v="Miller Inc"/>
        <s v="Stokes, Harris and Douglas"/>
        <s v="Schoen, Hermann and Bechtelar"/>
        <s v="Deckow, Runolfsdottir and Schuppe"/>
        <s v="Lehner, Larson and Roberts"/>
        <s v="Dickinson Inc"/>
        <s v="Cormier Group"/>
        <s v="Donnelly Inc"/>
        <s v="Mante-Hermann"/>
        <s v="Pollich, Simonis and Kerluke"/>
        <s v="Leannon, Breitenberg and Crist"/>
        <s v="Mueller-Glover"/>
        <s v="Towne, Mills and Kuhlman"/>
        <s v="Durgan Group"/>
        <s v="Wehner LLC"/>
        <s v="Crooks, Corwin and Stoltenberg"/>
        <s v="Flatley-Hansen"/>
        <s v="Herman, Hansen and Kerluke"/>
        <s v="Mraz, Murazik and Kling"/>
        <s v="Balistreri, Roberts and Gottlieb"/>
        <s v="Armstrong, Schaefer and Upton"/>
        <s v="Ryan LLC"/>
        <s v="Bode-Kautzer"/>
        <s v="Bauch, Hamill and Johns"/>
        <s v="Schultz Group"/>
        <s v="Robel and Sons"/>
        <s v="Flipbug"/>
        <s v="Hane-Heller"/>
        <s v="Fisher, Jones and Cummerata"/>
        <s v="Orn and Sons"/>
        <s v="O'Connell Inc"/>
        <s v="Ferry Inc"/>
        <s v="Dibbert-Fahey"/>
        <s v="Sipes-Kautzer"/>
        <s v="Harris-Yost"/>
        <s v="Schinner-Daugherty"/>
        <s v="Barrows, Kihn and Bergnaum"/>
        <s v="Schultz, Lind and Jenkins"/>
        <s v="Kohler-Boyle"/>
        <s v="Kirlin-Wilderman"/>
        <s v="O'Hara-Kihn"/>
        <s v="Hirthe, Runolfsson and Farrell"/>
        <s v="Towne, Mohr and Emard"/>
        <s v="Wilkinson Inc"/>
        <s v="Goldner, Stracke and Ryan"/>
        <s v="Olson, Runte and Ferry"/>
        <s v="Pacocha-O'Hara"/>
        <s v="Spinka, Parisian and Daniel"/>
        <s v="Bergstrom, Dibbert and Witting"/>
        <s v="Bergstrom-Farrell"/>
        <s v="Kayveo"/>
        <s v="Ziemann-Labadie"/>
        <s v="VonRueden-Mosciski"/>
        <s v="Roberts, Schaefer and Ortiz"/>
        <s v="Hane, Harber and McClure"/>
        <s v="Haag, Ziemann and Greenfelder"/>
        <s v="Senger-Quigley"/>
        <s v="Carroll-Fahey"/>
        <s v="Schneider Group"/>
        <s v="Mertz, Hodkiewicz and Howell"/>
        <s v="Cartwright and Sons"/>
        <s v="Sauer, Kozey and Mohr"/>
        <s v="Yundt-Denesik"/>
        <s v="Graham, Moen and Mosciski"/>
        <s v="Adams Inc"/>
        <s v="Tillman, Kessler and Bechtelar"/>
        <s v="King-Weissnat"/>
        <s v="Bluezoom"/>
        <s v="Thoughtworks"/>
        <s v="Skipstorm"/>
        <s v="Snaptags"/>
        <s v="Photofeed"/>
        <s v="Larkin-Glover"/>
        <s v="Conroy-Keeling"/>
        <s v="Ratke-Abshire"/>
        <s v="Quigley and Sons"/>
        <s v="O'Keefe and Sons"/>
        <s v="Rogahn, Nolan and Bernhard"/>
        <s v="Braun, Swaniawski and Harris"/>
        <s v="Cartwright-Hodkiewicz"/>
        <s v="Goyette Inc"/>
        <s v="Halvorson, Walker and White"/>
        <s v="McGlynn-Watsica"/>
        <s v="Kertzmann Group"/>
        <s v="Kirlin, Bruen and Legros"/>
        <s v="Okuneva-Gislason"/>
        <s v="Stanton, Mayer and Sauer"/>
        <s v="Pagac-Farrell"/>
        <s v="Trantow, O'Keefe and Hyatt"/>
        <s v="Thiel LLC"/>
        <s v="Corkery-Little"/>
        <s v="Youopia"/>
        <s v="Wikizz"/>
        <s v="Feednation"/>
        <s v="Fiveclub"/>
        <s v="Cassin-Schmeler"/>
        <s v="Murazik, Konopelski and McLaughlin"/>
        <s v="Dibbert, Jacobi and Rippin"/>
        <s v="Wilderman, Nicolas and Sanford"/>
        <s v="Maggio, Sanford and Rodriguez"/>
        <s v="Feil, O'Keefe and Skiles"/>
        <s v="Kutch-Weimann"/>
        <s v="Braun, Stroman and Terry"/>
        <s v="Farrell Inc"/>
        <s v="Stark, Lueilwitz and Boyle"/>
        <s v="Wilderman-Kunze"/>
        <s v="Rowe-Volkman"/>
        <s v="Towne-Mayer"/>
        <s v="Franecki, Torphy and Hayes"/>
        <s v="O'Conner-Gibson"/>
        <s v="Adams-Casper"/>
        <s v="Crist LLC"/>
        <s v="Schmeler-Bayer"/>
        <s v="Ferry-Weber"/>
        <s v="Weber Group"/>
        <s v="McKenzie Inc"/>
        <s v="Hermiston Inc"/>
        <s v="Jones Group"/>
        <s v="Bernhard, Stokes and Carroll"/>
        <s v="O'Connell-Deckow"/>
        <s v="Monahan-Turner"/>
        <s v="Oberbrunner, Hintz and Frami"/>
        <s v="Rogahn, Rice and Christiansen"/>
        <s v="Carter, Bayer and Okuneva"/>
        <s v="King-Simonis"/>
        <s v="Quitzon-Ruecker"/>
        <s v="Turner-Leuschke"/>
        <s v="Jazzy"/>
        <s v="Trudoo"/>
        <s v="Devify"/>
        <s v="Zooveo"/>
        <s v="Yamia"/>
        <s v="Buzzdog"/>
        <s v="Stamm, Weissnat and Collier"/>
        <s v="Barton, Hodkiewicz and Hickle"/>
        <s v="Jones, Stark and MacGyver"/>
        <s v="Walsh and Sons"/>
        <s v="Kulas, Cummings and Bechtelar"/>
        <s v="Hessel-McClure"/>
        <s v="Pagac and Sons"/>
        <s v="White, Murazik and Larkin"/>
        <s v="Pfeffer-Prohaska"/>
        <s v="Hyatt, Hudson and Predovic"/>
        <s v="Maggio, Bartoletti and Hoppe"/>
        <s v="Schimmel, Denesik and Schmeler"/>
        <s v="Schmitt-Bradtke"/>
        <s v="Wilkinson, Balistreri and Beier"/>
        <s v="Leannon-Romaguera"/>
        <s v="Jakubowski, Effertz and Lemke"/>
        <s v="Hirthe, Fisher and Dooley"/>
        <s v="Tremblay Inc"/>
        <s v="Mertz, Adams and Bradtke"/>
        <s v="Hermiston LLC"/>
        <s v="Mayer Group"/>
        <s v="Wolf-Deckow"/>
        <s v="Franecki, Grant and Prosacco"/>
        <s v="Batz-Russel"/>
        <s v="Russel-Stiedemann"/>
        <s v="Zemlak, O'Reilly and Schowalter"/>
        <s v="Douglas-Wiza"/>
        <s v="Heidenreich, Murazik and Walsh"/>
        <s v="Konopelski, McDermott and Wunsch"/>
        <s v="Greenholt, Kirlin and Torphy"/>
        <s v="Skipfire"/>
        <s v="Buzzshare"/>
        <s v="Photobean"/>
        <s v="Agimba"/>
        <s v="Twitterbridge"/>
        <s v="Quamba"/>
        <s v="Topiclounge"/>
        <s v="Meezzy"/>
        <s v="Nicolas, Champlin and Dietrich"/>
        <s v="Shanahan, Gislason and Vandervort"/>
        <s v="Bogan, Weimann and Rath"/>
        <s v="Kemmer, O'Hara and DuBuque"/>
        <s v="Kerluke-McKenzie"/>
        <s v="Green, Kuhn and O'Connell"/>
        <s v="Conroy-Bartoletti"/>
        <s v="Schamberger LLC"/>
        <s v="Renner Inc"/>
        <s v="McKenzie, Reynolds and Hane"/>
        <s v="Schmidt, Hahn and Frami"/>
        <s v="Adams Group"/>
        <s v="Beier, Wolf and Schuster"/>
        <s v="Flatley Group"/>
        <s v="Barton Inc"/>
        <s v="Skiles, Deckow and Hintz"/>
        <s v="Upton-Parisian"/>
        <s v="Quigley-Kling"/>
        <s v="Reilly and Sons"/>
        <s v="Kassulke-Keebler"/>
        <s v="Morar-Berge"/>
        <s v="Emard Group"/>
        <s v="Nolan Group"/>
        <s v="Stroman, Wehner and Stamm"/>
        <s v="Doyle, Osinski and Gleichner"/>
        <s v="Nader, Steuber and Kulas"/>
        <s v="Schmidt-Kunze"/>
        <s v="MacGyver, Moore and Smith"/>
        <s v="Quigley Group"/>
        <s v="Lockman Inc"/>
        <s v="Schmidt, Skiles and Dare"/>
        <s v="Von LLC"/>
        <s v="Ruecker Inc"/>
        <s v="Heaney, Fadel and Wiegand"/>
        <s v="Kohler, Dietrich and Bosco"/>
        <s v="Stoltenberg-Fahey"/>
        <s v="Ledner-Lindgren"/>
        <s v="Olson LLC"/>
        <s v="Wunsch, Hegmann and Bradtke"/>
        <s v="Bernier, Stamm and Lemke"/>
        <s v="Mitchell-Veum"/>
        <s v="Hayes, Christiansen and Bahringer"/>
        <s v="Lang and Sons"/>
        <s v="Mills-Ziemann"/>
        <s v="Hoppe, Becker and Jacobs"/>
        <s v="Christiansen-Bechtelar"/>
        <s v="Bartoletti Group"/>
        <s v="Rippin and Sons"/>
        <s v="Sauer-Huels"/>
        <s v="Kerluke-Schuster"/>
        <s v="King-McKenzie"/>
        <s v="Langosh-Stark"/>
        <s v="Kreiger Group"/>
        <s v="Livetube"/>
        <s v="Rowe-Jacobs"/>
        <s v="Donnelly-Kunze"/>
        <s v="Batz-Gleichner"/>
        <s v="Borer-Aufderhar"/>
        <s v="Hirthe, Parisian and Pouros"/>
        <s v="Murphy Inc"/>
        <s v="Jabberstorm"/>
        <s v="Thoughtsphere"/>
        <s v="Fivebridge"/>
        <s v="Dabtype"/>
        <s v="Corkery LLC"/>
        <s v="Ledner, Koelpin and Rath"/>
        <s v="Walter LLC"/>
        <s v="Runolfsdottir-Kulas"/>
        <s v="Senger LLC"/>
        <s v="Legros-DuBuque"/>
        <s v="Mertz Group"/>
        <s v="Harber Inc"/>
        <s v="Borer, Durgan and Weber"/>
        <s v="Davis-Waelchi"/>
        <s v="Hessel, Zboncak and Rath"/>
        <s v="Harvey Group"/>
        <s v="Stoltenberg, Gulgowski and Murazik"/>
        <s v="Hickle LLC"/>
        <s v="Miller-Goyette"/>
        <s v="Ankunding, Mayer and Sanford"/>
        <s v="Anderson Inc"/>
        <s v="Sanford, Koch and Kulas"/>
        <s v="Champlin LLC"/>
        <s v="Beer, Toy and Reichert"/>
        <s v="Langworth-Conn"/>
        <s v="Ankunding, Kozey and Hauck"/>
        <s v="Kuhic, Abernathy and Ward"/>
        <s v="Monahan-Reinger"/>
        <s v="Kilback, Klein and Lemke"/>
        <s v="Huel Inc"/>
        <s v="Reinger, Price and Zemlak"/>
        <s v="Rogahn Group"/>
        <s v="Jacobson-Bogan"/>
        <s v="Kreiger-Stroman"/>
        <s v="Wilderman, Kulas and Emard"/>
        <s v="Mohr, Feil and Fisher"/>
        <s v="Hagenes, Schuppe and Homenick"/>
        <s v="Senger Inc"/>
        <s v="Bernier-Denesik"/>
        <s v="Bergnaum Group"/>
        <s v="Johnson-Zieme"/>
        <s v="Lesch-Ryan"/>
        <s v="Rutherford-Doyle"/>
        <s v="Swaniawski and Sons"/>
        <s v="Auer-Donnelly"/>
        <s v="Lockman, Kris and Hansen"/>
        <s v="Cronin-Dare"/>
        <s v="Effertz, Kuhlman and Koch"/>
        <s v="Simonis-Beahan"/>
        <s v="Crona-Smitham"/>
        <s v="Eimbee"/>
        <s v="Jaloo"/>
        <s v="Fivespan"/>
        <s v="Digitube"/>
        <s v="Wisozk, Hickle and Olson"/>
        <s v="Donnelly-Bergnaum"/>
        <s v="Jacobs-Cruickshank"/>
        <s v="Walter-Altenwerth"/>
        <s v="Schinner-Leannon"/>
        <s v="Torp-Goldner"/>
        <s v="Dooley-Feest"/>
        <s v="Ondricka-Beer"/>
        <s v="Hansen Group"/>
        <s v="Kris, Hartmann and Mraz"/>
        <s v="Klein LLC"/>
        <s v="Simonis and Sons"/>
        <s v="Schinner-Paucek"/>
        <s v="Hirthe, Keebler and Beahan"/>
        <s v="Koch-Swaniawski"/>
        <s v="Abbott, Greenholt and Schimmel"/>
        <s v="Shields-Corkery"/>
        <s v="Terry, Miller and Daugherty"/>
        <s v="Kshlerin, Monahan and Jerde"/>
        <s v="Heaney, Mayer and Tromp"/>
        <s v="Becker-Mann"/>
        <s v="Ziemann-Becker"/>
        <s v="Klocko, Sanford and Mertz"/>
        <s v="Hand, Gutmann and Ruecker"/>
        <s v="Balistreri Inc"/>
        <s v="Medhurst-Wintheiser"/>
        <s v="Braun, Schamberger and McKenzie"/>
        <s v="Gutkowski Inc"/>
        <s v="Wunsch Group"/>
        <s v="Twitterworks"/>
        <s v="Demizz"/>
        <s v="Voomm"/>
        <s v="Zazio"/>
        <s v="Bubblebox"/>
        <s v="Chatterbridge"/>
        <s v="Linkbridge"/>
        <s v="DabZ"/>
        <s v="Gabvine"/>
        <s v="Voolith"/>
        <s v="Eire"/>
        <s v="Devpoint"/>
        <s v="Twimbo"/>
        <s v="Youfeed"/>
        <s v="Realcube"/>
        <s v="Mycat"/>
        <s v="Innojam"/>
        <s v="Twinder"/>
        <s v="Reallinks"/>
        <s v="Einti"/>
        <s v="Meevee"/>
        <s v="Zoomcast"/>
        <s v="Demimbu"/>
        <s v="Vipe"/>
        <s v="Twitterbeat"/>
        <s v="Topicshots"/>
        <s v="Quire"/>
        <s v="Emmerich and Sons"/>
        <s v="McKenzie LLC"/>
        <s v="Lueilwitz-Cole"/>
        <s v="Casper-Flatley"/>
        <s v="Paucek, Pouros and Wunsch"/>
        <s v="Crona Inc"/>
        <s v="Waters LLC"/>
        <s v="Wyman-Jast"/>
        <s v="Kuhic-Parker"/>
        <s v="Swaniawski-McCullough"/>
        <s v="DuBuque-Hartmann"/>
        <s v="Spencer-Bauch"/>
        <s v="Hand-Bernhard"/>
        <s v="McLaughlin Group"/>
        <s v="Mertz-Dare"/>
        <s v="Simonis, Wyman and Connelly"/>
        <s v="Turner LLC"/>
        <s v="Herzog-Kub"/>
        <s v="Kris Inc"/>
        <s v="Thompson and Sons"/>
        <s v="Morar-Johns"/>
        <s v="Hessel Inc"/>
        <s v="Wiegand-Braun"/>
        <s v="VonRueden, Kreiger and McGlynn"/>
        <s v="Schmitt-Vandervort"/>
        <s v="Nicolas and Sons"/>
        <s v="Stanton, Stracke and Hegmann"/>
        <s v="Kuvalis, McClure and Leannon"/>
        <s v="Berge, Tremblay and Langworth"/>
        <s v="Schiller Group"/>
        <s v="Considine Group"/>
        <s v="Hammes Group"/>
        <s v="O'Reilly-Ruecker"/>
        <s v="Kreiger, Pfannerstill and Spencer"/>
        <s v="Schoen, Langworth and Howe"/>
        <s v="Hartmann Group"/>
        <s v="Swaniawski, Stokes and Beatty"/>
        <s v="Rohan, Bogisich and Herman"/>
        <s v="Toy LLC"/>
        <s v="Raynor, Hand and Grady"/>
        <s v="Corwin-Nolan"/>
        <s v="Green-Jenkins"/>
        <s v="Bogan, Schmeler and Schimmel"/>
        <s v="Mitchell Inc"/>
        <s v="Reichel, Spencer and Rau"/>
        <s v="Feeney, Schneider and Boyle"/>
        <s v="Sipes Group"/>
        <s v="Kunze and Sons"/>
        <s v="Schaden-Rau"/>
        <s v="Jenkins and Sons"/>
        <s v="Dibbert, Parisian and Stiedemann"/>
        <s v="Daniel and Sons"/>
        <s v="Ullrich-Runte"/>
        <s v="Gorczany LLC"/>
        <s v="Mayert-Heller"/>
        <s v="Schoen-Gutmann"/>
        <s v="Langosh-Kunde"/>
        <s v="Harvey and Sons"/>
        <s v="Shanahan-Emard"/>
        <s v="Goldner-Carter"/>
        <s v="McClure and Sons"/>
        <s v="Nicolas Group"/>
        <s v="Stanton, Gislason and Mosciski"/>
        <s v="Ward-DuBuque"/>
        <s v="Willms Group"/>
        <s v="Towne, Koss and Romaguera"/>
        <s v="Treutel, Carter and Daniel"/>
        <s v="Brekke LLC"/>
        <s v="Franecki and Sons"/>
        <s v="Ondricka-Heller"/>
        <s v="Heidenreich, Hirthe and Kohler"/>
        <s v="Donnelly-O'Keefe"/>
        <s v="Johnston LLC"/>
        <s v="Runolfsdottir Inc"/>
        <s v="Glover Inc"/>
        <s v="Swaniawski-DuBuque"/>
        <s v="Schneider, Lowe and O'Kon"/>
        <s v="Bergstrom and Sons"/>
        <s v="Lueilwitz, Rodriguez and Wiegand"/>
        <s v="Nitzsche, Howe and Anderson"/>
        <s v="Durgan, McLaughlin and Will"/>
        <s v="Terry, Mayer and Wehner"/>
        <s v="Metz, Heaney and Hand"/>
        <s v="Wilderman Group"/>
        <s v="MacGyver, McGlynn and Buckridge"/>
        <s v="Veum-Friesen"/>
        <s v="Dibbert, Hayes and Doyle"/>
        <s v="Bechtelar LLC"/>
        <s v="Crist, Cole and Hegmann"/>
        <s v="Kihn, Gusikowski and Kris"/>
        <s v="Farrell and Sons"/>
        <s v="Cummings-Williamson"/>
        <s v="Ritchie LLC"/>
        <s v="Ritchie-Luettgen"/>
        <s v="Davis-Keebler"/>
        <s v="Tremblay-Will"/>
        <s v="Runte-O'Connell"/>
        <s v="Ziemann Group"/>
        <s v="Pacocha Group"/>
        <s v="Runte-Feeney"/>
        <s v="Zemlak-Brekke"/>
        <s v="Conn LLC"/>
        <s v="Gibson-Ullrich"/>
        <s v="Parker, Spencer and O'Conner"/>
        <s v="Maggio-Lehner"/>
        <s v="Yost-Ratke"/>
        <s v="McGlynn-Nitzsche"/>
        <s v="Schuster-Pfeffer"/>
        <s v="Hagenes, Schinner and Leannon"/>
        <s v="Fahey-Kozey"/>
        <s v="Harber LLC"/>
        <s v="Wunsch, Spencer and Baumbach"/>
        <s v="Lindgren Group"/>
        <s v="Moore, Emard and Larkin"/>
        <s v="Bahringer LLC"/>
        <s v="Koepp, Zemlak and Ortiz"/>
        <s v="Jacobson Group"/>
        <s v="Fritsch-Greenfelder"/>
        <s v="Balistreri, Mosciski and Emmerich"/>
        <s v="Schumm and Sons"/>
        <s v="O'Keefe LLC"/>
        <s v="Reinger, Wiegand and O'Reilly"/>
        <s v="McDermott-Jenkins"/>
        <s v="Trantow LLC"/>
        <s v="Gutmann and Sons"/>
        <s v="Goyette, D'Amore and Murphy"/>
        <s v="Beier Group"/>
        <s v="McGlynn-Shanahan"/>
        <s v="Kuvalis-Casper"/>
        <s v="Hintz LLC"/>
        <s v="Boehm-Yundt"/>
        <s v="Borer, Cassin and Fahey"/>
        <s v="Pfannerstill, Turcotte and Stokes"/>
        <s v="Rogahn-Ward"/>
        <s v="Gutmann LLC"/>
        <s v="Morar, Lueilwitz and Brekke"/>
        <s v="Green Inc"/>
        <s v="Beer-Schowalter"/>
        <s v="Swift LLC"/>
        <s v="Heathcote, Price and Morar"/>
        <s v="Mayert, Dicki and Boehm"/>
        <s v="Kassulke-Kunde"/>
        <s v="Bauch and Sons"/>
        <s v="Mayert-Gleason"/>
        <s v="Sporer-Hermann"/>
        <s v="Zoomzone"/>
        <s v="Talane"/>
        <s v="Realmix"/>
        <s v="Riffpedia"/>
        <s v="Devshare"/>
        <s v="Livefish"/>
        <s v="Jamia"/>
        <s v="Gigabox"/>
        <s v="Eare"/>
        <s v="Linktype"/>
        <s v="Thoughtmix"/>
        <s v="Wolf-Dooley"/>
        <s v="Jacobs, Abernathy and Bernier"/>
        <s v="Renner LLC"/>
        <s v="Connelly-Jaskolski"/>
        <s v="Dooley LLC"/>
        <s v="Rempel Inc"/>
        <s v="Schaden Group"/>
        <s v="Dickens-Franecki"/>
        <s v="Champlin, Hamill and Olson"/>
        <s v="Kirlin-Volkman"/>
        <s v="Grant LLC"/>
        <s v="Hamill, Gleason and Padberg"/>
        <s v="Bauch-Wintheiser"/>
        <s v="Torp-Rohan"/>
        <s v="Vandervort-Barton"/>
        <s v="Corwin Group"/>
        <s v="Tillman-Herman"/>
        <s v="Nader, Kozey and Sawayn"/>
        <s v="Kohler-Rice"/>
        <s v="Oberbrunner Group"/>
        <s v="Parisian-Schoen"/>
        <s v="Orn, Bogan and Schowalter"/>
        <s v="Pfannerstill, Cummings and Cormier"/>
        <s v="Yost-Larkin"/>
        <s v="Von-O'Hara"/>
        <s v="Pollich LLC"/>
        <s v="Murazik Group"/>
        <s v="Hettinger-Cummings"/>
        <s v="Wilkinson, Dickens and Mills"/>
        <s v="Schmitt Inc"/>
        <s v="Rogahn, Gusikowski and Lehner"/>
        <s v="Schaden-Davis"/>
        <s v="Pagac, Crona and Dare"/>
        <s v="Macejkovic, Kemmer and Sawayn"/>
        <s v="Luettgen Group"/>
        <s v="Fisher Inc"/>
        <s v="Greenholt and Sons"/>
        <s v="McDermott Inc"/>
        <s v="Collins, Bruen and Hahn"/>
        <s v="Beier LLC"/>
        <s v="Mraz-Smitham"/>
        <s v="Jacobs and Sons"/>
        <s v="Sanford and Sons"/>
        <s v="Gislason Group"/>
        <s v="Littel, Leuschke and Bernier"/>
        <s v="Collier Inc"/>
        <s v="Towne Group"/>
        <s v="Kris and Sons"/>
        <s v="Wolf-Boyle"/>
        <s v="Schuppe-Roberts"/>
        <s v="Morar-Towne"/>
        <s v="Kris LLC"/>
        <s v="McGlynn, VonRueden and Stanton"/>
        <s v="Witting LLC"/>
        <s v="Stehr-Schultz"/>
        <s v="Hartmann-Upton"/>
        <s v="Orn, Langosh and Adams"/>
        <s v="Graham-Lueilwitz"/>
        <s v="Morissette-Witting"/>
        <s v="Christiansen, Ondricka and Cummings"/>
        <s v="Dicki Group"/>
        <s v="Pouros-Ferry"/>
        <s v="Gutkowski, Dibbert and Brekke"/>
        <s v="Ratke, Considine and Dicki"/>
        <s v="Schamberger, Wolff and Strosin"/>
        <s v="Jacobson, White and Murray"/>
        <s v="Carroll-Kulas"/>
        <s v="Kuhic-Lebsack"/>
        <s v="Hilpert, Robel and Conn"/>
        <s v="Windler-Vandervort"/>
        <s v="Champlin, Mueller and Nader"/>
        <s v="Feest-Flatley"/>
        <s v="Kozey, Wiegand and Balistreri"/>
        <s v="Cartwright, Deckow and Hettinger"/>
        <s v="Funk, Orn and Ziemann"/>
        <s v="Lind, Kris and Dach"/>
        <s v="Von Inc"/>
        <s v="Kuhic, Kiehn and Satterfield"/>
        <s v="Ratke, Schowalter and Hilpert"/>
        <s v="Lakin, Langworth and Kozey"/>
        <s v="Ankunding, Nienow and Larson"/>
        <s v="Parisian, Breitenberg and Prohaska"/>
        <s v="Stoltenberg and Sons"/>
        <s v="Haag-Fisher"/>
        <s v="Ledner-Kessler"/>
        <s v="Hodkiewicz-Greenfelder"/>
        <s v="Bode, Ritchie and Koss"/>
        <s v="Yundt, Stokes and Effertz"/>
        <s v="Mills, Hilll and Strosin"/>
        <s v="Rodriguez-Cummings"/>
        <s v="Spencer LLC"/>
        <s v="Mayert-Reinger"/>
        <s v="Hand, Strosin and Toy"/>
        <s v="Hegmann, Bergnaum and White"/>
        <s v="Heathcote, Thiel and Aufderhar"/>
        <s v="White-Davis"/>
        <s v="Nader-Stroman"/>
        <s v="Crooks-Schimmel"/>
        <s v="Stroman-Yundt"/>
        <s v="Reinger, Marquardt and Durgan"/>
        <s v="Hermann and Sons"/>
        <s v="Robel Inc"/>
        <s v="Hilll-Skiles"/>
        <s v="Pagac, Huel and Emmerich"/>
        <s v="Klein, Wintheiser and Macejkovic"/>
        <s v="Swift, Kunze and Schumm"/>
        <s v="Lubowitz, Padberg and Romaguera"/>
        <s v="Flatley-Huels"/>
        <s v="McDermott, Balistreri and Effertz"/>
        <s v="Wordify"/>
        <s v="Fivechat"/>
        <s v="Dazzlesphere"/>
        <s v="Meejo"/>
        <s v="Ozu"/>
        <s v="Voonte"/>
        <s v="Jabbersphere"/>
        <s v="Gabcube"/>
        <s v="Zoombox"/>
        <s v="Oyope"/>
        <s v="Topicstorm"/>
        <s v="Vidoo"/>
        <s v="Gabtype"/>
        <s v="Skyba"/>
        <s v="Dynava"/>
        <s v="Oyoyo"/>
        <s v="Roombo"/>
        <s v="Jabberbean"/>
        <s v="Yakijo"/>
        <s v="Mudo"/>
        <s v="Avavee"/>
        <s v="Zoomdog"/>
        <s v="Latz"/>
        <s v="Voonder"/>
        <s v="Heller-Sanford"/>
        <s v="Aufderhar, Crona and Wilkinson"/>
        <s v="Smitham, Russel and O'Connell"/>
        <s v="Boehm, Rosenbaum and Beahan"/>
        <s v="Parisian, MacGyver and Moen"/>
        <s v="Reichert-Howe"/>
        <s v="Beahan Group"/>
        <s v="Fahey-Pouros"/>
        <s v="Zemlak, O'Hara and Wilderman"/>
        <s v="Rempel, King and Wehner"/>
        <s v="Schmidt Group"/>
        <s v="Gottlieb, Jakubowski and Rowe"/>
        <s v="Wilkinson and Sons"/>
        <s v="Ankunding, Casper and Leuschke"/>
        <s v="Kulas Inc"/>
        <s v="Olson-Lakin"/>
        <s v="Cartwright, Bosco and Schuppe"/>
        <s v="VonRueden, Murray and Mosciski"/>
        <s v="Kiehn Inc"/>
        <s v="Daugherty, Keeling and Leannon"/>
        <s v="Brakus, Huel and Hamill"/>
        <s v="Legros-Effertz"/>
        <s v="Lueilwitz-Spencer"/>
        <s v="Waters, Gislason and Auer"/>
        <s v="Schamberger, Runte and Lehner"/>
        <s v="Carter-Sanford"/>
        <s v="Mann-Braun"/>
        <s v="Terry, Cole and Zemlak"/>
        <s v="Christiansen-Hartmann"/>
        <s v="Mraz, Bernier and Satterfield"/>
        <s v="Nader, Bednar and Macejkovic"/>
        <s v="Schimmel-Denesik"/>
        <s v="Cummings, Weimann and Zulauf"/>
        <s v="Aufderhar Inc"/>
        <s v="Watsica-Pollich"/>
        <s v="Hilll-Stehr"/>
        <s v="Dooley Group"/>
        <s v="Lebsack-Carroll"/>
        <s v="Tremblay and Sons"/>
        <s v="Wiegand-Schroeder"/>
        <s v="Reynolds Inc"/>
        <s v="Huel-Smitham"/>
        <s v="Cassin Group"/>
        <s v="Effertz, Stark and DuBuque"/>
        <s v="Harris-Lockman"/>
        <s v="Klocko, Herzog and Ruecker"/>
        <s v="Gibson Inc"/>
        <s v="Dickinson-Murphy"/>
        <s v="Bernier-Beatty"/>
        <s v="Daugherty LLC"/>
        <s v="Ziemann-Kessler"/>
        <s v="Schumm, Crona and Auer"/>
        <s v="Crooks-Green"/>
        <s v="Pacocha-Bartell"/>
        <s v="Thompson-Osinski"/>
        <s v="Little-Runte"/>
        <s v="Weissnat, Stamm and Marquardt"/>
        <s v="Kuphal Inc"/>
        <s v="Jaskolski-Welch"/>
        <s v="Shanahan, O'Keefe and Lemke"/>
        <s v="Heller-Morissette"/>
        <s v="Goldner Inc"/>
        <s v="Hyatt-Pouros"/>
        <s v="Kshlerin, Jacobson and Funk"/>
        <s v="Heidenreich, MacGyver and Greenholt"/>
        <s v="Blanda, Champlin and Rempel"/>
        <s v="Funk Inc"/>
        <s v="Wehner-Dach"/>
        <s v="VonRueden LLC"/>
        <s v="Connelly and Sons"/>
        <s v="McKenzie-Spinka"/>
        <s v="Tillman, Hand and Lesch"/>
        <s v="Von-Ritchie"/>
        <s v="Batz LLC"/>
        <s v="Reilly LLC"/>
        <s v="Kirlin-Bartell"/>
        <s v="Buckridge-Hickle"/>
        <s v="Daugherty Inc"/>
        <s v="Gusikowski, Lakin and Rice"/>
        <s v="Orn-Crist"/>
        <s v="Metz Inc"/>
        <s v="Hermann Group"/>
        <s v="Flatley, Lemke and Grady"/>
        <s v="Terry, Gleichner and Stehr"/>
        <s v="Barton, Altenwerth and Bailey"/>
        <s v="Kautzer Group"/>
        <s v="Turcotte, Anderson and Cormier"/>
        <s v="Kuphal, Schmeler and Christiansen"/>
        <s v="Kuvalis Group"/>
        <s v="Hilpert-Auer"/>
        <s v="Smitham Group"/>
        <s v="Stokes and Sons"/>
        <s v="Mills Group"/>
        <s v="Considine, Treutel and Koss"/>
        <s v="Senger, Goldner and Simonis"/>
        <s v="Grant, Blanda and Block"/>
        <s v="Herzog LLC"/>
        <s v="Spinka, Kozey and Shanahan"/>
        <s v="Osinski-Dicki"/>
        <s v="Crona, Aufderhar and Satterfield"/>
        <s v="Monahan-Cummings"/>
        <s v="Corkery-Steuber"/>
        <s v="Bergnaum, Koch and Rutherford"/>
        <s v="Herman, Doyle and Hilpert"/>
        <s v="D'Amore, Marvin and Jacobs"/>
        <s v="Upton-Abshire"/>
        <s v="Cormier-Schulist"/>
        <s v="Schowalter LLC"/>
        <s v="Runolfsson-Hudson"/>
        <s v="Hudson-Hahn"/>
        <s v="Leannon, Yost and Nitzsche"/>
        <s v="Denesik, Swaniawski and Schulist"/>
        <s v="Price, Haley and Satterfield"/>
        <s v="Witting Group"/>
        <s v="Funk-Kuphal"/>
        <s v="Collier, Rempel and Kertzmann"/>
        <s v="Lang-Halvorson"/>
        <s v="Kovacek-Quigley"/>
        <s v="Howell-Weimann"/>
        <s v="Beatty-Marvin"/>
        <s v="Miller LLC"/>
        <s v="Mosciski-Buckridge"/>
        <s v="Harber-Ebert"/>
        <s v="Mann, Bogan and Reilly"/>
        <s v="Aufderhar, Metz and Casper"/>
        <s v="Reichert, Gislason and Koepp"/>
        <s v="Carroll-Bogisich"/>
        <s v="Batz, Wisozk and Hamill"/>
        <s v="Leuschke, Beer and White"/>
        <s v="Kutch-Cronin"/>
        <s v="Parisian, Volkman and Gerhold"/>
        <s v="Stanton, Smith and Bernhard"/>
        <s v="Ryan-Schimmel"/>
        <s v="Cronin Group"/>
        <s v="Kautzer, Hodkiewicz and Bode"/>
        <s v="Labadie Inc"/>
        <s v="Mertz-Koelpin"/>
        <s v="Dietrich, Stehr and Herman"/>
        <s v="Prohaska, Christiansen and Yost"/>
        <s v="Walker Group"/>
        <s v="Monahan, Pfannerstill and Lindgren"/>
        <s v="Boehm Inc"/>
        <s v="Bins-Hodkiewicz"/>
        <s v="O'Reilly-Heller"/>
        <s v="Baumbach and Sons"/>
        <s v="Brekke Inc"/>
        <s v="Bauch, Fadel and Reichert"/>
        <s v="Wolf, Halvorson and Koepp"/>
        <s v="Boehm, Satterfield and Quigley"/>
        <s v="Marquardt-Bergnaum"/>
        <s v="Bashirian, Wiegand and Jerde"/>
        <s v="Beatty, Baumbach and Lubowitz"/>
        <s v="Pouros, Boyle and Ullrich"/>
        <s v="Brakus-Metz"/>
        <s v="Dibbert Group"/>
        <s v="Weimann-Will"/>
        <s v="Weimann-Dibbert"/>
        <s v="Hettinger-Gleason"/>
        <s v="Ritchie and Sons"/>
        <s v="Mann, Erdman and O'Keefe"/>
        <s v="Herzog, Legros and Wuckert"/>
        <s v="Schuster, Spencer and Gerhold"/>
        <s v="Hodkiewicz, Toy and Konopelski"/>
        <s v="Larkin-Little"/>
        <s v="Schmidt LLC"/>
        <s v="Murray-Watsica"/>
        <s v="Boyer Group"/>
        <s v="Stroman, Block and Koepp"/>
        <s v="Johnson and Sons"/>
        <s v="Mueller-Conn"/>
        <s v="Balistreri-Schultz"/>
        <s v="Cruickshank Group"/>
        <s v="Homenick Group"/>
        <s v="Muller LLC"/>
        <s v="Schuster LLC"/>
        <s v="Dare, Tillman and Becker"/>
        <s v="Nolan, Maggio and Hoeger"/>
        <s v="Hermiston-Bergstrom"/>
        <s v="Bradtke and Sons"/>
        <s v="Cruickshank and Sons"/>
        <s v="Wolff Inc"/>
        <s v="Lockman-O'Connell"/>
        <s v="Stehr-Maggio"/>
        <s v="Schaefer-O'Keefe"/>
        <s v="Rempel-Greenfelder"/>
        <s v="Berge Inc"/>
        <s v="Powlowski-Simonis"/>
        <s v="Prohaska-Kuvalis"/>
        <s v="Brakus-Simonis"/>
        <s v="Tillman, VonRueden and Ondricka"/>
        <s v="Batz Inc"/>
        <s v="Medhurst and Sons"/>
        <s v="Schoen Inc"/>
        <s v="Toy-Grady"/>
        <s v="Keeling and Sons"/>
        <s v="Gusikowski and Sons"/>
        <s v="Bahringer, Jerde and Dibbert"/>
        <s v="Murray-Koepp"/>
        <s v="Erdman-Beahan"/>
        <s v="Hayes LLC"/>
        <s v="Kutch, Bauch and Heathcote"/>
        <s v="Heathcote-Hettinger"/>
        <s v="Powlowski-Kuhlman"/>
        <s v="Wyman, Becker and Mueller"/>
        <s v="Rosenbaum-Conn"/>
        <s v="Rolfson-Kub"/>
        <s v="Fahey-Zulauf"/>
        <s v="Brakus Group"/>
        <s v="Fay, Barrows and Walter"/>
        <s v="Jerde Group"/>
        <s v="Quigley LLC"/>
        <s v="Daugherty, Bednar and Ebert"/>
        <s v="Ondricka and Sons"/>
        <s v="Towne-Kuhlman"/>
        <s v="Feest-Beahan"/>
        <s v="Roob and Sons"/>
        <s v="Monahan Group"/>
        <s v="Will Inc"/>
        <s v="Balistreri, Keeling and Prohaska"/>
        <s v="Thiel-Wilderman"/>
        <s v="Gleason Inc"/>
        <s v="Bailey, Wehner and Schimmel"/>
        <s v="Zulauf-Kemmer"/>
        <s v="Torphy-Weissnat"/>
        <s v="Wyman-Luettgen"/>
        <s v="Kihn, Corkery and Dach"/>
        <s v="Braun LLC"/>
        <s v="Bailey, Ratke and Miller"/>
        <s v="Becker-Heaney"/>
        <s v="O'Hara, Stark and Kunde"/>
        <s v="Twimm"/>
        <s v="Bubbletube"/>
        <s v="O'Conner, Bradtke and Hilll"/>
        <s v="Dietrich-Murphy"/>
        <s v="Price, Huels and Olson"/>
        <s v="Rolfson Inc"/>
        <s v="Sipes, Pollich and Hilll"/>
        <s v="Rempel-Brekke"/>
        <s v="Osinski-Wilderman"/>
        <s v="McDermott-Mayer"/>
        <s v="Ailane"/>
        <s v="Gabspot"/>
        <s v="Abernathy-Collins"/>
        <s v="Reynolds and Sons"/>
        <s v="Klein Inc"/>
        <s v="Pollich, Dietrich and Becker"/>
        <s v="Farrell-Rippin"/>
        <s v="Funk, Conroy and Hudson"/>
        <s v="Tillman and Sons"/>
        <s v="Mills-Graham"/>
        <s v="D'Amore, Kihn and Pfeffer"/>
        <s v="Twitterlist"/>
        <s v="Rhynyx"/>
        <s v="Gevee"/>
        <s v="Jaxbean"/>
        <s v="Fanoodle"/>
        <s v="Browseblab"/>
        <s v="Browsedrive"/>
        <s v="Shufflester"/>
        <s v="Katz"/>
        <s v="Flipstorm"/>
        <s v="Zoonoodle"/>
        <s v="JumpXS"/>
        <s v="Edgeify"/>
        <s v="Kwimbee"/>
        <s v="Rhyzio"/>
        <s v="Wordtune"/>
        <s v="Skyble"/>
        <s v="Oba"/>
        <s v="Devbug"/>
        <s v="McCullough-Hammes"/>
        <s v="Botsford LLC"/>
        <s v="Bauch-Schmitt"/>
        <s v="Koepp-Hand"/>
        <s v="Konopelski, Feest and Fisher"/>
        <s v="Goyette-Green"/>
        <s v="McCullough Inc"/>
        <s v="Botsford Group"/>
        <s v="Hand-Fisher"/>
        <s v="Bins, Dooley and Kirlin"/>
        <s v="Yost Group"/>
        <s v="MacGyver, Kautzer and Stamm"/>
        <s v="Mills, Heller and Herzog"/>
        <s v="Kuhlman, Friesen and Emmerich"/>
        <s v="Fritsch-Kertzmann"/>
        <s v="Padberg LLC"/>
        <s v="Rath, Hand and Ryan"/>
        <s v="Weber LLC"/>
        <s v="Weissnat-Mitchell"/>
        <s v="Ruecker Group"/>
        <s v="Kessler and Sons"/>
        <s v="Gutkowski and Sons"/>
        <s v="Fritsch-Bradtke"/>
        <s v="Leannon-Ledner"/>
        <s v="Rogahn, O'Reilly and McDermott"/>
        <s v="Swift, Franecki and Orn"/>
        <s v="Sipes, Schimmel and Torp"/>
        <s v="Torphy-Medhurst"/>
        <s v="Muller-Muller"/>
        <s v="Hegmann-Daniel"/>
        <s v="Gusikowski LLC"/>
        <s v="Konopelski, Littel and Romaguera"/>
        <s v="Dibbert LLC"/>
        <s v="Wuckert, Kiehn and Weissnat"/>
        <s v="Nikolaus, Veum and Beahan"/>
        <s v="Bergstrom-Barrows"/>
        <s v="Spinka-White"/>
        <s v="Wintheiser Group"/>
        <s v="Hauck, Wiza and Mitchell"/>
        <s v="Nolan, Abernathy and Fay"/>
        <s v="Brekke, Jacobi and Crist"/>
        <s v="Steuber, Schuster and Rutherford"/>
        <s v="Luettgen Inc"/>
        <s v="Donnelly and Sons"/>
        <s v="Kshlerin-Jones"/>
        <s v="Howell, Hickle and Jacobs"/>
        <s v="Auer-Corwin"/>
        <s v="Johnson, Wehner and Boyle"/>
        <s v="Lebsack-Schmidt"/>
        <s v="Hudson LLC"/>
        <s v="Corkery, Wiegand and Ullrich"/>
        <s v="Langworth and Sons"/>
        <s v="Wilderman and Sons"/>
        <s v="Muller-Kohler"/>
        <s v="Leuschke-Zboncak"/>
        <s v="Walter and Sons"/>
        <s v="Terry and Sons"/>
        <s v="Monahan Inc"/>
        <s v="Mayer Inc"/>
        <s v="Hirthe LLC"/>
        <s v="Steuber, Frami and Witting"/>
        <s v="Abbott-Dibbert"/>
        <s v="Lindgren-McDermott"/>
        <s v="Kreiger-Dooley"/>
        <s v="Prohaska and Sons"/>
        <s v="Kessler-Fisher"/>
        <s v="Howell Inc"/>
        <s v="Jaskolski, Rippin and Pfannerstill"/>
        <s v="Mertz-Grimes"/>
        <s v="Heller and Sons"/>
        <s v="Rau and Sons"/>
        <s v="Koepp-Abbott"/>
        <s v="Ward, Koepp and Thiel"/>
        <s v="Conroy Group"/>
        <s v="Baumbach Inc"/>
        <s v="Kirlin Group"/>
        <s v="Grant, Kihn and Volkman"/>
        <s v="Rodriguez-Leannon"/>
        <s v="Jacobs-Dickinson"/>
        <s v="Durgan and Sons"/>
        <s v="Bechtelar-Price"/>
        <s v="Spencer, Walter and Wolf"/>
        <s v="Herman-Graham"/>
        <s v="Kulas-Cummings"/>
        <s v="Towne LLC"/>
        <s v="Stark, Beahan and Frami"/>
        <s v="Hackett, Breitenberg and Feil"/>
        <s v="Moore, Bergstrom and Greenholt"/>
        <s v="Bartoletti-Sawayn"/>
        <s v="Shields, Veum and Legros"/>
        <s v="Kautzer-Shanahan"/>
        <s v="Walter, Roberts and Grant"/>
        <s v="Ferry, Kassulke and Abshire"/>
        <s v="Douglas Inc"/>
        <s v="Nitzsche Inc"/>
        <s v="Schroeder-Boyle"/>
        <s v="Torp-Bernhard"/>
        <s v="Medhurst-Marvin"/>
        <s v="Barrows-Abbott"/>
        <s v="Hermann LLC"/>
        <s v="Kautzer, Bahringer and Littel"/>
        <s v="Weber and Sons"/>
        <s v="Pfannerstill, Denesik and Rodriguez"/>
        <s v="Kirlin-Rodriguez"/>
        <s v="Mante-Towne"/>
        <s v="Rau, Veum and Purdy"/>
        <s v="Hyatt-Dare"/>
        <s v="Leuschke, Wuckert and Yundt"/>
        <s v="Mayer, Ryan and Satterfield"/>
        <s v="Mann-Moore"/>
        <s v="Ebert, Schinner and Haag"/>
        <s v="Hegmann-Kris"/>
        <s v="Williamson, Williamson and Walker"/>
        <s v="Runolfsson, Schinner and Beier"/>
        <s v="Schamberger, Hartmann and Jones"/>
        <s v="Marvin, Gutkowski and Anderson"/>
        <s v="Kutch, Dickinson and Ullrich"/>
        <s v="Wolf LLC"/>
        <s v="Quitzon, O'Conner and Erdman"/>
        <s v="Tremblay, Jacobson and Hackett"/>
        <s v="Bauch-Kovacek"/>
        <s v="Marvin, Hills and Hirthe"/>
        <s v="Leannon, Schowalter and Waters"/>
        <s v="Kemmer and Sons"/>
        <s v="Dickens, Lubowitz and Emard"/>
        <s v="Emard and Sons"/>
        <s v="Lind Group"/>
        <s v="Wolff Group"/>
        <s v="Rogahn-Rodriguez"/>
        <s v="Ratke, Bogan and Kautzer"/>
        <s v="Greenholt-Kiehn"/>
        <s v="Hayes and Sons"/>
        <s v="Bernhard, Auer and Pollich"/>
        <s v="Champlin-Christiansen"/>
        <s v="Tillman Group"/>
        <s v="Rutherford-Botsford"/>
        <s v="Monahan, Witting and Schaden"/>
        <s v="Feedfish"/>
        <s v="Oodoo"/>
        <s v="Realblab"/>
        <s v="Babblestorm"/>
        <s v="Nlounge"/>
        <s v="Fatz"/>
        <s v="Pixonyx"/>
        <s v="Avaveo"/>
        <s v="Skilith"/>
        <s v="Brainlounge"/>
        <s v="Wikido"/>
        <s v="Brainverse"/>
        <s v="O'Conner-Zboncak"/>
        <s v="Goldner Group"/>
        <s v="Pfannerstill, VonRueden and Greenfelder"/>
        <s v="Padberg, Ferry and Abshire"/>
        <s v="Effertz-Wehner"/>
        <s v="Ebert-Cummerata"/>
        <s v="Nolan-DuBuque"/>
        <s v="Franecki-Baumbach"/>
        <s v="Cremin Group"/>
        <s v="Friesen, Jacobson and Lockman"/>
        <s v="West, Rodriguez and Larson"/>
        <s v="Douglas-Purdy"/>
        <s v="Wilkinson Group"/>
        <s v="Greenholt LLC"/>
        <s v="Torp, Nitzsche and Nicolas"/>
        <s v="Lindgren-Kuphal"/>
        <s v="Becker-Legros"/>
        <s v="Auer-Kub"/>
        <s v="Abshire-Turcotte"/>
        <s v="Haag LLC"/>
        <s v="Kunde, Jast and Medhurst"/>
        <s v="Wiegand-Shanahan"/>
        <s v="Kris-Haley"/>
        <s v="McCullough, Wehner and Mitchell"/>
        <s v="Bernier Group"/>
        <s v="Schroeder-Cartwright"/>
        <s v="Deckow Inc"/>
        <s v="Hintz and Sons"/>
        <s v="Rolfson-Nicolas"/>
        <s v="Hahn-Mraz"/>
        <s v="Parisian Group"/>
        <s v="Mann-Balistreri"/>
        <s v="Becker, Wolff and Legros"/>
        <s v="Sporer-Harber"/>
        <s v="Hickle, Witting and Langworth"/>
        <s v="Wilkinson, Ebert and Toy"/>
        <s v="Marquardt-Steuber"/>
        <s v="Deckow-Beatty"/>
        <s v="Dicki, Ferry and Dare"/>
        <s v="Schmidt and Sons"/>
        <s v="Greenfelder and Sons"/>
        <s v="McKenzie, Kovacek and Reichel"/>
        <s v="Greenfelder Inc"/>
        <s v="Goyette and Sons"/>
        <s v="Pacocha and Sons"/>
        <s v="Wiza Group"/>
        <s v="Murray-Ullrich"/>
        <s v="Ward LLC"/>
        <s v="Ferry-Bernier"/>
        <s v="Glover and Sons"/>
        <s v="Brakus, Reichel and Funk"/>
        <s v="Huels and Sons"/>
        <s v="Schuppe-Funk"/>
        <s v="Buckridge, Lakin and Nader"/>
        <s v="Ryan, Schneider and Medhurst"/>
        <s v="Braun-Zieme"/>
        <s v="Legros-Pacocha"/>
        <s v="Block, Tromp and Johnston"/>
        <s v="Johnson, Kiehn and Walsh"/>
        <s v="Smith and Sons"/>
        <s v="Spencer-Jacobs"/>
        <s v="Wolf, Kozey and Olson"/>
        <s v="Runolfsdottir and Sons"/>
        <s v="Orn-Green"/>
        <s v="Braun-Denesik"/>
        <s v="Tromp-Jacobs"/>
        <s v="Morar-Lebsack"/>
        <s v="Gislason, Dare and Yundt"/>
        <s v="Lehner, Jacobson and Brakus"/>
        <s v="Homenick, Barton and Mayert"/>
        <s v="VonRueden, Hayes and Conn"/>
        <s v="Nitzsche-Reichel"/>
        <s v="Mosciski, Wisozk and Hamill"/>
        <s v="Buckridge-Langosh"/>
        <s v="Hessel, Ward and Bernhard"/>
        <s v="Huels, Kutch and Gorczany"/>
        <s v="Stehr LLC"/>
        <s v="Casper-Bahringer"/>
        <s v="DuBuque, Cormier and Reichel"/>
        <s v="Welch LLC"/>
        <s v="Keeling, Miller and Rolfson"/>
        <s v="Smith, Daniel and Bruen"/>
        <s v="Windler Group"/>
        <s v="Moore Inc"/>
        <s v="Herzog-Jacobi"/>
        <s v="Murazik, Johnson and Roob"/>
        <s v="Koss, Reilly and Monahan"/>
        <s v="Douglas, Kulas and Roberts"/>
        <s v="Jacobs, Fay and Konopelski"/>
        <s v="Dooley-Walker"/>
        <s v="Connelly, Tillman and Smith"/>
        <s v="Emard-Hartmann"/>
        <s v="Schaden-Bauch"/>
        <s v="Hartmann LLC"/>
        <s v="Wehner-Kuphal"/>
        <s v="Mydeo"/>
        <s v="Tazzy"/>
        <s v="Roomm"/>
        <s v="Plambee"/>
        <s v="Agivu"/>
        <s v="Browsebug"/>
        <s v="Fadeo"/>
        <s v="Bluejam"/>
        <s v="Kazu"/>
        <s v="Eayo"/>
        <s v="LiveZ"/>
        <s v="Brainbox"/>
        <s v="Mymm"/>
        <s v="Oyonder"/>
        <s v="Skinder"/>
        <s v="Minyx"/>
        <s v="Ooba"/>
        <s v="Zoomlounge"/>
        <s v="Tazz"/>
        <s v="Dynazzy"/>
        <s v="Wikibox"/>
        <s v="Tagcat"/>
        <s v="Quimm"/>
        <s v="Mita"/>
        <s v="Devcast"/>
        <s v="Yombu"/>
        <s v="Janyx"/>
        <s v="Avamba"/>
        <s v="Eidel"/>
        <s v="Zoozzy"/>
        <s v="Omba"/>
        <s v="Thoughtbridge"/>
        <s v="Skidoo"/>
        <s v="Tagtune"/>
        <s v="Edgewire"/>
        <s v="Kamba"/>
        <s v="Vitz"/>
        <s v="Twiyo"/>
        <s v="Lazzy"/>
        <s v="Miboo"/>
        <s v="Jabbertype"/>
        <s v="Izio"/>
        <s v="Stamm, Hintz and Smith"/>
        <s v="Armstrong, Murphy and Mosciski"/>
        <s v="Kshlerin Inc"/>
        <s v="Cartwright-O'Reilly"/>
        <s v="Koss, Buckridge and Ritchie"/>
        <s v="Konopelski, Lebsack and Breitenberg"/>
        <s v="Stokes Inc"/>
        <s v="Schinner LLC"/>
        <s v="Kovacek Inc"/>
        <s v="Nienow, Kris and Lehner"/>
        <s v="Larson, Rutherford and Boyer"/>
        <s v="McCullough-Wuckert"/>
        <s v="Cruickshank Inc"/>
        <s v="Wolf, Lakin and Hodkiewicz"/>
        <s v="Okuneva and Sons"/>
        <s v="Schneider LLC"/>
        <s v="Weimann and Sons"/>
        <s v="Bins, Jaskolski and Dach"/>
        <s v="Hodkiewicz, Corwin and West"/>
        <s v="Rodriguez-Howell"/>
        <s v="Auer, Spencer and Schumm"/>
        <s v="Daniel, Torp and Homenick"/>
        <s v="Wiegand, Kassulke and McClure"/>
        <s v="Bode, Streich and Howe"/>
        <s v="Buckridge LLC"/>
        <s v="Romaguera-Legros"/>
        <s v="Walter, Nader and Wintheiser"/>
        <s v="Ankunding-Harber"/>
        <s v="Funk, Rath and Gottlieb"/>
        <s v="Cassin-Schamberger"/>
        <s v="Bradtke, Ebert and Greenfelder"/>
        <s v="McCullough-Abshire"/>
        <s v="Shanahan-Erdman"/>
        <s v="Upton LLC"/>
        <s v="Metz, Anderson and McCullough"/>
        <s v="Lakin, Bosco and Von"/>
        <s v="Halvorson, Schaefer and D'Amore"/>
        <s v="Hettinger and Sons"/>
        <s v="Baumbach LLC"/>
        <s v="Effertz-Jaskolski"/>
        <s v="Jerde Inc"/>
        <s v="Schoen-Kessler"/>
        <s v="Flatley, Kiehn and Blanda"/>
        <s v="Dicki-Yundt"/>
        <s v="Kilback Group"/>
        <s v="Ferry LLC"/>
        <s v="Cormier, Moore and Bogisich"/>
        <s v="Effertz LLC"/>
        <s v="Conroy and Sons"/>
        <s v="Emmerich-Heathcote"/>
        <s v="Harris LLC"/>
        <s v="Yost-Kessler"/>
        <s v="Orn, Schmeler and Legros"/>
        <s v="Olson, Wilderman and Dach"/>
        <s v="Kulas, Halvorson and O'Reilly"/>
        <s v="Dibbert, Kuhn and Kling"/>
        <s v="Cronin LLC"/>
        <s v="Dooley, Schiller and Leuschke"/>
        <s v="Rempel-Ferry"/>
        <s v="Simonis, Lemke and Kutch"/>
        <s v="Auer-Dooley"/>
        <s v="Koch Inc"/>
        <s v="Kozey, Hills and Steuber"/>
        <s v="Windler and Sons"/>
        <s v="Abshire and Sons"/>
        <s v="Ward, Marks and Rolfson"/>
        <s v="Emmerich, Veum and Gutkowski"/>
        <s v="Wilderman LLC"/>
        <s v="Dooley, Cummings and Schowalter"/>
        <s v="Miller and Sons"/>
        <s v="Wolff, Greenfelder and Graham"/>
        <s v="Cronin, Herman and Heathcote"/>
        <s v="Rosenbaum LLC"/>
        <s v="Hudson Inc"/>
        <s v="Erdman, Rowe and Adams"/>
        <s v="Langosh-Borer"/>
        <s v="Schiller-Mitchell"/>
        <s v="Heller, Prohaska and Wolff"/>
        <s v="Murray and Sons"/>
        <s v="Stark, Sporer and Jenkins"/>
        <s v="Brakus-Kub"/>
        <s v="Reichel-Wilkinson"/>
        <s v="Wisozk Inc"/>
        <s v="Tromp and Sons"/>
        <s v="Raynor and Sons"/>
        <s v="Olson, Hamill and Jast"/>
        <s v="Kirlin, Kemmer and Hegmann"/>
        <s v="Schowalter, Carroll and Harris"/>
        <s v="Rowe Inc"/>
        <s v="Schinner-Ullrich"/>
        <s v="Torphy, Deckow and Tremblay"/>
        <s v="Kuphal Group"/>
        <s v="Breitenberg Group"/>
        <s v="Von, Predovic and McLaughlin"/>
        <s v="Walsh-McLaughlin"/>
        <s v="Cassin, McClure and Torp"/>
        <s v="Schneider-Stracke"/>
        <s v="Welch, Rowe and Harber"/>
        <s v="Hammes, Rohan and Leannon"/>
        <s v="Kris, Farrell and Auer"/>
        <s v="Littel-Wehner"/>
        <s v="Hettinger, D'Amore and Gislason"/>
        <s v="Lesch and Sons"/>
        <s v="Emard Inc"/>
        <s v="Deckow-Vandervort"/>
        <s v="Hartmann-Ferry"/>
        <s v="Metz-Kilback"/>
        <s v="Ledner-Wilkinson"/>
        <s v="Keeling-Bogan"/>
        <s v="Mante, Witting and Hoppe"/>
        <s v="Krajcik-Boehm"/>
        <s v="Koepp-Stanton"/>
        <s v="Reynolds-Weissnat"/>
        <s v="Bins-Barrows"/>
        <s v="Hamill, Herman and Schamberger"/>
        <s v="Sawayn-Kuhic"/>
        <s v="Considine-Kris"/>
        <s v="Nolan Inc"/>
        <s v="Kuhn Group"/>
        <s v="Greenholt Inc"/>
        <s v="Schowalter-Bartoletti"/>
        <s v="Satterfield-Jast"/>
        <s v="Beer-Lueilwitz"/>
        <s v="Stark and Sons"/>
        <s v="Hoppe, Larson and Rolfson"/>
        <s v="Jakubowski, Carroll and Jacobi"/>
        <s v="Ferry and Sons"/>
        <s v="Muller, Ullrich and Auer"/>
        <s v="Terry-Mayer"/>
        <s v="Nitzsche, Maggio and Leuschke"/>
        <s v="Luettgen-Jaskolski"/>
        <s v="Hegmann, Schulist and Bogisich"/>
        <s v="Cruickshank-Treutel"/>
        <s v="Legros-O'Connell"/>
        <s v="Christiansen-Lakin"/>
        <s v="Ernser Group"/>
        <s v="Beahan LLC"/>
        <s v="Hermiston, Funk and Anderson"/>
        <s v="Hermiston, Sanford and Kassulke"/>
        <s v="Shields Inc"/>
        <s v="Turcotte, Feil and Ziemann"/>
        <s v="Blick-Kreiger"/>
        <s v="Friesen, Schmitt and Mante"/>
        <s v="Beahan-Larson"/>
        <s v="Wolff, Wolf and Kub"/>
        <s v="Denesik, Hessel and Bechtelar"/>
        <s v="Feil-Dickinson"/>
        <s v="Wunsch-Hagenes"/>
        <s v="Tromp-Labadie"/>
        <s v="Beahan, Moen and Franecki"/>
        <s v="Ziemann-Waelchi"/>
        <s v="Weber, Watsica and MacGyver"/>
        <s v="DuBuque-Olson"/>
        <s v="Donnelly LLC"/>
        <s v="Hintz, Brakus and Paucek"/>
        <s v="Bruen, Bednar and Hoppe"/>
        <s v="Zulauf Inc"/>
        <s v="Funk, Hoppe and Breitenberg"/>
        <s v="McKenzie-Tromp"/>
        <s v="Keebler and Sons"/>
        <s v="Conn, Doyle and Goodwin"/>
        <s v="Fadel and Sons"/>
        <s v="Dibbert, Green and Gleichner"/>
        <s v="Vandervort LLC"/>
        <s v="Buckridge-Hayes"/>
        <s v="Steuber LLC"/>
        <s v="Macejkovic and Sons"/>
        <s v="Spencer and Sons"/>
        <s v="Wisozk Group"/>
        <s v="Bashirian, Greenholt and Koch"/>
        <s v="Denesik, Rippin and Anderson"/>
        <s v="Mueller-Tromp"/>
        <s v="Dare, Witting and Goyette"/>
        <s v="Mitchell, Jaskolski and Haley"/>
        <s v="Reichert-Schneider"/>
        <s v="Watsica Inc"/>
        <s v="Olson-Brown"/>
        <s v="Altenwerth LLC"/>
        <s v="Grimes-Stehr"/>
        <s v="Kub-Goyette"/>
        <s v="Waelchi, Gutkowski and Ondricka"/>
        <s v="Grimes, Beier and Hickle"/>
        <s v="Hudson, Bins and Feeney"/>
        <s v="Kreiger, Dooley and Bradtke"/>
        <s v="Kessler-Mohr"/>
        <s v="Ward, Grimes and Fay"/>
        <s v="Kling, Crooks and Wisozk"/>
        <s v="Feil LLC"/>
        <s v="Hansen-Erdman"/>
        <s v="Russel, Rice and Emard"/>
        <s v="Goldner, Muller and Waelchi"/>
        <s v="Kuhlman, Romaguera and Goldner"/>
        <s v="Torp-Bogan"/>
        <s v="Beier, Dare and Feest"/>
        <s v="Mohr LLC"/>
        <s v="Fritsch-Strosin"/>
        <s v="Harris-Labadie"/>
        <s v="Schuppe LLC"/>
        <s v="Howell, Jacobson and Hammes"/>
        <s v="Schneider-Doyle"/>
        <s v="Zulauf LLC"/>
        <s v="Kaymbo"/>
        <s v="Tromp, Stoltenberg and Hartmann"/>
        <s v="Lemke Group"/>
        <s v="Emmerich Inc"/>
        <s v="Howe-Mayer"/>
        <s v="Rosenbaum and Sons"/>
        <s v="Johnson-Smith"/>
        <s v="Legros, Simonis and Spinka"/>
        <s v="Bergnaum, Smitham and Hintz"/>
        <s v="Jakubowski, Okuneva and Erdman"/>
        <s v="Lemke Inc"/>
        <s v="Macejkovic-Senger"/>
        <s v="Halvorson, Torp and Swift"/>
        <s v="Simonis Inc"/>
        <s v="Hand, Armstrong and Cremin"/>
        <s v="Carroll, Feest and Kozey"/>
        <s v="Sanford, Haley and Botsford"/>
        <s v="Aufderhar LLC"/>
        <s v="Kreiger-Gleason"/>
        <s v="Rempel-Pagac"/>
        <s v="Bailey, Boehm and Johnston"/>
        <s v="Lang-Mraz"/>
      </sharedItems>
    </cacheField>
    <cacheField name="Country" numFmtId="0">
      <sharedItems count="9">
        <s v="Netherlands"/>
        <s v="Spain"/>
        <s v="Italy"/>
        <s v="Germany"/>
        <s v="Belgium"/>
        <s v="Switzerland"/>
        <s v="France"/>
        <s v="Austria"/>
        <s v="Portugal"/>
      </sharedItems>
    </cacheField>
    <cacheField name="Lattitude" numFmtId="0">
      <sharedItems/>
    </cacheField>
    <cacheField name="Longitude" numFmtId="0">
      <sharedItems containsMixedTypes="1" containsNumber="1" minValue="-3.7037900000000001" maxValue="-3.7037900000000001"/>
    </cacheField>
    <cacheField name="Industry" numFmtId="0">
      <sharedItems count="14">
        <s v="Banking and Finance"/>
        <s v="Energy &amp; Utilities"/>
        <s v="Education &amp; Science"/>
        <s v="Government Administration Healthcare"/>
        <s v="Transportation &amp; Logistics"/>
        <s v="IT &amp; IT Services"/>
        <s v="Retail &amp; Distribution"/>
        <s v="Agriculture &amp; Mining"/>
        <s v="Professional Services  &amp; Consulting"/>
        <s v="Recreation &amp; Sports"/>
        <s v="Construction &amp; Engineering"/>
        <s v="Telecommunications"/>
        <s v="Manufacturing &amp; Production"/>
        <s v="Entertainment &amp; Media &amp; Hospitality"/>
      </sharedItems>
    </cacheField>
    <cacheField name="Organization size" numFmtId="0">
      <sharedItems/>
    </cacheField>
    <cacheField name="Owner" numFmtId="0">
      <sharedItems count="8">
        <s v="John Smith"/>
        <s v="Emily Johnson"/>
        <s v="Michael Brown"/>
        <s v="Laura Thompson"/>
        <s v="Jessica Martinez"/>
        <s v="Kevin Anderson"/>
        <s v="Sarah Davis"/>
        <s v="David Wilson"/>
      </sharedItems>
    </cacheField>
    <cacheField name="Lead acquisition date" numFmtId="14">
      <sharedItems containsSemiMixedTypes="0" containsNonDate="0" containsDate="1" containsString="0" minDate="2024-01-02T00:00:00" maxDate="2024-06-01T00:00:00"/>
    </cacheField>
    <cacheField name="Product" numFmtId="0">
      <sharedItems count="3">
        <s v="SAAS"/>
        <s v="Custom solution"/>
        <s v="Services"/>
      </sharedItems>
    </cacheField>
    <cacheField name="Status" numFmtId="0">
      <sharedItems count="7">
        <s v="Churned Customer"/>
        <s v="Customer"/>
        <s v="Disqualified"/>
        <s v="New"/>
        <s v="Opportunity"/>
        <s v="Qualified"/>
        <s v="Sales Accepted"/>
      </sharedItems>
    </cacheField>
    <cacheField name="Status sequence" numFmtId="0">
      <sharedItems containsSemiMixedTypes="0" containsString="0" containsNumber="1" containsInteger="1" minValue="1" maxValue="7"/>
    </cacheField>
    <cacheField name="Stage" numFmtId="0">
      <sharedItems containsBlank="1" count="7">
        <m/>
        <s v="Initial contact"/>
        <s v="Lost"/>
        <s v="Nurturing"/>
        <s v="Opened"/>
        <s v="Proposal sent"/>
        <s v="Won"/>
      </sharedItems>
    </cacheField>
    <cacheField name="Stage sequence" numFmtId="0">
      <sharedItems containsString="0" containsBlank="1" containsNumber="1" containsInteger="1" minValue="1" maxValue="6"/>
    </cacheField>
    <cacheField name="Deal Value, $" numFmtId="0">
      <sharedItems containsSemiMixedTypes="0" containsString="0" containsNumber="1" containsInteger="1" minValue="200" maxValue="19997"/>
    </cacheField>
    <cacheField name="Probability, %" numFmtId="0">
      <sharedItems containsSemiMixedTypes="0" containsString="0" containsNumber="1" containsInteger="1" minValue="10" maxValue="100"/>
    </cacheField>
    <cacheField name="Expected close date" numFmtId="14">
      <sharedItems containsSemiMixedTypes="0" containsNonDate="0" containsDate="1" containsString="0" minDate="2024-01-26T00:00:00" maxDate="2025-05-28T00:00:00" count="463">
        <d v="2024-08-07T00:00:00"/>
        <d v="2024-10-25T00:00:00"/>
        <d v="2025-03-17T00:00:00"/>
        <d v="2024-10-11T00:00:00"/>
        <d v="2024-09-23T00:00:00"/>
        <d v="2024-03-18T00:00:00"/>
        <d v="2024-05-17T00:00:00"/>
        <d v="2024-07-25T00:00:00"/>
        <d v="2024-05-24T00:00:00"/>
        <d v="2025-01-10T00:00:00"/>
        <d v="2024-08-18T00:00:00"/>
        <d v="2024-09-19T00:00:00"/>
        <d v="2024-10-24T00:00:00"/>
        <d v="2024-05-06T00:00:00"/>
        <d v="2024-09-15T00:00:00"/>
        <d v="2024-03-28T00:00:00"/>
        <d v="2024-10-22T00:00:00"/>
        <d v="2024-11-05T00:00:00"/>
        <d v="2025-04-09T00:00:00"/>
        <d v="2024-08-03T00:00:00"/>
        <d v="2024-08-04T00:00:00"/>
        <d v="2024-12-17T00:00:00"/>
        <d v="2025-04-19T00:00:00"/>
        <d v="2025-01-25T00:00:00"/>
        <d v="2024-10-06T00:00:00"/>
        <d v="2025-02-20T00:00:00"/>
        <d v="2024-08-30T00:00:00"/>
        <d v="2024-06-13T00:00:00"/>
        <d v="2024-03-30T00:00:00"/>
        <d v="2024-11-01T00:00:00"/>
        <d v="2024-08-24T00:00:00"/>
        <d v="2024-12-05T00:00:00"/>
        <d v="2024-10-07T00:00:00"/>
        <d v="2024-12-03T00:00:00"/>
        <d v="2024-08-14T00:00:00"/>
        <d v="2024-03-19T00:00:00"/>
        <d v="2024-05-31T00:00:00"/>
        <d v="2024-06-21T00:00:00"/>
        <d v="2024-12-31T00:00:00"/>
        <d v="2024-04-22T00:00:00"/>
        <d v="2024-12-14T00:00:00"/>
        <d v="2025-03-11T00:00:00"/>
        <d v="2024-10-13T00:00:00"/>
        <d v="2024-11-12T00:00:00"/>
        <d v="2024-12-28T00:00:00"/>
        <d v="2024-04-12T00:00:00"/>
        <d v="2025-03-23T00:00:00"/>
        <d v="2025-01-03T00:00:00"/>
        <d v="2024-10-10T00:00:00"/>
        <d v="2024-04-26T00:00:00"/>
        <d v="2024-09-05T00:00:00"/>
        <d v="2025-02-22T00:00:00"/>
        <d v="2024-10-21T00:00:00"/>
        <d v="2024-12-21T00:00:00"/>
        <d v="2025-02-07T00:00:00"/>
        <d v="2024-01-26T00:00:00"/>
        <d v="2024-08-27T00:00:00"/>
        <d v="2025-01-24T00:00:00"/>
        <d v="2024-12-02T00:00:00"/>
        <d v="2024-05-08T00:00:00"/>
        <d v="2024-05-29T00:00:00"/>
        <d v="2024-09-29T00:00:00"/>
        <d v="2024-07-27T00:00:00"/>
        <d v="2024-08-20T00:00:00"/>
        <d v="2024-12-09T00:00:00"/>
        <d v="2024-11-04T00:00:00"/>
        <d v="2024-04-15T00:00:00"/>
        <d v="2024-03-27T00:00:00"/>
        <d v="2024-06-29T00:00:00"/>
        <d v="2025-03-16T00:00:00"/>
        <d v="2024-07-16T00:00:00"/>
        <d v="2024-12-25T00:00:00"/>
        <d v="2024-09-20T00:00:00"/>
        <d v="2024-04-09T00:00:00"/>
        <d v="2024-09-08T00:00:00"/>
        <d v="2025-01-12T00:00:00"/>
        <d v="2025-02-17T00:00:00"/>
        <d v="2024-12-13T00:00:00"/>
        <d v="2024-04-30T00:00:00"/>
        <d v="2024-11-02T00:00:00"/>
        <d v="2024-03-13T00:00:00"/>
        <d v="2025-02-28T00:00:00"/>
        <d v="2024-06-16T00:00:00"/>
        <d v="2024-06-07T00:00:00"/>
        <d v="2024-07-31T00:00:00"/>
        <d v="2024-07-24T00:00:00"/>
        <d v="2024-06-28T00:00:00"/>
        <d v="2025-01-07T00:00:00"/>
        <d v="2024-07-28T00:00:00"/>
        <d v="2025-01-01T00:00:00"/>
        <d v="2024-11-14T00:00:00"/>
        <d v="2024-06-20T00:00:00"/>
        <d v="2024-07-17T00:00:00"/>
        <d v="2024-06-10T00:00:00"/>
        <d v="2024-12-11T00:00:00"/>
        <d v="2024-12-22T00:00:00"/>
        <d v="2024-12-12T00:00:00"/>
        <d v="2024-07-09T00:00:00"/>
        <d v="2024-07-13T00:00:00"/>
        <d v="2024-09-27T00:00:00"/>
        <d v="2024-12-23T00:00:00"/>
        <d v="2024-05-05T00:00:00"/>
        <d v="2024-03-02T00:00:00"/>
        <d v="2024-11-22T00:00:00"/>
        <d v="2025-02-13T00:00:00"/>
        <d v="2025-01-31T00:00:00"/>
        <d v="2024-07-20T00:00:00"/>
        <d v="2025-01-02T00:00:00"/>
        <d v="2025-04-29T00:00:00"/>
        <d v="2024-10-04T00:00:00"/>
        <d v="2024-03-31T00:00:00"/>
        <d v="2024-10-03T00:00:00"/>
        <d v="2024-05-21T00:00:00"/>
        <d v="2025-01-26T00:00:00"/>
        <d v="2024-05-19T00:00:00"/>
        <d v="2024-10-18T00:00:00"/>
        <d v="2024-11-30T00:00:00"/>
        <d v="2024-07-08T00:00:00"/>
        <d v="2024-09-02T00:00:00"/>
        <d v="2024-05-23T00:00:00"/>
        <d v="2024-12-19T00:00:00"/>
        <d v="2024-09-17T00:00:00"/>
        <d v="2024-06-15T00:00:00"/>
        <d v="2024-12-24T00:00:00"/>
        <d v="2024-08-09T00:00:00"/>
        <d v="2024-03-05T00:00:00"/>
        <d v="2024-11-28T00:00:00"/>
        <d v="2024-03-17T00:00:00"/>
        <d v="2025-04-11T00:00:00"/>
        <d v="2024-11-18T00:00:00"/>
        <d v="2024-07-18T00:00:00"/>
        <d v="2024-09-10T00:00:00"/>
        <d v="2024-06-09T00:00:00"/>
        <d v="2024-05-01T00:00:00"/>
        <d v="2025-01-19T00:00:00"/>
        <d v="2024-11-07T00:00:00"/>
        <d v="2024-04-20T00:00:00"/>
        <d v="2024-10-15T00:00:00"/>
        <d v="2025-02-21T00:00:00"/>
        <d v="2024-08-12T00:00:00"/>
        <d v="2024-07-22T00:00:00"/>
        <d v="2024-07-12T00:00:00"/>
        <d v="2024-06-03T00:00:00"/>
        <d v="2024-05-30T00:00:00"/>
        <d v="2024-09-03T00:00:00"/>
        <d v="2024-08-10T00:00:00"/>
        <d v="2024-09-13T00:00:00"/>
        <d v="2024-06-22T00:00:00"/>
        <d v="2024-06-24T00:00:00"/>
        <d v="2025-02-19T00:00:00"/>
        <d v="2024-06-30T00:00:00"/>
        <d v="2024-04-05T00:00:00"/>
        <d v="2024-05-11T00:00:00"/>
        <d v="2024-10-31T00:00:00"/>
        <d v="2024-12-18T00:00:00"/>
        <d v="2025-01-13T00:00:00"/>
        <d v="2024-04-06T00:00:00"/>
        <d v="2024-11-23T00:00:00"/>
        <d v="2024-06-11T00:00:00"/>
        <d v="2025-02-12T00:00:00"/>
        <d v="2024-10-08T00:00:00"/>
        <d v="2024-07-29T00:00:00"/>
        <d v="2024-04-18T00:00:00"/>
        <d v="2024-09-30T00:00:00"/>
        <d v="2025-01-30T00:00:00"/>
        <d v="2025-02-04T00:00:00"/>
        <d v="2024-06-08T00:00:00"/>
        <d v="2024-03-07T00:00:00"/>
        <d v="2024-08-05T00:00:00"/>
        <d v="2024-04-23T00:00:00"/>
        <d v="2025-02-15T00:00:00"/>
        <d v="2024-11-24T00:00:00"/>
        <d v="2025-01-22T00:00:00"/>
        <d v="2024-06-01T00:00:00"/>
        <d v="2024-09-18T00:00:00"/>
        <d v="2024-11-19T00:00:00"/>
        <d v="2024-04-24T00:00:00"/>
        <d v="2024-04-13T00:00:00"/>
        <d v="2024-09-24T00:00:00"/>
        <d v="2024-09-16T00:00:00"/>
        <d v="2024-05-09T00:00:00"/>
        <d v="2024-06-12T00:00:00"/>
        <d v="2025-03-01T00:00:00"/>
        <d v="2024-11-26T00:00:00"/>
        <d v="2025-05-08T00:00:00"/>
        <d v="2024-04-29T00:00:00"/>
        <d v="2025-02-03T00:00:00"/>
        <d v="2025-01-14T00:00:00"/>
        <d v="2024-11-11T00:00:00"/>
        <d v="2024-10-05T00:00:00"/>
        <d v="2024-08-08T00:00:00"/>
        <d v="2024-07-21T00:00:00"/>
        <d v="2025-05-05T00:00:00"/>
        <d v="2024-05-07T00:00:00"/>
        <d v="2024-10-12T00:00:00"/>
        <d v="2024-03-25T00:00:00"/>
        <d v="2024-11-03T00:00:00"/>
        <d v="2024-08-17T00:00:00"/>
        <d v="2024-04-04T00:00:00"/>
        <d v="2024-08-19T00:00:00"/>
        <d v="2025-01-16T00:00:00"/>
        <d v="2025-01-05T00:00:00"/>
        <d v="2025-04-23T00:00:00"/>
        <d v="2024-10-27T00:00:00"/>
        <d v="2024-09-26T00:00:00"/>
        <d v="2024-08-06T00:00:00"/>
        <d v="2025-03-18T00:00:00"/>
        <d v="2025-01-23T00:00:00"/>
        <d v="2024-08-15T00:00:00"/>
        <d v="2025-01-18T00:00:00"/>
        <d v="2025-03-22T00:00:00"/>
        <d v="2024-09-28T00:00:00"/>
        <d v="2024-12-07T00:00:00"/>
        <d v="2024-12-30T00:00:00"/>
        <d v="2025-01-21T00:00:00"/>
        <d v="2024-08-13T00:00:00"/>
        <d v="2024-10-26T00:00:00"/>
        <d v="2024-12-29T00:00:00"/>
        <d v="2024-12-04T00:00:00"/>
        <d v="2025-01-27T00:00:00"/>
        <d v="2025-01-28T00:00:00"/>
        <d v="2024-11-27T00:00:00"/>
        <d v="2024-07-15T00:00:00"/>
        <d v="2025-02-06T00:00:00"/>
        <d v="2025-02-01T00:00:00"/>
        <d v="2025-02-16T00:00:00"/>
        <d v="2024-10-02T00:00:00"/>
        <d v="2025-03-06T00:00:00"/>
        <d v="2024-06-06T00:00:00"/>
        <d v="2025-01-15T00:00:00"/>
        <d v="2024-08-26T00:00:00"/>
        <d v="2025-01-11T00:00:00"/>
        <d v="2025-03-13T00:00:00"/>
        <d v="2025-04-05T00:00:00"/>
        <d v="2025-03-27T00:00:00"/>
        <d v="2024-12-10T00:00:00"/>
        <d v="2024-09-14T00:00:00"/>
        <d v="2025-04-04T00:00:00"/>
        <d v="2025-01-17T00:00:00"/>
        <d v="2024-05-27T00:00:00"/>
        <d v="2025-04-18T00:00:00"/>
        <d v="2024-03-08T00:00:00"/>
        <d v="2025-03-21T00:00:00"/>
        <d v="2025-02-09T00:00:00"/>
        <d v="2024-08-02T00:00:00"/>
        <d v="2024-06-25T00:00:00"/>
        <d v="2025-02-23T00:00:00"/>
        <d v="2024-07-01T00:00:00"/>
        <d v="2024-10-20T00:00:00"/>
        <d v="2024-07-03T00:00:00"/>
        <d v="2025-02-25T00:00:00"/>
        <d v="2024-08-01T00:00:00"/>
        <d v="2024-07-23T00:00:00"/>
        <d v="2024-11-20T00:00:00"/>
        <d v="2024-08-29T00:00:00"/>
        <d v="2025-03-02T00:00:00"/>
        <d v="2024-06-05T00:00:00"/>
        <d v="2024-05-25T00:00:00"/>
        <d v="2025-03-24T00:00:00"/>
        <d v="2025-03-03T00:00:00"/>
        <d v="2024-12-26T00:00:00"/>
        <d v="2024-08-16T00:00:00"/>
        <d v="2024-06-18T00:00:00"/>
        <d v="2025-01-09T00:00:00"/>
        <d v="2025-04-03T00:00:00"/>
        <d v="2025-03-20T00:00:00"/>
        <d v="2025-04-01T00:00:00"/>
        <d v="2024-11-13T00:00:00"/>
        <d v="2024-03-03T00:00:00"/>
        <d v="2024-05-18T00:00:00"/>
        <d v="2025-04-16T00:00:00"/>
        <d v="2025-05-14T00:00:00"/>
        <d v="2025-02-26T00:00:00"/>
        <d v="2024-05-22T00:00:00"/>
        <d v="2024-11-06T00:00:00"/>
        <d v="2025-03-05T00:00:00"/>
        <d v="2024-08-11T00:00:00"/>
        <d v="2024-12-16T00:00:00"/>
        <d v="2024-09-09T00:00:00"/>
        <d v="2025-02-02T00:00:00"/>
        <d v="2025-02-24T00:00:00"/>
        <d v="2025-03-08T00:00:00"/>
        <d v="2024-10-29T00:00:00"/>
        <d v="2024-07-19T00:00:00"/>
        <d v="2024-09-12T00:00:00"/>
        <d v="2025-03-25T00:00:00"/>
        <d v="2025-03-10T00:00:00"/>
        <d v="2025-04-13T00:00:00"/>
        <d v="2024-06-14T00:00:00"/>
        <d v="2024-10-14T00:00:00"/>
        <d v="2025-01-20T00:00:00"/>
        <d v="2024-03-04T00:00:00"/>
        <d v="2024-02-25T00:00:00"/>
        <d v="2025-02-18T00:00:00"/>
        <d v="2024-05-13T00:00:00"/>
        <d v="2024-07-10T00:00:00"/>
        <d v="2024-02-24T00:00:00"/>
        <d v="2024-07-30T00:00:00"/>
        <d v="2025-01-04T00:00:00"/>
        <d v="2025-03-28T00:00:00"/>
        <d v="2024-06-04T00:00:00"/>
        <d v="2024-04-28T00:00:00"/>
        <d v="2025-05-16T00:00:00"/>
        <d v="2024-02-09T00:00:00"/>
        <d v="2024-03-06T00:00:00"/>
        <d v="2025-03-29T00:00:00"/>
        <d v="2024-03-11T00:00:00"/>
        <d v="2024-05-28T00:00:00"/>
        <d v="2025-02-10T00:00:00"/>
        <d v="2024-11-17T00:00:00"/>
        <d v="2024-07-07T00:00:00"/>
        <d v="2024-11-08T00:00:00"/>
        <d v="2025-02-14T00:00:00"/>
        <d v="2024-09-04T00:00:00"/>
        <d v="2024-09-06T00:00:00"/>
        <d v="2024-05-14T00:00:00"/>
        <d v="2024-11-09T00:00:00"/>
        <d v="2024-04-01T00:00:00"/>
        <d v="2024-02-28T00:00:00"/>
        <d v="2024-08-28T00:00:00"/>
        <d v="2024-06-26T00:00:00"/>
        <d v="2024-10-17T00:00:00"/>
        <d v="2024-06-19T00:00:00"/>
        <d v="2024-04-11T00:00:00"/>
        <d v="2024-11-21T00:00:00"/>
        <d v="2024-07-05T00:00:00"/>
        <d v="2024-11-16T00:00:00"/>
        <d v="2024-04-17T00:00:00"/>
        <d v="2024-04-25T00:00:00"/>
        <d v="2024-07-11T00:00:00"/>
        <d v="2025-04-07T00:00:00"/>
        <d v="2024-02-17T00:00:00"/>
        <d v="2024-05-12T00:00:00"/>
        <d v="2024-05-03T00:00:00"/>
        <d v="2025-04-15T00:00:00"/>
        <d v="2025-03-12T00:00:00"/>
        <d v="2024-11-29T00:00:00"/>
        <d v="2025-05-17T00:00:00"/>
        <d v="2025-04-14T00:00:00"/>
        <d v="2024-05-16T00:00:00"/>
        <d v="2024-07-26T00:00:00"/>
        <d v="2024-07-06T00:00:00"/>
        <d v="2024-10-19T00:00:00"/>
        <d v="2024-09-11T00:00:00"/>
        <d v="2024-06-23T00:00:00"/>
        <d v="2025-04-20T00:00:00"/>
        <d v="2024-06-27T00:00:00"/>
        <d v="2024-07-14T00:00:00"/>
        <d v="2025-02-08T00:00:00"/>
        <d v="2024-04-14T00:00:00"/>
        <d v="2024-04-19T00:00:00"/>
        <d v="2025-04-24T00:00:00"/>
        <d v="2024-02-19T00:00:00"/>
        <d v="2025-03-14T00:00:00"/>
        <d v="2024-03-16T00:00:00"/>
        <d v="2024-04-03T00:00:00"/>
        <d v="2024-09-22T00:00:00"/>
        <d v="2024-03-21T00:00:00"/>
        <d v="2024-07-02T00:00:00"/>
        <d v="2025-01-08T00:00:00"/>
        <d v="2024-05-20T00:00:00"/>
        <d v="2025-04-12T00:00:00"/>
        <d v="2024-08-25T00:00:00"/>
        <d v="2024-02-29T00:00:00"/>
        <d v="2024-10-09T00:00:00"/>
        <d v="2025-05-20T00:00:00"/>
        <d v="2024-03-22T00:00:00"/>
        <d v="2024-03-20T00:00:00"/>
        <d v="2024-05-26T00:00:00"/>
        <d v="2024-10-01T00:00:00"/>
        <d v="2024-06-17T00:00:00"/>
        <d v="2024-09-01T00:00:00"/>
        <d v="2024-05-15T00:00:00"/>
        <d v="2024-12-01T00:00:00"/>
        <d v="2024-08-21T00:00:00"/>
        <d v="2024-04-08T00:00:00"/>
        <d v="2024-08-22T00:00:00"/>
        <d v="2025-02-27T00:00:00"/>
        <d v="2024-02-21T00:00:00"/>
        <d v="2024-12-15T00:00:00"/>
        <d v="2024-02-20T00:00:00"/>
        <d v="2024-12-20T00:00:00"/>
        <d v="2024-10-28T00:00:00"/>
        <d v="2025-04-25T00:00:00"/>
        <d v="2024-11-10T00:00:00"/>
        <d v="2025-03-31T00:00:00"/>
        <d v="2024-11-25T00:00:00"/>
        <d v="2025-01-29T00:00:00"/>
        <d v="2024-09-21T00:00:00"/>
        <d v="2024-02-23T00:00:00"/>
        <d v="2024-11-15T00:00:00"/>
        <d v="2024-12-27T00:00:00"/>
        <d v="2025-01-06T00:00:00"/>
        <d v="2024-07-04T00:00:00"/>
        <d v="2024-03-15T00:00:00"/>
        <d v="2025-03-26T00:00:00"/>
        <d v="2025-05-26T00:00:00"/>
        <d v="2024-02-16T00:00:00"/>
        <d v="2024-09-25T00:00:00"/>
        <d v="2025-04-08T00:00:00"/>
        <d v="2024-09-07T00:00:00"/>
        <d v="2024-08-23T00:00:00"/>
        <d v="2025-03-15T00:00:00"/>
        <d v="2024-02-27T00:00:00"/>
        <d v="2025-04-27T00:00:00"/>
        <d v="2024-04-21T00:00:00"/>
        <d v="2024-02-06T00:00:00"/>
        <d v="2024-03-10T00:00:00"/>
        <d v="2025-02-05T00:00:00"/>
        <d v="2024-04-02T00:00:00"/>
        <d v="2024-05-02T00:00:00"/>
        <d v="2024-10-23T00:00:00"/>
        <d v="2025-03-04T00:00:00"/>
        <d v="2025-04-06T00:00:00"/>
        <d v="2025-05-27T00:00:00"/>
        <d v="2024-05-04T00:00:00"/>
        <d v="2024-04-07T00:00:00"/>
        <d v="2024-03-23T00:00:00"/>
        <d v="2025-03-07T00:00:00"/>
        <d v="2024-12-06T00:00:00"/>
        <d v="2024-04-10T00:00:00"/>
        <d v="2024-03-29T00:00:00"/>
        <d v="2024-02-08T00:00:00"/>
        <d v="2024-10-30T00:00:00"/>
        <d v="2025-05-07T00:00:00"/>
        <d v="2025-02-11T00:00:00"/>
        <d v="2024-06-02T00:00:00"/>
        <d v="2024-10-16T00:00:00"/>
        <d v="2024-04-27T00:00:00"/>
        <d v="2024-03-24T00:00:00"/>
        <d v="2024-05-10T00:00:00"/>
        <d v="2025-03-09T00:00:00"/>
        <d v="2025-04-22T00:00:00"/>
        <d v="2024-02-14T00:00:00"/>
        <d v="2025-05-10T00:00:00"/>
        <d v="2025-05-22T00:00:00"/>
        <d v="2025-04-02T00:00:00"/>
        <d v="2025-05-04T00:00:00"/>
        <d v="2024-08-31T00:00:00"/>
        <d v="2024-02-12T00:00:00"/>
        <d v="2025-05-11T00:00:00"/>
        <d v="2024-03-26T00:00:00"/>
        <d v="2025-03-30T00:00:00"/>
        <d v="2025-04-30T00:00:00"/>
        <d v="2025-04-21T00:00:00"/>
        <d v="2024-02-04T00:00:00"/>
        <d v="2025-04-10T00:00:00"/>
        <d v="2025-05-09T00:00:00"/>
        <d v="2024-02-10T00:00:00"/>
        <d v="2024-03-12T00:00:00"/>
        <d v="2024-03-09T00:00:00"/>
        <d v="2025-04-17T00:00:00"/>
        <d v="2024-01-30T00:00:00"/>
        <d v="2024-04-16T00:00:00"/>
        <d v="2024-03-01T00:00:00"/>
        <d v="2025-05-01T00:00:00"/>
        <d v="2025-05-19T00:00:00"/>
        <d v="2025-03-19T00:00:00"/>
        <d v="2024-12-08T00:00:00"/>
        <d v="2025-05-12T00:00:00"/>
        <d v="2024-02-15T00:00:00"/>
        <d v="2024-02-03T00:00:00"/>
        <d v="2024-02-07T00:00:00"/>
      </sharedItems>
      <fieldGroup par="20"/>
    </cacheField>
    <cacheField name="Actual close date" numFmtId="14">
      <sharedItems containsNonDate="0" containsDate="1" containsString="0" containsBlank="1" minDate="2024-01-10T00:00:00" maxDate="2024-09-22T00:00:00" count="177">
        <d v="2024-06-27T00:00:00"/>
        <d v="2024-09-11T00:00:00"/>
        <d v="2024-05-11T00:00:00"/>
        <d v="2024-05-06T00:00:00"/>
        <d v="2024-07-25T00:00:00"/>
        <d v="2024-04-17T00:00:00"/>
        <d v="2024-06-30T00:00:00"/>
        <d v="2024-07-01T00:00:00"/>
        <d v="2024-03-31T00:00:00"/>
        <d v="2024-06-15T00:00:00"/>
        <d v="2024-05-13T00:00:00"/>
        <d v="2024-04-19T00:00:00"/>
        <d v="2024-04-25T00:00:00"/>
        <d v="2024-07-13T00:00:00"/>
        <d v="2024-01-24T00:00:00"/>
        <d v="2024-02-03T00:00:00"/>
        <d v="2024-05-21T00:00:00"/>
        <d v="2024-06-07T00:00:00"/>
        <d v="2024-06-06T00:00:00"/>
        <d v="2024-08-22T00:00:00"/>
        <d v="2024-04-10T00:00:00"/>
        <d v="2024-07-31T00:00:00"/>
        <d v="2024-07-12T00:00:00"/>
        <d v="2024-04-01T00:00:00"/>
        <d v="2024-05-14T00:00:00"/>
        <d v="2024-07-16T00:00:00"/>
        <d v="2024-03-20T00:00:00"/>
        <d v="2024-02-27T00:00:00"/>
        <d v="2024-06-13T00:00:00"/>
        <d v="2024-02-14T00:00:00"/>
        <d v="2024-08-29T00:00:00"/>
        <d v="2024-04-26T00:00:00"/>
        <d v="2024-05-23T00:00:00"/>
        <d v="2024-06-18T00:00:00"/>
        <d v="2024-03-26T00:00:00"/>
        <d v="2024-05-29T00:00:00"/>
        <d v="2024-02-07T00:00:00"/>
        <d v="2024-02-13T00:00:00"/>
        <d v="2024-05-09T00:00:00"/>
        <d v="2024-02-10T00:00:00"/>
        <d v="2024-08-10T00:00:00"/>
        <d v="2024-06-29T00:00:00"/>
        <d v="2024-06-02T00:00:00"/>
        <d v="2024-06-17T00:00:00"/>
        <d v="2024-03-07T00:00:00"/>
        <d v="2024-04-27T00:00:00"/>
        <d v="2024-07-20T00:00:00"/>
        <d v="2024-03-23T00:00:00"/>
        <d v="2024-08-15T00:00:00"/>
        <d v="2024-03-13T00:00:00"/>
        <d v="2024-08-03T00:00:00"/>
        <d v="2024-03-18T00:00:00"/>
        <d v="2024-02-04T00:00:00"/>
        <d v="2024-08-12T00:00:00"/>
        <d v="2024-07-11T00:00:00"/>
        <d v="2024-06-01T00:00:00"/>
        <d v="2024-05-03T00:00:00"/>
        <d v="2024-04-13T00:00:00"/>
        <d v="2024-09-10T00:00:00"/>
        <d v="2024-06-16T00:00:00"/>
        <d v="2024-08-20T00:00:00"/>
        <d v="2024-01-22T00:00:00"/>
        <d v="2024-07-06T00:00:00"/>
        <d v="2024-04-06T00:00:00"/>
        <d v="2024-08-07T00:00:00"/>
        <d v="2024-05-24T00:00:00"/>
        <d v="2024-06-14T00:00:00"/>
        <d v="2024-02-09T00:00:00"/>
        <d v="2024-04-03T00:00:00"/>
        <d v="2024-08-23T00:00:00"/>
        <d v="2024-02-19T00:00:00"/>
        <d v="2024-04-30T00:00:00"/>
        <d v="2024-06-09T00:00:00"/>
        <d v="2024-08-21T00:00:00"/>
        <d v="2024-06-21T00:00:00"/>
        <d v="2024-03-02T00:00:00"/>
        <d v="2024-06-08T00:00:00"/>
        <d v="2024-02-16T00:00:00"/>
        <d v="2024-04-02T00:00:00"/>
        <d v="2024-05-12T00:00:00"/>
        <d v="2024-04-12T00:00:00"/>
        <d v="2024-03-01T00:00:00"/>
        <d v="2024-04-14T00:00:00"/>
        <d v="2024-06-11T00:00:00"/>
        <d v="2024-03-06T00:00:00"/>
        <d v="2024-09-06T00:00:00"/>
        <d v="2024-07-05T00:00:00"/>
        <d v="2024-03-03T00:00:00"/>
        <d v="2024-05-18T00:00:00"/>
        <d v="2024-08-27T00:00:00"/>
        <d v="2024-06-24T00:00:00"/>
        <d v="2024-05-30T00:00:00"/>
        <d v="2024-07-23T00:00:00"/>
        <d v="2024-07-27T00:00:00"/>
        <d v="2024-07-26T00:00:00"/>
        <d v="2024-03-24T00:00:00"/>
        <d v="2024-03-21T00:00:00"/>
        <d v="2024-03-28T00:00:00"/>
        <d v="2024-02-05T00:00:00"/>
        <d v="2024-02-24T00:00:00"/>
        <d v="2024-02-25T00:00:00"/>
        <d v="2024-07-17T00:00:00"/>
        <d v="2024-05-02T00:00:00"/>
        <d v="2024-08-02T00:00:00"/>
        <d v="2024-05-31T00:00:00"/>
        <d v="2024-02-12T00:00:00"/>
        <d v="2024-04-15T00:00:00"/>
        <d v="2024-09-03T00:00:00"/>
        <d v="2024-07-09T00:00:00"/>
        <d v="2024-02-15T00:00:00"/>
        <d v="2024-05-07T00:00:00"/>
        <d v="2024-02-28T00:00:00"/>
        <d v="2024-07-08T00:00:00"/>
        <d v="2024-02-23T00:00:00"/>
        <d v="2024-04-08T00:00:00"/>
        <d v="2024-07-04T00:00:00"/>
        <d v="2024-09-07T00:00:00"/>
        <d v="2024-03-16T00:00:00"/>
        <d v="2024-04-29T00:00:00"/>
        <d v="2024-04-07T00:00:00"/>
        <d v="2024-08-01T00:00:00"/>
        <d v="2024-03-22T00:00:00"/>
        <d v="2024-03-12T00:00:00"/>
        <d v="2024-06-12T00:00:00"/>
        <d v="2024-03-08T00:00:00"/>
        <d v="2024-05-25T00:00:00"/>
        <d v="2024-06-10T00:00:00"/>
        <d v="2024-08-25T00:00:00"/>
        <d v="2024-07-28T00:00:00"/>
        <d v="2024-05-05T00:00:00"/>
        <d v="2024-06-22T00:00:00"/>
        <d v="2024-08-11T00:00:00"/>
        <d v="2024-04-22T00:00:00"/>
        <d v="2024-02-21T00:00:00"/>
        <d v="2024-01-10T00:00:00"/>
        <d v="2024-03-30T00:00:00"/>
        <d v="2024-05-01T00:00:00"/>
        <d v="2024-06-19T00:00:00"/>
        <d v="2024-03-17T00:00:00"/>
        <d v="2024-05-16T00:00:00"/>
        <d v="2024-06-05T00:00:00"/>
        <d v="2024-07-14T00:00:00"/>
        <d v="2024-05-04T00:00:00"/>
        <d v="2024-06-04T00:00:00"/>
        <d v="2024-05-20T00:00:00"/>
        <d v="2024-05-19T00:00:00"/>
        <d v="2024-04-20T00:00:00"/>
        <d v="2024-07-03T00:00:00"/>
        <d v="2024-04-09T00:00:00"/>
        <d v="2024-01-31T00:00:00"/>
        <d v="2024-05-15T00:00:00"/>
        <d v="2024-03-09T00:00:00"/>
        <d v="2024-06-25T00:00:00"/>
        <d v="2024-06-03T00:00:00"/>
        <d v="2024-04-04T00:00:00"/>
        <d v="2024-06-23T00:00:00"/>
        <d v="2024-02-22T00:00:00"/>
        <d v="2024-05-27T00:00:00"/>
        <d v="2024-03-11T00:00:00"/>
        <d v="2024-06-20T00:00:00"/>
        <d v="2024-04-11T00:00:00"/>
        <d v="2024-05-17T00:00:00"/>
        <d v="2024-03-19T00:00:00"/>
        <d v="2024-01-27T00:00:00"/>
        <d v="2024-07-07T00:00:00"/>
        <d v="2024-03-25T00:00:00"/>
        <d v="2024-08-16T00:00:00"/>
        <d v="2024-05-28T00:00:00"/>
        <d v="2024-06-26T00:00:00"/>
        <d v="2024-03-05T00:00:00"/>
        <d v="2024-09-21T00:00:00"/>
        <d v="2024-04-28T00:00:00"/>
        <d v="2024-05-26T00:00:00"/>
        <d v="2024-02-11T00:00:00"/>
        <d v="2024-07-15T00:00:00"/>
        <d v="2024-06-28T00:00:00"/>
        <m/>
      </sharedItems>
    </cacheField>
    <cacheField name="Delay Days" numFmtId="0">
      <sharedItems containsMixedTypes="1" containsNumber="1" containsInteger="1" minValue="-344" maxValue="95"/>
    </cacheField>
    <cacheField name="Months (Expected close date)" numFmtId="0" databaseField="0">
      <fieldGroup base="15">
        <rangePr groupBy="months" startDate="2024-01-26T00:00:00" endDate="2025-05-28T00:00:00"/>
        <groupItems count="14">
          <s v="&lt;1/2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8/2025"/>
        </groupItems>
      </fieldGroup>
    </cacheField>
    <cacheField name="Quarters (Expected close date)" numFmtId="0" databaseField="0">
      <fieldGroup base="15">
        <rangePr groupBy="quarters" startDate="2024-01-26T00:00:00" endDate="2025-05-28T00:00:00"/>
        <groupItems count="6">
          <s v="&lt;1/26/2024"/>
          <s v="Qtr1"/>
          <s v="Qtr2"/>
          <s v="Qtr3"/>
          <s v="Qtr4"/>
          <s v="&gt;5/28/2025"/>
        </groupItems>
      </fieldGroup>
    </cacheField>
    <cacheField name="Years (Expected close date)" numFmtId="0" databaseField="0">
      <fieldGroup base="15">
        <rangePr groupBy="years" startDate="2024-01-26T00:00:00" endDate="2025-05-28T00:00:00"/>
        <groupItems count="4">
          <s v="&lt;1/26/2024"/>
          <s v="2024"/>
          <s v="2025"/>
          <s v="&gt;5/2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x v="0"/>
    <s v="Netherlands"/>
    <s v="52.370216"/>
    <s v="4.895168"/>
    <s v="Banking and Finance"/>
    <s v="Small (11-200)"/>
    <s v="John Smith"/>
    <d v="2024-04-20T00:00:00"/>
    <s v="SAAS"/>
    <x v="0"/>
    <x v="0"/>
    <m/>
    <m/>
    <n v="833"/>
    <n v="90"/>
    <d v="2024-08-07T00:00:00"/>
    <d v="2024-06-27T00:00:00"/>
  </r>
  <r>
    <x v="1"/>
    <s v="Spain"/>
    <s v="40.416775"/>
    <s v="-3.703790"/>
    <s v="Energy &amp; Utilities"/>
    <s v="Small (11-200)"/>
    <s v="Emily Johnson"/>
    <d v="2024-05-28T00:00:00"/>
    <s v="SAAS"/>
    <x v="0"/>
    <x v="0"/>
    <m/>
    <m/>
    <n v="1623"/>
    <n v="30"/>
    <d v="2024-10-25T00:00:00"/>
    <d v="2024-09-11T00:00:00"/>
  </r>
  <r>
    <x v="2"/>
    <s v="Italy"/>
    <s v="41.902782"/>
    <s v="12.496366"/>
    <s v="Education &amp; Science"/>
    <s v="Small (11-200)"/>
    <s v="Michael Brown"/>
    <d v="2024-03-17T00:00:00"/>
    <s v="SAAS"/>
    <x v="0"/>
    <x v="0"/>
    <m/>
    <m/>
    <n v="1928"/>
    <n v="20"/>
    <d v="2025-03-17T00:00:00"/>
    <d v="2024-05-11T00:00:00"/>
  </r>
  <r>
    <x v="3"/>
    <s v="Germany"/>
    <s v="52.520008"/>
    <s v="13.404954"/>
    <s v="Government Administration Healthcare"/>
    <s v="Small (11-200)"/>
    <s v="Michael Brown"/>
    <d v="2024-01-18T00:00:00"/>
    <s v="SAAS"/>
    <x v="0"/>
    <x v="0"/>
    <m/>
    <m/>
    <n v="303"/>
    <n v="50"/>
    <d v="2024-08-07T00:00:00"/>
    <d v="2024-05-06T00:00:00"/>
  </r>
  <r>
    <x v="4"/>
    <s v="Germany"/>
    <s v="52.520008"/>
    <s v="13.404954"/>
    <s v="Energy &amp; Utilities"/>
    <s v="Small (11-200)"/>
    <s v="Michael Brown"/>
    <d v="2024-04-06T00:00:00"/>
    <s v="SAAS"/>
    <x v="0"/>
    <x v="0"/>
    <m/>
    <m/>
    <n v="1911"/>
    <n v="30"/>
    <d v="2024-10-11T00:00:00"/>
    <d v="2024-07-25T00:00:00"/>
  </r>
  <r>
    <x v="5"/>
    <s v="Germany"/>
    <s v="52.520008"/>
    <s v="13.404954"/>
    <s v="Transportation &amp; Logistics"/>
    <s v="Small (11-200)"/>
    <s v="Laura Thompson"/>
    <d v="2024-02-21T00:00:00"/>
    <s v="Custom solution"/>
    <x v="0"/>
    <x v="0"/>
    <m/>
    <m/>
    <n v="455"/>
    <n v="20"/>
    <d v="2024-09-23T00:00:00"/>
    <d v="2024-05-11T00:00:00"/>
  </r>
  <r>
    <x v="6"/>
    <s v="Belgium"/>
    <s v="51.260197"/>
    <s v="4.402771"/>
    <s v="IT &amp; IT Services"/>
    <s v="Small (11-200)"/>
    <s v="Laura Thompson"/>
    <d v="2024-02-13T00:00:00"/>
    <s v="SAAS"/>
    <x v="0"/>
    <x v="0"/>
    <m/>
    <m/>
    <n v="351"/>
    <n v="30"/>
    <d v="2024-03-18T00:00:00"/>
    <d v="2024-04-17T00:00:00"/>
  </r>
  <r>
    <x v="7"/>
    <s v="Switzerland"/>
    <s v="46.204391"/>
    <s v="6.143158"/>
    <s v="IT &amp; IT Services"/>
    <s v="Small (11-200)"/>
    <s v="Jessica Martinez"/>
    <d v="2024-01-15T00:00:00"/>
    <s v="Custom solution"/>
    <x v="0"/>
    <x v="0"/>
    <m/>
    <m/>
    <n v="230"/>
    <n v="70"/>
    <d v="2024-05-17T00:00:00"/>
    <d v="2024-05-11T00:00:00"/>
  </r>
  <r>
    <x v="8"/>
    <s v="France"/>
    <s v="48.864716"/>
    <s v="2.349014"/>
    <s v="Retail &amp; Distribution"/>
    <s v="Small (11-200)"/>
    <s v="Michael Brown"/>
    <d v="2024-03-09T00:00:00"/>
    <s v="SAAS"/>
    <x v="0"/>
    <x v="0"/>
    <m/>
    <m/>
    <n v="1697"/>
    <n v="80"/>
    <d v="2024-07-25T00:00:00"/>
    <d v="2024-06-30T00:00:00"/>
  </r>
  <r>
    <x v="9"/>
    <s v="Switzerland"/>
    <s v="46.204391"/>
    <s v="6.143158"/>
    <s v="Transportation &amp; Logistics"/>
    <s v="Small (11-200)"/>
    <s v="Laura Thompson"/>
    <d v="2024-04-01T00:00:00"/>
    <s v="Services"/>
    <x v="0"/>
    <x v="0"/>
    <m/>
    <m/>
    <n v="320"/>
    <n v="60"/>
    <d v="2024-05-24T00:00:00"/>
    <d v="2024-07-01T00:00:00"/>
  </r>
  <r>
    <x v="10"/>
    <s v="Germany"/>
    <s v="52.520008"/>
    <s v="13.404954"/>
    <s v="Agriculture &amp; Mining"/>
    <s v="Small (11-200)"/>
    <s v="Emily Johnson"/>
    <d v="2024-02-12T00:00:00"/>
    <s v="Custom solution"/>
    <x v="0"/>
    <x v="0"/>
    <m/>
    <m/>
    <n v="721"/>
    <n v="20"/>
    <d v="2025-01-10T00:00:00"/>
    <d v="2024-03-31T00:00:00"/>
  </r>
  <r>
    <x v="11"/>
    <s v="Italy"/>
    <s v="41.902782"/>
    <s v="12.496366"/>
    <s v="Transportation &amp; Logistics"/>
    <s v="Small (11-200)"/>
    <s v="Michael Brown"/>
    <d v="2024-02-29T00:00:00"/>
    <s v="Services"/>
    <x v="0"/>
    <x v="0"/>
    <m/>
    <m/>
    <n v="768"/>
    <n v="80"/>
    <d v="2024-08-18T00:00:00"/>
    <d v="2024-06-15T00:00:00"/>
  </r>
  <r>
    <x v="12"/>
    <s v="Austria"/>
    <s v="48.210033"/>
    <s v="16.363449"/>
    <s v="Government Administration Healthcare"/>
    <s v="Small (11-200)"/>
    <s v="Kevin Anderson"/>
    <d v="2024-04-11T00:00:00"/>
    <s v="SAAS"/>
    <x v="0"/>
    <x v="0"/>
    <m/>
    <m/>
    <n v="741"/>
    <n v="40"/>
    <d v="2024-09-19T00:00:00"/>
    <d v="2024-05-13T00:00:00"/>
  </r>
  <r>
    <x v="13"/>
    <s v="France"/>
    <s v="48.864716"/>
    <s v="2.349014"/>
    <s v="Professional Services  &amp; Consulting"/>
    <s v="Small (11-200)"/>
    <s v="Laura Thompson"/>
    <d v="2024-01-23T00:00:00"/>
    <s v="SAAS"/>
    <x v="0"/>
    <x v="0"/>
    <m/>
    <m/>
    <n v="668"/>
    <n v="70"/>
    <d v="2024-10-24T00:00:00"/>
    <d v="2024-04-19T00:00:00"/>
  </r>
  <r>
    <x v="14"/>
    <s v="Portugal"/>
    <s v="38.736946"/>
    <s v="-9.142685"/>
    <s v="Banking and Finance"/>
    <s v="Small (11-200)"/>
    <s v="Jessica Martinez"/>
    <d v="2024-03-10T00:00:00"/>
    <s v="Custom solution"/>
    <x v="0"/>
    <x v="0"/>
    <m/>
    <m/>
    <n v="406"/>
    <n v="30"/>
    <d v="2024-05-24T00:00:00"/>
    <d v="2024-05-06T00:00:00"/>
  </r>
  <r>
    <x v="15"/>
    <s v="Portugal"/>
    <s v="38.736946"/>
    <s v="-9.142685"/>
    <s v="IT &amp; IT Services"/>
    <s v="Small (11-200)"/>
    <s v="Laura Thompson"/>
    <d v="2024-04-12T00:00:00"/>
    <s v="Services"/>
    <x v="0"/>
    <x v="0"/>
    <m/>
    <m/>
    <n v="1686"/>
    <n v="40"/>
    <d v="2024-05-06T00:00:00"/>
    <d v="2024-04-25T00:00:00"/>
  </r>
  <r>
    <x v="16"/>
    <s v="Portugal"/>
    <s v="38.736946"/>
    <s v="-9.142685"/>
    <s v="Professional Services  &amp; Consulting"/>
    <s v="Small (11-200)"/>
    <s v="Michael Brown"/>
    <d v="2024-03-15T00:00:00"/>
    <s v="Services"/>
    <x v="0"/>
    <x v="0"/>
    <m/>
    <m/>
    <n v="317"/>
    <n v="40"/>
    <d v="2024-09-15T00:00:00"/>
    <d v="2024-07-13T00:00:00"/>
  </r>
  <r>
    <x v="17"/>
    <s v="Netherlands"/>
    <s v="52.370216"/>
    <s v="4.895168"/>
    <s v="Recreation &amp; Sports"/>
    <s v="Small (11-200)"/>
    <s v="Sarah Davis"/>
    <d v="2024-01-17T00:00:00"/>
    <s v="SAAS"/>
    <x v="0"/>
    <x v="0"/>
    <m/>
    <m/>
    <n v="1813"/>
    <n v="40"/>
    <d v="2024-03-28T00:00:00"/>
    <d v="2024-01-24T00:00:00"/>
  </r>
  <r>
    <x v="18"/>
    <s v="Italy"/>
    <s v="41.902782"/>
    <s v="12.496366"/>
    <s v="Professional Services  &amp; Consulting"/>
    <s v="Small (11-200)"/>
    <s v="David Wilson"/>
    <d v="2024-01-24T00:00:00"/>
    <s v="Services"/>
    <x v="0"/>
    <x v="0"/>
    <m/>
    <m/>
    <n v="1515"/>
    <n v="40"/>
    <d v="2024-10-22T00:00:00"/>
    <d v="2024-02-03T00:00:00"/>
  </r>
  <r>
    <x v="19"/>
    <s v="Belgium"/>
    <s v="51.260197"/>
    <s v="4.402771"/>
    <s v="Transportation &amp; Logistics"/>
    <s v="Small (11-200)"/>
    <s v="Jessica Martinez"/>
    <d v="2024-04-19T00:00:00"/>
    <s v="SAAS"/>
    <x v="0"/>
    <x v="0"/>
    <m/>
    <m/>
    <n v="1569"/>
    <n v="50"/>
    <d v="2024-11-05T00:00:00"/>
    <d v="2024-05-21T00:00:00"/>
  </r>
  <r>
    <x v="20"/>
    <s v="Germany"/>
    <s v="52.520008"/>
    <s v="13.404954"/>
    <s v="Agriculture &amp; Mining"/>
    <s v="Small (11-200)"/>
    <s v="Sarah Davis"/>
    <d v="2024-05-06T00:00:00"/>
    <s v="Custom solution"/>
    <x v="0"/>
    <x v="0"/>
    <m/>
    <m/>
    <n v="405"/>
    <n v="40"/>
    <d v="2025-04-09T00:00:00"/>
    <d v="2024-06-07T00:00:00"/>
  </r>
  <r>
    <x v="21"/>
    <s v="Italy"/>
    <s v="41.902782"/>
    <s v="12.496366"/>
    <s v="Professional Services  &amp; Consulting"/>
    <s v="Small (11-200)"/>
    <s v="Laura Thompson"/>
    <d v="2024-05-30T00:00:00"/>
    <s v="SAAS"/>
    <x v="0"/>
    <x v="0"/>
    <m/>
    <m/>
    <n v="1456"/>
    <n v="60"/>
    <d v="2024-08-03T00:00:00"/>
    <d v="2024-06-06T00:00:00"/>
  </r>
  <r>
    <x v="22"/>
    <s v="France"/>
    <s v="48.864716"/>
    <s v="2.349014"/>
    <s v="Professional Services  &amp; Consulting"/>
    <s v="Small (11-200)"/>
    <s v="David Wilson"/>
    <d v="2024-05-07T00:00:00"/>
    <s v="Services"/>
    <x v="0"/>
    <x v="0"/>
    <m/>
    <m/>
    <n v="217"/>
    <n v="90"/>
    <d v="2024-08-04T00:00:00"/>
    <d v="2024-08-22T00:00:00"/>
  </r>
  <r>
    <x v="23"/>
    <s v="Netherlands"/>
    <s v="52.370216"/>
    <s v="4.895168"/>
    <s v="Banking and Finance"/>
    <s v="Small (11-200)"/>
    <s v="Laura Thompson"/>
    <d v="2024-02-28T00:00:00"/>
    <s v="Services"/>
    <x v="0"/>
    <x v="0"/>
    <m/>
    <m/>
    <n v="426"/>
    <n v="40"/>
    <d v="2024-12-17T00:00:00"/>
    <d v="2024-04-10T00:00:00"/>
  </r>
  <r>
    <x v="24"/>
    <s v="Italy"/>
    <s v="41.902782"/>
    <s v="12.496366"/>
    <s v="Banking and Finance"/>
    <s v="Small (11-200)"/>
    <s v="Sarah Davis"/>
    <d v="2024-04-25T00:00:00"/>
    <s v="SAAS"/>
    <x v="0"/>
    <x v="0"/>
    <m/>
    <m/>
    <n v="1846"/>
    <n v="60"/>
    <d v="2025-04-19T00:00:00"/>
    <d v="2024-07-31T00:00:00"/>
  </r>
  <r>
    <x v="25"/>
    <s v="Italy"/>
    <s v="41.902782"/>
    <s v="12.496366"/>
    <s v="Retail &amp; Distribution"/>
    <s v="Small (11-200)"/>
    <s v="Michael Brown"/>
    <d v="2024-04-19T00:00:00"/>
    <s v="SAAS"/>
    <x v="0"/>
    <x v="0"/>
    <m/>
    <m/>
    <n v="1515"/>
    <n v="40"/>
    <d v="2025-01-25T00:00:00"/>
    <d v="2024-07-12T00:00:00"/>
  </r>
  <r>
    <x v="26"/>
    <s v="Italy"/>
    <s v="41.902782"/>
    <s v="12.496366"/>
    <s v="Professional Services  &amp; Consulting"/>
    <s v="Small (11-200)"/>
    <s v="Sarah Davis"/>
    <d v="2024-02-21T00:00:00"/>
    <s v="Services"/>
    <x v="0"/>
    <x v="0"/>
    <m/>
    <m/>
    <n v="1007"/>
    <n v="20"/>
    <d v="2024-10-06T00:00:00"/>
    <d v="2024-04-01T00:00:00"/>
  </r>
  <r>
    <x v="27"/>
    <s v="Switzerland"/>
    <s v="46.204391"/>
    <s v="6.143158"/>
    <s v="Education &amp; Science"/>
    <s v="Small (11-200)"/>
    <s v="Kevin Anderson"/>
    <d v="2024-05-03T00:00:00"/>
    <s v="Services"/>
    <x v="0"/>
    <x v="0"/>
    <m/>
    <m/>
    <n v="1895"/>
    <n v="80"/>
    <d v="2025-02-20T00:00:00"/>
    <d v="2024-05-14T00:00:00"/>
  </r>
  <r>
    <x v="28"/>
    <s v="France"/>
    <s v="48.864716"/>
    <s v="2.349014"/>
    <s v="Government Administration Healthcare"/>
    <s v="Small (11-200)"/>
    <s v="Jessica Martinez"/>
    <d v="2024-03-27T00:00:00"/>
    <s v="Services"/>
    <x v="0"/>
    <x v="0"/>
    <m/>
    <m/>
    <n v="748"/>
    <n v="50"/>
    <d v="2024-08-30T00:00:00"/>
    <d v="2024-07-16T00:00:00"/>
  </r>
  <r>
    <x v="29"/>
    <s v="Italy"/>
    <s v="41.902782"/>
    <s v="12.496366"/>
    <s v="Professional Services  &amp; Consulting"/>
    <s v="Small (11-200)"/>
    <s v="Michael Brown"/>
    <d v="2024-01-05T00:00:00"/>
    <s v="SAAS"/>
    <x v="0"/>
    <x v="0"/>
    <m/>
    <m/>
    <n v="726"/>
    <n v="10"/>
    <d v="2024-06-13T00:00:00"/>
    <d v="2024-03-20T00:00:00"/>
  </r>
  <r>
    <x v="30"/>
    <s v="Switzerland"/>
    <s v="46.204391"/>
    <s v="6.143158"/>
    <s v="Construction &amp; Engineering"/>
    <s v="Small (11-200)"/>
    <s v="Laura Thompson"/>
    <d v="2024-02-12T00:00:00"/>
    <s v="SAAS"/>
    <x v="0"/>
    <x v="0"/>
    <m/>
    <m/>
    <n v="634"/>
    <n v="60"/>
    <d v="2024-03-30T00:00:00"/>
    <d v="2024-02-27T00:00:00"/>
  </r>
  <r>
    <x v="31"/>
    <s v="Italy"/>
    <s v="41.902782"/>
    <s v="12.496366"/>
    <s v="Transportation &amp; Logistics"/>
    <s v="Small (11-200)"/>
    <s v="Laura Thompson"/>
    <d v="2024-02-19T00:00:00"/>
    <s v="Custom solution"/>
    <x v="0"/>
    <x v="0"/>
    <m/>
    <m/>
    <n v="586"/>
    <n v="60"/>
    <d v="2024-11-01T00:00:00"/>
    <d v="2024-06-13T00:00:00"/>
  </r>
  <r>
    <x v="32"/>
    <s v="Italy"/>
    <s v="41.902782"/>
    <s v="12.496366"/>
    <s v="Telecommunications"/>
    <s v="Small (11-200)"/>
    <s v="Sarah Davis"/>
    <d v="2024-05-13T00:00:00"/>
    <s v="Services"/>
    <x v="0"/>
    <x v="0"/>
    <m/>
    <m/>
    <n v="1936"/>
    <n v="20"/>
    <d v="2024-12-17T00:00:00"/>
    <d v="2024-08-22T00:00:00"/>
  </r>
  <r>
    <x v="33"/>
    <s v="Germany"/>
    <s v="52.520008"/>
    <s v="13.404954"/>
    <s v="Government Administration Healthcare"/>
    <s v="Small (11-200)"/>
    <s v="Michael Brown"/>
    <d v="2024-03-21T00:00:00"/>
    <s v="Custom solution"/>
    <x v="0"/>
    <x v="0"/>
    <m/>
    <m/>
    <n v="1620"/>
    <n v="40"/>
    <d v="2024-08-24T00:00:00"/>
    <d v="2024-05-13T00:00:00"/>
  </r>
  <r>
    <x v="34"/>
    <s v="Belgium"/>
    <s v="51.260197"/>
    <s v="4.402771"/>
    <s v="Transportation &amp; Logistics"/>
    <s v="Small (11-200)"/>
    <s v="Kevin Anderson"/>
    <d v="2024-02-04T00:00:00"/>
    <s v="SAAS"/>
    <x v="0"/>
    <x v="0"/>
    <m/>
    <m/>
    <n v="287"/>
    <n v="10"/>
    <d v="2024-12-05T00:00:00"/>
    <d v="2024-02-14T00:00:00"/>
  </r>
  <r>
    <x v="35"/>
    <s v="Austria"/>
    <s v="48.210033"/>
    <s v="16.363449"/>
    <s v="Banking and Finance"/>
    <s v="Small (11-200)"/>
    <s v="Jessica Martinez"/>
    <d v="2024-05-15T00:00:00"/>
    <s v="Custom solution"/>
    <x v="0"/>
    <x v="0"/>
    <m/>
    <m/>
    <n v="1828"/>
    <n v="50"/>
    <d v="2024-10-07T00:00:00"/>
    <d v="2024-08-29T00:00:00"/>
  </r>
  <r>
    <x v="36"/>
    <s v="Italy"/>
    <s v="41.902782"/>
    <s v="12.496366"/>
    <s v="Recreation &amp; Sports"/>
    <s v="Small (11-200)"/>
    <s v="Laura Thompson"/>
    <d v="2024-02-15T00:00:00"/>
    <s v="SAAS"/>
    <x v="0"/>
    <x v="0"/>
    <m/>
    <m/>
    <n v="453"/>
    <n v="40"/>
    <d v="2024-12-03T00:00:00"/>
    <d v="2024-04-26T00:00:00"/>
  </r>
  <r>
    <x v="37"/>
    <s v="France"/>
    <s v="48.864716"/>
    <s v="2.349014"/>
    <s v="Education &amp; Science"/>
    <s v="Small (11-200)"/>
    <s v="Laura Thompson"/>
    <d v="2024-03-30T00:00:00"/>
    <s v="Services"/>
    <x v="0"/>
    <x v="0"/>
    <m/>
    <m/>
    <n v="835"/>
    <n v="70"/>
    <d v="2024-08-14T00:00:00"/>
    <d v="2024-05-23T00:00:00"/>
  </r>
  <r>
    <x v="38"/>
    <s v="Switzerland"/>
    <s v="46.204391"/>
    <s v="6.143158"/>
    <s v="Transportation &amp; Logistics"/>
    <s v="Small (11-200)"/>
    <s v="Jessica Martinez"/>
    <d v="2024-02-27T00:00:00"/>
    <s v="SAAS"/>
    <x v="0"/>
    <x v="0"/>
    <m/>
    <m/>
    <n v="1924"/>
    <n v="30"/>
    <d v="2024-03-19T00:00:00"/>
    <d v="2024-06-18T00:00:00"/>
  </r>
  <r>
    <x v="39"/>
    <s v="Italy"/>
    <s v="41.902782"/>
    <s v="12.496366"/>
    <s v="Banking and Finance"/>
    <s v="Small (11-200)"/>
    <s v="Emily Johnson"/>
    <d v="2024-01-17T00:00:00"/>
    <s v="SAAS"/>
    <x v="0"/>
    <x v="0"/>
    <m/>
    <m/>
    <n v="1020"/>
    <n v="20"/>
    <d v="2024-05-31T00:00:00"/>
    <d v="2024-03-26T00:00:00"/>
  </r>
  <r>
    <x v="40"/>
    <s v="Austria"/>
    <s v="48.210033"/>
    <s v="16.363449"/>
    <s v="Energy &amp; Utilities"/>
    <s v="Small (11-200)"/>
    <s v="David Wilson"/>
    <d v="2024-04-30T00:00:00"/>
    <s v="SAAS"/>
    <x v="0"/>
    <x v="0"/>
    <m/>
    <m/>
    <n v="543"/>
    <n v="30"/>
    <d v="2024-06-21T00:00:00"/>
    <d v="2024-07-12T00:00:00"/>
  </r>
  <r>
    <x v="41"/>
    <s v="Switzerland"/>
    <s v="46.204391"/>
    <s v="6.143158"/>
    <s v="Construction &amp; Engineering"/>
    <s v="Small (11-200)"/>
    <s v="Laura Thompson"/>
    <d v="2024-03-28T00:00:00"/>
    <s v="SAAS"/>
    <x v="0"/>
    <x v="0"/>
    <m/>
    <m/>
    <n v="1984"/>
    <n v="20"/>
    <d v="2024-12-31T00:00:00"/>
    <d v="2024-05-29T00:00:00"/>
  </r>
  <r>
    <x v="42"/>
    <s v="Portugal"/>
    <s v="38.736946"/>
    <s v="-9.142685"/>
    <s v="Banking and Finance"/>
    <s v="Small (11-200)"/>
    <s v="Emily Johnson"/>
    <d v="2024-01-19T00:00:00"/>
    <s v="SAAS"/>
    <x v="0"/>
    <x v="0"/>
    <m/>
    <m/>
    <n v="349"/>
    <n v="50"/>
    <d v="2024-04-22T00:00:00"/>
    <d v="2024-02-07T00:00:00"/>
  </r>
  <r>
    <x v="43"/>
    <s v="Switzerland"/>
    <s v="46.204391"/>
    <s v="6.143158"/>
    <s v="Telecommunications"/>
    <s v="Small (11-200)"/>
    <s v="Michael Brown"/>
    <d v="2024-01-07T00:00:00"/>
    <s v="SAAS"/>
    <x v="0"/>
    <x v="0"/>
    <m/>
    <m/>
    <n v="1790"/>
    <n v="90"/>
    <d v="2024-12-14T00:00:00"/>
    <d v="2024-02-13T00:00:00"/>
  </r>
  <r>
    <x v="44"/>
    <s v="Germany"/>
    <s v="52.520008"/>
    <s v="13.404954"/>
    <s v="Transportation &amp; Logistics"/>
    <s v="Small (11-200)"/>
    <s v="Michael Brown"/>
    <d v="2024-02-13T00:00:00"/>
    <s v="SAAS"/>
    <x v="0"/>
    <x v="0"/>
    <m/>
    <m/>
    <n v="1606"/>
    <n v="40"/>
    <d v="2024-11-01T00:00:00"/>
    <d v="2024-05-09T00:00:00"/>
  </r>
  <r>
    <x v="45"/>
    <s v="Switzerland"/>
    <s v="46.204391"/>
    <s v="6.143158"/>
    <s v="Retail &amp; Distribution"/>
    <s v="Small (11-200)"/>
    <s v="Laura Thompson"/>
    <d v="2024-04-08T00:00:00"/>
    <s v="SAAS"/>
    <x v="0"/>
    <x v="0"/>
    <m/>
    <m/>
    <n v="716"/>
    <n v="40"/>
    <d v="2025-03-11T00:00:00"/>
    <d v="2024-07-13T00:00:00"/>
  </r>
  <r>
    <x v="46"/>
    <s v="Germany"/>
    <s v="52.520008"/>
    <s v="13.404954"/>
    <s v="Transportation &amp; Logistics"/>
    <s v="Small (11-200)"/>
    <s v="David Wilson"/>
    <d v="2024-01-25T00:00:00"/>
    <s v="SAAS"/>
    <x v="0"/>
    <x v="0"/>
    <m/>
    <m/>
    <n v="1883"/>
    <n v="20"/>
    <d v="2024-10-13T00:00:00"/>
    <d v="2024-04-17T00:00:00"/>
  </r>
  <r>
    <x v="47"/>
    <s v="Italy"/>
    <s v="41.902782"/>
    <s v="12.496366"/>
    <s v="Banking and Finance"/>
    <s v="Small (11-200)"/>
    <s v="Laura Thompson"/>
    <d v="2024-01-06T00:00:00"/>
    <s v="Services"/>
    <x v="0"/>
    <x v="0"/>
    <m/>
    <m/>
    <n v="233"/>
    <n v="10"/>
    <d v="2024-11-12T00:00:00"/>
    <d v="2024-02-10T00:00:00"/>
  </r>
  <r>
    <x v="48"/>
    <s v="Italy"/>
    <s v="41.902782"/>
    <s v="12.496366"/>
    <s v="Manufacturing &amp; Production"/>
    <s v="Small (11-200)"/>
    <s v="Laura Thompson"/>
    <d v="2024-05-06T00:00:00"/>
    <s v="SAAS"/>
    <x v="0"/>
    <x v="0"/>
    <m/>
    <m/>
    <n v="854"/>
    <n v="60"/>
    <d v="2024-12-28T00:00:00"/>
    <d v="2024-08-10T00:00:00"/>
  </r>
  <r>
    <x v="49"/>
    <s v="Italy"/>
    <s v="41.902782"/>
    <s v="12.496366"/>
    <s v="Education &amp; Science"/>
    <s v="Small (11-200)"/>
    <s v="Jessica Martinez"/>
    <d v="2024-05-21T00:00:00"/>
    <s v="Services"/>
    <x v="0"/>
    <x v="0"/>
    <m/>
    <m/>
    <n v="1249"/>
    <n v="80"/>
    <d v="2025-03-17T00:00:00"/>
    <d v="2024-06-29T00:00:00"/>
  </r>
  <r>
    <x v="50"/>
    <s v="Switzerland"/>
    <s v="46.204391"/>
    <s v="6.143158"/>
    <s v="Construction &amp; Engineering"/>
    <s v="Small (11-200)"/>
    <s v="Laura Thompson"/>
    <d v="2024-03-21T00:00:00"/>
    <s v="SAAS"/>
    <x v="0"/>
    <x v="0"/>
    <m/>
    <m/>
    <n v="1125"/>
    <n v="30"/>
    <d v="2024-04-12T00:00:00"/>
    <d v="2024-06-02T00:00:00"/>
  </r>
  <r>
    <x v="51"/>
    <s v="Switzerland"/>
    <s v="46.204391"/>
    <s v="6.143158"/>
    <s v="Entertainment &amp; Media &amp; Hospitality"/>
    <s v="Small (11-200)"/>
    <s v="John Smith"/>
    <d v="2024-05-27T00:00:00"/>
    <s v="SAAS"/>
    <x v="0"/>
    <x v="0"/>
    <m/>
    <m/>
    <n v="1411"/>
    <n v="40"/>
    <d v="2025-03-23T00:00:00"/>
    <d v="2024-08-29T00:00:00"/>
  </r>
  <r>
    <x v="52"/>
    <s v="France"/>
    <s v="48.864716"/>
    <s v="2.349014"/>
    <s v="Government Administration Healthcare"/>
    <s v="Small (11-200)"/>
    <s v="Kevin Anderson"/>
    <d v="2024-02-03T00:00:00"/>
    <s v="SAAS"/>
    <x v="0"/>
    <x v="0"/>
    <m/>
    <m/>
    <n v="1503"/>
    <n v="30"/>
    <d v="2025-01-03T00:00:00"/>
    <d v="2024-04-19T00:00:00"/>
  </r>
  <r>
    <x v="53"/>
    <s v="Germany"/>
    <s v="52.520008"/>
    <s v="13.404954"/>
    <s v="Banking and Finance"/>
    <s v="Micro (1-10)"/>
    <s v="Kevin Anderson"/>
    <d v="2024-05-31T00:00:00"/>
    <s v="Custom solution"/>
    <x v="0"/>
    <x v="0"/>
    <m/>
    <m/>
    <n v="206"/>
    <n v="80"/>
    <d v="2024-10-10T00:00:00"/>
    <d v="2024-06-17T00:00:00"/>
  </r>
  <r>
    <x v="54"/>
    <s v="Germany"/>
    <s v="52.520008"/>
    <s v="13.404954"/>
    <s v="IT &amp; IT Services"/>
    <s v="Micro (1-10)"/>
    <s v="Kevin Anderson"/>
    <d v="2024-01-11T00:00:00"/>
    <s v="SAAS"/>
    <x v="0"/>
    <x v="0"/>
    <m/>
    <m/>
    <n v="956"/>
    <n v="100"/>
    <d v="2024-04-26T00:00:00"/>
    <d v="2024-03-07T00:00:00"/>
  </r>
  <r>
    <x v="55"/>
    <s v="Netherlands"/>
    <s v="52.370216"/>
    <s v="4.895168"/>
    <s v="Transportation &amp; Logistics"/>
    <s v="Micro (1-10)"/>
    <s v="Michael Brown"/>
    <d v="2024-04-09T00:00:00"/>
    <s v="SAAS"/>
    <x v="0"/>
    <x v="0"/>
    <m/>
    <m/>
    <n v="668"/>
    <n v="40"/>
    <d v="2024-09-05T00:00:00"/>
    <d v="2024-04-27T00:00:00"/>
  </r>
  <r>
    <x v="56"/>
    <s v="Austria"/>
    <s v="48.210033"/>
    <s v="16.363449"/>
    <s v="Retail &amp; Distribution"/>
    <s v="Micro (1-10)"/>
    <s v="Kevin Anderson"/>
    <d v="2024-05-08T00:00:00"/>
    <s v="Services"/>
    <x v="0"/>
    <x v="0"/>
    <m/>
    <m/>
    <n v="721"/>
    <n v="30"/>
    <d v="2025-02-22T00:00:00"/>
    <d v="2024-07-20T00:00:00"/>
  </r>
  <r>
    <x v="57"/>
    <s v="Germany"/>
    <s v="52.520008"/>
    <s v="13.404954"/>
    <s v="Transportation &amp; Logistics"/>
    <s v="Micro (1-10)"/>
    <s v="Laura Thompson"/>
    <d v="2024-03-03T00:00:00"/>
    <s v="Services"/>
    <x v="0"/>
    <x v="0"/>
    <m/>
    <m/>
    <n v="320"/>
    <n v="20"/>
    <d v="2024-10-21T00:00:00"/>
    <d v="2024-03-23T00:00:00"/>
  </r>
  <r>
    <x v="58"/>
    <s v="Italy"/>
    <s v="41.902782"/>
    <s v="12.496366"/>
    <s v="Banking and Finance"/>
    <s v="Micro (1-10)"/>
    <s v="David Wilson"/>
    <d v="2024-05-17T00:00:00"/>
    <s v="Custom solution"/>
    <x v="0"/>
    <x v="0"/>
    <m/>
    <m/>
    <n v="1074"/>
    <n v="90"/>
    <d v="2024-12-21T00:00:00"/>
    <d v="2024-08-15T00:00:00"/>
  </r>
  <r>
    <x v="59"/>
    <s v="Italy"/>
    <s v="41.902782"/>
    <s v="12.496366"/>
    <s v="Construction &amp; Engineering"/>
    <s v="Micro (1-10)"/>
    <s v="John Smith"/>
    <d v="2024-02-15T00:00:00"/>
    <s v="SAAS"/>
    <x v="0"/>
    <x v="0"/>
    <m/>
    <m/>
    <n v="480"/>
    <n v="70"/>
    <d v="2025-02-07T00:00:00"/>
    <d v="2024-05-13T00:00:00"/>
  </r>
  <r>
    <x v="60"/>
    <s v="Spain"/>
    <s v="40.416775"/>
    <s v="-3.703790"/>
    <s v="Professional Services  &amp; Consulting"/>
    <s v="Micro (1-10)"/>
    <s v="Laura Thompson"/>
    <d v="2024-01-05T00:00:00"/>
    <s v="Services"/>
    <x v="0"/>
    <x v="0"/>
    <m/>
    <m/>
    <n v="392"/>
    <n v="20"/>
    <d v="2024-01-26T00:00:00"/>
    <d v="2024-03-13T00:00:00"/>
  </r>
  <r>
    <x v="61"/>
    <s v="Italy"/>
    <s v="41.902782"/>
    <s v="12.496366"/>
    <s v="Banking and Finance"/>
    <s v="Micro (1-10)"/>
    <s v="Michael Brown"/>
    <d v="2024-03-25T00:00:00"/>
    <s v="Services"/>
    <x v="0"/>
    <x v="0"/>
    <m/>
    <m/>
    <n v="846"/>
    <n v="40"/>
    <d v="2024-08-27T00:00:00"/>
    <d v="2024-06-02T00:00:00"/>
  </r>
  <r>
    <x v="62"/>
    <s v="Switzerland"/>
    <s v="46.204391"/>
    <s v="6.143158"/>
    <s v="IT &amp; IT Services"/>
    <s v="Micro (1-10)"/>
    <s v="Emily Johnson"/>
    <d v="2024-04-30T00:00:00"/>
    <s v="SAAS"/>
    <x v="0"/>
    <x v="0"/>
    <m/>
    <m/>
    <n v="968"/>
    <n v="50"/>
    <d v="2025-01-24T00:00:00"/>
    <d v="2024-08-03T00:00:00"/>
  </r>
  <r>
    <x v="63"/>
    <s v="Spain"/>
    <s v="40.416775"/>
    <s v="-3.703790"/>
    <s v="Agriculture &amp; Mining"/>
    <s v="Micro (1-10)"/>
    <s v="Laura Thompson"/>
    <d v="2024-01-04T00:00:00"/>
    <s v="Services"/>
    <x v="0"/>
    <x v="0"/>
    <m/>
    <m/>
    <n v="1068"/>
    <n v="40"/>
    <d v="2024-11-12T00:00:00"/>
    <d v="2024-03-18T00:00:00"/>
  </r>
  <r>
    <x v="64"/>
    <s v="France"/>
    <s v="48.864716"/>
    <s v="2.349014"/>
    <s v="Agriculture &amp; Mining"/>
    <s v="Micro (1-10)"/>
    <s v="Laura Thompson"/>
    <d v="2024-03-27T00:00:00"/>
    <s v="Services"/>
    <x v="0"/>
    <x v="0"/>
    <m/>
    <m/>
    <n v="617"/>
    <n v="30"/>
    <d v="2024-12-02T00:00:00"/>
    <d v="2024-04-01T00:00:00"/>
  </r>
  <r>
    <x v="65"/>
    <s v="Germany"/>
    <s v="52.520008"/>
    <s v="13.404954"/>
    <s v="Banking and Finance"/>
    <s v="Micro (1-10)"/>
    <s v="Kevin Anderson"/>
    <d v="2024-01-04T00:00:00"/>
    <s v="Services"/>
    <x v="0"/>
    <x v="0"/>
    <m/>
    <m/>
    <n v="888"/>
    <n v="30"/>
    <d v="2024-05-08T00:00:00"/>
    <d v="2024-02-04T00:00:00"/>
  </r>
  <r>
    <x v="66"/>
    <s v="Spain"/>
    <s v="40.416775"/>
    <s v="-3.703790"/>
    <s v="IT &amp; IT Services"/>
    <s v="Micro (1-10)"/>
    <s v="Michael Brown"/>
    <d v="2024-04-15T00:00:00"/>
    <s v="Custom solution"/>
    <x v="0"/>
    <x v="0"/>
    <m/>
    <m/>
    <n v="364"/>
    <n v="30"/>
    <d v="2024-05-29T00:00:00"/>
    <d v="2024-08-12T00:00:00"/>
  </r>
  <r>
    <x v="67"/>
    <s v="Germany"/>
    <s v="52.520008"/>
    <s v="13.404954"/>
    <s v="Banking and Finance"/>
    <s v="Micro (1-10)"/>
    <s v="Jessica Martinez"/>
    <d v="2024-04-15T00:00:00"/>
    <s v="Services"/>
    <x v="0"/>
    <x v="0"/>
    <m/>
    <m/>
    <n v="856"/>
    <n v="60"/>
    <d v="2024-09-29T00:00:00"/>
    <d v="2024-07-11T00:00:00"/>
  </r>
  <r>
    <x v="68"/>
    <s v="Belgium"/>
    <s v="51.260197"/>
    <s v="4.402771"/>
    <s v="Banking and Finance"/>
    <s v="Micro (1-10)"/>
    <s v="Sarah Davis"/>
    <d v="2024-02-10T00:00:00"/>
    <s v="SAAS"/>
    <x v="0"/>
    <x v="0"/>
    <m/>
    <m/>
    <n v="555"/>
    <n v="40"/>
    <d v="2024-07-27T00:00:00"/>
    <d v="2024-03-18T00:00:00"/>
  </r>
  <r>
    <x v="69"/>
    <s v="Portugal"/>
    <s v="38.736946"/>
    <s v="-9.142685"/>
    <s v="Transportation &amp; Logistics"/>
    <s v="Micro (1-10)"/>
    <s v="Jessica Martinez"/>
    <d v="2024-04-04T00:00:00"/>
    <s v="Services"/>
    <x v="0"/>
    <x v="0"/>
    <m/>
    <m/>
    <n v="1035"/>
    <n v="70"/>
    <d v="2024-08-20T00:00:00"/>
    <d v="2024-07-25T00:00:00"/>
  </r>
  <r>
    <x v="70"/>
    <s v="Portugal"/>
    <s v="38.736946"/>
    <s v="-9.142685"/>
    <s v="Entertainment &amp; Media &amp; Hospitality"/>
    <s v="Micro (1-10)"/>
    <s v="Jessica Martinez"/>
    <d v="2024-02-25T00:00:00"/>
    <s v="SAAS"/>
    <x v="0"/>
    <x v="0"/>
    <m/>
    <m/>
    <n v="566"/>
    <n v="30"/>
    <d v="2024-12-09T00:00:00"/>
    <d v="2024-06-01T00:00:00"/>
  </r>
  <r>
    <x v="71"/>
    <s v="Netherlands"/>
    <s v="52.370216"/>
    <s v="4.895168"/>
    <s v="Telecommunications"/>
    <s v="Micro (1-10)"/>
    <s v="Jessica Martinez"/>
    <d v="2024-01-18T00:00:00"/>
    <s v="Services"/>
    <x v="0"/>
    <x v="0"/>
    <m/>
    <m/>
    <n v="722"/>
    <n v="90"/>
    <d v="2024-11-04T00:00:00"/>
    <d v="2024-05-03T00:00:00"/>
  </r>
  <r>
    <x v="72"/>
    <s v="France"/>
    <s v="48.864716"/>
    <s v="2.349014"/>
    <s v="Telecommunications"/>
    <s v="Micro (1-10)"/>
    <s v="Laura Thompson"/>
    <d v="2024-01-16T00:00:00"/>
    <s v="Services"/>
    <x v="0"/>
    <x v="0"/>
    <m/>
    <m/>
    <n v="1000"/>
    <n v="80"/>
    <d v="2024-04-15T00:00:00"/>
    <d v="2024-02-03T00:00:00"/>
  </r>
  <r>
    <x v="73"/>
    <s v="Italy"/>
    <s v="41.902782"/>
    <s v="12.496366"/>
    <s v="Agriculture &amp; Mining"/>
    <s v="Micro (1-10)"/>
    <s v="Michael Brown"/>
    <d v="2024-02-18T00:00:00"/>
    <s v="Custom solution"/>
    <x v="0"/>
    <x v="0"/>
    <m/>
    <m/>
    <n v="898"/>
    <n v="60"/>
    <d v="2024-03-27T00:00:00"/>
    <d v="2024-04-13T00:00:00"/>
  </r>
  <r>
    <x v="74"/>
    <s v="Netherlands"/>
    <s v="52.370216"/>
    <s v="4.895168"/>
    <s v="Telecommunications"/>
    <s v="Micro (1-10)"/>
    <s v="Laura Thompson"/>
    <d v="2024-05-23T00:00:00"/>
    <s v="Services"/>
    <x v="0"/>
    <x v="0"/>
    <m/>
    <m/>
    <n v="786"/>
    <n v="30"/>
    <d v="2024-12-03T00:00:00"/>
    <d v="2024-09-10T00:00:00"/>
  </r>
  <r>
    <x v="75"/>
    <s v="Switzerland"/>
    <s v="46.204391"/>
    <s v="6.143158"/>
    <s v="Transportation &amp; Logistics"/>
    <s v="Micro (1-10)"/>
    <s v="Emily Johnson"/>
    <d v="2024-02-23T00:00:00"/>
    <s v="SAAS"/>
    <x v="0"/>
    <x v="0"/>
    <m/>
    <m/>
    <n v="843"/>
    <n v="40"/>
    <d v="2024-06-29T00:00:00"/>
    <d v="2024-06-16T00:00:00"/>
  </r>
  <r>
    <x v="76"/>
    <s v="Spain"/>
    <s v="40.416775"/>
    <s v="-3.703790"/>
    <s v="IT &amp; IT Services"/>
    <s v="Micro (1-10)"/>
    <s v="Kevin Anderson"/>
    <d v="2024-05-01T00:00:00"/>
    <s v="SAAS"/>
    <x v="0"/>
    <x v="0"/>
    <m/>
    <m/>
    <n v="608"/>
    <n v="20"/>
    <d v="2025-03-16T00:00:00"/>
    <d v="2024-08-20T00:00:00"/>
  </r>
  <r>
    <x v="77"/>
    <s v="Italy"/>
    <s v="41.902782"/>
    <s v="12.496366"/>
    <s v="IT &amp; IT Services"/>
    <s v="Micro (1-10)"/>
    <s v="Laura Thompson"/>
    <d v="2024-01-05T00:00:00"/>
    <s v="Services"/>
    <x v="0"/>
    <x v="0"/>
    <m/>
    <m/>
    <n v="285"/>
    <n v="20"/>
    <d v="2024-07-16T00:00:00"/>
    <d v="2024-01-22T00:00:00"/>
  </r>
  <r>
    <x v="78"/>
    <s v="Portugal"/>
    <s v="38.736946"/>
    <s v="-9.142685"/>
    <s v="Retail &amp; Distribution"/>
    <s v="Micro (1-10)"/>
    <s v="Jessica Martinez"/>
    <d v="2024-03-15T00:00:00"/>
    <s v="Custom solution"/>
    <x v="0"/>
    <x v="0"/>
    <m/>
    <m/>
    <n v="950"/>
    <n v="20"/>
    <d v="2024-12-25T00:00:00"/>
    <d v="2024-07-06T00:00:00"/>
  </r>
  <r>
    <x v="79"/>
    <s v="Germany"/>
    <s v="52.520008"/>
    <s v="13.404954"/>
    <s v="Transportation &amp; Logistics"/>
    <s v="Micro (1-10)"/>
    <s v="Jessica Martinez"/>
    <d v="2024-04-06T00:00:00"/>
    <s v="SAAS"/>
    <x v="0"/>
    <x v="0"/>
    <m/>
    <m/>
    <n v="1095"/>
    <n v="40"/>
    <d v="2024-09-20T00:00:00"/>
    <d v="2024-04-06T00:00:00"/>
  </r>
  <r>
    <x v="80"/>
    <s v="France"/>
    <s v="48.864716"/>
    <s v="2.349014"/>
    <s v="Government Administration Healthcare"/>
    <s v="Micro (1-10)"/>
    <s v="Laura Thompson"/>
    <d v="2024-05-21T00:00:00"/>
    <s v="Services"/>
    <x v="0"/>
    <x v="0"/>
    <m/>
    <m/>
    <n v="668"/>
    <n v="90"/>
    <d v="2024-08-20T00:00:00"/>
    <d v="2024-08-07T00:00:00"/>
  </r>
  <r>
    <x v="81"/>
    <s v="Belgium"/>
    <s v="51.260197"/>
    <s v="4.402771"/>
    <s v="Banking and Finance"/>
    <s v="Micro (1-10)"/>
    <s v="Laura Thompson"/>
    <d v="2024-01-26T00:00:00"/>
    <s v="Services"/>
    <x v="0"/>
    <x v="0"/>
    <m/>
    <m/>
    <n v="993"/>
    <n v="50"/>
    <d v="2024-09-29T00:00:00"/>
    <d v="2024-02-14T00:00:00"/>
  </r>
  <r>
    <x v="82"/>
    <s v="Germany"/>
    <s v="52.520008"/>
    <s v="13.404954"/>
    <s v="Banking and Finance"/>
    <s v="Micro (1-10)"/>
    <s v="John Smith"/>
    <d v="2024-02-07T00:00:00"/>
    <s v="SAAS"/>
    <x v="0"/>
    <x v="0"/>
    <m/>
    <m/>
    <n v="670"/>
    <n v="50"/>
    <d v="2024-04-09T00:00:00"/>
    <d v="2024-04-01T00:00:00"/>
  </r>
  <r>
    <x v="83"/>
    <s v="France"/>
    <s v="48.864716"/>
    <s v="2.349014"/>
    <s v="Banking and Finance"/>
    <s v="Micro (1-10)"/>
    <s v="Jessica Martinez"/>
    <d v="2024-02-13T00:00:00"/>
    <s v="SAAS"/>
    <x v="0"/>
    <x v="0"/>
    <m/>
    <m/>
    <n v="442"/>
    <n v="20"/>
    <d v="2024-09-08T00:00:00"/>
    <d v="2024-05-24T00:00:00"/>
  </r>
  <r>
    <x v="84"/>
    <s v="Germany"/>
    <s v="52.520008"/>
    <s v="13.404954"/>
    <s v="Transportation &amp; Logistics"/>
    <s v="Micro (1-10)"/>
    <s v="Laura Thompson"/>
    <d v="2024-01-31T00:00:00"/>
    <s v="Custom solution"/>
    <x v="0"/>
    <x v="0"/>
    <m/>
    <m/>
    <n v="375"/>
    <n v="70"/>
    <d v="2024-07-16T00:00:00"/>
    <d v="2024-03-13T00:00:00"/>
  </r>
  <r>
    <x v="85"/>
    <s v="Italy"/>
    <s v="41.902782"/>
    <s v="12.496366"/>
    <s v="Energy &amp; Utilities"/>
    <s v="Micro (1-10)"/>
    <s v="Kevin Anderson"/>
    <d v="2024-02-28T00:00:00"/>
    <s v="SAAS"/>
    <x v="0"/>
    <x v="0"/>
    <m/>
    <m/>
    <n v="258"/>
    <n v="40"/>
    <d v="2025-01-12T00:00:00"/>
    <d v="2024-04-19T00:00:00"/>
  </r>
  <r>
    <x v="86"/>
    <s v="Portugal"/>
    <s v="38.736946"/>
    <s v="-9.142685"/>
    <s v="Education &amp; Science"/>
    <s v="Micro (1-10)"/>
    <s v="Michael Brown"/>
    <d v="2024-04-26T00:00:00"/>
    <s v="SAAS"/>
    <x v="0"/>
    <x v="0"/>
    <m/>
    <m/>
    <n v="663"/>
    <n v="40"/>
    <d v="2025-02-17T00:00:00"/>
    <d v="2024-05-29T00:00:00"/>
  </r>
  <r>
    <x v="87"/>
    <s v="Switzerland"/>
    <s v="46.204391"/>
    <s v="6.143158"/>
    <s v="Transportation &amp; Logistics"/>
    <s v="Micro (1-10)"/>
    <s v="John Smith"/>
    <d v="2024-03-11T00:00:00"/>
    <s v="Services"/>
    <x v="0"/>
    <x v="0"/>
    <m/>
    <m/>
    <n v="1039"/>
    <n v="70"/>
    <d v="2024-12-13T00:00:00"/>
    <d v="2024-06-14T00:00:00"/>
  </r>
  <r>
    <x v="88"/>
    <s v="Austria"/>
    <s v="48.210033"/>
    <s v="16.363449"/>
    <s v="Banking and Finance"/>
    <s v="Micro (1-10)"/>
    <s v="Jessica Martinez"/>
    <d v="2024-01-13T00:00:00"/>
    <s v="SAAS"/>
    <x v="0"/>
    <x v="0"/>
    <m/>
    <m/>
    <n v="991"/>
    <n v="40"/>
    <d v="2024-04-30T00:00:00"/>
    <d v="2024-03-26T00:00:00"/>
  </r>
  <r>
    <x v="89"/>
    <s v="Switzerland"/>
    <s v="46.204391"/>
    <s v="6.143158"/>
    <s v="Transportation &amp; Logistics"/>
    <s v="Micro (1-10)"/>
    <s v="Jessica Martinez"/>
    <d v="2024-01-06T00:00:00"/>
    <s v="SAAS"/>
    <x v="0"/>
    <x v="0"/>
    <m/>
    <m/>
    <n v="820"/>
    <n v="20"/>
    <d v="2024-10-24T00:00:00"/>
    <d v="2024-02-09T00:00:00"/>
  </r>
  <r>
    <x v="90"/>
    <s v="Portugal"/>
    <s v="38.736946"/>
    <s v="-9.142685"/>
    <s v="Transportation &amp; Logistics"/>
    <s v="Micro (1-10)"/>
    <s v="Laura Thompson"/>
    <d v="2024-02-20T00:00:00"/>
    <s v="SAAS"/>
    <x v="0"/>
    <x v="0"/>
    <m/>
    <m/>
    <n v="884"/>
    <n v="100"/>
    <d v="2025-01-10T00:00:00"/>
    <d v="2024-04-03T00:00:00"/>
  </r>
  <r>
    <x v="91"/>
    <s v="Netherlands"/>
    <s v="52.370216"/>
    <s v="4.895168"/>
    <s v="Energy &amp; Utilities"/>
    <s v="Micro (1-10)"/>
    <s v="Sarah Davis"/>
    <d v="2024-02-22T00:00:00"/>
    <s v="Custom solution"/>
    <x v="0"/>
    <x v="0"/>
    <m/>
    <m/>
    <n v="1057"/>
    <n v="60"/>
    <d v="2025-02-07T00:00:00"/>
    <d v="2024-06-14T00:00:00"/>
  </r>
  <r>
    <x v="92"/>
    <s v="France"/>
    <s v="48.864716"/>
    <s v="2.349014"/>
    <s v="Transportation &amp; Logistics"/>
    <s v="Micro (1-10)"/>
    <s v="Jessica Martinez"/>
    <d v="2024-05-30T00:00:00"/>
    <s v="Services"/>
    <x v="0"/>
    <x v="0"/>
    <m/>
    <m/>
    <n v="654"/>
    <n v="20"/>
    <d v="2024-11-02T00:00:00"/>
    <d v="2024-08-23T00:00:00"/>
  </r>
  <r>
    <x v="93"/>
    <s v="Italy"/>
    <s v="41.902782"/>
    <s v="12.496366"/>
    <s v="Construction &amp; Engineering"/>
    <s v="Micro (1-10)"/>
    <s v="Jessica Martinez"/>
    <d v="2024-01-17T00:00:00"/>
    <s v="SAAS"/>
    <x v="0"/>
    <x v="0"/>
    <m/>
    <m/>
    <n v="913"/>
    <n v="50"/>
    <d v="2024-03-13T00:00:00"/>
    <d v="2024-02-19T00:00:00"/>
  </r>
  <r>
    <x v="94"/>
    <s v="Spain"/>
    <s v="40.416775"/>
    <s v="-3.703790"/>
    <s v="Telecommunications"/>
    <s v="Medium (201-500)"/>
    <s v="John Smith"/>
    <d v="2024-04-25T00:00:00"/>
    <s v="SAAS"/>
    <x v="0"/>
    <x v="0"/>
    <m/>
    <m/>
    <n v="5555"/>
    <n v="50"/>
    <d v="2025-02-28T00:00:00"/>
    <d v="2024-04-30T00:00:00"/>
  </r>
  <r>
    <x v="95"/>
    <s v="Italy"/>
    <s v="41.902782"/>
    <s v="12.496366"/>
    <s v="Transportation &amp; Logistics"/>
    <s v="Medium (201-500)"/>
    <s v="Emily Johnson"/>
    <d v="2024-04-21T00:00:00"/>
    <s v="Custom solution"/>
    <x v="0"/>
    <x v="0"/>
    <m/>
    <m/>
    <n v="5916"/>
    <n v="10"/>
    <d v="2024-10-13T00:00:00"/>
    <d v="2024-06-09T00:00:00"/>
  </r>
  <r>
    <x v="96"/>
    <s v="Italy"/>
    <s v="41.902782"/>
    <s v="12.496366"/>
    <s v="Government Administration Healthcare"/>
    <s v="Medium (201-500)"/>
    <s v="Michael Brown"/>
    <d v="2024-02-26T00:00:00"/>
    <s v="Services"/>
    <x v="0"/>
    <x v="0"/>
    <m/>
    <m/>
    <n v="1352"/>
    <n v="20"/>
    <d v="2024-06-16T00:00:00"/>
    <d v="2024-04-25T00:00:00"/>
  </r>
  <r>
    <x v="97"/>
    <s v="Portugal"/>
    <s v="38.736946"/>
    <s v="-9.142685"/>
    <s v="Recreation &amp; Sports"/>
    <s v="Medium (201-500)"/>
    <s v="Jessica Martinez"/>
    <d v="2024-05-04T00:00:00"/>
    <s v="Custom solution"/>
    <x v="0"/>
    <x v="0"/>
    <m/>
    <m/>
    <n v="7313"/>
    <n v="90"/>
    <d v="2024-05-31T00:00:00"/>
    <d v="2024-08-21T00:00:00"/>
  </r>
  <r>
    <x v="98"/>
    <s v="Spain"/>
    <s v="40.416775"/>
    <s v="-3.703790"/>
    <s v="Construction &amp; Engineering"/>
    <s v="Medium (201-500)"/>
    <s v="Jessica Martinez"/>
    <d v="2024-05-13T00:00:00"/>
    <s v="Custom solution"/>
    <x v="0"/>
    <x v="0"/>
    <m/>
    <m/>
    <n v="481"/>
    <n v="50"/>
    <d v="2024-06-07T00:00:00"/>
    <d v="2024-06-21T00:00:00"/>
  </r>
  <r>
    <x v="99"/>
    <s v="France"/>
    <s v="48.864716"/>
    <s v="2.349014"/>
    <s v="Retail &amp; Distribution"/>
    <s v="Medium (201-500)"/>
    <s v="Jessica Martinez"/>
    <d v="2024-02-23T00:00:00"/>
    <s v="Services"/>
    <x v="0"/>
    <x v="0"/>
    <m/>
    <m/>
    <n v="5122"/>
    <n v="20"/>
    <d v="2024-07-31T00:00:00"/>
    <d v="2024-03-23T00:00:00"/>
  </r>
  <r>
    <x v="100"/>
    <s v="Austria"/>
    <s v="48.210033"/>
    <s v="16.363449"/>
    <s v="Education &amp; Science"/>
    <s v="Medium (201-500)"/>
    <s v="Laura Thompson"/>
    <d v="2024-02-01T00:00:00"/>
    <s v="SAAS"/>
    <x v="0"/>
    <x v="0"/>
    <m/>
    <m/>
    <n v="7898"/>
    <n v="30"/>
    <d v="2024-09-05T00:00:00"/>
    <d v="2024-03-02T00:00:00"/>
  </r>
  <r>
    <x v="101"/>
    <s v="Switzerland"/>
    <s v="46.204391"/>
    <s v="6.143158"/>
    <s v="IT &amp; IT Services"/>
    <s v="Medium (201-500)"/>
    <s v="Laura Thompson"/>
    <d v="2024-03-18T00:00:00"/>
    <s v="Custom solution"/>
    <x v="0"/>
    <x v="0"/>
    <m/>
    <m/>
    <n v="5718"/>
    <n v="30"/>
    <d v="2024-08-03T00:00:00"/>
    <d v="2024-06-08T00:00:00"/>
  </r>
  <r>
    <x v="102"/>
    <s v="Switzerland"/>
    <s v="46.204391"/>
    <s v="6.143158"/>
    <s v="Education &amp; Science"/>
    <s v="Medium (201-500)"/>
    <s v="David Wilson"/>
    <d v="2024-02-10T00:00:00"/>
    <s v="Services"/>
    <x v="0"/>
    <x v="0"/>
    <m/>
    <m/>
    <n v="2849"/>
    <n v="90"/>
    <d v="2024-09-15T00:00:00"/>
    <d v="2024-02-16T00:00:00"/>
  </r>
  <r>
    <x v="103"/>
    <s v="Spain"/>
    <s v="40.416775"/>
    <s v="-3.703790"/>
    <s v="Professional Services  &amp; Consulting"/>
    <s v="Medium (201-500)"/>
    <s v="Jessica Martinez"/>
    <d v="2024-01-12T00:00:00"/>
    <s v="Services"/>
    <x v="0"/>
    <x v="0"/>
    <m/>
    <m/>
    <n v="3612"/>
    <n v="40"/>
    <d v="2024-07-24T00:00:00"/>
    <d v="2024-04-02T00:00:00"/>
  </r>
  <r>
    <x v="104"/>
    <s v="Spain"/>
    <s v="40.416775"/>
    <s v="-3.703790"/>
    <s v="Transportation &amp; Logistics"/>
    <s v="Medium (201-500)"/>
    <s v="Jessica Martinez"/>
    <d v="2024-04-05T00:00:00"/>
    <s v="SAAS"/>
    <x v="0"/>
    <x v="0"/>
    <m/>
    <m/>
    <n v="1333"/>
    <n v="20"/>
    <d v="2024-06-28T00:00:00"/>
    <d v="2024-06-01T00:00:00"/>
  </r>
  <r>
    <x v="105"/>
    <s v="Switzerland"/>
    <s v="46.204391"/>
    <s v="6.143158"/>
    <s v="Banking and Finance"/>
    <s v="Medium (201-500)"/>
    <s v="John Smith"/>
    <d v="2024-01-18T00:00:00"/>
    <s v="Services"/>
    <x v="0"/>
    <x v="0"/>
    <m/>
    <m/>
    <n v="2367"/>
    <n v="20"/>
    <d v="2025-01-07T00:00:00"/>
    <d v="2024-05-12T00:00:00"/>
  </r>
  <r>
    <x v="106"/>
    <s v="Germany"/>
    <s v="52.520008"/>
    <s v="13.404954"/>
    <s v="Professional Services  &amp; Consulting"/>
    <s v="Medium (201-500)"/>
    <s v="David Wilson"/>
    <d v="2024-04-07T00:00:00"/>
    <s v="Services"/>
    <x v="0"/>
    <x v="0"/>
    <m/>
    <m/>
    <n v="3651"/>
    <n v="40"/>
    <d v="2024-07-28T00:00:00"/>
    <d v="2024-04-12T00:00:00"/>
  </r>
  <r>
    <x v="107"/>
    <s v="Italy"/>
    <s v="41.902782"/>
    <s v="12.496366"/>
    <s v="Government Administration Healthcare"/>
    <s v="Medium (201-500)"/>
    <s v="Michael Brown"/>
    <d v="2024-02-23T00:00:00"/>
    <s v="SAAS"/>
    <x v="0"/>
    <x v="0"/>
    <m/>
    <m/>
    <n v="1647"/>
    <n v="10"/>
    <d v="2025-01-01T00:00:00"/>
    <d v="2024-05-24T00:00:00"/>
  </r>
  <r>
    <x v="108"/>
    <s v="Spain"/>
    <s v="40.416775"/>
    <s v="-3.703790"/>
    <s v="IT &amp; IT Services"/>
    <s v="Medium (201-500)"/>
    <s v="John Smith"/>
    <d v="2024-02-18T00:00:00"/>
    <s v="SAAS"/>
    <x v="0"/>
    <x v="0"/>
    <m/>
    <m/>
    <n v="3098"/>
    <n v="40"/>
    <d v="2024-11-12T00:00:00"/>
    <d v="2024-03-01T00:00:00"/>
  </r>
  <r>
    <x v="109"/>
    <s v="France"/>
    <s v="48.864716"/>
    <s v="2.349014"/>
    <s v="Agriculture &amp; Mining"/>
    <s v="Medium (201-500)"/>
    <s v="Kevin Anderson"/>
    <d v="2024-02-15T00:00:00"/>
    <s v="Services"/>
    <x v="0"/>
    <x v="0"/>
    <m/>
    <m/>
    <n v="7604"/>
    <n v="40"/>
    <d v="2024-11-14T00:00:00"/>
    <d v="2024-03-02T00:00:00"/>
  </r>
  <r>
    <x v="110"/>
    <s v="Germany"/>
    <s v="52.520008"/>
    <s v="13.404954"/>
    <s v="Retail &amp; Distribution"/>
    <s v="Medium (201-500)"/>
    <s v="Kevin Anderson"/>
    <d v="2024-03-03T00:00:00"/>
    <s v="Services"/>
    <x v="0"/>
    <x v="0"/>
    <m/>
    <m/>
    <n v="3858"/>
    <n v="50"/>
    <d v="2024-06-20T00:00:00"/>
    <d v="2024-04-01T00:00:00"/>
  </r>
  <r>
    <x v="111"/>
    <s v="Austria"/>
    <s v="48.210033"/>
    <s v="16.363449"/>
    <s v="Education &amp; Science"/>
    <s v="Medium (201-500)"/>
    <s v="Emily Johnson"/>
    <d v="2024-01-12T00:00:00"/>
    <s v="SAAS"/>
    <x v="0"/>
    <x v="0"/>
    <m/>
    <m/>
    <n v="785"/>
    <n v="70"/>
    <d v="2024-07-17T00:00:00"/>
    <d v="2024-04-14T00:00:00"/>
  </r>
  <r>
    <x v="112"/>
    <s v="Spain"/>
    <s v="40.416775"/>
    <s v="-3.703790"/>
    <s v="Government Administration Healthcare"/>
    <s v="Medium (201-500)"/>
    <s v="Jessica Martinez"/>
    <d v="2024-01-20T00:00:00"/>
    <s v="SAAS"/>
    <x v="0"/>
    <x v="0"/>
    <m/>
    <m/>
    <n v="4410"/>
    <n v="40"/>
    <d v="2024-06-10T00:00:00"/>
    <d v="2024-03-07T00:00:00"/>
  </r>
  <r>
    <x v="113"/>
    <s v="France"/>
    <s v="48.864716"/>
    <s v="2.349014"/>
    <s v="Professional Services  &amp; Consulting"/>
    <s v="Medium (201-500)"/>
    <s v="Laura Thompson"/>
    <d v="2024-04-10T00:00:00"/>
    <s v="Services"/>
    <x v="0"/>
    <x v="0"/>
    <m/>
    <m/>
    <n v="3455"/>
    <n v="100"/>
    <d v="2024-12-11T00:00:00"/>
    <d v="2024-06-11T00:00:00"/>
  </r>
  <r>
    <x v="114"/>
    <s v="Belgium"/>
    <s v="51.260197"/>
    <s v="4.402771"/>
    <s v="Banking and Finance"/>
    <s v="Medium (201-500)"/>
    <s v="Laura Thompson"/>
    <d v="2024-02-14T00:00:00"/>
    <s v="SAAS"/>
    <x v="0"/>
    <x v="0"/>
    <m/>
    <m/>
    <n v="7486"/>
    <n v="40"/>
    <d v="2024-12-22T00:00:00"/>
    <d v="2024-05-11T00:00:00"/>
  </r>
  <r>
    <x v="115"/>
    <s v="Switzerland"/>
    <s v="46.204391"/>
    <s v="6.143158"/>
    <s v="Retail &amp; Distribution"/>
    <s v="Medium (201-500)"/>
    <s v="Michael Brown"/>
    <d v="2024-03-03T00:00:00"/>
    <s v="Services"/>
    <x v="0"/>
    <x v="0"/>
    <m/>
    <m/>
    <n v="4521"/>
    <n v="90"/>
    <d v="2024-12-12T00:00:00"/>
    <d v="2024-03-06T00:00:00"/>
  </r>
  <r>
    <x v="116"/>
    <s v="Italy"/>
    <s v="41.902782"/>
    <s v="12.496366"/>
    <s v="Government Administration Healthcare"/>
    <s v="Medium (201-500)"/>
    <s v="David Wilson"/>
    <d v="2024-05-30T00:00:00"/>
    <s v="SAAS"/>
    <x v="0"/>
    <x v="0"/>
    <m/>
    <m/>
    <n v="1641"/>
    <n v="20"/>
    <d v="2024-07-09T00:00:00"/>
    <d v="2024-09-06T00:00:00"/>
  </r>
  <r>
    <x v="117"/>
    <s v="Italy"/>
    <s v="41.902782"/>
    <s v="12.496366"/>
    <s v="Education &amp; Science"/>
    <s v="Medium (201-500)"/>
    <s v="Michael Brown"/>
    <d v="2024-01-02T00:00:00"/>
    <s v="SAAS"/>
    <x v="0"/>
    <x v="0"/>
    <m/>
    <m/>
    <n v="3545"/>
    <n v="40"/>
    <d v="2024-07-13T00:00:00"/>
    <d v="2024-04-27T00:00:00"/>
  </r>
  <r>
    <x v="118"/>
    <s v="Italy"/>
    <s v="41.902782"/>
    <s v="12.496366"/>
    <s v="Manufacturing &amp; Production"/>
    <s v="Medium (201-500)"/>
    <s v="Jessica Martinez"/>
    <d v="2024-05-18T00:00:00"/>
    <s v="SAAS"/>
    <x v="0"/>
    <x v="0"/>
    <m/>
    <m/>
    <n v="5862"/>
    <n v="60"/>
    <d v="2024-09-27T00:00:00"/>
    <d v="2024-07-06T00:00:00"/>
  </r>
  <r>
    <x v="119"/>
    <s v="Netherlands"/>
    <s v="52.370216"/>
    <s v="4.895168"/>
    <s v="IT &amp; IT Services"/>
    <s v="Medium (201-500)"/>
    <s v="Kevin Anderson"/>
    <d v="2024-03-17T00:00:00"/>
    <s v="Services"/>
    <x v="0"/>
    <x v="0"/>
    <m/>
    <m/>
    <n v="6124"/>
    <n v="20"/>
    <d v="2024-06-28T00:00:00"/>
    <d v="2024-07-05T00:00:00"/>
  </r>
  <r>
    <x v="120"/>
    <s v="France"/>
    <s v="48.864716"/>
    <s v="2.349014"/>
    <s v="Government Administration Healthcare"/>
    <s v="Medium (201-500)"/>
    <s v="Laura Thompson"/>
    <d v="2024-02-05T00:00:00"/>
    <s v="Services"/>
    <x v="0"/>
    <x v="0"/>
    <m/>
    <m/>
    <n v="2002"/>
    <n v="30"/>
    <d v="2024-12-23T00:00:00"/>
    <d v="2024-03-20T00:00:00"/>
  </r>
  <r>
    <x v="121"/>
    <s v="Portugal"/>
    <s v="38.736946"/>
    <s v="-9.142685"/>
    <s v="Government Administration Healthcare"/>
    <s v="Medium (201-500)"/>
    <s v="Jessica Martinez"/>
    <d v="2024-01-02T00:00:00"/>
    <s v="Services"/>
    <x v="0"/>
    <x v="0"/>
    <m/>
    <m/>
    <n v="3182"/>
    <n v="20"/>
    <d v="2024-05-05T00:00:00"/>
    <d v="2024-03-03T00:00:00"/>
  </r>
  <r>
    <x v="122"/>
    <s v="Belgium"/>
    <s v="51.260197"/>
    <s v="4.402771"/>
    <s v="Agriculture &amp; Mining"/>
    <s v="Medium (201-500)"/>
    <s v="Jessica Martinez"/>
    <d v="2024-02-04T00:00:00"/>
    <s v="SAAS"/>
    <x v="0"/>
    <x v="0"/>
    <m/>
    <m/>
    <n v="7019"/>
    <n v="30"/>
    <d v="2024-03-02T00:00:00"/>
    <d v="2024-05-12T00:00:00"/>
  </r>
  <r>
    <x v="123"/>
    <s v="Italy"/>
    <s v="41.902782"/>
    <s v="12.496366"/>
    <s v="Transportation &amp; Logistics"/>
    <s v="Medium (201-500)"/>
    <s v="John Smith"/>
    <d v="2024-04-17T00:00:00"/>
    <s v="SAAS"/>
    <x v="0"/>
    <x v="0"/>
    <m/>
    <m/>
    <n v="2816"/>
    <n v="70"/>
    <d v="2024-08-04T00:00:00"/>
    <d v="2024-05-18T00:00:00"/>
  </r>
  <r>
    <x v="124"/>
    <s v="Switzerland"/>
    <s v="46.204391"/>
    <s v="6.143158"/>
    <s v="Banking and Finance"/>
    <s v="Medium (201-500)"/>
    <s v="Emily Johnson"/>
    <d v="2024-05-24T00:00:00"/>
    <s v="SAAS"/>
    <x v="0"/>
    <x v="0"/>
    <m/>
    <m/>
    <n v="734"/>
    <n v="40"/>
    <d v="2024-08-04T00:00:00"/>
    <d v="2024-08-27T00:00:00"/>
  </r>
  <r>
    <x v="125"/>
    <s v="Italy"/>
    <s v="41.902782"/>
    <s v="12.496366"/>
    <s v="Banking and Finance"/>
    <s v="Medium (201-500)"/>
    <s v="Michael Brown"/>
    <d v="2024-03-23T00:00:00"/>
    <s v="SAAS"/>
    <x v="0"/>
    <x v="0"/>
    <m/>
    <m/>
    <n v="7204"/>
    <n v="20"/>
    <d v="2024-11-22T00:00:00"/>
    <d v="2024-06-24T00:00:00"/>
  </r>
  <r>
    <x v="126"/>
    <s v="Italy"/>
    <s v="41.902782"/>
    <s v="12.496366"/>
    <s v="Professional Services  &amp; Consulting"/>
    <s v="Medium (201-500)"/>
    <s v="Jessica Martinez"/>
    <d v="2024-04-01T00:00:00"/>
    <s v="SAAS"/>
    <x v="0"/>
    <x v="0"/>
    <m/>
    <m/>
    <n v="2921"/>
    <n v="60"/>
    <d v="2025-02-13T00:00:00"/>
    <d v="2024-06-02T00:00:00"/>
  </r>
  <r>
    <x v="127"/>
    <s v="Portugal"/>
    <s v="38.736946"/>
    <s v="-9.142685"/>
    <s v="Government Administration Healthcare"/>
    <s v="Medium (201-500)"/>
    <s v="Emily Johnson"/>
    <d v="2024-03-09T00:00:00"/>
    <s v="Services"/>
    <x v="0"/>
    <x v="0"/>
    <m/>
    <m/>
    <n v="2653"/>
    <n v="50"/>
    <d v="2025-01-31T00:00:00"/>
    <d v="2024-05-30T00:00:00"/>
  </r>
  <r>
    <x v="128"/>
    <s v="France"/>
    <s v="48.864716"/>
    <s v="2.349014"/>
    <s v="Telecommunications"/>
    <s v="Medium (201-500)"/>
    <s v="Sarah Davis"/>
    <d v="2024-05-29T00:00:00"/>
    <s v="Custom solution"/>
    <x v="0"/>
    <x v="0"/>
    <m/>
    <m/>
    <n v="4849"/>
    <n v="30"/>
    <d v="2024-07-20T00:00:00"/>
    <d v="2024-07-23T00:00:00"/>
  </r>
  <r>
    <x v="129"/>
    <s v="Switzerland"/>
    <s v="46.204391"/>
    <s v="6.143158"/>
    <s v="IT &amp; IT Services"/>
    <s v="Medium (201-500)"/>
    <s v="Laura Thompson"/>
    <d v="2024-03-28T00:00:00"/>
    <s v="Custom solution"/>
    <x v="0"/>
    <x v="0"/>
    <m/>
    <m/>
    <n v="1092"/>
    <n v="40"/>
    <d v="2025-01-02T00:00:00"/>
    <d v="2024-07-13T00:00:00"/>
  </r>
  <r>
    <x v="130"/>
    <s v="Portugal"/>
    <s v="38.736946"/>
    <s v="-9.142685"/>
    <s v="Entertainment &amp; Media &amp; Hospitality"/>
    <s v="Medium (201-500)"/>
    <s v="Jessica Martinez"/>
    <d v="2024-05-10T00:00:00"/>
    <s v="Custom solution"/>
    <x v="0"/>
    <x v="0"/>
    <m/>
    <m/>
    <n v="5902"/>
    <n v="50"/>
    <d v="2025-04-29T00:00:00"/>
    <d v="2024-07-27T00:00:00"/>
  </r>
  <r>
    <x v="131"/>
    <s v="Italy"/>
    <s v="41.902782"/>
    <s v="12.496366"/>
    <s v="Telecommunications"/>
    <s v="Medium (201-500)"/>
    <s v="Michael Brown"/>
    <d v="2024-05-04T00:00:00"/>
    <s v="Custom solution"/>
    <x v="0"/>
    <x v="0"/>
    <m/>
    <m/>
    <n v="625"/>
    <n v="40"/>
    <d v="2024-10-04T00:00:00"/>
    <d v="2024-08-03T00:00:00"/>
  </r>
  <r>
    <x v="132"/>
    <s v="Italy"/>
    <s v="41.902782"/>
    <s v="12.496366"/>
    <s v="Transportation &amp; Logistics"/>
    <s v="Medium (201-500)"/>
    <s v="Emily Johnson"/>
    <d v="2024-02-01T00:00:00"/>
    <s v="Services"/>
    <x v="0"/>
    <x v="0"/>
    <m/>
    <m/>
    <n v="7655"/>
    <n v="60"/>
    <d v="2024-03-31T00:00:00"/>
    <d v="2024-04-27T00:00:00"/>
  </r>
  <r>
    <x v="133"/>
    <s v="Italy"/>
    <s v="41.902782"/>
    <s v="12.496366"/>
    <s v="IT &amp; IT Services"/>
    <s v="Medium (201-500)"/>
    <s v="Michael Brown"/>
    <d v="2024-04-14T00:00:00"/>
    <s v="Custom solution"/>
    <x v="0"/>
    <x v="0"/>
    <m/>
    <m/>
    <n v="7270"/>
    <n v="30"/>
    <d v="2024-10-03T00:00:00"/>
    <d v="2024-07-26T00:00:00"/>
  </r>
  <r>
    <x v="134"/>
    <s v="Italy"/>
    <s v="41.902782"/>
    <s v="12.496366"/>
    <s v="Telecommunications"/>
    <s v="Medium (201-500)"/>
    <s v="Emily Johnson"/>
    <d v="2024-01-12T00:00:00"/>
    <s v="Custom solution"/>
    <x v="0"/>
    <x v="0"/>
    <m/>
    <m/>
    <n v="6482"/>
    <n v="90"/>
    <d v="2025-01-03T00:00:00"/>
    <d v="2024-03-24T00:00:00"/>
  </r>
  <r>
    <x v="135"/>
    <s v="Belgium"/>
    <s v="51.260197"/>
    <s v="4.402771"/>
    <s v="Transportation &amp; Logistics"/>
    <s v="Medium (201-500)"/>
    <s v="Laura Thompson"/>
    <d v="2024-01-10T00:00:00"/>
    <s v="Services"/>
    <x v="0"/>
    <x v="0"/>
    <m/>
    <m/>
    <n v="3196"/>
    <n v="30"/>
    <d v="2024-05-21T00:00:00"/>
    <d v="2024-03-21T00:00:00"/>
  </r>
  <r>
    <x v="136"/>
    <s v="Italy"/>
    <s v="41.902782"/>
    <s v="12.496366"/>
    <s v="Manufacturing &amp; Production"/>
    <s v="Medium (201-500)"/>
    <s v="Michael Brown"/>
    <d v="2024-02-01T00:00:00"/>
    <s v="Services"/>
    <x v="0"/>
    <x v="0"/>
    <m/>
    <m/>
    <n v="5812"/>
    <n v="90"/>
    <d v="2024-12-25T00:00:00"/>
    <d v="2024-03-28T00:00:00"/>
  </r>
  <r>
    <x v="137"/>
    <s v="Spain"/>
    <s v="40.416775"/>
    <s v="-3.703790"/>
    <s v="Transportation &amp; Logistics"/>
    <s v="Medium (201-500)"/>
    <s v="John Smith"/>
    <d v="2024-01-20T00:00:00"/>
    <s v="SAAS"/>
    <x v="0"/>
    <x v="0"/>
    <m/>
    <m/>
    <n v="2015"/>
    <n v="100"/>
    <d v="2025-01-02T00:00:00"/>
    <d v="2024-02-05T00:00:00"/>
  </r>
  <r>
    <x v="138"/>
    <s v="Spain"/>
    <s v="40.416775"/>
    <s v="-3.703790"/>
    <s v="Agriculture &amp; Mining"/>
    <s v="Medium (201-500)"/>
    <s v="Laura Thompson"/>
    <d v="2024-01-12T00:00:00"/>
    <s v="Services"/>
    <x v="0"/>
    <x v="0"/>
    <m/>
    <m/>
    <n v="3580"/>
    <n v="30"/>
    <d v="2024-05-29T00:00:00"/>
    <d v="2024-02-24T00:00:00"/>
  </r>
  <r>
    <x v="139"/>
    <s v="Austria"/>
    <s v="48.210033"/>
    <s v="16.363449"/>
    <s v="Government Administration Healthcare"/>
    <s v="Medium (201-500)"/>
    <s v="John Smith"/>
    <d v="2024-03-01T00:00:00"/>
    <s v="SAAS"/>
    <x v="0"/>
    <x v="0"/>
    <m/>
    <m/>
    <n v="1985"/>
    <n v="60"/>
    <d v="2025-01-26T00:00:00"/>
    <d v="2024-06-01T00:00:00"/>
  </r>
  <r>
    <x v="140"/>
    <s v="Portugal"/>
    <s v="38.736946"/>
    <s v="-9.142685"/>
    <s v="Transportation &amp; Logistics"/>
    <s v="Medium (201-500)"/>
    <s v="Kevin Anderson"/>
    <d v="2024-02-17T00:00:00"/>
    <s v="Services"/>
    <x v="0"/>
    <x v="0"/>
    <m/>
    <m/>
    <n v="7799"/>
    <n v="60"/>
    <d v="2024-06-21T00:00:00"/>
    <d v="2024-02-25T00:00:00"/>
  </r>
  <r>
    <x v="141"/>
    <s v="Portugal"/>
    <s v="38.736946"/>
    <s v="-9.142685"/>
    <s v="IT &amp; IT Services"/>
    <s v="Medium (201-500)"/>
    <s v="Jessica Martinez"/>
    <d v="2024-05-01T00:00:00"/>
    <s v="Services"/>
    <x v="0"/>
    <x v="0"/>
    <m/>
    <m/>
    <n v="1142"/>
    <n v="50"/>
    <d v="2024-12-05T00:00:00"/>
    <d v="2024-07-17T00:00:00"/>
  </r>
  <r>
    <x v="142"/>
    <s v="Belgium"/>
    <s v="51.260197"/>
    <s v="4.402771"/>
    <s v="Government Administration Healthcare"/>
    <s v="Medium (201-500)"/>
    <s v="Laura Thompson"/>
    <d v="2024-03-17T00:00:00"/>
    <s v="Services"/>
    <x v="0"/>
    <x v="0"/>
    <m/>
    <m/>
    <n v="5858"/>
    <n v="40"/>
    <d v="2024-05-19T00:00:00"/>
    <d v="2024-05-02T00:00:00"/>
  </r>
  <r>
    <x v="143"/>
    <s v="Italy"/>
    <s v="41.902782"/>
    <s v="12.496366"/>
    <s v="Construction &amp; Engineering"/>
    <s v="Medium (201-500)"/>
    <s v="Sarah Davis"/>
    <d v="2024-02-10T00:00:00"/>
    <s v="SAAS"/>
    <x v="0"/>
    <x v="0"/>
    <m/>
    <m/>
    <n v="2557"/>
    <n v="50"/>
    <d v="2024-05-24T00:00:00"/>
    <d v="2024-02-24T00:00:00"/>
  </r>
  <r>
    <x v="144"/>
    <s v="Portugal"/>
    <s v="38.736946"/>
    <s v="-9.142685"/>
    <s v="Banking and Finance"/>
    <s v="Medium (201-500)"/>
    <s v="John Smith"/>
    <d v="2024-02-08T00:00:00"/>
    <s v="Services"/>
    <x v="0"/>
    <x v="0"/>
    <m/>
    <m/>
    <n v="3207"/>
    <n v="60"/>
    <d v="2024-10-18T00:00:00"/>
    <d v="2024-06-07T00:00:00"/>
  </r>
  <r>
    <x v="145"/>
    <s v="Italy"/>
    <s v="41.902782"/>
    <s v="12.496366"/>
    <s v="Agriculture &amp; Mining"/>
    <s v="Medium (201-500)"/>
    <s v="Michael Brown"/>
    <d v="2024-05-10T00:00:00"/>
    <s v="SAAS"/>
    <x v="0"/>
    <x v="0"/>
    <m/>
    <m/>
    <n v="797"/>
    <n v="70"/>
    <d v="2024-11-30T00:00:00"/>
    <d v="2024-08-02T00:00:00"/>
  </r>
  <r>
    <x v="146"/>
    <s v="Germany"/>
    <s v="52.520008"/>
    <s v="13.404954"/>
    <s v="Banking and Finance"/>
    <s v="Medium (201-500)"/>
    <s v="Michael Brown"/>
    <d v="2024-01-03T00:00:00"/>
    <s v="Services"/>
    <x v="0"/>
    <x v="0"/>
    <m/>
    <m/>
    <n v="6018"/>
    <n v="40"/>
    <d v="2024-07-08T00:00:00"/>
    <d v="2024-04-01T00:00:00"/>
  </r>
  <r>
    <x v="147"/>
    <s v="Netherlands"/>
    <s v="52.370216"/>
    <s v="4.895168"/>
    <s v="Banking and Finance"/>
    <s v="Medium (201-500)"/>
    <s v="Laura Thompson"/>
    <d v="2024-02-25T00:00:00"/>
    <s v="Custom solution"/>
    <x v="0"/>
    <x v="0"/>
    <m/>
    <m/>
    <n v="3011"/>
    <n v="90"/>
    <d v="2024-09-02T00:00:00"/>
    <d v="2024-05-31T00:00:00"/>
  </r>
  <r>
    <x v="148"/>
    <s v="Portugal"/>
    <s v="38.736946"/>
    <s v="-9.142685"/>
    <s v="Telecommunications"/>
    <s v="Medium (201-500)"/>
    <s v="Laura Thompson"/>
    <d v="2024-01-31T00:00:00"/>
    <s v="Services"/>
    <x v="0"/>
    <x v="0"/>
    <m/>
    <m/>
    <n v="655"/>
    <n v="80"/>
    <d v="2024-05-23T00:00:00"/>
    <d v="2024-02-12T00:00:00"/>
  </r>
  <r>
    <x v="149"/>
    <s v="Spain"/>
    <s v="40.416775"/>
    <s v="-3.703790"/>
    <s v="IT &amp; IT Services"/>
    <s v="Medium (201-500)"/>
    <s v="Emily Johnson"/>
    <d v="2024-02-07T00:00:00"/>
    <s v="Custom solution"/>
    <x v="0"/>
    <x v="0"/>
    <m/>
    <m/>
    <n v="2589"/>
    <n v="60"/>
    <d v="2024-12-19T00:00:00"/>
    <d v="2024-04-15T00:00:00"/>
  </r>
  <r>
    <x v="150"/>
    <s v="Portugal"/>
    <s v="38.736946"/>
    <s v="-9.142685"/>
    <s v="Banking and Finance"/>
    <s v="Medium (201-500)"/>
    <s v="Laura Thompson"/>
    <d v="2024-05-11T00:00:00"/>
    <s v="SAAS"/>
    <x v="0"/>
    <x v="0"/>
    <m/>
    <m/>
    <n v="2378"/>
    <n v="50"/>
    <d v="2024-09-17T00:00:00"/>
    <d v="2024-09-03T00:00:00"/>
  </r>
  <r>
    <x v="151"/>
    <s v="Portugal"/>
    <s v="38.736946"/>
    <s v="-9.142685"/>
    <s v="Energy &amp; Utilities"/>
    <s v="Medium (201-500)"/>
    <s v="Laura Thompson"/>
    <d v="2024-03-29T00:00:00"/>
    <s v="SAAS"/>
    <x v="0"/>
    <x v="0"/>
    <m/>
    <m/>
    <n v="4592"/>
    <n v="40"/>
    <d v="2024-12-25T00:00:00"/>
    <d v="2024-07-09T00:00:00"/>
  </r>
  <r>
    <x v="152"/>
    <s v="Austria"/>
    <s v="48.210033"/>
    <s v="16.363449"/>
    <s v="Transportation &amp; Logistics"/>
    <s v="Medium (201-500)"/>
    <s v="Emily Johnson"/>
    <d v="2024-03-09T00:00:00"/>
    <s v="SAAS"/>
    <x v="0"/>
    <x v="0"/>
    <m/>
    <m/>
    <n v="7969"/>
    <n v="30"/>
    <d v="2024-06-15T00:00:00"/>
    <d v="2024-07-06T00:00:00"/>
  </r>
  <r>
    <x v="153"/>
    <s v="Netherlands"/>
    <s v="52.370216"/>
    <s v="4.895168"/>
    <s v="Transportation &amp; Logistics"/>
    <s v="Medium (201-500)"/>
    <s v="Michael Brown"/>
    <d v="2024-04-28T00:00:00"/>
    <s v="SAAS"/>
    <x v="0"/>
    <x v="0"/>
    <m/>
    <m/>
    <n v="1295"/>
    <n v="40"/>
    <d v="2024-12-24T00:00:00"/>
    <d v="2024-08-22T00:00:00"/>
  </r>
  <r>
    <x v="154"/>
    <s v="Netherlands"/>
    <s v="52.370216"/>
    <s v="4.895168"/>
    <s v="Agriculture &amp; Mining"/>
    <s v="Medium (201-500)"/>
    <s v="Laura Thompson"/>
    <d v="2024-02-13T00:00:00"/>
    <s v="Custom solution"/>
    <x v="0"/>
    <x v="0"/>
    <m/>
    <m/>
    <n v="3184"/>
    <n v="100"/>
    <d v="2024-06-21T00:00:00"/>
    <d v="2024-02-15T00:00:00"/>
  </r>
  <r>
    <x v="155"/>
    <s v="Portugal"/>
    <s v="38.736946"/>
    <s v="-9.142685"/>
    <s v="IT &amp; IT Services"/>
    <s v="Medium (201-500)"/>
    <s v="Emily Johnson"/>
    <d v="2024-04-24T00:00:00"/>
    <s v="SAAS"/>
    <x v="0"/>
    <x v="0"/>
    <m/>
    <m/>
    <n v="2931"/>
    <n v="80"/>
    <d v="2024-12-05T00:00:00"/>
    <d v="2024-05-07T00:00:00"/>
  </r>
  <r>
    <x v="156"/>
    <s v="Spain"/>
    <s v="40.416775"/>
    <s v="-3.703790"/>
    <s v="Education &amp; Science"/>
    <s v="Medium (201-500)"/>
    <s v="Jessica Martinez"/>
    <d v="2024-01-30T00:00:00"/>
    <s v="SAAS"/>
    <x v="0"/>
    <x v="0"/>
    <m/>
    <m/>
    <n v="7888"/>
    <n v="10"/>
    <d v="2024-08-09T00:00:00"/>
    <d v="2024-02-28T00:00:00"/>
  </r>
  <r>
    <x v="157"/>
    <s v="Germany"/>
    <s v="52.520008"/>
    <s v="13.404954"/>
    <s v="Retail &amp; Distribution"/>
    <s v="Medium (201-500)"/>
    <s v="Emily Johnson"/>
    <d v="2024-03-30T00:00:00"/>
    <s v="SAAS"/>
    <x v="0"/>
    <x v="0"/>
    <m/>
    <m/>
    <n v="6007"/>
    <n v="50"/>
    <d v="2024-11-22T00:00:00"/>
    <d v="2024-07-08T00:00:00"/>
  </r>
  <r>
    <x v="158"/>
    <s v="Germany"/>
    <s v="52.520008"/>
    <s v="13.404954"/>
    <s v="Recreation &amp; Sports"/>
    <s v="Medium (201-500)"/>
    <s v="Emily Johnson"/>
    <d v="2024-01-19T00:00:00"/>
    <s v="SAAS"/>
    <x v="0"/>
    <x v="0"/>
    <m/>
    <m/>
    <n v="6718"/>
    <n v="60"/>
    <d v="2024-03-05T00:00:00"/>
    <d v="2024-02-23T00:00:00"/>
  </r>
  <r>
    <x v="159"/>
    <s v="Italy"/>
    <s v="41.902782"/>
    <s v="12.496366"/>
    <s v="Government Administration Healthcare"/>
    <s v="Medium (201-500)"/>
    <s v="Sarah Davis"/>
    <d v="2024-01-31T00:00:00"/>
    <s v="SAAS"/>
    <x v="0"/>
    <x v="0"/>
    <m/>
    <m/>
    <n v="4828"/>
    <n v="100"/>
    <d v="2025-01-25T00:00:00"/>
    <d v="2024-02-16T00:00:00"/>
  </r>
  <r>
    <x v="160"/>
    <s v="Portugal"/>
    <s v="38.736946"/>
    <s v="-9.142685"/>
    <s v="Education &amp; Science"/>
    <s v="Medium (201-500)"/>
    <s v="Emily Johnson"/>
    <d v="2024-04-19T00:00:00"/>
    <s v="SAAS"/>
    <x v="0"/>
    <x v="0"/>
    <m/>
    <m/>
    <n v="3672"/>
    <n v="90"/>
    <d v="2024-08-24T00:00:00"/>
    <d v="2024-07-27T00:00:00"/>
  </r>
  <r>
    <x v="161"/>
    <s v="Spain"/>
    <s v="40.416775"/>
    <s v="-3.703790"/>
    <s v="Transportation &amp; Logistics"/>
    <s v="Medium (201-500)"/>
    <s v="Laura Thompson"/>
    <d v="2024-03-23T00:00:00"/>
    <s v="Custom solution"/>
    <x v="0"/>
    <x v="0"/>
    <m/>
    <m/>
    <n v="4088"/>
    <n v="20"/>
    <d v="2024-11-28T00:00:00"/>
    <d v="2024-06-09T00:00:00"/>
  </r>
  <r>
    <x v="162"/>
    <s v="Portugal"/>
    <s v="38.736946"/>
    <s v="-9.142685"/>
    <s v="Education &amp; Science"/>
    <s v="Medium (201-500)"/>
    <s v="David Wilson"/>
    <d v="2024-02-04T00:00:00"/>
    <s v="Services"/>
    <x v="0"/>
    <x v="0"/>
    <m/>
    <m/>
    <n v="1748"/>
    <n v="60"/>
    <d v="2024-03-17T00:00:00"/>
    <d v="2024-02-23T00:00:00"/>
  </r>
  <r>
    <x v="163"/>
    <s v="France"/>
    <s v="48.864716"/>
    <s v="2.349014"/>
    <s v="Manufacturing &amp; Production"/>
    <s v="Medium (201-500)"/>
    <s v="Sarah Davis"/>
    <d v="2024-02-15T00:00:00"/>
    <s v="Custom solution"/>
    <x v="0"/>
    <x v="0"/>
    <m/>
    <m/>
    <n v="3420"/>
    <n v="80"/>
    <d v="2024-10-04T00:00:00"/>
    <d v="2024-04-08T00:00:00"/>
  </r>
  <r>
    <x v="164"/>
    <s v="Switzerland"/>
    <s v="46.204391"/>
    <s v="6.143158"/>
    <s v="Professional Services  &amp; Consulting"/>
    <s v="Medium (201-500)"/>
    <s v="Jessica Martinez"/>
    <d v="2024-05-05T00:00:00"/>
    <s v="Services"/>
    <x v="0"/>
    <x v="0"/>
    <m/>
    <m/>
    <n v="3736"/>
    <n v="90"/>
    <d v="2024-10-07T00:00:00"/>
    <d v="2024-07-04T00:00:00"/>
  </r>
  <r>
    <x v="165"/>
    <s v="Italy"/>
    <s v="41.902782"/>
    <s v="12.496366"/>
    <s v="Education &amp; Science"/>
    <s v="Large (501-1000)"/>
    <s v="Michael Brown"/>
    <d v="2024-04-03T00:00:00"/>
    <s v="SAAS"/>
    <x v="0"/>
    <x v="0"/>
    <m/>
    <m/>
    <n v="13020"/>
    <n v="30"/>
    <d v="2024-10-13T00:00:00"/>
    <d v="2024-05-11T00:00:00"/>
  </r>
  <r>
    <x v="166"/>
    <s v="Switzerland"/>
    <s v="46.204391"/>
    <s v="6.143158"/>
    <s v="Government Administration Healthcare"/>
    <s v="Large (501-1000)"/>
    <s v="Sarah Davis"/>
    <d v="2024-05-29T00:00:00"/>
    <s v="Services"/>
    <x v="0"/>
    <x v="0"/>
    <m/>
    <m/>
    <n v="12088"/>
    <n v="60"/>
    <d v="2025-04-11T00:00:00"/>
    <d v="2024-09-07T00:00:00"/>
  </r>
  <r>
    <x v="167"/>
    <s v="Italy"/>
    <s v="41.902782"/>
    <s v="12.496366"/>
    <s v="Government Administration Healthcare"/>
    <s v="Large (501-1000)"/>
    <s v="John Smith"/>
    <d v="2024-03-13T00:00:00"/>
    <s v="Services"/>
    <x v="0"/>
    <x v="0"/>
    <m/>
    <m/>
    <n v="8026"/>
    <n v="100"/>
    <d v="2024-11-18T00:00:00"/>
    <d v="2024-03-16T00:00:00"/>
  </r>
  <r>
    <x v="168"/>
    <s v="Italy"/>
    <s v="41.902782"/>
    <s v="12.496366"/>
    <s v="IT &amp; IT Services"/>
    <s v="Large (501-1000)"/>
    <s v="Michael Brown"/>
    <d v="2024-01-18T00:00:00"/>
    <s v="Services"/>
    <x v="0"/>
    <x v="0"/>
    <m/>
    <m/>
    <n v="15725"/>
    <n v="10"/>
    <d v="2024-07-09T00:00:00"/>
    <d v="2024-04-29T00:00:00"/>
  </r>
  <r>
    <x v="169"/>
    <s v="Switzerland"/>
    <s v="46.204391"/>
    <s v="6.143158"/>
    <s v="IT &amp; IT Services"/>
    <s v="Large (501-1000)"/>
    <s v="Jessica Martinez"/>
    <d v="2024-04-12T00:00:00"/>
    <s v="SAAS"/>
    <x v="0"/>
    <x v="0"/>
    <m/>
    <m/>
    <n v="4292"/>
    <n v="20"/>
    <d v="2024-07-18T00:00:00"/>
    <d v="2024-05-07T00:00:00"/>
  </r>
  <r>
    <x v="170"/>
    <s v="Netherlands"/>
    <s v="52.370216"/>
    <s v="4.895168"/>
    <s v="Telecommunications"/>
    <s v="Large (501-1000)"/>
    <s v="Laura Thompson"/>
    <d v="2024-03-07T00:00:00"/>
    <s v="Custom solution"/>
    <x v="0"/>
    <x v="0"/>
    <m/>
    <m/>
    <n v="15281"/>
    <n v="30"/>
    <d v="2024-07-17T00:00:00"/>
    <d v="2024-03-18T00:00:00"/>
  </r>
  <r>
    <x v="171"/>
    <s v="Germany"/>
    <s v="52.520008"/>
    <s v="13.404954"/>
    <s v="Government Administration Healthcare"/>
    <s v="Enterprise (1001+)"/>
    <s v="Emily Johnson"/>
    <d v="2024-03-07T00:00:00"/>
    <s v="SAAS"/>
    <x v="0"/>
    <x v="0"/>
    <m/>
    <m/>
    <n v="18599"/>
    <n v="30"/>
    <d v="2024-07-27T00:00:00"/>
    <d v="2024-06-11T00:00:00"/>
  </r>
  <r>
    <x v="172"/>
    <s v="France"/>
    <s v="48.864716"/>
    <s v="2.349014"/>
    <s v="Transportation &amp; Logistics"/>
    <s v="Enterprise (1001+)"/>
    <s v="Laura Thompson"/>
    <d v="2024-01-06T00:00:00"/>
    <s v="Custom solution"/>
    <x v="0"/>
    <x v="0"/>
    <m/>
    <m/>
    <n v="2916"/>
    <n v="20"/>
    <d v="2024-09-10T00:00:00"/>
    <d v="2024-04-07T00:00:00"/>
  </r>
  <r>
    <x v="173"/>
    <s v="Netherlands"/>
    <s v="52.370216"/>
    <s v="4.895168"/>
    <s v="Agriculture &amp; Mining"/>
    <s v="Enterprise (1001+)"/>
    <s v="Laura Thompson"/>
    <d v="2024-04-25T00:00:00"/>
    <s v="Custom solution"/>
    <x v="0"/>
    <x v="0"/>
    <m/>
    <m/>
    <n v="13151"/>
    <n v="100"/>
    <d v="2024-06-09T00:00:00"/>
    <d v="2024-08-01T00:00:00"/>
  </r>
  <r>
    <x v="174"/>
    <s v="Portugal"/>
    <s v="38.736946"/>
    <s v="-9.142685"/>
    <s v="Transportation &amp; Logistics"/>
    <s v="Enterprise (1001+)"/>
    <s v="John Smith"/>
    <d v="2024-04-08T00:00:00"/>
    <s v="Services"/>
    <x v="0"/>
    <x v="0"/>
    <m/>
    <m/>
    <n v="13724"/>
    <n v="40"/>
    <d v="2024-05-01T00:00:00"/>
    <d v="2024-05-31T00:00:00"/>
  </r>
  <r>
    <x v="175"/>
    <s v="Italy"/>
    <s v="41.902782"/>
    <s v="12.496366"/>
    <s v="Transportation &amp; Logistics"/>
    <s v="Enterprise (1001+)"/>
    <s v="Jessica Martinez"/>
    <d v="2024-02-28T00:00:00"/>
    <s v="Custom solution"/>
    <x v="0"/>
    <x v="0"/>
    <m/>
    <m/>
    <n v="2038"/>
    <n v="30"/>
    <d v="2024-08-03T00:00:00"/>
    <d v="2024-06-16T00:00:00"/>
  </r>
  <r>
    <x v="176"/>
    <s v="Germany"/>
    <s v="52.520008"/>
    <s v="13.404954"/>
    <s v="Education &amp; Science"/>
    <s v="Enterprise (1001+)"/>
    <s v="David Wilson"/>
    <d v="2024-05-14T00:00:00"/>
    <s v="Services"/>
    <x v="0"/>
    <x v="0"/>
    <m/>
    <m/>
    <n v="16079"/>
    <n v="50"/>
    <d v="2025-01-19T00:00:00"/>
    <d v="2024-06-01T00:00:00"/>
  </r>
  <r>
    <x v="177"/>
    <s v="France"/>
    <s v="48.864716"/>
    <s v="2.349014"/>
    <s v="Banking and Finance"/>
    <s v="Small (11-200)"/>
    <s v="Sarah Davis"/>
    <d v="2024-02-07T00:00:00"/>
    <s v="Custom solution"/>
    <x v="1"/>
    <x v="1"/>
    <m/>
    <m/>
    <n v="480"/>
    <n v="50"/>
    <d v="2024-11-07T00:00:00"/>
    <d v="2024-03-06T00:00:00"/>
  </r>
  <r>
    <x v="178"/>
    <s v="Portugal"/>
    <s v="38.736946"/>
    <s v="-9.142685"/>
    <s v="Banking and Finance"/>
    <s v="Small (11-200)"/>
    <s v="Jessica Martinez"/>
    <d v="2024-03-29T00:00:00"/>
    <s v="Services"/>
    <x v="1"/>
    <x v="1"/>
    <m/>
    <m/>
    <n v="1055"/>
    <n v="90"/>
    <d v="2025-01-01T00:00:00"/>
    <d v="2024-07-08T00:00:00"/>
  </r>
  <r>
    <x v="179"/>
    <s v="Belgium"/>
    <s v="51.260197"/>
    <s v="4.402771"/>
    <s v="Agriculture &amp; Mining"/>
    <s v="Small (11-200)"/>
    <s v="Laura Thompson"/>
    <d v="2024-01-26T00:00:00"/>
    <s v="Services"/>
    <x v="1"/>
    <x v="1"/>
    <m/>
    <m/>
    <n v="919"/>
    <n v="60"/>
    <d v="2024-04-20T00:00:00"/>
    <d v="2024-03-22T00:00:00"/>
  </r>
  <r>
    <x v="180"/>
    <s v="Austria"/>
    <s v="48.210033"/>
    <s v="16.363449"/>
    <s v="Government Administration Healthcare"/>
    <s v="Small (11-200)"/>
    <s v="Jessica Martinez"/>
    <d v="2024-01-09T00:00:00"/>
    <s v="SAAS"/>
    <x v="1"/>
    <x v="1"/>
    <m/>
    <m/>
    <n v="1130"/>
    <n v="50"/>
    <d v="2024-10-15T00:00:00"/>
    <d v="2024-03-12T00:00:00"/>
  </r>
  <r>
    <x v="181"/>
    <s v="Germany"/>
    <s v="52.520008"/>
    <s v="13.404954"/>
    <s v="Transportation &amp; Logistics"/>
    <s v="Small (11-200)"/>
    <s v="Michael Brown"/>
    <d v="2024-04-20T00:00:00"/>
    <s v="SAAS"/>
    <x v="1"/>
    <x v="1"/>
    <m/>
    <m/>
    <n v="1936"/>
    <n v="40"/>
    <d v="2025-02-21T00:00:00"/>
    <d v="2024-06-14T00:00:00"/>
  </r>
  <r>
    <x v="182"/>
    <s v="Italy"/>
    <s v="41.902782"/>
    <s v="12.496366"/>
    <s v="Banking and Finance"/>
    <s v="Small (11-200)"/>
    <s v="Laura Thompson"/>
    <d v="2024-02-05T00:00:00"/>
    <s v="Services"/>
    <x v="1"/>
    <x v="1"/>
    <m/>
    <m/>
    <n v="1643"/>
    <n v="30"/>
    <d v="2024-08-12T00:00:00"/>
    <d v="2024-05-30T00:00:00"/>
  </r>
  <r>
    <x v="183"/>
    <s v="Portugal"/>
    <s v="38.736946"/>
    <s v="-9.142685"/>
    <s v="Banking and Finance"/>
    <s v="Small (11-200)"/>
    <s v="John Smith"/>
    <d v="2024-05-08T00:00:00"/>
    <s v="SAAS"/>
    <x v="1"/>
    <x v="1"/>
    <m/>
    <m/>
    <n v="1023"/>
    <n v="20"/>
    <d v="2025-01-24T00:00:00"/>
    <d v="2024-05-30T00:00:00"/>
  </r>
  <r>
    <x v="184"/>
    <s v="Netherlands"/>
    <s v="52.370216"/>
    <s v="4.895168"/>
    <s v="IT &amp; IT Services"/>
    <s v="Small (11-200)"/>
    <s v="John Smith"/>
    <d v="2024-04-27T00:00:00"/>
    <s v="SAAS"/>
    <x v="1"/>
    <x v="1"/>
    <m/>
    <m/>
    <n v="1086"/>
    <n v="30"/>
    <d v="2024-07-22T00:00:00"/>
    <d v="2024-06-12T00:00:00"/>
  </r>
  <r>
    <x v="185"/>
    <s v="Italy"/>
    <s v="41.902782"/>
    <s v="12.496366"/>
    <s v="Transportation &amp; Logistics"/>
    <s v="Small (11-200)"/>
    <s v="Laura Thompson"/>
    <d v="2024-02-26T00:00:00"/>
    <s v="SAAS"/>
    <x v="1"/>
    <x v="1"/>
    <m/>
    <m/>
    <n v="710"/>
    <n v="40"/>
    <d v="2024-08-18T00:00:00"/>
    <d v="2024-05-29T00:00:00"/>
  </r>
  <r>
    <x v="186"/>
    <s v="Portugal"/>
    <s v="38.736946"/>
    <s v="-9.142685"/>
    <s v="Retail &amp; Distribution"/>
    <s v="Small (11-200)"/>
    <s v="Emily Johnson"/>
    <d v="2024-02-17T00:00:00"/>
    <s v="Services"/>
    <x v="1"/>
    <x v="1"/>
    <m/>
    <m/>
    <n v="1986"/>
    <n v="50"/>
    <d v="2024-07-17T00:00:00"/>
    <d v="2024-03-08T00:00:00"/>
  </r>
  <r>
    <x v="187"/>
    <s v="Portugal"/>
    <s v="38.736946"/>
    <s v="-9.142685"/>
    <s v="Banking and Finance"/>
    <s v="Small (11-200)"/>
    <s v="Laura Thompson"/>
    <d v="2024-01-22T00:00:00"/>
    <s v="Services"/>
    <x v="1"/>
    <x v="1"/>
    <m/>
    <m/>
    <n v="765"/>
    <n v="50"/>
    <d v="2024-07-12T00:00:00"/>
    <d v="2024-04-07T00:00:00"/>
  </r>
  <r>
    <x v="188"/>
    <s v="France"/>
    <s v="48.864716"/>
    <s v="2.349014"/>
    <s v="Professional Services  &amp; Consulting"/>
    <s v="Small (11-200)"/>
    <s v="Laura Thompson"/>
    <d v="2024-03-18T00:00:00"/>
    <s v="Services"/>
    <x v="1"/>
    <x v="1"/>
    <m/>
    <m/>
    <n v="1071"/>
    <n v="30"/>
    <d v="2024-06-03T00:00:00"/>
    <d v="2024-05-25T00:00:00"/>
  </r>
  <r>
    <x v="189"/>
    <s v="France"/>
    <s v="48.864716"/>
    <s v="2.349014"/>
    <s v="Banking and Finance"/>
    <s v="Small (11-200)"/>
    <s v="Jessica Martinez"/>
    <d v="2024-02-20T00:00:00"/>
    <s v="SAAS"/>
    <x v="1"/>
    <x v="1"/>
    <m/>
    <m/>
    <n v="1189"/>
    <n v="20"/>
    <d v="2024-05-06T00:00:00"/>
    <d v="2024-04-12T00:00:00"/>
  </r>
  <r>
    <x v="190"/>
    <s v="France"/>
    <s v="48.864716"/>
    <s v="2.349014"/>
    <s v="Telecommunications"/>
    <s v="Small (11-200)"/>
    <s v="Laura Thompson"/>
    <d v="2024-03-05T00:00:00"/>
    <s v="SAAS"/>
    <x v="1"/>
    <x v="1"/>
    <m/>
    <m/>
    <n v="387"/>
    <n v="40"/>
    <d v="2024-05-23T00:00:00"/>
    <d v="2024-06-17T00:00:00"/>
  </r>
  <r>
    <x v="191"/>
    <s v="Austria"/>
    <s v="48.210033"/>
    <s v="16.363449"/>
    <s v="Manufacturing &amp; Production"/>
    <s v="Small (11-200)"/>
    <s v="John Smith"/>
    <d v="2024-03-29T00:00:00"/>
    <s v="Services"/>
    <x v="1"/>
    <x v="1"/>
    <m/>
    <m/>
    <n v="404"/>
    <n v="70"/>
    <d v="2024-05-30T00:00:00"/>
    <d v="2024-06-10T00:00:00"/>
  </r>
  <r>
    <x v="192"/>
    <s v="Italy"/>
    <s v="41.902782"/>
    <s v="12.496366"/>
    <s v="Retail &amp; Distribution"/>
    <s v="Small (11-200)"/>
    <s v="Jessica Martinez"/>
    <d v="2024-04-22T00:00:00"/>
    <s v="SAAS"/>
    <x v="1"/>
    <x v="1"/>
    <m/>
    <m/>
    <n v="789"/>
    <n v="50"/>
    <d v="2024-09-03T00:00:00"/>
    <d v="2024-06-08T00:00:00"/>
  </r>
  <r>
    <x v="193"/>
    <s v="Italy"/>
    <s v="41.902782"/>
    <s v="12.496366"/>
    <s v="Transportation &amp; Logistics"/>
    <s v="Small (11-200)"/>
    <s v="Emily Johnson"/>
    <d v="2024-02-26T00:00:00"/>
    <s v="Services"/>
    <x v="1"/>
    <x v="1"/>
    <m/>
    <m/>
    <n v="371"/>
    <n v="40"/>
    <d v="2024-08-10T00:00:00"/>
    <d v="2024-05-09T00:00:00"/>
  </r>
  <r>
    <x v="194"/>
    <s v="Netherlands"/>
    <s v="52.370216"/>
    <s v="4.895168"/>
    <s v="IT &amp; IT Services"/>
    <s v="Small (11-200)"/>
    <s v="Kevin Anderson"/>
    <d v="2024-05-13T00:00:00"/>
    <s v="SAAS"/>
    <x v="1"/>
    <x v="1"/>
    <m/>
    <m/>
    <n v="202"/>
    <n v="50"/>
    <d v="2024-10-10T00:00:00"/>
    <d v="2024-08-25T00:00:00"/>
  </r>
  <r>
    <x v="195"/>
    <s v="Italy"/>
    <s v="41.902782"/>
    <s v="12.496366"/>
    <s v="Professional Services  &amp; Consulting"/>
    <s v="Small (11-200)"/>
    <s v="Michael Brown"/>
    <d v="2024-05-12T00:00:00"/>
    <s v="Custom solution"/>
    <x v="1"/>
    <x v="1"/>
    <m/>
    <m/>
    <n v="951"/>
    <n v="30"/>
    <d v="2024-09-13T00:00:00"/>
    <d v="2024-05-21T00:00:00"/>
  </r>
  <r>
    <x v="196"/>
    <s v="France"/>
    <s v="48.864716"/>
    <s v="2.349014"/>
    <s v="Construction &amp; Engineering"/>
    <s v="Small (11-200)"/>
    <s v="Jessica Martinez"/>
    <d v="2024-04-16T00:00:00"/>
    <s v="Services"/>
    <x v="1"/>
    <x v="1"/>
    <m/>
    <m/>
    <n v="633"/>
    <n v="30"/>
    <d v="2024-07-28T00:00:00"/>
    <d v="2024-05-29T00:00:00"/>
  </r>
  <r>
    <x v="197"/>
    <s v="Austria"/>
    <s v="48.210033"/>
    <s v="16.363449"/>
    <s v="Professional Services  &amp; Consulting"/>
    <s v="Small (11-200)"/>
    <s v="Kevin Anderson"/>
    <d v="2024-04-20T00:00:00"/>
    <s v="SAAS"/>
    <x v="1"/>
    <x v="1"/>
    <m/>
    <m/>
    <n v="971"/>
    <n v="90"/>
    <d v="2024-07-13T00:00:00"/>
    <d v="2024-06-06T00:00:00"/>
  </r>
  <r>
    <x v="198"/>
    <s v="Switzerland"/>
    <s v="46.204391"/>
    <s v="6.143158"/>
    <s v="Energy &amp; Utilities"/>
    <s v="Small (11-200)"/>
    <s v="John Smith"/>
    <d v="2024-02-21T00:00:00"/>
    <s v="SAAS"/>
    <x v="1"/>
    <x v="1"/>
    <m/>
    <m/>
    <n v="1676"/>
    <n v="10"/>
    <d v="2024-11-18T00:00:00"/>
    <d v="2024-06-02T00:00:00"/>
  </r>
  <r>
    <x v="199"/>
    <s v="France"/>
    <s v="48.864716"/>
    <s v="2.349014"/>
    <s v="IT &amp; IT Services"/>
    <s v="Small (11-200)"/>
    <s v="Jessica Martinez"/>
    <d v="2024-04-16T00:00:00"/>
    <s v="SAAS"/>
    <x v="1"/>
    <x v="1"/>
    <m/>
    <m/>
    <n v="809"/>
    <n v="30"/>
    <d v="2024-06-22T00:00:00"/>
    <d v="2024-07-28T00:00:00"/>
  </r>
  <r>
    <x v="200"/>
    <s v="Austria"/>
    <s v="48.210033"/>
    <s v="16.363449"/>
    <s v="Agriculture &amp; Mining"/>
    <s v="Small (11-200)"/>
    <s v="Michael Brown"/>
    <d v="2024-02-28T00:00:00"/>
    <s v="Custom solution"/>
    <x v="1"/>
    <x v="1"/>
    <m/>
    <m/>
    <n v="304"/>
    <n v="90"/>
    <d v="2024-06-24T00:00:00"/>
    <d v="2024-05-05T00:00:00"/>
  </r>
  <r>
    <x v="201"/>
    <s v="Belgium"/>
    <s v="51.260197"/>
    <s v="4.402771"/>
    <s v="Manufacturing &amp; Production"/>
    <s v="Small (11-200)"/>
    <s v="Jessica Martinez"/>
    <d v="2024-04-12T00:00:00"/>
    <s v="SAAS"/>
    <x v="1"/>
    <x v="1"/>
    <m/>
    <m/>
    <n v="1584"/>
    <n v="40"/>
    <d v="2024-05-06T00:00:00"/>
    <d v="2024-06-22T00:00:00"/>
  </r>
  <r>
    <x v="202"/>
    <s v="France"/>
    <s v="48.864716"/>
    <s v="2.349014"/>
    <s v="Education &amp; Science"/>
    <s v="Small (11-200)"/>
    <s v="Kevin Anderson"/>
    <d v="2024-05-22T00:00:00"/>
    <s v="Custom solution"/>
    <x v="1"/>
    <x v="1"/>
    <m/>
    <m/>
    <n v="894"/>
    <n v="30"/>
    <d v="2025-02-19T00:00:00"/>
    <d v="2024-08-11T00:00:00"/>
  </r>
  <r>
    <x v="203"/>
    <s v="France"/>
    <s v="48.864716"/>
    <s v="2.349014"/>
    <s v="Recreation &amp; Sports"/>
    <s v="Small (11-200)"/>
    <s v="Sarah Davis"/>
    <d v="2024-04-17T00:00:00"/>
    <s v="SAAS"/>
    <x v="1"/>
    <x v="1"/>
    <m/>
    <m/>
    <n v="1067"/>
    <n v="30"/>
    <d v="2025-03-23T00:00:00"/>
    <d v="2024-04-22T00:00:00"/>
  </r>
  <r>
    <x v="204"/>
    <s v="Netherlands"/>
    <s v="52.370216"/>
    <s v="4.895168"/>
    <s v="Professional Services  &amp; Consulting"/>
    <s v="Small (11-200)"/>
    <s v="Laura Thompson"/>
    <d v="2024-01-31T00:00:00"/>
    <s v="Services"/>
    <x v="1"/>
    <x v="1"/>
    <m/>
    <m/>
    <n v="1313"/>
    <n v="40"/>
    <d v="2024-06-30T00:00:00"/>
    <d v="2024-02-21T00:00:00"/>
  </r>
  <r>
    <x v="205"/>
    <s v="Belgium"/>
    <s v="51.260197"/>
    <s v="4.402771"/>
    <s v="Transportation &amp; Logistics"/>
    <s v="Small (11-200)"/>
    <s v="Sarah Davis"/>
    <d v="2024-01-19T00:00:00"/>
    <s v="Services"/>
    <x v="1"/>
    <x v="1"/>
    <m/>
    <m/>
    <n v="1219"/>
    <n v="30"/>
    <d v="2024-04-05T00:00:00"/>
    <d v="2024-02-27T00:00:00"/>
  </r>
  <r>
    <x v="206"/>
    <s v="Switzerland"/>
    <s v="46.204391"/>
    <s v="6.143158"/>
    <s v="IT &amp; IT Services"/>
    <s v="Small (11-200)"/>
    <s v="Laura Thompson"/>
    <d v="2024-03-06T00:00:00"/>
    <s v="Services"/>
    <x v="1"/>
    <x v="1"/>
    <m/>
    <m/>
    <n v="1363"/>
    <n v="30"/>
    <d v="2024-05-11T00:00:00"/>
    <d v="2024-03-21T00:00:00"/>
  </r>
  <r>
    <x v="207"/>
    <s v="Netherlands"/>
    <s v="52.370216"/>
    <s v="4.895168"/>
    <s v="IT &amp; IT Services"/>
    <s v="Small (11-200)"/>
    <s v="David Wilson"/>
    <d v="2024-01-10T00:00:00"/>
    <s v="Custom solution"/>
    <x v="1"/>
    <x v="1"/>
    <m/>
    <m/>
    <n v="1693"/>
    <n v="80"/>
    <d v="2024-10-31T00:00:00"/>
    <d v="2024-01-10T00:00:00"/>
  </r>
  <r>
    <x v="208"/>
    <s v="Italy"/>
    <s v="41.902782"/>
    <s v="12.496366"/>
    <s v="Retail &amp; Distribution"/>
    <s v="Small (11-200)"/>
    <s v="Sarah Davis"/>
    <d v="2024-01-04T00:00:00"/>
    <s v="SAAS"/>
    <x v="1"/>
    <x v="1"/>
    <m/>
    <m/>
    <n v="844"/>
    <n v="70"/>
    <d v="2024-12-18T00:00:00"/>
    <d v="2024-02-19T00:00:00"/>
  </r>
  <r>
    <x v="209"/>
    <s v="Spain"/>
    <s v="40.416775"/>
    <s v="-3.703790"/>
    <s v="Entertainment &amp; Media &amp; Hospitality"/>
    <s v="Small (11-200)"/>
    <s v="Emily Johnson"/>
    <d v="2024-05-23T00:00:00"/>
    <s v="Custom solution"/>
    <x v="1"/>
    <x v="1"/>
    <m/>
    <m/>
    <n v="1336"/>
    <n v="80"/>
    <d v="2025-01-13T00:00:00"/>
    <d v="2024-08-12T00:00:00"/>
  </r>
  <r>
    <x v="210"/>
    <s v="Switzerland"/>
    <s v="46.204391"/>
    <s v="6.143158"/>
    <s v="Transportation &amp; Logistics"/>
    <s v="Small (11-200)"/>
    <s v="Emily Johnson"/>
    <d v="2024-03-11T00:00:00"/>
    <s v="Services"/>
    <x v="1"/>
    <x v="1"/>
    <m/>
    <m/>
    <n v="267"/>
    <n v="90"/>
    <d v="2024-04-06T00:00:00"/>
    <d v="2024-03-30T00:00:00"/>
  </r>
  <r>
    <x v="211"/>
    <s v="Portugal"/>
    <s v="38.736946"/>
    <s v="-9.142685"/>
    <s v="Energy &amp; Utilities"/>
    <s v="Small (11-200)"/>
    <s v="Laura Thompson"/>
    <d v="2024-01-11T00:00:00"/>
    <s v="Custom solution"/>
    <x v="1"/>
    <x v="1"/>
    <m/>
    <m/>
    <n v="559"/>
    <n v="40"/>
    <d v="2024-11-23T00:00:00"/>
    <d v="2024-05-01T00:00:00"/>
  </r>
  <r>
    <x v="212"/>
    <s v="Netherlands"/>
    <s v="52.370216"/>
    <s v="4.895168"/>
    <s v="IT &amp; IT Services"/>
    <s v="Small (11-200)"/>
    <s v="Jessica Martinez"/>
    <d v="2024-03-26T00:00:00"/>
    <s v="Custom solution"/>
    <x v="1"/>
    <x v="1"/>
    <m/>
    <m/>
    <n v="1204"/>
    <n v="20"/>
    <d v="2024-06-11T00:00:00"/>
    <d v="2024-06-19T00:00:00"/>
  </r>
  <r>
    <x v="213"/>
    <s v="France"/>
    <s v="48.864716"/>
    <s v="2.349014"/>
    <s v="Banking and Finance"/>
    <s v="Small (11-200)"/>
    <s v="Laura Thompson"/>
    <d v="2024-02-21T00:00:00"/>
    <s v="Services"/>
    <x v="1"/>
    <x v="1"/>
    <m/>
    <m/>
    <n v="1938"/>
    <n v="20"/>
    <d v="2025-02-12T00:00:00"/>
    <d v="2024-03-17T00:00:00"/>
  </r>
  <r>
    <x v="214"/>
    <s v="Italy"/>
    <s v="41.902782"/>
    <s v="12.496366"/>
    <s v="Transportation &amp; Logistics"/>
    <s v="Small (11-200)"/>
    <s v="Michael Brown"/>
    <d v="2024-04-25T00:00:00"/>
    <s v="SAAS"/>
    <x v="1"/>
    <x v="1"/>
    <m/>
    <m/>
    <n v="985"/>
    <n v="40"/>
    <d v="2025-02-28T00:00:00"/>
    <d v="2024-08-21T00:00:00"/>
  </r>
  <r>
    <x v="215"/>
    <s v="France"/>
    <s v="48.864716"/>
    <s v="2.349014"/>
    <s v="Telecommunications"/>
    <s v="Small (11-200)"/>
    <s v="Michael Brown"/>
    <d v="2024-02-07T00:00:00"/>
    <s v="Services"/>
    <x v="1"/>
    <x v="1"/>
    <m/>
    <m/>
    <n v="1787"/>
    <n v="60"/>
    <d v="2024-08-18T00:00:00"/>
    <d v="2024-05-16T00:00:00"/>
  </r>
  <r>
    <x v="216"/>
    <s v="Portugal"/>
    <s v="38.736946"/>
    <s v="-9.142685"/>
    <s v="Transportation &amp; Logistics"/>
    <s v="Small (11-200)"/>
    <s v="Michael Brown"/>
    <d v="2024-03-23T00:00:00"/>
    <s v="SAAS"/>
    <x v="1"/>
    <x v="1"/>
    <m/>
    <m/>
    <n v="1949"/>
    <n v="50"/>
    <d v="2025-03-17T00:00:00"/>
    <d v="2024-05-09T00:00:00"/>
  </r>
  <r>
    <x v="217"/>
    <s v="Belgium"/>
    <s v="51.260197"/>
    <s v="4.402771"/>
    <s v="Recreation &amp; Sports"/>
    <s v="Small (11-200)"/>
    <s v="Kevin Anderson"/>
    <d v="2024-01-19T00:00:00"/>
    <s v="Services"/>
    <x v="1"/>
    <x v="1"/>
    <m/>
    <m/>
    <n v="1964"/>
    <n v="70"/>
    <d v="2024-10-08T00:00:00"/>
    <d v="2024-03-03T00:00:00"/>
  </r>
  <r>
    <x v="218"/>
    <s v="Italy"/>
    <s v="41.902782"/>
    <s v="12.496366"/>
    <s v="Construction &amp; Engineering"/>
    <s v="Small (11-200)"/>
    <s v="Laura Thompson"/>
    <d v="2024-04-03T00:00:00"/>
    <s v="Services"/>
    <x v="1"/>
    <x v="1"/>
    <m/>
    <m/>
    <n v="825"/>
    <n v="50"/>
    <d v="2024-09-03T00:00:00"/>
    <d v="2024-08-01T00:00:00"/>
  </r>
  <r>
    <x v="219"/>
    <s v="France"/>
    <s v="48.864716"/>
    <s v="2.349014"/>
    <s v="Banking and Finance"/>
    <s v="Small (11-200)"/>
    <s v="Laura Thompson"/>
    <d v="2024-05-28T00:00:00"/>
    <s v="SAAS"/>
    <x v="1"/>
    <x v="1"/>
    <m/>
    <m/>
    <n v="559"/>
    <n v="90"/>
    <d v="2025-03-23T00:00:00"/>
    <d v="2024-08-02T00:00:00"/>
  </r>
  <r>
    <x v="220"/>
    <s v="Germany"/>
    <s v="52.520008"/>
    <s v="13.404954"/>
    <s v="Telecommunications"/>
    <s v="Small (11-200)"/>
    <s v="Michael Brown"/>
    <d v="2024-02-03T00:00:00"/>
    <s v="Services"/>
    <x v="1"/>
    <x v="1"/>
    <m/>
    <m/>
    <n v="1905"/>
    <n v="30"/>
    <d v="2024-07-29T00:00:00"/>
    <d v="2024-06-02T00:00:00"/>
  </r>
  <r>
    <x v="221"/>
    <s v="France"/>
    <s v="48.864716"/>
    <s v="2.349014"/>
    <s v="Professional Services  &amp; Consulting"/>
    <s v="Small (11-200)"/>
    <s v="John Smith"/>
    <d v="2024-03-14T00:00:00"/>
    <s v="SAAS"/>
    <x v="1"/>
    <x v="1"/>
    <m/>
    <m/>
    <n v="1472"/>
    <n v="30"/>
    <d v="2024-04-18T00:00:00"/>
    <d v="2024-07-01T00:00:00"/>
  </r>
  <r>
    <x v="222"/>
    <s v="Netherlands"/>
    <s v="52.370216"/>
    <s v="4.895168"/>
    <s v="Government Administration Healthcare"/>
    <s v="Small (11-200)"/>
    <s v="Michael Brown"/>
    <d v="2024-01-10T00:00:00"/>
    <s v="SAAS"/>
    <x v="1"/>
    <x v="1"/>
    <m/>
    <m/>
    <n v="623"/>
    <n v="30"/>
    <d v="2024-10-25T00:00:00"/>
    <d v="2024-03-01T00:00:00"/>
  </r>
  <r>
    <x v="223"/>
    <s v="Belgium"/>
    <s v="51.260197"/>
    <s v="4.402771"/>
    <s v="IT &amp; IT Services"/>
    <s v="Small (11-200)"/>
    <s v="Michael Brown"/>
    <d v="2024-03-16T00:00:00"/>
    <s v="Services"/>
    <x v="1"/>
    <x v="1"/>
    <m/>
    <m/>
    <n v="555"/>
    <n v="50"/>
    <d v="2025-02-20T00:00:00"/>
    <d v="2024-06-05T00:00:00"/>
  </r>
  <r>
    <x v="224"/>
    <s v="Austria"/>
    <s v="48.210033"/>
    <s v="16.363449"/>
    <s v="IT &amp; IT Services"/>
    <s v="Small (11-200)"/>
    <s v="Laura Thompson"/>
    <d v="2024-05-04T00:00:00"/>
    <s v="SAAS"/>
    <x v="1"/>
    <x v="1"/>
    <m/>
    <m/>
    <n v="1662"/>
    <n v="40"/>
    <d v="2024-09-30T00:00:00"/>
    <d v="2024-07-11T00:00:00"/>
  </r>
  <r>
    <x v="225"/>
    <s v="France"/>
    <s v="48.864716"/>
    <s v="2.349014"/>
    <s v="Telecommunications"/>
    <s v="Small (11-200)"/>
    <s v="Jessica Martinez"/>
    <d v="2024-04-09T00:00:00"/>
    <s v="Services"/>
    <x v="1"/>
    <x v="1"/>
    <m/>
    <m/>
    <n v="928"/>
    <n v="20"/>
    <d v="2025-01-30T00:00:00"/>
    <d v="2024-07-14T00:00:00"/>
  </r>
  <r>
    <x v="226"/>
    <s v="Spain"/>
    <s v="40.416775"/>
    <s v="-3.703790"/>
    <s v="Transportation &amp; Logistics"/>
    <s v="Small (11-200)"/>
    <s v="David Wilson"/>
    <d v="2024-04-11T00:00:00"/>
    <s v="Services"/>
    <x v="1"/>
    <x v="1"/>
    <m/>
    <m/>
    <n v="901"/>
    <n v="10"/>
    <d v="2025-02-04T00:00:00"/>
    <d v="2024-06-08T00:00:00"/>
  </r>
  <r>
    <x v="227"/>
    <s v="Germany"/>
    <s v="52.520008"/>
    <s v="13.404954"/>
    <s v="Government Administration Healthcare"/>
    <s v="Small (11-200)"/>
    <s v="Laura Thompson"/>
    <d v="2024-03-20T00:00:00"/>
    <s v="SAAS"/>
    <x v="1"/>
    <x v="1"/>
    <m/>
    <m/>
    <n v="954"/>
    <n v="70"/>
    <d v="2024-06-08T00:00:00"/>
    <d v="2024-07-09T00:00:00"/>
  </r>
  <r>
    <x v="228"/>
    <s v="France"/>
    <s v="48.864716"/>
    <s v="2.349014"/>
    <s v="Entertainment &amp; Media &amp; Hospitality"/>
    <s v="Small (11-200)"/>
    <s v="Emily Johnson"/>
    <d v="2024-02-08T00:00:00"/>
    <s v="SAAS"/>
    <x v="1"/>
    <x v="1"/>
    <m/>
    <m/>
    <n v="1328"/>
    <n v="40"/>
    <d v="2024-03-07T00:00:00"/>
    <d v="2024-04-01T00:00:00"/>
  </r>
  <r>
    <x v="229"/>
    <s v="Belgium"/>
    <s v="51.260197"/>
    <s v="4.402771"/>
    <s v="Transportation &amp; Logistics"/>
    <s v="Small (11-200)"/>
    <s v="Michael Brown"/>
    <d v="2024-02-10T00:00:00"/>
    <s v="SAAS"/>
    <x v="1"/>
    <x v="1"/>
    <m/>
    <m/>
    <n v="1707"/>
    <n v="100"/>
    <d v="2024-11-22T00:00:00"/>
    <d v="2024-04-26T00:00:00"/>
  </r>
  <r>
    <x v="230"/>
    <s v="Switzerland"/>
    <s v="46.204391"/>
    <s v="6.143158"/>
    <s v="IT &amp; IT Services"/>
    <s v="Small (11-200)"/>
    <s v="John Smith"/>
    <d v="2024-01-07T00:00:00"/>
    <s v="SAAS"/>
    <x v="1"/>
    <x v="1"/>
    <m/>
    <m/>
    <n v="513"/>
    <n v="90"/>
    <d v="2024-03-13T00:00:00"/>
    <d v="2024-03-23T00:00:00"/>
  </r>
  <r>
    <x v="231"/>
    <s v="France"/>
    <s v="48.864716"/>
    <s v="2.349014"/>
    <s v="Professional Services  &amp; Consulting"/>
    <s v="Small (11-200)"/>
    <s v="Laura Thompson"/>
    <d v="2024-05-08T00:00:00"/>
    <s v="Custom solution"/>
    <x v="1"/>
    <x v="1"/>
    <m/>
    <m/>
    <n v="1563"/>
    <n v="20"/>
    <d v="2024-08-05T00:00:00"/>
    <d v="2024-06-05T00:00:00"/>
  </r>
  <r>
    <x v="232"/>
    <s v="Portugal"/>
    <s v="38.736946"/>
    <s v="-9.142685"/>
    <s v="Professional Services  &amp; Consulting"/>
    <s v="Small (11-200)"/>
    <s v="Jessica Martinez"/>
    <d v="2024-02-29T00:00:00"/>
    <s v="SAAS"/>
    <x v="1"/>
    <x v="1"/>
    <m/>
    <m/>
    <n v="1898"/>
    <n v="40"/>
    <d v="2024-10-24T00:00:00"/>
    <d v="2024-05-04T00:00:00"/>
  </r>
  <r>
    <x v="233"/>
    <s v="Germany"/>
    <s v="52.520008"/>
    <s v="13.404954"/>
    <s v="Transportation &amp; Logistics"/>
    <s v="Small (11-200)"/>
    <s v="Michael Brown"/>
    <d v="2024-03-25T00:00:00"/>
    <s v="Custom solution"/>
    <x v="1"/>
    <x v="1"/>
    <m/>
    <m/>
    <n v="480"/>
    <n v="40"/>
    <d v="2024-04-23T00:00:00"/>
    <d v="2024-06-04T00:00:00"/>
  </r>
  <r>
    <x v="234"/>
    <s v="Belgium"/>
    <s v="51.260197"/>
    <s v="4.402771"/>
    <s v="Transportation &amp; Logistics"/>
    <s v="Small (11-200)"/>
    <s v="Jessica Martinez"/>
    <d v="2024-02-22T00:00:00"/>
    <s v="SAAS"/>
    <x v="1"/>
    <x v="1"/>
    <m/>
    <m/>
    <n v="563"/>
    <n v="40"/>
    <d v="2025-02-15T00:00:00"/>
    <d v="2024-05-11T00:00:00"/>
  </r>
  <r>
    <x v="235"/>
    <s v="Portugal"/>
    <s v="38.736946"/>
    <s v="-9.142685"/>
    <s v="Banking and Finance"/>
    <s v="Small (11-200)"/>
    <s v="Laura Thompson"/>
    <d v="2024-01-07T00:00:00"/>
    <s v="Custom solution"/>
    <x v="1"/>
    <x v="1"/>
    <m/>
    <m/>
    <n v="583"/>
    <n v="60"/>
    <d v="2024-11-24T00:00:00"/>
    <d v="2024-03-20T00:00:00"/>
  </r>
  <r>
    <x v="236"/>
    <s v="Switzerland"/>
    <s v="46.204391"/>
    <s v="6.143158"/>
    <s v="IT &amp; IT Services"/>
    <s v="Micro (1-10)"/>
    <s v="Sarah Davis"/>
    <d v="2024-02-14T00:00:00"/>
    <s v="Services"/>
    <x v="1"/>
    <x v="1"/>
    <m/>
    <m/>
    <n v="974"/>
    <n v="100"/>
    <d v="2025-01-22T00:00:00"/>
    <d v="2024-05-20T00:00:00"/>
  </r>
  <r>
    <x v="237"/>
    <s v="Germany"/>
    <s v="52.520008"/>
    <s v="13.404954"/>
    <s v="IT &amp; IT Services"/>
    <s v="Micro (1-10)"/>
    <s v="John Smith"/>
    <d v="2024-04-18T00:00:00"/>
    <s v="SAAS"/>
    <x v="1"/>
    <x v="1"/>
    <m/>
    <m/>
    <n v="595"/>
    <n v="20"/>
    <d v="2025-01-26T00:00:00"/>
    <d v="2024-05-19T00:00:00"/>
  </r>
  <r>
    <x v="238"/>
    <s v="Italy"/>
    <s v="41.902782"/>
    <s v="12.496366"/>
    <s v="Transportation &amp; Logistics"/>
    <s v="Micro (1-10)"/>
    <s v="Emily Johnson"/>
    <d v="2024-01-20T00:00:00"/>
    <s v="SAAS"/>
    <x v="1"/>
    <x v="1"/>
    <m/>
    <m/>
    <n v="283"/>
    <n v="20"/>
    <d v="2024-11-01T00:00:00"/>
    <d v="2024-04-20T00:00:00"/>
  </r>
  <r>
    <x v="239"/>
    <s v="Switzerland"/>
    <s v="46.204391"/>
    <s v="6.143158"/>
    <s v="Manufacturing &amp; Production"/>
    <s v="Micro (1-10)"/>
    <s v="Michael Brown"/>
    <d v="2024-03-10T00:00:00"/>
    <s v="SAAS"/>
    <x v="1"/>
    <x v="1"/>
    <m/>
    <m/>
    <n v="545"/>
    <n v="30"/>
    <d v="2024-06-01T00:00:00"/>
    <d v="2024-05-30T00:00:00"/>
  </r>
  <r>
    <x v="240"/>
    <s v="Spain"/>
    <s v="40.416775"/>
    <s v="-3.703790"/>
    <s v="Transportation &amp; Logistics"/>
    <s v="Micro (1-10)"/>
    <s v="David Wilson"/>
    <d v="2024-02-24T00:00:00"/>
    <s v="Services"/>
    <x v="1"/>
    <x v="1"/>
    <m/>
    <m/>
    <n v="1024"/>
    <n v="30"/>
    <d v="2024-08-30T00:00:00"/>
    <d v="2024-04-02T00:00:00"/>
  </r>
  <r>
    <x v="241"/>
    <s v="Portugal"/>
    <s v="38.736946"/>
    <s v="-9.142685"/>
    <s v="Government Administration Healthcare"/>
    <s v="Micro (1-10)"/>
    <s v="Jessica Martinez"/>
    <d v="2024-02-10T00:00:00"/>
    <s v="SAAS"/>
    <x v="1"/>
    <x v="1"/>
    <m/>
    <m/>
    <n v="308"/>
    <n v="40"/>
    <d v="2024-11-14T00:00:00"/>
    <d v="2024-06-02T00:00:00"/>
  </r>
  <r>
    <x v="242"/>
    <s v="Belgium"/>
    <s v="51.260197"/>
    <s v="4.402771"/>
    <s v="Banking and Finance"/>
    <s v="Micro (1-10)"/>
    <s v="Laura Thompson"/>
    <d v="2024-05-23T00:00:00"/>
    <s v="Services"/>
    <x v="1"/>
    <x v="1"/>
    <m/>
    <m/>
    <n v="828"/>
    <n v="60"/>
    <d v="2024-09-18T00:00:00"/>
    <d v="2024-07-03T00:00:00"/>
  </r>
  <r>
    <x v="243"/>
    <s v="Italy"/>
    <s v="41.902782"/>
    <s v="12.496366"/>
    <s v="Professional Services  &amp; Consulting"/>
    <s v="Micro (1-10)"/>
    <s v="John Smith"/>
    <d v="2024-01-16T00:00:00"/>
    <s v="SAAS"/>
    <x v="1"/>
    <x v="1"/>
    <m/>
    <m/>
    <n v="809"/>
    <n v="20"/>
    <d v="2024-09-10T00:00:00"/>
    <d v="2024-03-28T00:00:00"/>
  </r>
  <r>
    <x v="244"/>
    <s v="Italy"/>
    <s v="41.902782"/>
    <s v="12.496366"/>
    <s v="Transportation &amp; Logistics"/>
    <s v="Micro (1-10)"/>
    <s v="Laura Thompson"/>
    <d v="2024-04-22T00:00:00"/>
    <s v="SAAS"/>
    <x v="1"/>
    <x v="1"/>
    <m/>
    <m/>
    <n v="535"/>
    <n v="20"/>
    <d v="2024-11-19T00:00:00"/>
    <d v="2024-06-19T00:00:00"/>
  </r>
  <r>
    <x v="245"/>
    <s v="Portugal"/>
    <s v="38.736946"/>
    <s v="-9.142685"/>
    <s v="Transportation &amp; Logistics"/>
    <s v="Micro (1-10)"/>
    <s v="Kevin Anderson"/>
    <d v="2024-04-03T00:00:00"/>
    <s v="SAAS"/>
    <x v="1"/>
    <x v="1"/>
    <m/>
    <m/>
    <n v="1129"/>
    <n v="20"/>
    <d v="2024-04-24T00:00:00"/>
    <d v="2024-07-28T00:00:00"/>
  </r>
  <r>
    <x v="246"/>
    <s v="Spain"/>
    <s v="40.416775"/>
    <s v="-3.703790"/>
    <s v="Professional Services  &amp; Consulting"/>
    <s v="Micro (1-10)"/>
    <s v="Michael Brown"/>
    <d v="2024-04-04T00:00:00"/>
    <s v="SAAS"/>
    <x v="1"/>
    <x v="1"/>
    <m/>
    <m/>
    <n v="1116"/>
    <n v="100"/>
    <d v="2024-05-19T00:00:00"/>
    <d v="2024-06-19T00:00:00"/>
  </r>
  <r>
    <x v="247"/>
    <s v="Austria"/>
    <s v="48.210033"/>
    <s v="16.363449"/>
    <s v="Transportation &amp; Logistics"/>
    <s v="Micro (1-10)"/>
    <s v="Michael Brown"/>
    <d v="2024-04-02T00:00:00"/>
    <s v="Services"/>
    <x v="1"/>
    <x v="1"/>
    <m/>
    <m/>
    <n v="1039"/>
    <n v="80"/>
    <d v="2024-10-18T00:00:00"/>
    <d v="2024-04-09T00:00:00"/>
  </r>
  <r>
    <x v="248"/>
    <s v="Netherlands"/>
    <s v="52.370216"/>
    <s v="4.895168"/>
    <s v="Retail &amp; Distribution"/>
    <s v="Micro (1-10)"/>
    <s v="Jessica Martinez"/>
    <d v="2024-01-31T00:00:00"/>
    <s v="SAAS"/>
    <x v="1"/>
    <x v="1"/>
    <m/>
    <m/>
    <n v="674"/>
    <n v="30"/>
    <d v="2024-04-13T00:00:00"/>
    <d v="2024-01-31T00:00:00"/>
  </r>
  <r>
    <x v="249"/>
    <s v="Switzerland"/>
    <s v="46.204391"/>
    <s v="6.143158"/>
    <s v="Agriculture &amp; Mining"/>
    <s v="Micro (1-10)"/>
    <s v="Sarah Davis"/>
    <d v="2024-05-18T00:00:00"/>
    <s v="Custom solution"/>
    <x v="1"/>
    <x v="1"/>
    <m/>
    <m/>
    <n v="1017"/>
    <n v="20"/>
    <d v="2024-09-24T00:00:00"/>
    <d v="2024-07-03T00:00:00"/>
  </r>
  <r>
    <x v="250"/>
    <s v="Portugal"/>
    <s v="38.736946"/>
    <s v="-9.142685"/>
    <s v="Education &amp; Science"/>
    <s v="Micro (1-10)"/>
    <s v="Laura Thompson"/>
    <d v="2024-04-08T00:00:00"/>
    <s v="SAAS"/>
    <x v="1"/>
    <x v="1"/>
    <m/>
    <m/>
    <n v="824"/>
    <n v="20"/>
    <d v="2024-09-16T00:00:00"/>
    <d v="2024-05-15T00:00:00"/>
  </r>
  <r>
    <x v="251"/>
    <s v="Spain"/>
    <s v="40.416775"/>
    <s v="-3.703790"/>
    <s v="Professional Services  &amp; Consulting"/>
    <s v="Micro (1-10)"/>
    <s v="David Wilson"/>
    <d v="2024-02-24T00:00:00"/>
    <s v="Services"/>
    <x v="1"/>
    <x v="1"/>
    <m/>
    <m/>
    <n v="302"/>
    <n v="40"/>
    <d v="2024-05-09T00:00:00"/>
    <d v="2024-04-15T00:00:00"/>
  </r>
  <r>
    <x v="252"/>
    <s v="Belgium"/>
    <s v="51.260197"/>
    <s v="4.402771"/>
    <s v="Transportation &amp; Logistics"/>
    <s v="Micro (1-10)"/>
    <s v="Michael Brown"/>
    <d v="2024-05-02T00:00:00"/>
    <s v="SAAS"/>
    <x v="1"/>
    <x v="1"/>
    <m/>
    <m/>
    <n v="1076"/>
    <n v="40"/>
    <d v="2024-06-12T00:00:00"/>
    <d v="2024-05-31T00:00:00"/>
  </r>
  <r>
    <x v="253"/>
    <s v="Austria"/>
    <s v="48.210033"/>
    <s v="16.363449"/>
    <s v="Professional Services  &amp; Consulting"/>
    <s v="Micro (1-10)"/>
    <s v="Laura Thompson"/>
    <d v="2024-04-17T00:00:00"/>
    <s v="SAAS"/>
    <x v="1"/>
    <x v="1"/>
    <m/>
    <m/>
    <n v="724"/>
    <n v="60"/>
    <d v="2025-03-01T00:00:00"/>
    <d v="2024-05-13T00:00:00"/>
  </r>
  <r>
    <x v="254"/>
    <s v="Italy"/>
    <s v="41.902782"/>
    <s v="12.496366"/>
    <s v="Manufacturing &amp; Production"/>
    <s v="Micro (1-10)"/>
    <s v="Laura Thompson"/>
    <d v="2024-01-11T00:00:00"/>
    <s v="Services"/>
    <x v="1"/>
    <x v="1"/>
    <m/>
    <m/>
    <n v="406"/>
    <n v="10"/>
    <d v="2024-04-24T00:00:00"/>
    <d v="2024-03-06T00:00:00"/>
  </r>
  <r>
    <x v="255"/>
    <s v="Italy"/>
    <s v="41.902782"/>
    <s v="12.496366"/>
    <s v="IT &amp; IT Services"/>
    <s v="Micro (1-10)"/>
    <s v="Sarah Davis"/>
    <d v="2024-01-29T00:00:00"/>
    <s v="Services"/>
    <x v="1"/>
    <x v="1"/>
    <m/>
    <m/>
    <n v="622"/>
    <n v="10"/>
    <d v="2024-11-26T00:00:00"/>
    <d v="2024-03-09T00:00:00"/>
  </r>
  <r>
    <x v="256"/>
    <s v="Switzerland"/>
    <s v="46.204391"/>
    <s v="6.143158"/>
    <s v="Agriculture &amp; Mining"/>
    <s v="Micro (1-10)"/>
    <s v="Michael Brown"/>
    <d v="2024-05-22T00:00:00"/>
    <s v="SAAS"/>
    <x v="1"/>
    <x v="1"/>
    <m/>
    <m/>
    <n v="717"/>
    <n v="30"/>
    <d v="2025-05-08T00:00:00"/>
    <d v="2024-07-20T00:00:00"/>
  </r>
  <r>
    <x v="257"/>
    <s v="Netherlands"/>
    <s v="52.370216"/>
    <s v="4.895168"/>
    <s v="Transportation &amp; Logistics"/>
    <s v="Micro (1-10)"/>
    <s v="Laura Thompson"/>
    <d v="2024-03-17T00:00:00"/>
    <s v="Custom solution"/>
    <x v="1"/>
    <x v="1"/>
    <m/>
    <m/>
    <n v="1081"/>
    <n v="80"/>
    <d v="2024-04-29T00:00:00"/>
    <d v="2024-04-14T00:00:00"/>
  </r>
  <r>
    <x v="258"/>
    <s v="Portugal"/>
    <s v="38.736946"/>
    <s v="-9.142685"/>
    <s v="IT &amp; IT Services"/>
    <s v="Micro (1-10)"/>
    <s v="Laura Thompson"/>
    <d v="2024-05-04T00:00:00"/>
    <s v="SAAS"/>
    <x v="1"/>
    <x v="1"/>
    <m/>
    <m/>
    <n v="1127"/>
    <n v="80"/>
    <d v="2024-06-22T00:00:00"/>
    <d v="2024-06-25T00:00:00"/>
  </r>
  <r>
    <x v="259"/>
    <s v="Netherlands"/>
    <s v="52.370216"/>
    <s v="4.895168"/>
    <s v="Education &amp; Science"/>
    <s v="Micro (1-10)"/>
    <s v="Laura Thompson"/>
    <d v="2024-05-08T00:00:00"/>
    <s v="Services"/>
    <x v="1"/>
    <x v="1"/>
    <m/>
    <m/>
    <n v="667"/>
    <n v="60"/>
    <d v="2025-02-03T00:00:00"/>
    <d v="2024-06-03T00:00:00"/>
  </r>
  <r>
    <x v="260"/>
    <s v="Germany"/>
    <s v="52.520008"/>
    <s v="13.404954"/>
    <s v="Transportation &amp; Logistics"/>
    <s v="Micro (1-10)"/>
    <s v="Kevin Anderson"/>
    <d v="2024-05-20T00:00:00"/>
    <s v="Services"/>
    <x v="1"/>
    <x v="1"/>
    <m/>
    <m/>
    <n v="541"/>
    <n v="30"/>
    <d v="2025-01-14T00:00:00"/>
    <d v="2024-06-10T00:00:00"/>
  </r>
  <r>
    <x v="261"/>
    <s v="Italy"/>
    <s v="41.902782"/>
    <s v="12.496366"/>
    <s v="IT &amp; IT Services"/>
    <s v="Micro (1-10)"/>
    <s v="John Smith"/>
    <d v="2024-01-19T00:00:00"/>
    <s v="SAAS"/>
    <x v="1"/>
    <x v="1"/>
    <m/>
    <m/>
    <n v="988"/>
    <n v="60"/>
    <d v="2024-06-15T00:00:00"/>
    <d v="2024-04-04T00:00:00"/>
  </r>
  <r>
    <x v="262"/>
    <s v="France"/>
    <s v="48.864716"/>
    <s v="2.349014"/>
    <s v="Entertainment &amp; Media &amp; Hospitality"/>
    <s v="Micro (1-10)"/>
    <s v="Laura Thompson"/>
    <d v="2024-01-25T00:00:00"/>
    <s v="Services"/>
    <x v="1"/>
    <x v="1"/>
    <m/>
    <m/>
    <n v="659"/>
    <n v="40"/>
    <d v="2024-11-11T00:00:00"/>
    <d v="2024-03-08T00:00:00"/>
  </r>
  <r>
    <x v="263"/>
    <s v="Italy"/>
    <s v="41.902782"/>
    <s v="12.496366"/>
    <s v="Banking and Finance"/>
    <s v="Micro (1-10)"/>
    <s v="Emily Johnson"/>
    <d v="2024-02-19T00:00:00"/>
    <s v="Custom solution"/>
    <x v="1"/>
    <x v="1"/>
    <m/>
    <m/>
    <n v="214"/>
    <n v="30"/>
    <d v="2024-10-05T00:00:00"/>
    <d v="2024-03-12T00:00:00"/>
  </r>
  <r>
    <x v="264"/>
    <s v="Belgium"/>
    <s v="51.260197"/>
    <s v="4.402771"/>
    <s v="Agriculture &amp; Mining"/>
    <s v="Micro (1-10)"/>
    <s v="Laura Thompson"/>
    <d v="2024-01-27T00:00:00"/>
    <s v="SAAS"/>
    <x v="1"/>
    <x v="1"/>
    <m/>
    <m/>
    <n v="248"/>
    <n v="30"/>
    <d v="2025-01-13T00:00:00"/>
    <d v="2024-04-02T00:00:00"/>
  </r>
  <r>
    <x v="265"/>
    <s v="Austria"/>
    <s v="48.210033"/>
    <s v="16.363449"/>
    <s v="Recreation &amp; Sports"/>
    <s v="Micro (1-10)"/>
    <s v="Laura Thompson"/>
    <d v="2024-03-13T00:00:00"/>
    <s v="Services"/>
    <x v="1"/>
    <x v="1"/>
    <m/>
    <m/>
    <n v="609"/>
    <n v="30"/>
    <d v="2024-05-24T00:00:00"/>
    <d v="2024-06-24T00:00:00"/>
  </r>
  <r>
    <x v="266"/>
    <s v="Italy"/>
    <s v="41.902782"/>
    <s v="12.496366"/>
    <s v="Transportation &amp; Logistics"/>
    <s v="Micro (1-10)"/>
    <s v="John Smith"/>
    <d v="2024-04-22T00:00:00"/>
    <s v="Services"/>
    <x v="1"/>
    <x v="1"/>
    <m/>
    <m/>
    <n v="651"/>
    <n v="20"/>
    <d v="2024-08-08T00:00:00"/>
    <d v="2024-06-06T00:00:00"/>
  </r>
  <r>
    <x v="267"/>
    <s v="Italy"/>
    <s v="41.902782"/>
    <s v="12.496366"/>
    <s v="Transportation &amp; Logistics"/>
    <s v="Micro (1-10)"/>
    <s v="Laura Thompson"/>
    <d v="2024-03-29T00:00:00"/>
    <s v="SAAS"/>
    <x v="1"/>
    <x v="1"/>
    <m/>
    <m/>
    <n v="341"/>
    <n v="60"/>
    <d v="2024-07-21T00:00:00"/>
    <d v="2024-06-23T00:00:00"/>
  </r>
  <r>
    <x v="268"/>
    <s v="Belgium"/>
    <s v="51.260197"/>
    <s v="4.402771"/>
    <s v="Professional Services  &amp; Consulting"/>
    <s v="Micro (1-10)"/>
    <s v="Laura Thompson"/>
    <d v="2024-05-18T00:00:00"/>
    <s v="SAAS"/>
    <x v="1"/>
    <x v="1"/>
    <m/>
    <m/>
    <n v="1140"/>
    <n v="20"/>
    <d v="2025-05-05T00:00:00"/>
    <d v="2024-08-15T00:00:00"/>
  </r>
  <r>
    <x v="269"/>
    <s v="Portugal"/>
    <s v="38.736946"/>
    <s v="-9.142685"/>
    <s v="Manufacturing &amp; Production"/>
    <s v="Micro (1-10)"/>
    <s v="David Wilson"/>
    <d v="2024-02-02T00:00:00"/>
    <s v="SAAS"/>
    <x v="1"/>
    <x v="1"/>
    <m/>
    <m/>
    <n v="801"/>
    <n v="40"/>
    <d v="2024-05-07T00:00:00"/>
    <d v="2024-04-14T00:00:00"/>
  </r>
  <r>
    <x v="270"/>
    <s v="Netherlands"/>
    <s v="52.370216"/>
    <s v="4.895168"/>
    <s v="IT &amp; IT Services"/>
    <s v="Micro (1-10)"/>
    <s v="Kevin Anderson"/>
    <d v="2024-05-17T00:00:00"/>
    <s v="Services"/>
    <x v="1"/>
    <x v="1"/>
    <m/>
    <m/>
    <n v="200"/>
    <n v="20"/>
    <d v="2024-07-12T00:00:00"/>
    <d v="2024-08-12T00:00:00"/>
  </r>
  <r>
    <x v="271"/>
    <s v="Italy"/>
    <s v="41.902782"/>
    <s v="12.496366"/>
    <s v="Government Administration Healthcare"/>
    <s v="Micro (1-10)"/>
    <s v="Sarah Davis"/>
    <d v="2024-02-21T00:00:00"/>
    <s v="Services"/>
    <x v="1"/>
    <x v="1"/>
    <m/>
    <m/>
    <n v="1048"/>
    <n v="80"/>
    <d v="2024-10-12T00:00:00"/>
    <d v="2024-05-25T00:00:00"/>
  </r>
  <r>
    <x v="272"/>
    <s v="Portugal"/>
    <s v="38.736946"/>
    <s v="-9.142685"/>
    <s v="Recreation &amp; Sports"/>
    <s v="Micro (1-10)"/>
    <s v="Laura Thompson"/>
    <d v="2024-02-05T00:00:00"/>
    <s v="Services"/>
    <x v="1"/>
    <x v="1"/>
    <m/>
    <m/>
    <n v="1130"/>
    <n v="40"/>
    <d v="2024-03-25T00:00:00"/>
    <d v="2024-02-22T00:00:00"/>
  </r>
  <r>
    <x v="273"/>
    <s v="Italy"/>
    <s v="41.902782"/>
    <s v="12.496366"/>
    <s v="Transportation &amp; Logistics"/>
    <s v="Micro (1-10)"/>
    <s v="Kevin Anderson"/>
    <d v="2024-04-02T00:00:00"/>
    <s v="SAAS"/>
    <x v="1"/>
    <x v="1"/>
    <m/>
    <m/>
    <n v="237"/>
    <n v="50"/>
    <d v="2024-11-03T00:00:00"/>
    <d v="2024-05-21T00:00:00"/>
  </r>
  <r>
    <x v="274"/>
    <s v="Portugal"/>
    <s v="38.736946"/>
    <s v="-9.142685"/>
    <s v="IT &amp; IT Services"/>
    <s v="Medium (201-500)"/>
    <s v="Kevin Anderson"/>
    <d v="2024-02-25T00:00:00"/>
    <s v="SAAS"/>
    <x v="1"/>
    <x v="1"/>
    <m/>
    <m/>
    <n v="947"/>
    <n v="30"/>
    <d v="2024-08-17T00:00:00"/>
    <d v="2024-03-01T00:00:00"/>
  </r>
  <r>
    <x v="275"/>
    <s v="Italy"/>
    <s v="41.902782"/>
    <s v="12.496366"/>
    <s v="Transportation &amp; Logistics"/>
    <s v="Medium (201-500)"/>
    <s v="Emily Johnson"/>
    <d v="2024-02-16T00:00:00"/>
    <s v="SAAS"/>
    <x v="1"/>
    <x v="1"/>
    <m/>
    <m/>
    <n v="562"/>
    <n v="40"/>
    <d v="2024-11-28T00:00:00"/>
    <d v="2024-03-31T00:00:00"/>
  </r>
  <r>
    <x v="276"/>
    <s v="Germany"/>
    <s v="52.520008"/>
    <s v="13.404954"/>
    <s v="Banking and Finance"/>
    <s v="Medium (201-500)"/>
    <s v="Kevin Anderson"/>
    <d v="2024-01-20T00:00:00"/>
    <s v="Services"/>
    <x v="1"/>
    <x v="1"/>
    <m/>
    <m/>
    <n v="3729"/>
    <n v="40"/>
    <d v="2024-04-04T00:00:00"/>
    <d v="2024-04-19T00:00:00"/>
  </r>
  <r>
    <x v="277"/>
    <s v="Austria"/>
    <s v="48.210033"/>
    <s v="16.363449"/>
    <s v="IT &amp; IT Services"/>
    <s v="Medium (201-500)"/>
    <s v="Jessica Martinez"/>
    <d v="2024-03-06T00:00:00"/>
    <s v="Services"/>
    <x v="1"/>
    <x v="1"/>
    <m/>
    <m/>
    <n v="762"/>
    <n v="20"/>
    <d v="2024-09-02T00:00:00"/>
    <d v="2024-06-01T00:00:00"/>
  </r>
  <r>
    <x v="278"/>
    <s v="Portugal"/>
    <s v="38.736946"/>
    <s v="-9.142685"/>
    <s v="Transportation &amp; Logistics"/>
    <s v="Medium (201-500)"/>
    <s v="Jessica Martinez"/>
    <d v="2024-01-10T00:00:00"/>
    <s v="Custom solution"/>
    <x v="1"/>
    <x v="1"/>
    <m/>
    <m/>
    <n v="350"/>
    <n v="30"/>
    <d v="2024-08-19T00:00:00"/>
    <d v="2024-05-03T00:00:00"/>
  </r>
  <r>
    <x v="279"/>
    <s v="Switzerland"/>
    <s v="46.204391"/>
    <s v="6.143158"/>
    <s v="Retail &amp; Distribution"/>
    <s v="Medium (201-500)"/>
    <s v="David Wilson"/>
    <d v="2024-02-28T00:00:00"/>
    <s v="SAAS"/>
    <x v="1"/>
    <x v="1"/>
    <m/>
    <m/>
    <n v="3350"/>
    <n v="10"/>
    <d v="2024-07-25T00:00:00"/>
    <d v="2024-05-27T00:00:00"/>
  </r>
  <r>
    <x v="280"/>
    <s v="Italy"/>
    <s v="41.902782"/>
    <s v="12.496366"/>
    <s v="Energy &amp; Utilities"/>
    <s v="Medium (201-500)"/>
    <s v="Jessica Martinez"/>
    <d v="2024-02-18T00:00:00"/>
    <s v="SAAS"/>
    <x v="1"/>
    <x v="1"/>
    <m/>
    <m/>
    <n v="3290"/>
    <n v="30"/>
    <d v="2025-01-16T00:00:00"/>
    <d v="2024-03-11T00:00:00"/>
  </r>
  <r>
    <x v="281"/>
    <s v="Italy"/>
    <s v="41.902782"/>
    <s v="12.496366"/>
    <s v="Manufacturing &amp; Production"/>
    <s v="Medium (201-500)"/>
    <s v="Laura Thompson"/>
    <d v="2024-04-11T00:00:00"/>
    <s v="Services"/>
    <x v="1"/>
    <x v="1"/>
    <m/>
    <m/>
    <n v="4608"/>
    <n v="50"/>
    <d v="2024-05-01T00:00:00"/>
    <d v="2024-06-16T00:00:00"/>
  </r>
  <r>
    <x v="282"/>
    <s v="Italy"/>
    <s v="41.902782"/>
    <s v="12.496366"/>
    <s v="Entertainment &amp; Media &amp; Hospitality"/>
    <s v="Medium (201-500)"/>
    <s v="Sarah Davis"/>
    <d v="2024-03-11T00:00:00"/>
    <s v="Custom solution"/>
    <x v="1"/>
    <x v="1"/>
    <m/>
    <m/>
    <n v="6457"/>
    <n v="20"/>
    <d v="2025-01-05T00:00:00"/>
    <d v="2024-06-30T00:00:00"/>
  </r>
  <r>
    <x v="283"/>
    <s v="Spain"/>
    <s v="40.416775"/>
    <s v="-3.703790"/>
    <s v="Banking and Finance"/>
    <s v="Medium (201-500)"/>
    <s v="Jessica Martinez"/>
    <d v="2024-05-17T00:00:00"/>
    <s v="Services"/>
    <x v="1"/>
    <x v="1"/>
    <m/>
    <m/>
    <n v="5322"/>
    <n v="100"/>
    <d v="2025-04-23T00:00:00"/>
    <d v="2024-08-27T00:00:00"/>
  </r>
  <r>
    <x v="284"/>
    <s v="Italy"/>
    <s v="41.902782"/>
    <s v="12.496366"/>
    <s v="Transportation &amp; Logistics"/>
    <s v="Medium (201-500)"/>
    <s v="Kevin Anderson"/>
    <d v="2024-03-05T00:00:00"/>
    <s v="Services"/>
    <x v="1"/>
    <x v="1"/>
    <m/>
    <m/>
    <n v="7996"/>
    <n v="60"/>
    <d v="2024-10-22T00:00:00"/>
    <d v="2024-04-25T00:00:00"/>
  </r>
  <r>
    <x v="285"/>
    <s v="Belgium"/>
    <s v="51.260197"/>
    <s v="4.402771"/>
    <s v="Banking and Finance"/>
    <s v="Medium (201-500)"/>
    <s v="Laura Thompson"/>
    <d v="2024-02-08T00:00:00"/>
    <s v="Services"/>
    <x v="1"/>
    <x v="1"/>
    <m/>
    <m/>
    <n v="4561"/>
    <n v="10"/>
    <d v="2024-10-21T00:00:00"/>
    <d v="2024-05-21T00:00:00"/>
  </r>
  <r>
    <x v="286"/>
    <s v="Switzerland"/>
    <s v="46.204391"/>
    <s v="6.143158"/>
    <s v="Transportation &amp; Logistics"/>
    <s v="Medium (201-500)"/>
    <s v="David Wilson"/>
    <d v="2024-03-16T00:00:00"/>
    <s v="Custom solution"/>
    <x v="1"/>
    <x v="1"/>
    <m/>
    <m/>
    <n v="6800"/>
    <n v="30"/>
    <d v="2024-12-02T00:00:00"/>
    <d v="2024-06-20T00:00:00"/>
  </r>
  <r>
    <x v="287"/>
    <s v="France"/>
    <s v="48.864716"/>
    <s v="2.349014"/>
    <s v="Telecommunications"/>
    <s v="Medium (201-500)"/>
    <s v="Michael Brown"/>
    <d v="2024-01-25T00:00:00"/>
    <s v="Services"/>
    <x v="1"/>
    <x v="1"/>
    <m/>
    <m/>
    <n v="6490"/>
    <n v="30"/>
    <d v="2024-10-27T00:00:00"/>
    <d v="2024-03-24T00:00:00"/>
  </r>
  <r>
    <x v="288"/>
    <s v="Belgium"/>
    <s v="51.260197"/>
    <s v="4.402771"/>
    <s v="Transportation &amp; Logistics"/>
    <s v="Medium (201-500)"/>
    <s v="Kevin Anderson"/>
    <d v="2024-03-16T00:00:00"/>
    <s v="Services"/>
    <x v="1"/>
    <x v="1"/>
    <m/>
    <m/>
    <n v="6698"/>
    <n v="60"/>
    <d v="2024-07-22T00:00:00"/>
    <d v="2024-04-04T00:00:00"/>
  </r>
  <r>
    <x v="289"/>
    <s v="Italy"/>
    <s v="41.902782"/>
    <s v="12.496366"/>
    <s v="Professional Services  &amp; Consulting"/>
    <s v="Medium (201-500)"/>
    <s v="Laura Thompson"/>
    <d v="2024-02-27T00:00:00"/>
    <s v="SAAS"/>
    <x v="1"/>
    <x v="1"/>
    <m/>
    <m/>
    <n v="6609"/>
    <n v="30"/>
    <d v="2024-09-26T00:00:00"/>
    <d v="2024-03-08T00:00:00"/>
  </r>
  <r>
    <x v="290"/>
    <s v="Italy"/>
    <s v="41.902782"/>
    <s v="12.496366"/>
    <s v="Manufacturing &amp; Production"/>
    <s v="Medium (201-500)"/>
    <s v="Laura Thompson"/>
    <d v="2024-04-17T00:00:00"/>
    <s v="Services"/>
    <x v="1"/>
    <x v="1"/>
    <m/>
    <m/>
    <n v="2507"/>
    <n v="10"/>
    <d v="2024-10-12T00:00:00"/>
    <d v="2024-06-03T00:00:00"/>
  </r>
  <r>
    <x v="291"/>
    <s v="France"/>
    <s v="48.864716"/>
    <s v="2.349014"/>
    <s v="Manufacturing &amp; Production"/>
    <s v="Medium (201-500)"/>
    <s v="Laura Thompson"/>
    <d v="2024-02-24T00:00:00"/>
    <s v="Custom solution"/>
    <x v="1"/>
    <x v="1"/>
    <m/>
    <m/>
    <n v="6240"/>
    <n v="20"/>
    <d v="2024-04-04T00:00:00"/>
    <d v="2024-04-11T00:00:00"/>
  </r>
  <r>
    <x v="292"/>
    <s v="Switzerland"/>
    <s v="46.204391"/>
    <s v="6.143158"/>
    <s v="IT &amp; IT Services"/>
    <s v="Medium (201-500)"/>
    <s v="Kevin Anderson"/>
    <d v="2024-04-01T00:00:00"/>
    <s v="SAAS"/>
    <x v="1"/>
    <x v="1"/>
    <m/>
    <m/>
    <n v="6336"/>
    <n v="20"/>
    <d v="2024-06-20T00:00:00"/>
    <d v="2024-06-08T00:00:00"/>
  </r>
  <r>
    <x v="293"/>
    <s v="Italy"/>
    <s v="41.902782"/>
    <s v="12.496366"/>
    <s v="Banking and Finance"/>
    <s v="Medium (201-500)"/>
    <s v="Sarah Davis"/>
    <d v="2024-02-06T00:00:00"/>
    <s v="Custom solution"/>
    <x v="1"/>
    <x v="1"/>
    <m/>
    <m/>
    <n v="7930"/>
    <n v="20"/>
    <d v="2024-08-06T00:00:00"/>
    <d v="2024-05-17T00:00:00"/>
  </r>
  <r>
    <x v="294"/>
    <s v="Switzerland"/>
    <s v="46.204391"/>
    <s v="6.143158"/>
    <s v="Banking and Finance"/>
    <s v="Medium (201-500)"/>
    <s v="Emily Johnson"/>
    <d v="2024-04-11T00:00:00"/>
    <s v="SAAS"/>
    <x v="1"/>
    <x v="1"/>
    <m/>
    <m/>
    <n v="2707"/>
    <n v="30"/>
    <d v="2025-03-18T00:00:00"/>
    <d v="2024-04-17T00:00:00"/>
  </r>
  <r>
    <x v="295"/>
    <s v="Spain"/>
    <s v="40.416775"/>
    <s v="-3.703790"/>
    <s v="Manufacturing &amp; Production"/>
    <s v="Medium (201-500)"/>
    <s v="Michael Brown"/>
    <d v="2024-01-11T00:00:00"/>
    <s v="SAAS"/>
    <x v="1"/>
    <x v="1"/>
    <m/>
    <m/>
    <n v="1865"/>
    <n v="40"/>
    <d v="2024-04-04T00:00:00"/>
    <d v="2024-04-03T00:00:00"/>
  </r>
  <r>
    <x v="296"/>
    <s v="Portugal"/>
    <s v="38.736946"/>
    <s v="-9.142685"/>
    <s v="Transportation &amp; Logistics"/>
    <s v="Medium (201-500)"/>
    <s v="Kevin Anderson"/>
    <d v="2024-01-11T00:00:00"/>
    <s v="Services"/>
    <x v="1"/>
    <x v="1"/>
    <m/>
    <m/>
    <n v="209"/>
    <n v="50"/>
    <d v="2024-06-15T00:00:00"/>
    <d v="2024-05-09T00:00:00"/>
  </r>
  <r>
    <x v="297"/>
    <s v="Portugal"/>
    <s v="38.736946"/>
    <s v="-9.142685"/>
    <s v="Entertainment &amp; Media &amp; Hospitality"/>
    <s v="Medium (201-500)"/>
    <s v="David Wilson"/>
    <d v="2024-03-03T00:00:00"/>
    <s v="SAAS"/>
    <x v="1"/>
    <x v="1"/>
    <m/>
    <m/>
    <n v="212"/>
    <n v="20"/>
    <d v="2024-10-22T00:00:00"/>
    <d v="2024-03-23T00:00:00"/>
  </r>
  <r>
    <x v="298"/>
    <s v="Portugal"/>
    <s v="38.736946"/>
    <s v="-9.142685"/>
    <s v="Entertainment &amp; Media &amp; Hospitality"/>
    <s v="Medium (201-500)"/>
    <s v="Jessica Martinez"/>
    <d v="2024-04-11T00:00:00"/>
    <s v="SAAS"/>
    <x v="1"/>
    <x v="1"/>
    <m/>
    <m/>
    <n v="2260"/>
    <n v="20"/>
    <d v="2025-02-03T00:00:00"/>
    <d v="2024-08-02T00:00:00"/>
  </r>
  <r>
    <x v="299"/>
    <s v="Spain"/>
    <s v="40.416775"/>
    <s v="-3.703790"/>
    <s v="Construction &amp; Engineering"/>
    <s v="Medium (201-500)"/>
    <s v="Jessica Martinez"/>
    <d v="2024-02-04T00:00:00"/>
    <s v="SAAS"/>
    <x v="1"/>
    <x v="1"/>
    <m/>
    <m/>
    <n v="4224"/>
    <n v="40"/>
    <d v="2025-01-23T00:00:00"/>
    <d v="2024-03-19T00:00:00"/>
  </r>
  <r>
    <x v="300"/>
    <s v="France"/>
    <s v="48.864716"/>
    <s v="2.349014"/>
    <s v="IT &amp; IT Services"/>
    <s v="Medium (201-500)"/>
    <s v="Sarah Davis"/>
    <d v="2024-03-31T00:00:00"/>
    <s v="SAAS"/>
    <x v="1"/>
    <x v="1"/>
    <m/>
    <m/>
    <n v="2344"/>
    <n v="100"/>
    <d v="2024-09-03T00:00:00"/>
    <d v="2024-07-06T00:00:00"/>
  </r>
  <r>
    <x v="301"/>
    <s v="Germany"/>
    <s v="52.520008"/>
    <s v="13.404954"/>
    <s v="Retail &amp; Distribution"/>
    <s v="Medium (201-500)"/>
    <s v="John Smith"/>
    <d v="2024-02-04T00:00:00"/>
    <s v="Custom solution"/>
    <x v="1"/>
    <x v="1"/>
    <m/>
    <m/>
    <n v="5852"/>
    <n v="60"/>
    <d v="2024-08-15T00:00:00"/>
    <d v="2024-05-17T00:00:00"/>
  </r>
  <r>
    <x v="302"/>
    <s v="Italy"/>
    <s v="41.902782"/>
    <s v="12.496366"/>
    <s v="Retail &amp; Distribution"/>
    <s v="Medium (201-500)"/>
    <s v="Laura Thompson"/>
    <d v="2024-03-27T00:00:00"/>
    <s v="Custom solution"/>
    <x v="1"/>
    <x v="1"/>
    <m/>
    <m/>
    <n v="4156"/>
    <n v="30"/>
    <d v="2025-01-18T00:00:00"/>
    <d v="2024-07-12T00:00:00"/>
  </r>
  <r>
    <x v="303"/>
    <s v="Belgium"/>
    <s v="51.260197"/>
    <s v="4.402771"/>
    <s v="Transportation &amp; Logistics"/>
    <s v="Medium (201-500)"/>
    <s v="Kevin Anderson"/>
    <d v="2024-05-20T00:00:00"/>
    <s v="SAAS"/>
    <x v="1"/>
    <x v="1"/>
    <m/>
    <m/>
    <n v="422"/>
    <n v="20"/>
    <d v="2025-03-22T00:00:00"/>
    <d v="2024-08-22T00:00:00"/>
  </r>
  <r>
    <x v="304"/>
    <s v="Germany"/>
    <s v="52.520008"/>
    <s v="13.404954"/>
    <s v="Energy &amp; Utilities"/>
    <s v="Medium (201-500)"/>
    <s v="Michael Brown"/>
    <d v="2024-03-10T00:00:00"/>
    <s v="SAAS"/>
    <x v="1"/>
    <x v="1"/>
    <m/>
    <m/>
    <n v="2239"/>
    <n v="80"/>
    <d v="2024-09-28T00:00:00"/>
    <d v="2024-04-04T00:00:00"/>
  </r>
  <r>
    <x v="305"/>
    <s v="Germany"/>
    <s v="52.520008"/>
    <s v="13.404954"/>
    <s v="Manufacturing &amp; Production"/>
    <s v="Medium (201-500)"/>
    <s v="Laura Thompson"/>
    <d v="2024-01-19T00:00:00"/>
    <s v="Custom solution"/>
    <x v="1"/>
    <x v="1"/>
    <m/>
    <m/>
    <n v="4156"/>
    <n v="50"/>
    <d v="2024-08-03T00:00:00"/>
    <d v="2024-03-23T00:00:00"/>
  </r>
  <r>
    <x v="306"/>
    <s v="Germany"/>
    <s v="52.520008"/>
    <s v="13.404954"/>
    <s v="IT &amp; IT Services"/>
    <s v="Medium (201-500)"/>
    <s v="Laura Thompson"/>
    <d v="2024-02-01T00:00:00"/>
    <s v="Services"/>
    <x v="1"/>
    <x v="1"/>
    <m/>
    <m/>
    <n v="1753"/>
    <n v="40"/>
    <d v="2024-11-01T00:00:00"/>
    <d v="2024-02-13T00:00:00"/>
  </r>
  <r>
    <x v="307"/>
    <s v="Germany"/>
    <s v="52.520008"/>
    <s v="13.404954"/>
    <s v="Entertainment &amp; Media &amp; Hospitality"/>
    <s v="Medium (201-500)"/>
    <s v="Emily Johnson"/>
    <d v="2024-01-12T00:00:00"/>
    <s v="Services"/>
    <x v="1"/>
    <x v="1"/>
    <m/>
    <m/>
    <n v="4132"/>
    <n v="40"/>
    <d v="2024-12-07T00:00:00"/>
    <d v="2024-01-27T00:00:00"/>
  </r>
  <r>
    <x v="308"/>
    <s v="Netherlands"/>
    <s v="52.370216"/>
    <s v="4.895168"/>
    <s v="Entertainment &amp; Media &amp; Hospitality"/>
    <s v="Medium (201-500)"/>
    <s v="Michael Brown"/>
    <d v="2024-05-26T00:00:00"/>
    <s v="Services"/>
    <x v="1"/>
    <x v="1"/>
    <m/>
    <m/>
    <n v="7142"/>
    <n v="30"/>
    <d v="2024-12-30T00:00:00"/>
    <d v="2024-06-14T00:00:00"/>
  </r>
  <r>
    <x v="309"/>
    <s v="Netherlands"/>
    <s v="52.370216"/>
    <s v="4.895168"/>
    <s v="Agriculture &amp; Mining"/>
    <s v="Medium (201-500)"/>
    <s v="Jessica Martinez"/>
    <d v="2024-03-10T00:00:00"/>
    <s v="Services"/>
    <x v="1"/>
    <x v="1"/>
    <m/>
    <m/>
    <n v="4343"/>
    <n v="20"/>
    <d v="2024-06-24T00:00:00"/>
    <d v="2024-07-03T00:00:00"/>
  </r>
  <r>
    <x v="310"/>
    <s v="Portugal"/>
    <s v="38.736946"/>
    <s v="-9.142685"/>
    <s v="Entertainment &amp; Media &amp; Hospitality"/>
    <s v="Medium (201-500)"/>
    <s v="Laura Thompson"/>
    <d v="2024-03-13T00:00:00"/>
    <s v="SAAS"/>
    <x v="1"/>
    <x v="1"/>
    <m/>
    <m/>
    <n v="7463"/>
    <n v="20"/>
    <d v="2024-10-27T00:00:00"/>
    <d v="2024-04-29T00:00:00"/>
  </r>
  <r>
    <x v="311"/>
    <s v="Portugal"/>
    <s v="38.736946"/>
    <s v="-9.142685"/>
    <s v="Retail &amp; Distribution"/>
    <s v="Medium (201-500)"/>
    <s v="Laura Thompson"/>
    <d v="2024-04-24T00:00:00"/>
    <s v="Custom solution"/>
    <x v="1"/>
    <x v="1"/>
    <m/>
    <m/>
    <n v="1872"/>
    <n v="40"/>
    <d v="2024-10-31T00:00:00"/>
    <d v="2024-05-12T00:00:00"/>
  </r>
  <r>
    <x v="312"/>
    <s v="France"/>
    <s v="48.864716"/>
    <s v="2.349014"/>
    <s v="Banking and Finance"/>
    <s v="Medium (201-500)"/>
    <s v="Michael Brown"/>
    <d v="2024-03-19T00:00:00"/>
    <s v="SAAS"/>
    <x v="1"/>
    <x v="1"/>
    <m/>
    <m/>
    <n v="4220"/>
    <n v="40"/>
    <d v="2025-01-21T00:00:00"/>
    <d v="2024-04-12T00:00:00"/>
  </r>
  <r>
    <x v="313"/>
    <s v="Portugal"/>
    <s v="38.736946"/>
    <s v="-9.142685"/>
    <s v="Transportation &amp; Logistics"/>
    <s v="Medium (201-500)"/>
    <s v="Laura Thompson"/>
    <d v="2024-04-29T00:00:00"/>
    <s v="Services"/>
    <x v="1"/>
    <x v="1"/>
    <m/>
    <m/>
    <n v="2668"/>
    <n v="70"/>
    <d v="2024-12-05T00:00:00"/>
    <d v="2024-07-07T00:00:00"/>
  </r>
  <r>
    <x v="314"/>
    <s v="Germany"/>
    <s v="52.520008"/>
    <s v="13.404954"/>
    <s v="Government Administration Healthcare"/>
    <s v="Medium (201-500)"/>
    <s v="Laura Thompson"/>
    <d v="2024-02-12T00:00:00"/>
    <s v="Services"/>
    <x v="1"/>
    <x v="1"/>
    <m/>
    <m/>
    <n v="7766"/>
    <n v="60"/>
    <d v="2024-08-13T00:00:00"/>
    <d v="2024-04-09T00:00:00"/>
  </r>
  <r>
    <x v="315"/>
    <s v="Germany"/>
    <s v="52.520008"/>
    <s v="13.404954"/>
    <s v="Retail &amp; Distribution"/>
    <s v="Medium (201-500)"/>
    <s v="Sarah Davis"/>
    <d v="2024-04-14T00:00:00"/>
    <s v="Custom solution"/>
    <x v="1"/>
    <x v="1"/>
    <m/>
    <m/>
    <n v="379"/>
    <n v="50"/>
    <d v="2024-10-26T00:00:00"/>
    <d v="2024-05-29T00:00:00"/>
  </r>
  <r>
    <x v="316"/>
    <s v="Germany"/>
    <s v="52.520008"/>
    <s v="13.404954"/>
    <s v="Government Administration Healthcare"/>
    <s v="Medium (201-500)"/>
    <s v="Michael Brown"/>
    <d v="2024-01-14T00:00:00"/>
    <s v="Services"/>
    <x v="1"/>
    <x v="1"/>
    <m/>
    <m/>
    <n v="4188"/>
    <n v="50"/>
    <d v="2024-09-28T00:00:00"/>
    <d v="2024-03-23T00:00:00"/>
  </r>
  <r>
    <x v="317"/>
    <s v="Italy"/>
    <s v="41.902782"/>
    <s v="12.496366"/>
    <s v="Professional Services  &amp; Consulting"/>
    <s v="Medium (201-500)"/>
    <s v="Michael Brown"/>
    <d v="2024-02-04T00:00:00"/>
    <s v="SAAS"/>
    <x v="1"/>
    <x v="1"/>
    <m/>
    <m/>
    <n v="875"/>
    <n v="30"/>
    <d v="2024-12-29T00:00:00"/>
    <d v="2024-03-25T00:00:00"/>
  </r>
  <r>
    <x v="318"/>
    <s v="France"/>
    <s v="48.864716"/>
    <s v="2.349014"/>
    <s v="Agriculture &amp; Mining"/>
    <s v="Medium (201-500)"/>
    <s v="Kevin Anderson"/>
    <d v="2024-05-17T00:00:00"/>
    <s v="Custom solution"/>
    <x v="1"/>
    <x v="1"/>
    <m/>
    <m/>
    <n v="3220"/>
    <n v="20"/>
    <d v="2025-02-03T00:00:00"/>
    <d v="2024-08-16T00:00:00"/>
  </r>
  <r>
    <x v="319"/>
    <s v="Netherlands"/>
    <s v="52.370216"/>
    <s v="4.895168"/>
    <s v="Education &amp; Science"/>
    <s v="Medium (201-500)"/>
    <s v="John Smith"/>
    <d v="2024-03-04T00:00:00"/>
    <s v="Services"/>
    <x v="1"/>
    <x v="1"/>
    <m/>
    <m/>
    <n v="6595"/>
    <n v="40"/>
    <d v="2024-11-24T00:00:00"/>
    <d v="2024-06-15T00:00:00"/>
  </r>
  <r>
    <x v="320"/>
    <s v="Italy"/>
    <s v="41.902782"/>
    <s v="12.496366"/>
    <s v="Banking and Finance"/>
    <s v="Medium (201-500)"/>
    <s v="Michael Brown"/>
    <d v="2024-01-31T00:00:00"/>
    <s v="SAAS"/>
    <x v="1"/>
    <x v="1"/>
    <m/>
    <m/>
    <n v="7977"/>
    <n v="100"/>
    <d v="2024-03-25T00:00:00"/>
    <d v="2024-05-14T00:00:00"/>
  </r>
  <r>
    <x v="321"/>
    <s v="Italy"/>
    <s v="41.902782"/>
    <s v="12.496366"/>
    <s v="Telecommunications"/>
    <s v="Medium (201-500)"/>
    <s v="Jessica Martinez"/>
    <d v="2024-05-03T00:00:00"/>
    <s v="Services"/>
    <x v="1"/>
    <x v="1"/>
    <m/>
    <m/>
    <n v="1374"/>
    <n v="50"/>
    <d v="2024-12-04T00:00:00"/>
    <d v="2024-06-13T00:00:00"/>
  </r>
  <r>
    <x v="322"/>
    <s v="Portugal"/>
    <s v="38.736946"/>
    <s v="-9.142685"/>
    <s v="Manufacturing &amp; Production"/>
    <s v="Medium (201-500)"/>
    <s v="Jessica Martinez"/>
    <d v="2024-02-25T00:00:00"/>
    <s v="SAAS"/>
    <x v="1"/>
    <x v="1"/>
    <m/>
    <m/>
    <n v="1932"/>
    <n v="50"/>
    <d v="2024-06-09T00:00:00"/>
    <d v="2024-05-04T00:00:00"/>
  </r>
  <r>
    <x v="323"/>
    <s v="Germany"/>
    <s v="52.520008"/>
    <s v="13.404954"/>
    <s v="Government Administration Healthcare"/>
    <s v="Medium (201-500)"/>
    <s v="Jessica Martinez"/>
    <d v="2024-03-12T00:00:00"/>
    <s v="Custom solution"/>
    <x v="1"/>
    <x v="1"/>
    <m/>
    <m/>
    <n v="4067"/>
    <n v="90"/>
    <d v="2025-01-27T00:00:00"/>
    <d v="2024-05-28T00:00:00"/>
  </r>
  <r>
    <x v="324"/>
    <s v="France"/>
    <s v="48.864716"/>
    <s v="2.349014"/>
    <s v="Manufacturing &amp; Production"/>
    <s v="Medium (201-500)"/>
    <s v="Michael Brown"/>
    <d v="2024-02-21T00:00:00"/>
    <s v="Services"/>
    <x v="1"/>
    <x v="1"/>
    <m/>
    <m/>
    <n v="7596"/>
    <n v="70"/>
    <d v="2025-01-28T00:00:00"/>
    <d v="2024-06-15T00:00:00"/>
  </r>
  <r>
    <x v="325"/>
    <s v="France"/>
    <s v="48.864716"/>
    <s v="2.349014"/>
    <s v="IT &amp; IT Services"/>
    <s v="Medium (201-500)"/>
    <s v="Jessica Martinez"/>
    <d v="2024-05-14T00:00:00"/>
    <s v="Services"/>
    <x v="1"/>
    <x v="1"/>
    <m/>
    <m/>
    <n v="425"/>
    <n v="60"/>
    <d v="2024-10-25T00:00:00"/>
    <d v="2024-06-26T00:00:00"/>
  </r>
  <r>
    <x v="326"/>
    <s v="France"/>
    <s v="48.864716"/>
    <s v="2.349014"/>
    <s v="Education &amp; Science"/>
    <s v="Medium (201-500)"/>
    <s v="Michael Brown"/>
    <d v="2024-02-12T00:00:00"/>
    <s v="SAAS"/>
    <x v="1"/>
    <x v="1"/>
    <m/>
    <m/>
    <n v="6071"/>
    <n v="10"/>
    <d v="2024-11-27T00:00:00"/>
    <d v="2024-03-05T00:00:00"/>
  </r>
  <r>
    <x v="327"/>
    <s v="Netherlands"/>
    <s v="52.370216"/>
    <s v="4.895168"/>
    <s v="Professional Services  &amp; Consulting"/>
    <s v="Medium (201-500)"/>
    <s v="Laura Thompson"/>
    <d v="2024-04-08T00:00:00"/>
    <s v="Services"/>
    <x v="1"/>
    <x v="1"/>
    <m/>
    <m/>
    <n v="2584"/>
    <n v="30"/>
    <d v="2025-02-07T00:00:00"/>
    <d v="2024-04-12T00:00:00"/>
  </r>
  <r>
    <x v="328"/>
    <s v="Austria"/>
    <s v="48.210033"/>
    <s v="16.363449"/>
    <s v="Construction &amp; Engineering"/>
    <s v="Medium (201-500)"/>
    <s v="Kevin Anderson"/>
    <d v="2024-04-10T00:00:00"/>
    <s v="Services"/>
    <x v="1"/>
    <x v="1"/>
    <m/>
    <m/>
    <n v="1589"/>
    <n v="10"/>
    <d v="2024-07-15T00:00:00"/>
    <d v="2024-05-14T00:00:00"/>
  </r>
  <r>
    <x v="329"/>
    <s v="Portugal"/>
    <s v="38.736946"/>
    <s v="-9.142685"/>
    <s v="Transportation &amp; Logistics"/>
    <s v="Medium (201-500)"/>
    <s v="Michael Brown"/>
    <d v="2024-05-30T00:00:00"/>
    <s v="SAAS"/>
    <x v="1"/>
    <x v="1"/>
    <m/>
    <m/>
    <n v="2197"/>
    <n v="50"/>
    <d v="2025-02-06T00:00:00"/>
    <d v="2024-09-21T00:00:00"/>
  </r>
  <r>
    <x v="330"/>
    <s v="Italy"/>
    <s v="41.902782"/>
    <s v="12.496366"/>
    <s v="Banking and Finance"/>
    <s v="Medium (201-500)"/>
    <s v="Laura Thompson"/>
    <d v="2024-03-19T00:00:00"/>
    <s v="SAAS"/>
    <x v="1"/>
    <x v="1"/>
    <m/>
    <m/>
    <n v="3231"/>
    <n v="70"/>
    <d v="2024-09-29T00:00:00"/>
    <d v="2024-04-20T00:00:00"/>
  </r>
  <r>
    <x v="331"/>
    <s v="Portugal"/>
    <s v="38.736946"/>
    <s v="-9.142685"/>
    <s v="Transportation &amp; Logistics"/>
    <s v="Medium (201-500)"/>
    <s v="Sarah Davis"/>
    <d v="2024-02-16T00:00:00"/>
    <s v="Services"/>
    <x v="1"/>
    <x v="1"/>
    <m/>
    <m/>
    <n v="5655"/>
    <n v="50"/>
    <d v="2025-02-01T00:00:00"/>
    <d v="2024-02-23T00:00:00"/>
  </r>
  <r>
    <x v="332"/>
    <s v="Italy"/>
    <s v="41.902782"/>
    <s v="12.496366"/>
    <s v="Transportation &amp; Logistics"/>
    <s v="Medium (201-500)"/>
    <s v="Laura Thompson"/>
    <d v="2024-05-02T00:00:00"/>
    <s v="SAAS"/>
    <x v="1"/>
    <x v="1"/>
    <m/>
    <m/>
    <n v="5044"/>
    <n v="20"/>
    <d v="2025-02-16T00:00:00"/>
    <d v="2024-06-04T00:00:00"/>
  </r>
  <r>
    <x v="333"/>
    <s v="Italy"/>
    <s v="41.902782"/>
    <s v="12.496366"/>
    <s v="Education &amp; Science"/>
    <s v="Medium (201-500)"/>
    <s v="Michael Brown"/>
    <d v="2024-03-04T00:00:00"/>
    <s v="SAAS"/>
    <x v="1"/>
    <x v="1"/>
    <m/>
    <m/>
    <n v="2271"/>
    <n v="20"/>
    <d v="2025-01-31T00:00:00"/>
    <d v="2024-04-28T00:00:00"/>
  </r>
  <r>
    <x v="334"/>
    <s v="Italy"/>
    <s v="41.902782"/>
    <s v="12.496366"/>
    <s v="IT &amp; IT Services"/>
    <s v="Medium (201-500)"/>
    <s v="Jessica Martinez"/>
    <d v="2024-03-24T00:00:00"/>
    <s v="Custom solution"/>
    <x v="1"/>
    <x v="1"/>
    <m/>
    <m/>
    <n v="3884"/>
    <n v="30"/>
    <d v="2024-07-28T00:00:00"/>
    <d v="2024-07-11T00:00:00"/>
  </r>
  <r>
    <x v="335"/>
    <s v="Portugal"/>
    <s v="38.736946"/>
    <s v="-9.142685"/>
    <s v="Transportation &amp; Logistics"/>
    <s v="Medium (201-500)"/>
    <s v="Sarah Davis"/>
    <d v="2024-04-10T00:00:00"/>
    <s v="Services"/>
    <x v="1"/>
    <x v="1"/>
    <m/>
    <m/>
    <n v="3216"/>
    <n v="30"/>
    <d v="2024-10-02T00:00:00"/>
    <d v="2024-04-27T00:00:00"/>
  </r>
  <r>
    <x v="336"/>
    <s v="Italy"/>
    <s v="41.902782"/>
    <s v="12.496366"/>
    <s v="Government Administration Healthcare"/>
    <s v="Medium (201-500)"/>
    <s v="Laura Thompson"/>
    <d v="2024-03-02T00:00:00"/>
    <s v="SAAS"/>
    <x v="1"/>
    <x v="1"/>
    <m/>
    <m/>
    <n v="4219"/>
    <n v="50"/>
    <d v="2024-12-25T00:00:00"/>
    <d v="2024-05-23T00:00:00"/>
  </r>
  <r>
    <x v="337"/>
    <s v="Belgium"/>
    <s v="51.260197"/>
    <s v="4.402771"/>
    <s v="Government Administration Healthcare"/>
    <s v="Medium (201-500)"/>
    <s v="Emily Johnson"/>
    <d v="2024-01-08T00:00:00"/>
    <s v="Services"/>
    <x v="1"/>
    <x v="1"/>
    <m/>
    <m/>
    <n v="5815"/>
    <n v="40"/>
    <d v="2024-06-12T00:00:00"/>
    <d v="2024-03-09T00:00:00"/>
  </r>
  <r>
    <x v="338"/>
    <s v="Italy"/>
    <s v="41.902782"/>
    <s v="12.496366"/>
    <s v="Government Administration Healthcare"/>
    <s v="Medium (201-500)"/>
    <s v="Kevin Anderson"/>
    <d v="2024-01-17T00:00:00"/>
    <s v="Services"/>
    <x v="1"/>
    <x v="1"/>
    <m/>
    <m/>
    <n v="4191"/>
    <n v="20"/>
    <d v="2024-03-31T00:00:00"/>
    <d v="2024-02-24T00:00:00"/>
  </r>
  <r>
    <x v="339"/>
    <s v="Switzerland"/>
    <s v="46.204391"/>
    <s v="6.143158"/>
    <s v="IT &amp; IT Services"/>
    <s v="Medium (201-500)"/>
    <s v="Sarah Davis"/>
    <d v="2024-05-09T00:00:00"/>
    <s v="SAAS"/>
    <x v="1"/>
    <x v="1"/>
    <m/>
    <m/>
    <n v="3415"/>
    <n v="20"/>
    <d v="2025-03-06T00:00:00"/>
    <d v="2024-05-26T00:00:00"/>
  </r>
  <r>
    <x v="340"/>
    <s v="Spain"/>
    <s v="40.416775"/>
    <s v="-3.703790"/>
    <s v="Telecommunications"/>
    <s v="Medium (201-500)"/>
    <s v="Jessica Martinez"/>
    <d v="2024-02-07T00:00:00"/>
    <s v="Services"/>
    <x v="1"/>
    <x v="1"/>
    <m/>
    <m/>
    <n v="2133"/>
    <n v="100"/>
    <d v="2024-04-18T00:00:00"/>
    <d v="2024-02-11T00:00:00"/>
  </r>
  <r>
    <x v="341"/>
    <s v="Portugal"/>
    <s v="38.736946"/>
    <s v="-9.142685"/>
    <s v="Transportation &amp; Logistics"/>
    <s v="Large (501-1000)"/>
    <s v="Jessica Martinez"/>
    <d v="2024-02-09T00:00:00"/>
    <s v="SAAS"/>
    <x v="1"/>
    <x v="1"/>
    <m/>
    <m/>
    <n v="14918"/>
    <n v="20"/>
    <d v="2024-06-06T00:00:00"/>
    <d v="2024-04-20T00:00:00"/>
  </r>
  <r>
    <x v="342"/>
    <s v="Germany"/>
    <s v="52.520008"/>
    <s v="13.404954"/>
    <s v="Professional Services  &amp; Consulting"/>
    <s v="Large (501-1000)"/>
    <s v="Laura Thompson"/>
    <d v="2024-02-27T00:00:00"/>
    <s v="SAAS"/>
    <x v="1"/>
    <x v="1"/>
    <m/>
    <m/>
    <n v="7279"/>
    <n v="60"/>
    <d v="2024-11-14T00:00:00"/>
    <d v="2024-02-28T00:00:00"/>
  </r>
  <r>
    <x v="343"/>
    <s v="Portugal"/>
    <s v="38.736946"/>
    <s v="-9.142685"/>
    <s v="Government Administration Healthcare"/>
    <s v="Enterprise (1001+)"/>
    <s v="Laura Thompson"/>
    <d v="2024-04-16T00:00:00"/>
    <s v="Services"/>
    <x v="1"/>
    <x v="1"/>
    <m/>
    <m/>
    <n v="5064"/>
    <n v="20"/>
    <d v="2024-07-24T00:00:00"/>
    <d v="2024-07-20T00:00:00"/>
  </r>
  <r>
    <x v="344"/>
    <s v="Switzerland"/>
    <s v="46.204391"/>
    <s v="6.143158"/>
    <s v="Banking and Finance"/>
    <s v="Enterprise (1001+)"/>
    <s v="Kevin Anderson"/>
    <d v="2024-05-06T00:00:00"/>
    <s v="Services"/>
    <x v="1"/>
    <x v="1"/>
    <m/>
    <m/>
    <n v="5325"/>
    <n v="50"/>
    <d v="2024-10-12T00:00:00"/>
    <d v="2024-07-15T00:00:00"/>
  </r>
  <r>
    <x v="345"/>
    <s v="Switzerland"/>
    <s v="46.204391"/>
    <s v="6.143158"/>
    <s v="Transportation &amp; Logistics"/>
    <s v="Enterprise (1001+)"/>
    <s v="Emily Johnson"/>
    <d v="2024-03-07T00:00:00"/>
    <s v="Custom solution"/>
    <x v="1"/>
    <x v="1"/>
    <m/>
    <m/>
    <n v="17797"/>
    <n v="60"/>
    <d v="2025-01-15T00:00:00"/>
    <d v="2024-06-28T00:00:00"/>
  </r>
  <r>
    <x v="346"/>
    <s v="Belgium"/>
    <s v="51.260197"/>
    <s v="4.402771"/>
    <s v="Banking and Finance"/>
    <s v="Enterprise (1001+)"/>
    <s v="Michael Brown"/>
    <d v="2024-03-10T00:00:00"/>
    <s v="Custom solution"/>
    <x v="1"/>
    <x v="1"/>
    <m/>
    <m/>
    <n v="19852"/>
    <n v="10"/>
    <d v="2024-08-26T00:00:00"/>
    <d v="2024-05-03T00:00:00"/>
  </r>
  <r>
    <x v="347"/>
    <s v="Austria"/>
    <s v="48.210033"/>
    <s v="16.363449"/>
    <s v="Government Administration Healthcare"/>
    <s v="Enterprise (1001+)"/>
    <s v="John Smith"/>
    <d v="2024-03-19T00:00:00"/>
    <s v="Custom solution"/>
    <x v="1"/>
    <x v="1"/>
    <m/>
    <m/>
    <n v="6762"/>
    <n v="100"/>
    <d v="2024-07-12T00:00:00"/>
    <d v="2024-05-13T00:00:00"/>
  </r>
  <r>
    <x v="348"/>
    <s v="Switzerland"/>
    <s v="46.204391"/>
    <s v="6.143158"/>
    <s v="Transportation &amp; Logistics"/>
    <s v="Small (11-200)"/>
    <s v="David Wilson"/>
    <d v="2024-01-31T00:00:00"/>
    <s v="Services"/>
    <x v="2"/>
    <x v="2"/>
    <m/>
    <m/>
    <n v="1214"/>
    <n v="60"/>
    <d v="2025-01-11T00:00:00"/>
    <m/>
  </r>
  <r>
    <x v="349"/>
    <s v="Italy"/>
    <s v="41.902782"/>
    <s v="12.496366"/>
    <s v="Manufacturing &amp; Production"/>
    <s v="Small (11-200)"/>
    <s v="Sarah Davis"/>
    <d v="2024-05-05T00:00:00"/>
    <s v="Services"/>
    <x v="2"/>
    <x v="2"/>
    <m/>
    <m/>
    <n v="1916"/>
    <n v="20"/>
    <d v="2025-03-13T00:00:00"/>
    <m/>
  </r>
  <r>
    <x v="350"/>
    <s v="Portugal"/>
    <s v="38.736946"/>
    <s v="-9.142685"/>
    <s v="Banking and Finance"/>
    <s v="Small (11-200)"/>
    <s v="Laura Thompson"/>
    <d v="2024-05-30T00:00:00"/>
    <s v="Services"/>
    <x v="2"/>
    <x v="2"/>
    <m/>
    <m/>
    <n v="1918"/>
    <n v="20"/>
    <d v="2025-04-05T00:00:00"/>
    <m/>
  </r>
  <r>
    <x v="351"/>
    <s v="Belgium"/>
    <s v="51.260197"/>
    <s v="4.402771"/>
    <s v="Recreation &amp; Sports"/>
    <s v="Small (11-200)"/>
    <s v="Emily Johnson"/>
    <d v="2024-04-25T00:00:00"/>
    <s v="Services"/>
    <x v="2"/>
    <x v="2"/>
    <m/>
    <m/>
    <n v="685"/>
    <n v="60"/>
    <d v="2025-03-27T00:00:00"/>
    <m/>
  </r>
  <r>
    <x v="352"/>
    <s v="Switzerland"/>
    <s v="46.204391"/>
    <s v="6.143158"/>
    <s v="Banking and Finance"/>
    <s v="Small (11-200)"/>
    <s v="John Smith"/>
    <d v="2024-03-13T00:00:00"/>
    <s v="Services"/>
    <x v="2"/>
    <x v="2"/>
    <m/>
    <m/>
    <n v="315"/>
    <n v="40"/>
    <d v="2024-12-10T00:00:00"/>
    <m/>
  </r>
  <r>
    <x v="353"/>
    <s v="Italy"/>
    <s v="41.902782"/>
    <s v="12.496366"/>
    <s v="Banking and Finance"/>
    <s v="Small (11-200)"/>
    <s v="David Wilson"/>
    <d v="2024-01-03T00:00:00"/>
    <s v="Custom solution"/>
    <x v="2"/>
    <x v="2"/>
    <m/>
    <m/>
    <n v="810"/>
    <n v="50"/>
    <d v="2024-03-19T00:00:00"/>
    <m/>
  </r>
  <r>
    <x v="354"/>
    <s v="Italy"/>
    <s v="41.902782"/>
    <s v="12.496366"/>
    <s v="IT &amp; IT Services"/>
    <s v="Small (11-200)"/>
    <s v="Laura Thompson"/>
    <d v="2024-02-22T00:00:00"/>
    <s v="SAAS"/>
    <x v="2"/>
    <x v="2"/>
    <m/>
    <m/>
    <n v="717"/>
    <n v="70"/>
    <d v="2024-04-20T00:00:00"/>
    <m/>
  </r>
  <r>
    <x v="355"/>
    <s v="Netherlands"/>
    <s v="52.370216"/>
    <s v="4.895168"/>
    <s v="Energy &amp; Utilities"/>
    <s v="Small (11-200)"/>
    <s v="Sarah Davis"/>
    <d v="2024-04-21T00:00:00"/>
    <s v="Services"/>
    <x v="2"/>
    <x v="2"/>
    <m/>
    <m/>
    <n v="1789"/>
    <n v="20"/>
    <d v="2024-06-24T00:00:00"/>
    <m/>
  </r>
  <r>
    <x v="356"/>
    <s v="France"/>
    <s v="48.864716"/>
    <s v="2.349014"/>
    <s v="Construction &amp; Engineering"/>
    <s v="Small (11-200)"/>
    <s v="Michael Brown"/>
    <d v="2024-02-29T00:00:00"/>
    <s v="SAAS"/>
    <x v="2"/>
    <x v="2"/>
    <m/>
    <m/>
    <n v="1311"/>
    <n v="30"/>
    <d v="2024-10-13T00:00:00"/>
    <m/>
  </r>
  <r>
    <x v="357"/>
    <s v="Portugal"/>
    <s v="38.736946"/>
    <s v="-9.142685"/>
    <s v="Recreation &amp; Sports"/>
    <s v="Small (11-200)"/>
    <s v="Laura Thompson"/>
    <d v="2024-05-17T00:00:00"/>
    <s v="Services"/>
    <x v="2"/>
    <x v="2"/>
    <m/>
    <m/>
    <n v="1025"/>
    <n v="20"/>
    <d v="2024-06-20T00:00:00"/>
    <m/>
  </r>
  <r>
    <x v="358"/>
    <s v="Germany"/>
    <s v="52.520008"/>
    <s v="13.404954"/>
    <s v="IT &amp; IT Services"/>
    <s v="Small (11-200)"/>
    <s v="Jessica Martinez"/>
    <d v="2024-03-19T00:00:00"/>
    <s v="SAAS"/>
    <x v="2"/>
    <x v="2"/>
    <m/>
    <m/>
    <n v="1330"/>
    <n v="30"/>
    <d v="2024-09-14T00:00:00"/>
    <m/>
  </r>
  <r>
    <x v="359"/>
    <s v="Italy"/>
    <s v="41.902782"/>
    <s v="12.496366"/>
    <s v="Recreation &amp; Sports"/>
    <s v="Small (11-200)"/>
    <s v="Michael Brown"/>
    <d v="2024-05-30T00:00:00"/>
    <s v="Services"/>
    <x v="2"/>
    <x v="2"/>
    <m/>
    <m/>
    <n v="924"/>
    <n v="20"/>
    <d v="2025-04-04T00:00:00"/>
    <m/>
  </r>
  <r>
    <x v="360"/>
    <s v="Germany"/>
    <s v="52.520008"/>
    <s v="13.404954"/>
    <s v="Transportation &amp; Logistics"/>
    <s v="Small (11-200)"/>
    <s v="Jessica Martinez"/>
    <d v="2024-04-21T00:00:00"/>
    <s v="Services"/>
    <x v="2"/>
    <x v="2"/>
    <m/>
    <m/>
    <n v="352"/>
    <n v="20"/>
    <d v="2024-12-30T00:00:00"/>
    <m/>
  </r>
  <r>
    <x v="361"/>
    <s v="Switzerland"/>
    <s v="46.204391"/>
    <s v="6.143158"/>
    <s v="Energy &amp; Utilities"/>
    <s v="Small (11-200)"/>
    <s v="Michael Brown"/>
    <d v="2024-03-05T00:00:00"/>
    <s v="Services"/>
    <x v="2"/>
    <x v="2"/>
    <m/>
    <m/>
    <n v="779"/>
    <n v="30"/>
    <d v="2025-01-17T00:00:00"/>
    <m/>
  </r>
  <r>
    <x v="362"/>
    <s v="Portugal"/>
    <s v="38.736946"/>
    <s v="-9.142685"/>
    <s v="Banking and Finance"/>
    <s v="Small (11-200)"/>
    <s v="Sarah Davis"/>
    <d v="2024-04-18T00:00:00"/>
    <s v="SAAS"/>
    <x v="2"/>
    <x v="2"/>
    <m/>
    <m/>
    <n v="1369"/>
    <n v="10"/>
    <d v="2024-05-27T00:00:00"/>
    <m/>
  </r>
  <r>
    <x v="363"/>
    <s v="France"/>
    <s v="48.864716"/>
    <s v="2.349014"/>
    <s v="Construction &amp; Engineering"/>
    <s v="Small (11-200)"/>
    <s v="Laura Thompson"/>
    <d v="2024-04-27T00:00:00"/>
    <s v="SAAS"/>
    <x v="2"/>
    <x v="2"/>
    <m/>
    <m/>
    <n v="585"/>
    <n v="50"/>
    <d v="2024-06-09T00:00:00"/>
    <m/>
  </r>
  <r>
    <x v="364"/>
    <s v="Switzerland"/>
    <s v="46.204391"/>
    <s v="6.143158"/>
    <s v="Banking and Finance"/>
    <s v="Small (11-200)"/>
    <s v="John Smith"/>
    <d v="2024-05-09T00:00:00"/>
    <s v="Services"/>
    <x v="2"/>
    <x v="2"/>
    <m/>
    <m/>
    <n v="372"/>
    <n v="100"/>
    <d v="2025-04-18T00:00:00"/>
    <m/>
  </r>
  <r>
    <x v="365"/>
    <s v="France"/>
    <s v="48.864716"/>
    <s v="2.349014"/>
    <s v="Manufacturing &amp; Production"/>
    <s v="Small (11-200)"/>
    <s v="Laura Thompson"/>
    <d v="2024-04-27T00:00:00"/>
    <s v="Services"/>
    <x v="2"/>
    <x v="2"/>
    <m/>
    <m/>
    <n v="1915"/>
    <n v="30"/>
    <d v="2024-10-21T00:00:00"/>
    <m/>
  </r>
  <r>
    <x v="366"/>
    <s v="Germany"/>
    <s v="52.520008"/>
    <s v="13.404954"/>
    <s v="Government Administration Healthcare"/>
    <s v="Small (11-200)"/>
    <s v="John Smith"/>
    <d v="2024-02-24T00:00:00"/>
    <s v="Services"/>
    <x v="2"/>
    <x v="2"/>
    <m/>
    <m/>
    <n v="1932"/>
    <n v="90"/>
    <d v="2024-09-26T00:00:00"/>
    <m/>
  </r>
  <r>
    <x v="367"/>
    <s v="France"/>
    <s v="48.864716"/>
    <s v="2.349014"/>
    <s v="Government Administration Healthcare"/>
    <s v="Small (11-200)"/>
    <s v="Laura Thompson"/>
    <d v="2024-04-15T00:00:00"/>
    <s v="Services"/>
    <x v="2"/>
    <x v="2"/>
    <m/>
    <m/>
    <n v="1366"/>
    <n v="40"/>
    <d v="2024-08-12T00:00:00"/>
    <m/>
  </r>
  <r>
    <x v="368"/>
    <s v="Italy"/>
    <s v="41.902782"/>
    <s v="12.496366"/>
    <s v="Transportation &amp; Logistics"/>
    <s v="Small (11-200)"/>
    <s v="David Wilson"/>
    <d v="2024-05-19T00:00:00"/>
    <s v="SAAS"/>
    <x v="2"/>
    <x v="2"/>
    <m/>
    <m/>
    <n v="1379"/>
    <n v="60"/>
    <d v="2025-01-05T00:00:00"/>
    <m/>
  </r>
  <r>
    <x v="369"/>
    <s v="Germany"/>
    <s v="52.520008"/>
    <s v="13.404954"/>
    <s v="Banking and Finance"/>
    <s v="Small (11-200)"/>
    <s v="Laura Thompson"/>
    <d v="2024-01-03T00:00:00"/>
    <s v="SAAS"/>
    <x v="2"/>
    <x v="2"/>
    <m/>
    <m/>
    <n v="689"/>
    <n v="90"/>
    <d v="2024-11-14T00:00:00"/>
    <m/>
  </r>
  <r>
    <x v="370"/>
    <s v="Austria"/>
    <s v="48.210033"/>
    <s v="16.363449"/>
    <s v="IT &amp; IT Services"/>
    <s v="Small (11-200)"/>
    <s v="David Wilson"/>
    <d v="2024-03-24T00:00:00"/>
    <s v="SAAS"/>
    <x v="2"/>
    <x v="2"/>
    <m/>
    <m/>
    <n v="791"/>
    <n v="50"/>
    <d v="2024-09-24T00:00:00"/>
    <m/>
  </r>
  <r>
    <x v="371"/>
    <s v="Austria"/>
    <s v="48.210033"/>
    <s v="16.363449"/>
    <s v="Agriculture &amp; Mining"/>
    <s v="Small (11-200)"/>
    <s v="Jessica Martinez"/>
    <d v="2024-01-25T00:00:00"/>
    <s v="Services"/>
    <x v="2"/>
    <x v="2"/>
    <m/>
    <m/>
    <n v="680"/>
    <n v="20"/>
    <d v="2024-09-24T00:00:00"/>
    <m/>
  </r>
  <r>
    <x v="372"/>
    <s v="Italy"/>
    <s v="41.902782"/>
    <s v="12.496366"/>
    <s v="Banking and Finance"/>
    <s v="Small (11-200)"/>
    <s v="David Wilson"/>
    <d v="2024-01-28T00:00:00"/>
    <s v="Services"/>
    <x v="2"/>
    <x v="2"/>
    <m/>
    <m/>
    <n v="655"/>
    <n v="90"/>
    <d v="2024-12-11T00:00:00"/>
    <m/>
  </r>
  <r>
    <x v="373"/>
    <s v="Austria"/>
    <s v="48.210033"/>
    <s v="16.363449"/>
    <s v="Government Administration Healthcare"/>
    <s v="Small (11-200)"/>
    <s v="Kevin Anderson"/>
    <d v="2024-01-13T00:00:00"/>
    <s v="Services"/>
    <x v="2"/>
    <x v="2"/>
    <m/>
    <m/>
    <n v="1273"/>
    <n v="20"/>
    <d v="2024-03-08T00:00:00"/>
    <m/>
  </r>
  <r>
    <x v="374"/>
    <s v="Portugal"/>
    <s v="38.736946"/>
    <s v="-9.142685"/>
    <s v="Transportation &amp; Logistics"/>
    <s v="Small (11-200)"/>
    <s v="Jessica Martinez"/>
    <d v="2024-05-19T00:00:00"/>
    <s v="Services"/>
    <x v="2"/>
    <x v="2"/>
    <m/>
    <m/>
    <n v="556"/>
    <n v="20"/>
    <d v="2025-03-21T00:00:00"/>
    <m/>
  </r>
  <r>
    <x v="375"/>
    <s v="Italy"/>
    <s v="41.902782"/>
    <s v="12.496366"/>
    <s v="Education &amp; Science"/>
    <s v="Small (11-200)"/>
    <s v="Laura Thompson"/>
    <d v="2024-02-18T00:00:00"/>
    <s v="Services"/>
    <x v="2"/>
    <x v="2"/>
    <m/>
    <m/>
    <n v="281"/>
    <n v="20"/>
    <d v="2024-09-16T00:00:00"/>
    <m/>
  </r>
  <r>
    <x v="376"/>
    <s v="Switzerland"/>
    <s v="46.204391"/>
    <s v="6.143158"/>
    <s v="Entertainment &amp; Media &amp; Hospitality"/>
    <s v="Small (11-200)"/>
    <s v="John Smith"/>
    <d v="2024-05-10T00:00:00"/>
    <s v="SAAS"/>
    <x v="2"/>
    <x v="2"/>
    <m/>
    <m/>
    <n v="598"/>
    <n v="40"/>
    <d v="2024-12-11T00:00:00"/>
    <m/>
  </r>
  <r>
    <x v="377"/>
    <s v="Switzerland"/>
    <s v="46.204391"/>
    <s v="6.143158"/>
    <s v="Banking and Finance"/>
    <s v="Small (11-200)"/>
    <s v="Emily Johnson"/>
    <d v="2024-04-04T00:00:00"/>
    <s v="Services"/>
    <x v="2"/>
    <x v="2"/>
    <m/>
    <m/>
    <n v="1896"/>
    <n v="100"/>
    <d v="2024-12-28T00:00:00"/>
    <m/>
  </r>
  <r>
    <x v="378"/>
    <s v="Spain"/>
    <s v="40.416775"/>
    <s v="-3.703790"/>
    <s v="Professional Services  &amp; Consulting"/>
    <s v="Small (11-200)"/>
    <s v="Emily Johnson"/>
    <d v="2024-02-29T00:00:00"/>
    <s v="SAAS"/>
    <x v="2"/>
    <x v="2"/>
    <m/>
    <m/>
    <n v="1206"/>
    <n v="70"/>
    <d v="2025-01-24T00:00:00"/>
    <m/>
  </r>
  <r>
    <x v="379"/>
    <s v="Spain"/>
    <s v="40.416775"/>
    <s v="-3.703790"/>
    <s v="Government Administration Healthcare"/>
    <s v="Small (11-200)"/>
    <s v="Laura Thompson"/>
    <d v="2024-03-16T00:00:00"/>
    <s v="Services"/>
    <x v="2"/>
    <x v="2"/>
    <m/>
    <m/>
    <n v="1915"/>
    <n v="10"/>
    <d v="2025-02-09T00:00:00"/>
    <m/>
  </r>
  <r>
    <x v="380"/>
    <s v="Switzerland"/>
    <s v="46.204391"/>
    <s v="6.143158"/>
    <s v="Entertainment &amp; Media &amp; Hospitality"/>
    <s v="Small (11-200)"/>
    <s v="Laura Thompson"/>
    <d v="2024-02-11T00:00:00"/>
    <s v="Services"/>
    <x v="2"/>
    <x v="2"/>
    <m/>
    <m/>
    <n v="766"/>
    <n v="30"/>
    <d v="2024-05-29T00:00:00"/>
    <m/>
  </r>
  <r>
    <x v="381"/>
    <s v="Spain"/>
    <s v="40.416775"/>
    <s v="-3.703790"/>
    <s v="Banking and Finance"/>
    <s v="Small (11-200)"/>
    <s v="Michael Brown"/>
    <d v="2024-04-18T00:00:00"/>
    <s v="SAAS"/>
    <x v="2"/>
    <x v="2"/>
    <m/>
    <m/>
    <n v="1609"/>
    <n v="80"/>
    <d v="2024-08-02T00:00:00"/>
    <m/>
  </r>
  <r>
    <x v="382"/>
    <s v="Austria"/>
    <s v="48.210033"/>
    <s v="16.363449"/>
    <s v="Energy &amp; Utilities"/>
    <s v="Small (11-200)"/>
    <s v="Jessica Martinez"/>
    <d v="2024-03-23T00:00:00"/>
    <s v="SAAS"/>
    <x v="2"/>
    <x v="2"/>
    <m/>
    <m/>
    <n v="560"/>
    <n v="60"/>
    <d v="2024-05-01T00:00:00"/>
    <m/>
  </r>
  <r>
    <x v="383"/>
    <s v="France"/>
    <s v="48.864716"/>
    <s v="2.349014"/>
    <s v="Energy &amp; Utilities"/>
    <s v="Small (11-200)"/>
    <s v="Michael Brown"/>
    <d v="2024-01-02T00:00:00"/>
    <s v="Services"/>
    <x v="2"/>
    <x v="2"/>
    <m/>
    <m/>
    <n v="432"/>
    <n v="20"/>
    <d v="2024-09-26T00:00:00"/>
    <m/>
  </r>
  <r>
    <x v="384"/>
    <s v="Switzerland"/>
    <s v="46.204391"/>
    <s v="6.143158"/>
    <s v="Banking and Finance"/>
    <s v="Small (11-200)"/>
    <s v="Emily Johnson"/>
    <d v="2024-05-20T00:00:00"/>
    <s v="SAAS"/>
    <x v="2"/>
    <x v="2"/>
    <m/>
    <m/>
    <n v="625"/>
    <n v="90"/>
    <d v="2024-06-24T00:00:00"/>
    <m/>
  </r>
  <r>
    <x v="385"/>
    <s v="Belgium"/>
    <s v="51.260197"/>
    <s v="4.402771"/>
    <s v="Telecommunications"/>
    <s v="Small (11-200)"/>
    <s v="Michael Brown"/>
    <d v="2024-04-04T00:00:00"/>
    <s v="Services"/>
    <x v="2"/>
    <x v="2"/>
    <m/>
    <m/>
    <n v="980"/>
    <n v="30"/>
    <d v="2024-06-25T00:00:00"/>
    <m/>
  </r>
  <r>
    <x v="386"/>
    <s v="Italy"/>
    <s v="41.902782"/>
    <s v="12.496366"/>
    <s v="Transportation &amp; Logistics"/>
    <s v="Small (11-200)"/>
    <s v="Sarah Davis"/>
    <d v="2024-04-02T00:00:00"/>
    <s v="SAAS"/>
    <x v="2"/>
    <x v="2"/>
    <m/>
    <m/>
    <n v="1471"/>
    <n v="40"/>
    <d v="2025-02-23T00:00:00"/>
    <m/>
  </r>
  <r>
    <x v="387"/>
    <s v="Spain"/>
    <s v="40.416775"/>
    <s v="-3.703790"/>
    <s v="Telecommunications"/>
    <s v="Small (11-200)"/>
    <s v="Michael Brown"/>
    <d v="2024-04-20T00:00:00"/>
    <s v="SAAS"/>
    <x v="2"/>
    <x v="2"/>
    <m/>
    <m/>
    <n v="900"/>
    <n v="40"/>
    <d v="2024-07-01T00:00:00"/>
    <m/>
  </r>
  <r>
    <x v="388"/>
    <s v="Germany"/>
    <s v="52.520008"/>
    <s v="13.404954"/>
    <s v="Professional Services  &amp; Consulting"/>
    <s v="Small (11-200)"/>
    <s v="Sarah Davis"/>
    <d v="2024-01-28T00:00:00"/>
    <s v="SAAS"/>
    <x v="2"/>
    <x v="2"/>
    <m/>
    <m/>
    <n v="1289"/>
    <n v="60"/>
    <d v="2024-07-25T00:00:00"/>
    <m/>
  </r>
  <r>
    <x v="389"/>
    <s v="France"/>
    <s v="48.864716"/>
    <s v="2.349014"/>
    <s v="Construction &amp; Engineering"/>
    <s v="Small (11-200)"/>
    <s v="John Smith"/>
    <d v="2024-05-31T00:00:00"/>
    <s v="Custom solution"/>
    <x v="2"/>
    <x v="2"/>
    <m/>
    <m/>
    <n v="250"/>
    <n v="20"/>
    <d v="2025-01-02T00:00:00"/>
    <m/>
  </r>
  <r>
    <x v="390"/>
    <s v="France"/>
    <s v="48.864716"/>
    <s v="2.349014"/>
    <s v="IT &amp; IT Services"/>
    <s v="Small (11-200)"/>
    <s v="David Wilson"/>
    <d v="2024-02-05T00:00:00"/>
    <s v="Services"/>
    <x v="2"/>
    <x v="2"/>
    <m/>
    <m/>
    <n v="657"/>
    <n v="40"/>
    <d v="2024-04-23T00:00:00"/>
    <m/>
  </r>
  <r>
    <x v="391"/>
    <s v="Germany"/>
    <s v="52.520008"/>
    <s v="13.404954"/>
    <s v="Professional Services  &amp; Consulting"/>
    <s v="Small (11-200)"/>
    <s v="Sarah Davis"/>
    <d v="2024-01-18T00:00:00"/>
    <s v="Services"/>
    <x v="2"/>
    <x v="2"/>
    <m/>
    <m/>
    <n v="1258"/>
    <n v="60"/>
    <d v="2024-06-01T00:00:00"/>
    <m/>
  </r>
  <r>
    <x v="392"/>
    <s v="Portugal"/>
    <s v="38.736946"/>
    <s v="-9.142685"/>
    <s v="Education &amp; Science"/>
    <s v="Small (11-200)"/>
    <s v="Jessica Martinez"/>
    <d v="2024-05-03T00:00:00"/>
    <s v="Services"/>
    <x v="2"/>
    <x v="2"/>
    <m/>
    <m/>
    <n v="360"/>
    <n v="30"/>
    <d v="2024-06-22T00:00:00"/>
    <m/>
  </r>
  <r>
    <x v="393"/>
    <s v="France"/>
    <s v="48.864716"/>
    <s v="2.349014"/>
    <s v="Entertainment &amp; Media &amp; Hospitality"/>
    <s v="Small (11-200)"/>
    <s v="Michael Brown"/>
    <d v="2024-04-18T00:00:00"/>
    <s v="SAAS"/>
    <x v="2"/>
    <x v="2"/>
    <m/>
    <m/>
    <n v="1626"/>
    <n v="50"/>
    <d v="2024-08-14T00:00:00"/>
    <m/>
  </r>
  <r>
    <x v="394"/>
    <s v="Italy"/>
    <s v="41.902782"/>
    <s v="12.496366"/>
    <s v="Recreation &amp; Sports"/>
    <s v="Small (11-200)"/>
    <s v="Jessica Martinez"/>
    <d v="2024-02-15T00:00:00"/>
    <s v="SAAS"/>
    <x v="2"/>
    <x v="2"/>
    <m/>
    <m/>
    <n v="472"/>
    <n v="50"/>
    <d v="2024-10-06T00:00:00"/>
    <m/>
  </r>
  <r>
    <x v="395"/>
    <s v="Austria"/>
    <s v="48.210033"/>
    <s v="16.363449"/>
    <s v="Transportation &amp; Logistics"/>
    <s v="Small (11-200)"/>
    <s v="Emily Johnson"/>
    <d v="2024-05-08T00:00:00"/>
    <s v="Services"/>
    <x v="2"/>
    <x v="2"/>
    <m/>
    <m/>
    <n v="727"/>
    <n v="40"/>
    <d v="2024-10-20T00:00:00"/>
    <m/>
  </r>
  <r>
    <x v="396"/>
    <s v="Switzerland"/>
    <s v="46.204391"/>
    <s v="6.143158"/>
    <s v="Government Administration Healthcare"/>
    <s v="Small (11-200)"/>
    <s v="Jessica Martinez"/>
    <d v="2024-01-29T00:00:00"/>
    <s v="Custom solution"/>
    <x v="2"/>
    <x v="2"/>
    <m/>
    <m/>
    <n v="1801"/>
    <n v="90"/>
    <d v="2024-07-03T00:00:00"/>
    <m/>
  </r>
  <r>
    <x v="397"/>
    <s v="Switzerland"/>
    <s v="46.204391"/>
    <s v="6.143158"/>
    <s v="Manufacturing &amp; Production"/>
    <s v="Micro (1-10)"/>
    <s v="Laura Thompson"/>
    <d v="2024-03-19T00:00:00"/>
    <s v="SAAS"/>
    <x v="2"/>
    <x v="2"/>
    <m/>
    <m/>
    <n v="926"/>
    <n v="30"/>
    <d v="2025-02-25T00:00:00"/>
    <m/>
  </r>
  <r>
    <x v="398"/>
    <s v="Italy"/>
    <s v="41.902782"/>
    <s v="12.496366"/>
    <s v="Telecommunications"/>
    <s v="Micro (1-10)"/>
    <s v="Laura Thompson"/>
    <d v="2024-03-04T00:00:00"/>
    <s v="Services"/>
    <x v="2"/>
    <x v="2"/>
    <m/>
    <m/>
    <n v="438"/>
    <n v="30"/>
    <d v="2024-08-01T00:00:00"/>
    <m/>
  </r>
  <r>
    <x v="399"/>
    <s v="Italy"/>
    <s v="41.902782"/>
    <s v="12.496366"/>
    <s v="Recreation &amp; Sports"/>
    <s v="Micro (1-10)"/>
    <s v="Jessica Martinez"/>
    <d v="2024-01-05T00:00:00"/>
    <s v="Services"/>
    <x v="2"/>
    <x v="2"/>
    <m/>
    <m/>
    <n v="577"/>
    <n v="30"/>
    <d v="2024-06-29T00:00:00"/>
    <m/>
  </r>
  <r>
    <x v="400"/>
    <s v="Germany"/>
    <s v="52.520008"/>
    <s v="13.404954"/>
    <s v="Professional Services  &amp; Consulting"/>
    <s v="Micro (1-10)"/>
    <s v="Michael Brown"/>
    <d v="2024-03-18T00:00:00"/>
    <s v="Services"/>
    <x v="2"/>
    <x v="2"/>
    <m/>
    <m/>
    <n v="530"/>
    <n v="40"/>
    <d v="2025-01-27T00:00:00"/>
    <m/>
  </r>
  <r>
    <x v="401"/>
    <s v="Austria"/>
    <s v="48.210033"/>
    <s v="16.363449"/>
    <s v="Telecommunications"/>
    <s v="Micro (1-10)"/>
    <s v="Michael Brown"/>
    <d v="2024-01-02T00:00:00"/>
    <s v="SAAS"/>
    <x v="2"/>
    <x v="2"/>
    <m/>
    <m/>
    <n v="696"/>
    <n v="60"/>
    <d v="2024-12-18T00:00:00"/>
    <m/>
  </r>
  <r>
    <x v="402"/>
    <s v="Belgium"/>
    <s v="51.260197"/>
    <s v="4.402771"/>
    <s v="Banking and Finance"/>
    <s v="Micro (1-10)"/>
    <s v="Laura Thompson"/>
    <d v="2024-04-29T00:00:00"/>
    <s v="SAAS"/>
    <x v="2"/>
    <x v="2"/>
    <m/>
    <m/>
    <n v="214"/>
    <n v="20"/>
    <d v="2024-05-21T00:00:00"/>
    <m/>
  </r>
  <r>
    <x v="403"/>
    <s v="Italy"/>
    <s v="41.902782"/>
    <s v="12.496366"/>
    <s v="Agriculture &amp; Mining"/>
    <s v="Micro (1-10)"/>
    <s v="Sarah Davis"/>
    <d v="2024-04-16T00:00:00"/>
    <s v="SAAS"/>
    <x v="2"/>
    <x v="2"/>
    <m/>
    <m/>
    <n v="744"/>
    <n v="30"/>
    <d v="2024-12-22T00:00:00"/>
    <m/>
  </r>
  <r>
    <x v="404"/>
    <s v="Belgium"/>
    <s v="51.260197"/>
    <s v="4.402771"/>
    <s v="Energy &amp; Utilities"/>
    <s v="Micro (1-10)"/>
    <s v="Jessica Martinez"/>
    <d v="2024-02-14T00:00:00"/>
    <s v="Services"/>
    <x v="2"/>
    <x v="2"/>
    <m/>
    <m/>
    <n v="368"/>
    <n v="50"/>
    <d v="2024-07-23T00:00:00"/>
    <m/>
  </r>
  <r>
    <x v="405"/>
    <s v="Netherlands"/>
    <s v="52.370216"/>
    <s v="4.895168"/>
    <s v="Banking and Finance"/>
    <s v="Micro (1-10)"/>
    <s v="Kevin Anderson"/>
    <d v="2024-04-15T00:00:00"/>
    <s v="Services"/>
    <x v="2"/>
    <x v="2"/>
    <m/>
    <m/>
    <n v="963"/>
    <n v="30"/>
    <d v="2024-11-20T00:00:00"/>
    <m/>
  </r>
  <r>
    <x v="406"/>
    <s v="Germany"/>
    <s v="52.520008"/>
    <s v="13.404954"/>
    <s v="Transportation &amp; Logistics"/>
    <s v="Micro (1-10)"/>
    <s v="Laura Thompson"/>
    <d v="2024-05-08T00:00:00"/>
    <s v="Services"/>
    <x v="2"/>
    <x v="2"/>
    <m/>
    <m/>
    <n v="960"/>
    <n v="50"/>
    <d v="2025-02-12T00:00:00"/>
    <m/>
  </r>
  <r>
    <x v="407"/>
    <s v="France"/>
    <s v="48.864716"/>
    <s v="2.349014"/>
    <s v="Entertainment &amp; Media &amp; Hospitality"/>
    <s v="Micro (1-10)"/>
    <s v="Michael Brown"/>
    <d v="2024-04-20T00:00:00"/>
    <s v="SAAS"/>
    <x v="2"/>
    <x v="2"/>
    <m/>
    <m/>
    <n v="1053"/>
    <n v="10"/>
    <d v="2024-08-29T00:00:00"/>
    <m/>
  </r>
  <r>
    <x v="408"/>
    <s v="Switzerland"/>
    <s v="46.204391"/>
    <s v="6.143158"/>
    <s v="Manufacturing &amp; Production"/>
    <s v="Micro (1-10)"/>
    <s v="Sarah Davis"/>
    <d v="2024-05-13T00:00:00"/>
    <s v="SAAS"/>
    <x v="2"/>
    <x v="2"/>
    <m/>
    <m/>
    <n v="1035"/>
    <n v="50"/>
    <d v="2025-01-05T00:00:00"/>
    <m/>
  </r>
  <r>
    <x v="409"/>
    <s v="France"/>
    <s v="48.864716"/>
    <s v="2.349014"/>
    <s v="Recreation &amp; Sports"/>
    <s v="Micro (1-10)"/>
    <s v="David Wilson"/>
    <d v="2024-04-03T00:00:00"/>
    <s v="SAAS"/>
    <x v="2"/>
    <x v="2"/>
    <m/>
    <m/>
    <n v="951"/>
    <n v="50"/>
    <d v="2025-03-02T00:00:00"/>
    <m/>
  </r>
  <r>
    <x v="410"/>
    <s v="Switzerland"/>
    <s v="46.204391"/>
    <s v="6.143158"/>
    <s v="Government Administration Healthcare"/>
    <s v="Micro (1-10)"/>
    <s v="Laura Thompson"/>
    <d v="2024-05-05T00:00:00"/>
    <s v="SAAS"/>
    <x v="2"/>
    <x v="2"/>
    <m/>
    <m/>
    <n v="788"/>
    <n v="20"/>
    <d v="2025-03-02T00:00:00"/>
    <m/>
  </r>
  <r>
    <x v="411"/>
    <s v="France"/>
    <s v="48.864716"/>
    <s v="2.349014"/>
    <s v="Banking and Finance"/>
    <s v="Micro (1-10)"/>
    <s v="Laura Thompson"/>
    <d v="2024-01-23T00:00:00"/>
    <s v="Custom solution"/>
    <x v="2"/>
    <x v="2"/>
    <m/>
    <m/>
    <n v="674"/>
    <n v="50"/>
    <d v="2024-06-05T00:00:00"/>
    <m/>
  </r>
  <r>
    <x v="412"/>
    <s v="France"/>
    <s v="48.864716"/>
    <s v="2.349014"/>
    <s v="Construction &amp; Engineering"/>
    <s v="Micro (1-10)"/>
    <s v="John Smith"/>
    <d v="2024-01-28T00:00:00"/>
    <s v="Services"/>
    <x v="2"/>
    <x v="2"/>
    <m/>
    <m/>
    <n v="1140"/>
    <n v="20"/>
    <d v="2024-03-07T00:00:00"/>
    <m/>
  </r>
  <r>
    <x v="413"/>
    <s v="Switzerland"/>
    <s v="46.204391"/>
    <s v="6.143158"/>
    <s v="Telecommunications"/>
    <s v="Micro (1-10)"/>
    <s v="Kevin Anderson"/>
    <d v="2024-04-22T00:00:00"/>
    <s v="Services"/>
    <x v="2"/>
    <x v="2"/>
    <m/>
    <m/>
    <n v="1087"/>
    <n v="90"/>
    <d v="2024-11-02T00:00:00"/>
    <m/>
  </r>
  <r>
    <x v="414"/>
    <s v="Italy"/>
    <s v="41.902782"/>
    <s v="12.496366"/>
    <s v="Education &amp; Science"/>
    <s v="Micro (1-10)"/>
    <s v="Michael Brown"/>
    <d v="2024-05-03T00:00:00"/>
    <s v="Services"/>
    <x v="2"/>
    <x v="2"/>
    <m/>
    <m/>
    <n v="1110"/>
    <n v="30"/>
    <d v="2024-12-30T00:00:00"/>
    <m/>
  </r>
  <r>
    <x v="415"/>
    <s v="France"/>
    <s v="48.864716"/>
    <s v="2.349014"/>
    <s v="Transportation &amp; Logistics"/>
    <s v="Micro (1-10)"/>
    <s v="Kevin Anderson"/>
    <d v="2024-02-07T00:00:00"/>
    <s v="SAAS"/>
    <x v="2"/>
    <x v="2"/>
    <m/>
    <m/>
    <n v="885"/>
    <n v="70"/>
    <d v="2024-04-24T00:00:00"/>
    <m/>
  </r>
  <r>
    <x v="416"/>
    <s v="France"/>
    <s v="48.864716"/>
    <s v="2.349014"/>
    <s v="Transportation &amp; Logistics"/>
    <s v="Micro (1-10)"/>
    <s v="Michael Brown"/>
    <d v="2024-01-23T00:00:00"/>
    <s v="SAAS"/>
    <x v="2"/>
    <x v="2"/>
    <m/>
    <m/>
    <n v="1174"/>
    <n v="60"/>
    <d v="2025-01-03T00:00:00"/>
    <m/>
  </r>
  <r>
    <x v="417"/>
    <s v="France"/>
    <s v="48.864716"/>
    <s v="2.349014"/>
    <s v="IT &amp; IT Services"/>
    <s v="Micro (1-10)"/>
    <s v="David Wilson"/>
    <d v="2024-02-08T00:00:00"/>
    <s v="SAAS"/>
    <x v="2"/>
    <x v="2"/>
    <m/>
    <m/>
    <n v="350"/>
    <n v="50"/>
    <d v="2024-05-25T00:00:00"/>
    <m/>
  </r>
  <r>
    <x v="418"/>
    <s v="Italy"/>
    <s v="41.902782"/>
    <s v="12.496366"/>
    <s v="Construction &amp; Engineering"/>
    <s v="Micro (1-10)"/>
    <s v="Jessica Martinez"/>
    <d v="2024-04-03T00:00:00"/>
    <s v="Services"/>
    <x v="2"/>
    <x v="2"/>
    <m/>
    <m/>
    <n v="552"/>
    <n v="30"/>
    <d v="2025-01-10T00:00:00"/>
    <m/>
  </r>
  <r>
    <x v="419"/>
    <s v="Portugal"/>
    <s v="38.736946"/>
    <s v="-9.142685"/>
    <s v="Professional Services  &amp; Consulting"/>
    <s v="Micro (1-10)"/>
    <s v="David Wilson"/>
    <d v="2024-05-19T00:00:00"/>
    <s v="Custom solution"/>
    <x v="2"/>
    <x v="2"/>
    <m/>
    <m/>
    <n v="595"/>
    <n v="40"/>
    <d v="2024-12-23T00:00:00"/>
    <m/>
  </r>
  <r>
    <x v="420"/>
    <s v="Italy"/>
    <s v="41.902782"/>
    <s v="12.496366"/>
    <s v="Transportation &amp; Logistics"/>
    <s v="Micro (1-10)"/>
    <s v="Michael Brown"/>
    <d v="2024-05-14T00:00:00"/>
    <s v="SAAS"/>
    <x v="2"/>
    <x v="2"/>
    <m/>
    <m/>
    <n v="341"/>
    <n v="90"/>
    <d v="2025-03-24T00:00:00"/>
    <m/>
  </r>
  <r>
    <x v="421"/>
    <s v="Switzerland"/>
    <s v="46.204391"/>
    <s v="6.143158"/>
    <s v="Education &amp; Science"/>
    <s v="Micro (1-10)"/>
    <s v="Sarah Davis"/>
    <d v="2024-03-06T00:00:00"/>
    <s v="SAAS"/>
    <x v="2"/>
    <x v="2"/>
    <m/>
    <m/>
    <n v="586"/>
    <n v="100"/>
    <d v="2025-03-03T00:00:00"/>
    <m/>
  </r>
  <r>
    <x v="422"/>
    <s v="Italy"/>
    <s v="41.902782"/>
    <s v="12.496366"/>
    <s v="Manufacturing &amp; Production"/>
    <s v="Micro (1-10)"/>
    <s v="Sarah Davis"/>
    <d v="2024-01-18T00:00:00"/>
    <s v="Services"/>
    <x v="2"/>
    <x v="2"/>
    <m/>
    <m/>
    <n v="798"/>
    <n v="20"/>
    <d v="2024-12-26T00:00:00"/>
    <m/>
  </r>
  <r>
    <x v="423"/>
    <s v="Switzerland"/>
    <s v="46.204391"/>
    <s v="6.143158"/>
    <s v="Construction &amp; Engineering"/>
    <s v="Micro (1-10)"/>
    <s v="Sarah Davis"/>
    <d v="2024-04-15T00:00:00"/>
    <s v="SAAS"/>
    <x v="2"/>
    <x v="2"/>
    <m/>
    <m/>
    <n v="1038"/>
    <n v="50"/>
    <d v="2025-03-03T00:00:00"/>
    <m/>
  </r>
  <r>
    <x v="424"/>
    <s v="France"/>
    <s v="48.864716"/>
    <s v="2.349014"/>
    <s v="Recreation &amp; Sports"/>
    <s v="Micro (1-10)"/>
    <s v="Laura Thompson"/>
    <d v="2024-02-14T00:00:00"/>
    <s v="Custom solution"/>
    <x v="2"/>
    <x v="2"/>
    <m/>
    <m/>
    <n v="461"/>
    <n v="40"/>
    <d v="2024-08-16T00:00:00"/>
    <m/>
  </r>
  <r>
    <x v="425"/>
    <s v="Austria"/>
    <s v="48.210033"/>
    <s v="16.363449"/>
    <s v="Recreation &amp; Sports"/>
    <s v="Micro (1-10)"/>
    <s v="Jessica Martinez"/>
    <d v="2024-04-28T00:00:00"/>
    <s v="SAAS"/>
    <x v="2"/>
    <x v="2"/>
    <m/>
    <m/>
    <n v="726"/>
    <n v="40"/>
    <d v="2024-06-18T00:00:00"/>
    <m/>
  </r>
  <r>
    <x v="426"/>
    <s v="Italy"/>
    <s v="41.902782"/>
    <s v="12.496366"/>
    <s v="IT &amp; IT Services"/>
    <s v="Micro (1-10)"/>
    <s v="Michael Brown"/>
    <d v="2024-03-17T00:00:00"/>
    <s v="SAAS"/>
    <x v="2"/>
    <x v="2"/>
    <m/>
    <m/>
    <n v="830"/>
    <n v="60"/>
    <d v="2024-09-02T00:00:00"/>
    <m/>
  </r>
  <r>
    <x v="427"/>
    <s v="Germany"/>
    <s v="52.520008"/>
    <s v="13.404954"/>
    <s v="Telecommunications"/>
    <s v="Micro (1-10)"/>
    <s v="Michael Brown"/>
    <d v="2024-01-13T00:00:00"/>
    <s v="SAAS"/>
    <x v="2"/>
    <x v="2"/>
    <m/>
    <m/>
    <n v="278"/>
    <n v="50"/>
    <d v="2024-12-09T00:00:00"/>
    <m/>
  </r>
  <r>
    <x v="428"/>
    <s v="Germany"/>
    <s v="52.520008"/>
    <s v="13.404954"/>
    <s v="Entertainment &amp; Media &amp; Hospitality"/>
    <s v="Micro (1-10)"/>
    <s v="Laura Thompson"/>
    <d v="2024-04-21T00:00:00"/>
    <s v="Services"/>
    <x v="2"/>
    <x v="2"/>
    <m/>
    <m/>
    <n v="958"/>
    <n v="70"/>
    <d v="2025-01-28T00:00:00"/>
    <m/>
  </r>
  <r>
    <x v="429"/>
    <s v="Portugal"/>
    <s v="38.736946"/>
    <s v="-9.142685"/>
    <s v="Telecommunications"/>
    <s v="Micro (1-10)"/>
    <s v="Jessica Martinez"/>
    <d v="2024-03-25T00:00:00"/>
    <s v="SAAS"/>
    <x v="2"/>
    <x v="2"/>
    <m/>
    <m/>
    <n v="926"/>
    <n v="20"/>
    <d v="2025-01-09T00:00:00"/>
    <m/>
  </r>
  <r>
    <x v="430"/>
    <s v="Portugal"/>
    <s v="38.736946"/>
    <s v="-9.142685"/>
    <s v="Education &amp; Science"/>
    <s v="Micro (1-10)"/>
    <s v="David Wilson"/>
    <d v="2024-01-07T00:00:00"/>
    <s v="SAAS"/>
    <x v="2"/>
    <x v="2"/>
    <m/>
    <m/>
    <n v="620"/>
    <n v="70"/>
    <d v="2024-08-04T00:00:00"/>
    <m/>
  </r>
  <r>
    <x v="431"/>
    <s v="Austria"/>
    <s v="48.210033"/>
    <s v="16.363449"/>
    <s v="Professional Services  &amp; Consulting"/>
    <s v="Micro (1-10)"/>
    <s v="Laura Thompson"/>
    <d v="2024-04-10T00:00:00"/>
    <s v="SAAS"/>
    <x v="2"/>
    <x v="2"/>
    <m/>
    <m/>
    <n v="636"/>
    <n v="60"/>
    <d v="2025-04-03T00:00:00"/>
    <m/>
  </r>
  <r>
    <x v="432"/>
    <s v="Austria"/>
    <s v="48.210033"/>
    <s v="16.363449"/>
    <s v="Professional Services  &amp; Consulting"/>
    <s v="Micro (1-10)"/>
    <s v="Michael Brown"/>
    <d v="2024-01-22T00:00:00"/>
    <s v="Services"/>
    <x v="2"/>
    <x v="2"/>
    <m/>
    <m/>
    <n v="982"/>
    <n v="50"/>
    <d v="2024-10-12T00:00:00"/>
    <m/>
  </r>
  <r>
    <x v="433"/>
    <s v="Austria"/>
    <s v="48.210033"/>
    <s v="16.363449"/>
    <s v="Banking and Finance"/>
    <s v="Micro (1-10)"/>
    <s v="Laura Thompson"/>
    <d v="2024-01-24T00:00:00"/>
    <s v="Services"/>
    <x v="2"/>
    <x v="2"/>
    <m/>
    <m/>
    <n v="982"/>
    <n v="60"/>
    <d v="2024-08-14T00:00:00"/>
    <m/>
  </r>
  <r>
    <x v="434"/>
    <s v="Germany"/>
    <s v="52.520008"/>
    <s v="13.404954"/>
    <s v="Entertainment &amp; Media &amp; Hospitality"/>
    <s v="Micro (1-10)"/>
    <s v="John Smith"/>
    <d v="2024-03-08T00:00:00"/>
    <s v="Services"/>
    <x v="2"/>
    <x v="2"/>
    <m/>
    <m/>
    <n v="367"/>
    <n v="100"/>
    <d v="2024-12-28T00:00:00"/>
    <m/>
  </r>
  <r>
    <x v="435"/>
    <s v="Italy"/>
    <s v="41.902782"/>
    <s v="12.496366"/>
    <s v="Banking and Finance"/>
    <s v="Micro (1-10)"/>
    <s v="Laura Thompson"/>
    <d v="2024-01-06T00:00:00"/>
    <s v="SAAS"/>
    <x v="2"/>
    <x v="2"/>
    <m/>
    <m/>
    <n v="1098"/>
    <n v="40"/>
    <d v="2024-04-24T00:00:00"/>
    <m/>
  </r>
  <r>
    <x v="436"/>
    <s v="Germany"/>
    <s v="52.520008"/>
    <s v="13.404954"/>
    <s v="Transportation &amp; Logistics"/>
    <s v="Micro (1-10)"/>
    <s v="David Wilson"/>
    <d v="2024-04-22T00:00:00"/>
    <s v="Custom solution"/>
    <x v="2"/>
    <x v="2"/>
    <m/>
    <m/>
    <n v="664"/>
    <n v="20"/>
    <d v="2024-12-29T00:00:00"/>
    <m/>
  </r>
  <r>
    <x v="437"/>
    <s v="Portugal"/>
    <s v="38.736946"/>
    <s v="-9.142685"/>
    <s v="Energy &amp; Utilities"/>
    <s v="Micro (1-10)"/>
    <s v="David Wilson"/>
    <d v="2024-05-22T00:00:00"/>
    <s v="Services"/>
    <x v="2"/>
    <x v="2"/>
    <m/>
    <m/>
    <n v="990"/>
    <n v="70"/>
    <d v="2025-01-03T00:00:00"/>
    <m/>
  </r>
  <r>
    <x v="438"/>
    <s v="France"/>
    <s v="48.864716"/>
    <s v="2.349014"/>
    <s v="Transportation &amp; Logistics"/>
    <s v="Micro (1-10)"/>
    <s v="Michael Brown"/>
    <d v="2024-01-21T00:00:00"/>
    <s v="Custom solution"/>
    <x v="2"/>
    <x v="2"/>
    <m/>
    <m/>
    <n v="1162"/>
    <n v="40"/>
    <d v="2024-04-18T00:00:00"/>
    <m/>
  </r>
  <r>
    <x v="439"/>
    <s v="Switzerland"/>
    <s v="46.204391"/>
    <s v="6.143158"/>
    <s v="Professional Services  &amp; Consulting"/>
    <s v="Medium (201-500)"/>
    <s v="Laura Thompson"/>
    <d v="2024-02-21T00:00:00"/>
    <s v="SAAS"/>
    <x v="2"/>
    <x v="2"/>
    <m/>
    <m/>
    <n v="3506"/>
    <n v="40"/>
    <d v="2025-02-16T00:00:00"/>
    <m/>
  </r>
  <r>
    <x v="440"/>
    <s v="Italy"/>
    <s v="41.902782"/>
    <s v="12.496366"/>
    <s v="Professional Services  &amp; Consulting"/>
    <s v="Medium (201-500)"/>
    <s v="John Smith"/>
    <d v="2024-05-08T00:00:00"/>
    <s v="SAAS"/>
    <x v="2"/>
    <x v="2"/>
    <m/>
    <m/>
    <n v="289"/>
    <n v="40"/>
    <d v="2024-08-13T00:00:00"/>
    <m/>
  </r>
  <r>
    <x v="441"/>
    <s v="Switzerland"/>
    <s v="46.204391"/>
    <s v="6.143158"/>
    <s v="Agriculture &amp; Mining"/>
    <s v="Medium (201-500)"/>
    <s v="Laura Thompson"/>
    <d v="2024-05-14T00:00:00"/>
    <s v="Services"/>
    <x v="2"/>
    <x v="2"/>
    <m/>
    <m/>
    <n v="6754"/>
    <n v="30"/>
    <d v="2024-06-05T00:00:00"/>
    <m/>
  </r>
  <r>
    <x v="442"/>
    <s v="Italy"/>
    <s v="41.902782"/>
    <s v="12.496366"/>
    <s v="Education &amp; Science"/>
    <s v="Medium (201-500)"/>
    <s v="Sarah Davis"/>
    <d v="2024-03-12T00:00:00"/>
    <s v="Services"/>
    <x v="2"/>
    <x v="2"/>
    <m/>
    <m/>
    <n v="6897"/>
    <n v="40"/>
    <d v="2025-01-13T00:00:00"/>
    <m/>
  </r>
  <r>
    <x v="443"/>
    <s v="Portugal"/>
    <s v="38.736946"/>
    <s v="-9.142685"/>
    <s v="Agriculture &amp; Mining"/>
    <s v="Medium (201-500)"/>
    <s v="David Wilson"/>
    <d v="2024-05-03T00:00:00"/>
    <s v="SAAS"/>
    <x v="2"/>
    <x v="2"/>
    <m/>
    <m/>
    <n v="1437"/>
    <n v="50"/>
    <d v="2025-03-20T00:00:00"/>
    <m/>
  </r>
  <r>
    <x v="444"/>
    <s v="Spain"/>
    <s v="40.416775"/>
    <s v="-3.703790"/>
    <s v="Recreation &amp; Sports"/>
    <s v="Medium (201-500)"/>
    <s v="David Wilson"/>
    <d v="2024-04-24T00:00:00"/>
    <s v="Services"/>
    <x v="2"/>
    <x v="2"/>
    <m/>
    <m/>
    <n v="3994"/>
    <n v="30"/>
    <d v="2025-02-13T00:00:00"/>
    <m/>
  </r>
  <r>
    <x v="445"/>
    <s v="Italy"/>
    <s v="41.902782"/>
    <s v="12.496366"/>
    <s v="Retail &amp; Distribution"/>
    <s v="Medium (201-500)"/>
    <s v="Emily Johnson"/>
    <d v="2024-01-24T00:00:00"/>
    <s v="Custom solution"/>
    <x v="2"/>
    <x v="2"/>
    <m/>
    <m/>
    <n v="5221"/>
    <n v="40"/>
    <d v="2024-10-06T00:00:00"/>
    <m/>
  </r>
  <r>
    <x v="446"/>
    <s v="Spain"/>
    <s v="40.416775"/>
    <s v="-3.703790"/>
    <s v="Professional Services  &amp; Consulting"/>
    <s v="Medium (201-500)"/>
    <s v="David Wilson"/>
    <d v="2024-05-16T00:00:00"/>
    <s v="Services"/>
    <x v="2"/>
    <x v="2"/>
    <m/>
    <m/>
    <n v="3292"/>
    <n v="60"/>
    <d v="2025-04-01T00:00:00"/>
    <m/>
  </r>
  <r>
    <x v="447"/>
    <s v="Austria"/>
    <s v="48.210033"/>
    <s v="16.363449"/>
    <s v="Banking and Finance"/>
    <s v="Medium (201-500)"/>
    <s v="John Smith"/>
    <d v="2024-03-19T00:00:00"/>
    <s v="SAAS"/>
    <x v="2"/>
    <x v="2"/>
    <m/>
    <m/>
    <n v="5877"/>
    <n v="50"/>
    <d v="2024-12-05T00:00:00"/>
    <m/>
  </r>
  <r>
    <x v="448"/>
    <s v="Portugal"/>
    <s v="38.736946"/>
    <s v="-9.142685"/>
    <s v="IT &amp; IT Services"/>
    <s v="Medium (201-500)"/>
    <s v="Jessica Martinez"/>
    <d v="2024-04-18T00:00:00"/>
    <s v="Services"/>
    <x v="2"/>
    <x v="2"/>
    <m/>
    <m/>
    <n v="7026"/>
    <n v="40"/>
    <d v="2024-11-07T00:00:00"/>
    <m/>
  </r>
  <r>
    <x v="449"/>
    <s v="Belgium"/>
    <s v="51.260197"/>
    <s v="4.402771"/>
    <s v="Banking and Finance"/>
    <s v="Medium (201-500)"/>
    <s v="Emily Johnson"/>
    <d v="2024-02-06T00:00:00"/>
    <s v="Services"/>
    <x v="2"/>
    <x v="2"/>
    <m/>
    <m/>
    <n v="692"/>
    <n v="20"/>
    <d v="2024-04-24T00:00:00"/>
    <m/>
  </r>
  <r>
    <x v="450"/>
    <s v="Belgium"/>
    <s v="51.260197"/>
    <s v="4.402771"/>
    <s v="Government Administration Healthcare"/>
    <s v="Medium (201-500)"/>
    <s v="Michael Brown"/>
    <d v="2024-05-16T00:00:00"/>
    <s v="SAAS"/>
    <x v="2"/>
    <x v="2"/>
    <m/>
    <m/>
    <n v="5158"/>
    <n v="40"/>
    <d v="2024-08-09T00:00:00"/>
    <m/>
  </r>
  <r>
    <x v="451"/>
    <s v="Belgium"/>
    <s v="51.260197"/>
    <s v="4.402771"/>
    <s v="Energy &amp; Utilities"/>
    <s v="Medium (201-500)"/>
    <s v="David Wilson"/>
    <d v="2024-05-08T00:00:00"/>
    <s v="SAAS"/>
    <x v="2"/>
    <x v="2"/>
    <m/>
    <m/>
    <n v="1485"/>
    <n v="60"/>
    <d v="2024-11-03T00:00:00"/>
    <m/>
  </r>
  <r>
    <x v="452"/>
    <s v="Switzerland"/>
    <s v="46.204391"/>
    <s v="6.143158"/>
    <s v="Government Administration Healthcare"/>
    <s v="Medium (201-500)"/>
    <s v="Michael Brown"/>
    <d v="2024-03-08T00:00:00"/>
    <s v="SAAS"/>
    <x v="2"/>
    <x v="2"/>
    <m/>
    <m/>
    <n v="3139"/>
    <n v="90"/>
    <d v="2024-11-13T00:00:00"/>
    <m/>
  </r>
  <r>
    <x v="453"/>
    <s v="Portugal"/>
    <s v="38.736946"/>
    <s v="-9.142685"/>
    <s v="Transportation &amp; Logistics"/>
    <s v="Medium (201-500)"/>
    <s v="Jessica Martinez"/>
    <d v="2024-04-18T00:00:00"/>
    <s v="Custom solution"/>
    <x v="2"/>
    <x v="2"/>
    <m/>
    <m/>
    <n v="7646"/>
    <n v="10"/>
    <d v="2024-11-22T00:00:00"/>
    <m/>
  </r>
  <r>
    <x v="454"/>
    <s v="Belgium"/>
    <s v="51.260197"/>
    <s v="4.402771"/>
    <s v="Transportation &amp; Logistics"/>
    <s v="Medium (201-500)"/>
    <s v="Sarah Davis"/>
    <d v="2024-02-05T00:00:00"/>
    <s v="Services"/>
    <x v="2"/>
    <x v="2"/>
    <m/>
    <m/>
    <n v="7893"/>
    <n v="30"/>
    <d v="2024-04-30T00:00:00"/>
    <m/>
  </r>
  <r>
    <x v="455"/>
    <s v="Italy"/>
    <s v="41.902782"/>
    <s v="12.496366"/>
    <s v="IT &amp; IT Services"/>
    <s v="Medium (201-500)"/>
    <s v="Jessica Martinez"/>
    <d v="2024-01-19T00:00:00"/>
    <s v="Services"/>
    <x v="2"/>
    <x v="2"/>
    <m/>
    <m/>
    <n v="2490"/>
    <n v="30"/>
    <d v="2024-03-03T00:00:00"/>
    <m/>
  </r>
  <r>
    <x v="456"/>
    <s v="Portugal"/>
    <s v="38.736946"/>
    <s v="-9.142685"/>
    <s v="Education &amp; Science"/>
    <s v="Medium (201-500)"/>
    <s v="Michael Brown"/>
    <d v="2024-05-24T00:00:00"/>
    <s v="SAAS"/>
    <x v="2"/>
    <x v="2"/>
    <m/>
    <m/>
    <n v="6309"/>
    <n v="40"/>
    <d v="2024-09-05T00:00:00"/>
    <m/>
  </r>
  <r>
    <x v="457"/>
    <s v="Italy"/>
    <s v="41.902782"/>
    <s v="12.496366"/>
    <s v="Telecommunications"/>
    <s v="Medium (201-500)"/>
    <s v="Michael Brown"/>
    <d v="2024-05-28T00:00:00"/>
    <s v="Services"/>
    <x v="2"/>
    <x v="2"/>
    <m/>
    <m/>
    <n v="7162"/>
    <n v="40"/>
    <d v="2024-07-21T00:00:00"/>
    <m/>
  </r>
  <r>
    <x v="458"/>
    <s v="Switzerland"/>
    <s v="46.204391"/>
    <s v="6.143158"/>
    <s v="Retail &amp; Distribution"/>
    <s v="Medium (201-500)"/>
    <s v="Emily Johnson"/>
    <d v="2024-05-14T00:00:00"/>
    <s v="Services"/>
    <x v="2"/>
    <x v="2"/>
    <m/>
    <m/>
    <n v="6188"/>
    <n v="80"/>
    <d v="2025-01-05T00:00:00"/>
    <m/>
  </r>
  <r>
    <x v="459"/>
    <s v="Italy"/>
    <s v="41.902782"/>
    <s v="12.496366"/>
    <s v="Entertainment &amp; Media &amp; Hospitality"/>
    <s v="Medium (201-500)"/>
    <s v="David Wilson"/>
    <d v="2024-03-08T00:00:00"/>
    <s v="Services"/>
    <x v="2"/>
    <x v="2"/>
    <m/>
    <m/>
    <n v="3823"/>
    <n v="70"/>
    <d v="2024-04-05T00:00:00"/>
    <m/>
  </r>
  <r>
    <x v="460"/>
    <s v="Italy"/>
    <s v="41.902782"/>
    <s v="12.496366"/>
    <s v="IT &amp; IT Services"/>
    <s v="Medium (201-500)"/>
    <s v="Jessica Martinez"/>
    <d v="2024-03-27T00:00:00"/>
    <s v="Custom solution"/>
    <x v="2"/>
    <x v="2"/>
    <m/>
    <m/>
    <n v="6203"/>
    <n v="90"/>
    <d v="2024-09-16T00:00:00"/>
    <m/>
  </r>
  <r>
    <x v="461"/>
    <s v="Spain"/>
    <s v="40.416775"/>
    <s v="-3.703790"/>
    <s v="IT &amp; IT Services"/>
    <s v="Medium (201-500)"/>
    <s v="Emily Johnson"/>
    <d v="2024-03-10T00:00:00"/>
    <s v="Custom solution"/>
    <x v="2"/>
    <x v="2"/>
    <m/>
    <m/>
    <n v="7516"/>
    <n v="40"/>
    <d v="2024-07-28T00:00:00"/>
    <m/>
  </r>
  <r>
    <x v="462"/>
    <s v="Portugal"/>
    <s v="38.736946"/>
    <s v="-9.142685"/>
    <s v="Agriculture &amp; Mining"/>
    <s v="Medium (201-500)"/>
    <s v="Sarah Davis"/>
    <d v="2024-01-10T00:00:00"/>
    <s v="Custom solution"/>
    <x v="2"/>
    <x v="2"/>
    <m/>
    <m/>
    <n v="7850"/>
    <n v="50"/>
    <d v="2024-05-18T00:00:00"/>
    <m/>
  </r>
  <r>
    <x v="463"/>
    <s v="France"/>
    <s v="48.864716"/>
    <s v="2.349014"/>
    <s v="IT &amp; IT Services"/>
    <s v="Medium (201-500)"/>
    <s v="Kevin Anderson"/>
    <d v="2024-04-24T00:00:00"/>
    <s v="Services"/>
    <x v="2"/>
    <x v="2"/>
    <m/>
    <m/>
    <n v="7065"/>
    <n v="80"/>
    <d v="2025-04-16T00:00:00"/>
    <m/>
  </r>
  <r>
    <x v="464"/>
    <s v="Portugal"/>
    <s v="38.736946"/>
    <s v="-9.142685"/>
    <s v="Recreation &amp; Sports"/>
    <s v="Medium (201-500)"/>
    <s v="Sarah Davis"/>
    <d v="2024-05-19T00:00:00"/>
    <s v="Services"/>
    <x v="2"/>
    <x v="2"/>
    <m/>
    <m/>
    <n v="2090"/>
    <n v="40"/>
    <d v="2025-05-14T00:00:00"/>
    <m/>
  </r>
  <r>
    <x v="465"/>
    <s v="Italy"/>
    <s v="41.902782"/>
    <s v="12.496366"/>
    <s v="Telecommunications"/>
    <s v="Medium (201-500)"/>
    <s v="Michael Brown"/>
    <d v="2024-04-12T00:00:00"/>
    <s v="SAAS"/>
    <x v="2"/>
    <x v="2"/>
    <m/>
    <m/>
    <n v="7110"/>
    <n v="50"/>
    <d v="2025-02-22T00:00:00"/>
    <m/>
  </r>
  <r>
    <x v="466"/>
    <s v="Switzerland"/>
    <s v="46.204391"/>
    <s v="6.143158"/>
    <s v="Retail &amp; Distribution"/>
    <s v="Medium (201-500)"/>
    <s v="David Wilson"/>
    <d v="2024-03-19T00:00:00"/>
    <s v="Services"/>
    <x v="2"/>
    <x v="2"/>
    <m/>
    <m/>
    <n v="7626"/>
    <n v="30"/>
    <d v="2025-02-26T00:00:00"/>
    <m/>
  </r>
  <r>
    <x v="467"/>
    <s v="Netherlands"/>
    <s v="52.370216"/>
    <s v="4.895168"/>
    <s v="Professional Services  &amp; Consulting"/>
    <s v="Medium (201-500)"/>
    <s v="Michael Brown"/>
    <d v="2024-04-03T00:00:00"/>
    <s v="Custom solution"/>
    <x v="2"/>
    <x v="2"/>
    <m/>
    <m/>
    <n v="6993"/>
    <n v="20"/>
    <d v="2024-11-07T00:00:00"/>
    <m/>
  </r>
  <r>
    <x v="468"/>
    <s v="Portugal"/>
    <s v="38.736946"/>
    <s v="-9.142685"/>
    <s v="Energy &amp; Utilities"/>
    <s v="Medium (201-500)"/>
    <s v="Laura Thompson"/>
    <d v="2024-04-15T00:00:00"/>
    <s v="Services"/>
    <x v="2"/>
    <x v="2"/>
    <m/>
    <m/>
    <n v="423"/>
    <n v="60"/>
    <d v="2025-04-09T00:00:00"/>
    <m/>
  </r>
  <r>
    <x v="469"/>
    <s v="Germany"/>
    <s v="52.520008"/>
    <s v="13.404954"/>
    <s v="Banking and Finance"/>
    <s v="Medium (201-500)"/>
    <s v="Michael Brown"/>
    <d v="2024-01-27T00:00:00"/>
    <s v="Custom solution"/>
    <x v="2"/>
    <x v="2"/>
    <m/>
    <m/>
    <n v="4590"/>
    <n v="40"/>
    <d v="2024-07-20T00:00:00"/>
    <m/>
  </r>
  <r>
    <x v="470"/>
    <s v="Belgium"/>
    <s v="51.260197"/>
    <s v="4.402771"/>
    <s v="Entertainment &amp; Media &amp; Hospitality"/>
    <s v="Medium (201-500)"/>
    <s v="John Smith"/>
    <d v="2024-02-23T00:00:00"/>
    <s v="Services"/>
    <x v="2"/>
    <x v="2"/>
    <m/>
    <m/>
    <n v="3253"/>
    <n v="20"/>
    <d v="2024-08-24T00:00:00"/>
    <m/>
  </r>
  <r>
    <x v="471"/>
    <s v="France"/>
    <s v="48.864716"/>
    <s v="2.349014"/>
    <s v="Banking and Finance"/>
    <s v="Medium (201-500)"/>
    <s v="Michael Brown"/>
    <d v="2024-03-16T00:00:00"/>
    <s v="SAAS"/>
    <x v="2"/>
    <x v="2"/>
    <m/>
    <m/>
    <n v="7482"/>
    <n v="40"/>
    <d v="2024-06-25T00:00:00"/>
    <m/>
  </r>
  <r>
    <x v="472"/>
    <s v="France"/>
    <s v="48.864716"/>
    <s v="2.349014"/>
    <s v="IT &amp; IT Services"/>
    <s v="Medium (201-500)"/>
    <s v="John Smith"/>
    <d v="2024-01-17T00:00:00"/>
    <s v="SAAS"/>
    <x v="2"/>
    <x v="2"/>
    <m/>
    <m/>
    <n v="4776"/>
    <n v="30"/>
    <d v="2024-05-22T00:00:00"/>
    <m/>
  </r>
  <r>
    <x v="473"/>
    <s v="Austria"/>
    <s v="48.210033"/>
    <s v="16.363449"/>
    <s v="Banking and Finance"/>
    <s v="Medium (201-500)"/>
    <s v="John Smith"/>
    <d v="2024-02-28T00:00:00"/>
    <s v="Custom solution"/>
    <x v="2"/>
    <x v="2"/>
    <m/>
    <m/>
    <n v="4750"/>
    <n v="40"/>
    <d v="2024-06-15T00:00:00"/>
    <m/>
  </r>
  <r>
    <x v="474"/>
    <s v="France"/>
    <s v="48.864716"/>
    <s v="2.349014"/>
    <s v="IT &amp; IT Services"/>
    <s v="Medium (201-500)"/>
    <s v="Laura Thompson"/>
    <d v="2024-02-25T00:00:00"/>
    <s v="SAAS"/>
    <x v="2"/>
    <x v="2"/>
    <m/>
    <m/>
    <n v="6320"/>
    <n v="50"/>
    <d v="2024-11-06T00:00:00"/>
    <m/>
  </r>
  <r>
    <x v="475"/>
    <s v="Belgium"/>
    <s v="51.260197"/>
    <s v="4.402771"/>
    <s v="Transportation &amp; Logistics"/>
    <s v="Medium (201-500)"/>
    <s v="Laura Thompson"/>
    <d v="2024-05-08T00:00:00"/>
    <s v="Services"/>
    <x v="2"/>
    <x v="2"/>
    <m/>
    <m/>
    <n v="3005"/>
    <n v="20"/>
    <d v="2025-03-05T00:00:00"/>
    <m/>
  </r>
  <r>
    <x v="476"/>
    <s v="Portugal"/>
    <s v="38.736946"/>
    <s v="-9.142685"/>
    <s v="Energy &amp; Utilities"/>
    <s v="Medium (201-500)"/>
    <s v="Michael Brown"/>
    <d v="2024-03-10T00:00:00"/>
    <s v="SAAS"/>
    <x v="2"/>
    <x v="2"/>
    <m/>
    <m/>
    <n v="6130"/>
    <n v="30"/>
    <d v="2024-10-02T00:00:00"/>
    <m/>
  </r>
  <r>
    <x v="477"/>
    <s v="Portugal"/>
    <s v="38.736946"/>
    <s v="-9.142685"/>
    <s v="Education &amp; Science"/>
    <s v="Medium (201-500)"/>
    <s v="Jessica Martinez"/>
    <d v="2024-03-18T00:00:00"/>
    <s v="SAAS"/>
    <x v="2"/>
    <x v="2"/>
    <m/>
    <m/>
    <n v="6360"/>
    <n v="60"/>
    <d v="2024-10-18T00:00:00"/>
    <m/>
  </r>
  <r>
    <x v="478"/>
    <s v="Italy"/>
    <s v="41.902782"/>
    <s v="12.496366"/>
    <s v="Manufacturing &amp; Production"/>
    <s v="Medium (201-500)"/>
    <s v="Michael Brown"/>
    <d v="2024-02-13T00:00:00"/>
    <s v="SAAS"/>
    <x v="2"/>
    <x v="2"/>
    <m/>
    <m/>
    <n v="3613"/>
    <n v="30"/>
    <d v="2025-01-24T00:00:00"/>
    <m/>
  </r>
  <r>
    <x v="479"/>
    <s v="Austria"/>
    <s v="48.210033"/>
    <s v="16.363449"/>
    <s v="IT &amp; IT Services"/>
    <s v="Medium (201-500)"/>
    <s v="Jessica Martinez"/>
    <d v="2024-02-05T00:00:00"/>
    <s v="SAAS"/>
    <x v="2"/>
    <x v="2"/>
    <m/>
    <m/>
    <n v="3494"/>
    <n v="10"/>
    <d v="2024-08-11T00:00:00"/>
    <m/>
  </r>
  <r>
    <x v="480"/>
    <s v="Italy"/>
    <s v="41.902782"/>
    <s v="12.496366"/>
    <s v="Recreation &amp; Sports"/>
    <s v="Medium (201-500)"/>
    <s v="Michael Brown"/>
    <d v="2024-01-11T00:00:00"/>
    <s v="Services"/>
    <x v="2"/>
    <x v="2"/>
    <m/>
    <m/>
    <n v="7581"/>
    <n v="50"/>
    <d v="2024-12-04T00:00:00"/>
    <m/>
  </r>
  <r>
    <x v="481"/>
    <s v="France"/>
    <s v="48.864716"/>
    <s v="2.349014"/>
    <s v="Professional Services  &amp; Consulting"/>
    <s v="Medium (201-500)"/>
    <s v="John Smith"/>
    <d v="2024-04-23T00:00:00"/>
    <s v="SAAS"/>
    <x v="2"/>
    <x v="2"/>
    <m/>
    <m/>
    <n v="5827"/>
    <n v="30"/>
    <d v="2025-03-21T00:00:00"/>
    <m/>
  </r>
  <r>
    <x v="482"/>
    <s v="Portugal"/>
    <s v="38.736946"/>
    <s v="-9.142685"/>
    <s v="Manufacturing &amp; Production"/>
    <s v="Medium (201-500)"/>
    <s v="Laura Thompson"/>
    <d v="2024-04-24T00:00:00"/>
    <s v="Services"/>
    <x v="2"/>
    <x v="2"/>
    <m/>
    <m/>
    <n v="7754"/>
    <n v="50"/>
    <d v="2025-01-25T00:00:00"/>
    <m/>
  </r>
  <r>
    <x v="483"/>
    <s v="Netherlands"/>
    <s v="52.370216"/>
    <s v="4.895168"/>
    <s v="Banking and Finance"/>
    <s v="Medium (201-500)"/>
    <s v="Jessica Martinez"/>
    <d v="2024-04-19T00:00:00"/>
    <s v="Services"/>
    <x v="2"/>
    <x v="2"/>
    <m/>
    <m/>
    <n v="542"/>
    <n v="10"/>
    <d v="2024-06-05T00:00:00"/>
    <m/>
  </r>
  <r>
    <x v="484"/>
    <s v="France"/>
    <s v="48.864716"/>
    <s v="2.349014"/>
    <s v="Banking and Finance"/>
    <s v="Medium (201-500)"/>
    <s v="Michael Brown"/>
    <d v="2024-05-12T00:00:00"/>
    <s v="SAAS"/>
    <x v="2"/>
    <x v="2"/>
    <m/>
    <m/>
    <n v="5161"/>
    <n v="40"/>
    <d v="2024-09-16T00:00:00"/>
    <m/>
  </r>
  <r>
    <x v="485"/>
    <s v="Italy"/>
    <s v="41.902782"/>
    <s v="12.496366"/>
    <s v="Professional Services  &amp; Consulting"/>
    <s v="Medium (201-500)"/>
    <s v="John Smith"/>
    <d v="2024-04-26T00:00:00"/>
    <s v="Services"/>
    <x v="2"/>
    <x v="2"/>
    <m/>
    <m/>
    <n v="860"/>
    <n v="30"/>
    <d v="2025-04-03T00:00:00"/>
    <m/>
  </r>
  <r>
    <x v="486"/>
    <s v="Switzerland"/>
    <s v="46.204391"/>
    <s v="6.143158"/>
    <s v="Energy &amp; Utilities"/>
    <s v="Medium (201-500)"/>
    <s v="Sarah Davis"/>
    <d v="2024-04-02T00:00:00"/>
    <s v="Services"/>
    <x v="2"/>
    <x v="2"/>
    <m/>
    <m/>
    <n v="2664"/>
    <n v="30"/>
    <d v="2024-08-01T00:00:00"/>
    <m/>
  </r>
  <r>
    <x v="487"/>
    <s v="France"/>
    <s v="48.864716"/>
    <s v="2.349014"/>
    <s v="IT &amp; IT Services"/>
    <s v="Medium (201-500)"/>
    <s v="Laura Thompson"/>
    <d v="2024-04-30T00:00:00"/>
    <s v="Services"/>
    <x v="2"/>
    <x v="2"/>
    <m/>
    <m/>
    <n v="7808"/>
    <n v="20"/>
    <d v="2024-11-04T00:00:00"/>
    <m/>
  </r>
  <r>
    <x v="488"/>
    <s v="France"/>
    <s v="48.864716"/>
    <s v="2.349014"/>
    <s v="Entertainment &amp; Media &amp; Hospitality"/>
    <s v="Medium (201-500)"/>
    <s v="Emily Johnson"/>
    <d v="2024-05-22T00:00:00"/>
    <s v="Services"/>
    <x v="2"/>
    <x v="2"/>
    <m/>
    <m/>
    <n v="5821"/>
    <n v="30"/>
    <d v="2024-06-13T00:00:00"/>
    <m/>
  </r>
  <r>
    <x v="489"/>
    <s v="France"/>
    <s v="48.864716"/>
    <s v="2.349014"/>
    <s v="IT &amp; IT Services"/>
    <s v="Medium (201-500)"/>
    <s v="Kevin Anderson"/>
    <d v="2024-04-16T00:00:00"/>
    <s v="SAAS"/>
    <x v="2"/>
    <x v="2"/>
    <m/>
    <m/>
    <n v="6404"/>
    <n v="40"/>
    <d v="2024-07-22T00:00:00"/>
    <m/>
  </r>
  <r>
    <x v="490"/>
    <s v="Belgium"/>
    <s v="51.260197"/>
    <s v="4.402771"/>
    <s v="Agriculture &amp; Mining"/>
    <s v="Medium (201-500)"/>
    <s v="Laura Thompson"/>
    <d v="2024-05-31T00:00:00"/>
    <s v="Services"/>
    <x v="2"/>
    <x v="2"/>
    <m/>
    <m/>
    <n v="1872"/>
    <n v="20"/>
    <d v="2025-03-06T00:00:00"/>
    <m/>
  </r>
  <r>
    <x v="491"/>
    <s v="Austria"/>
    <s v="48.210033"/>
    <s v="16.363449"/>
    <s v="Education &amp; Science"/>
    <s v="Medium (201-500)"/>
    <s v="Michael Brown"/>
    <d v="2024-03-15T00:00:00"/>
    <s v="SAAS"/>
    <x v="2"/>
    <x v="2"/>
    <m/>
    <m/>
    <n v="7798"/>
    <n v="40"/>
    <d v="2025-02-28T00:00:00"/>
    <m/>
  </r>
  <r>
    <x v="492"/>
    <s v="Germany"/>
    <s v="52.520008"/>
    <s v="13.404954"/>
    <s v="Manufacturing &amp; Production"/>
    <s v="Medium (201-500)"/>
    <s v="Michael Brown"/>
    <d v="2024-03-02T00:00:00"/>
    <s v="SAAS"/>
    <x v="2"/>
    <x v="2"/>
    <m/>
    <m/>
    <n v="2725"/>
    <n v="50"/>
    <d v="2024-07-01T00:00:00"/>
    <m/>
  </r>
  <r>
    <x v="493"/>
    <s v="France"/>
    <s v="48.864716"/>
    <s v="2.349014"/>
    <s v="Construction &amp; Engineering"/>
    <s v="Medium (201-500)"/>
    <s v="Emily Johnson"/>
    <d v="2024-03-10T00:00:00"/>
    <s v="SAAS"/>
    <x v="2"/>
    <x v="2"/>
    <m/>
    <m/>
    <n v="653"/>
    <n v="40"/>
    <d v="2024-07-20T00:00:00"/>
    <m/>
  </r>
  <r>
    <x v="494"/>
    <s v="Netherlands"/>
    <s v="52.370216"/>
    <s v="4.895168"/>
    <s v="Recreation &amp; Sports"/>
    <s v="Medium (201-500)"/>
    <s v="Kevin Anderson"/>
    <d v="2024-05-31T00:00:00"/>
    <s v="Services"/>
    <x v="2"/>
    <x v="2"/>
    <m/>
    <m/>
    <n v="3845"/>
    <n v="50"/>
    <d v="2024-12-22T00:00:00"/>
    <m/>
  </r>
  <r>
    <x v="495"/>
    <s v="Portugal"/>
    <s v="38.736946"/>
    <s v="-9.142685"/>
    <s v="Transportation &amp; Logistics"/>
    <s v="Medium (201-500)"/>
    <s v="Emily Johnson"/>
    <d v="2024-03-27T00:00:00"/>
    <s v="Services"/>
    <x v="2"/>
    <x v="2"/>
    <m/>
    <m/>
    <n v="2862"/>
    <n v="70"/>
    <d v="2024-06-03T00:00:00"/>
    <m/>
  </r>
  <r>
    <x v="496"/>
    <s v="Austria"/>
    <s v="48.210033"/>
    <s v="16.363449"/>
    <s v="Transportation &amp; Logistics"/>
    <s v="Medium (201-500)"/>
    <s v="Emily Johnson"/>
    <d v="2024-01-03T00:00:00"/>
    <s v="SAAS"/>
    <x v="2"/>
    <x v="2"/>
    <m/>
    <m/>
    <n v="6413"/>
    <n v="30"/>
    <d v="2024-09-16T00:00:00"/>
    <m/>
  </r>
  <r>
    <x v="497"/>
    <s v="France"/>
    <s v="48.864716"/>
    <s v="2.349014"/>
    <s v="Government Administration Healthcare"/>
    <s v="Medium (201-500)"/>
    <s v="Emily Johnson"/>
    <d v="2024-02-04T00:00:00"/>
    <s v="Services"/>
    <x v="2"/>
    <x v="2"/>
    <m/>
    <m/>
    <n v="5296"/>
    <n v="30"/>
    <d v="2024-03-18T00:00:00"/>
    <m/>
  </r>
  <r>
    <x v="498"/>
    <s v="Switzerland"/>
    <s v="46.204391"/>
    <s v="6.143158"/>
    <s v="Telecommunications"/>
    <s v="Medium (201-500)"/>
    <s v="Jessica Martinez"/>
    <d v="2024-01-10T00:00:00"/>
    <s v="Services"/>
    <x v="2"/>
    <x v="2"/>
    <m/>
    <m/>
    <n v="2269"/>
    <n v="30"/>
    <d v="2024-12-16T00:00:00"/>
    <m/>
  </r>
  <r>
    <x v="499"/>
    <s v="Spain"/>
    <s v="40.416775"/>
    <s v="-3.703790"/>
    <s v="IT &amp; IT Services"/>
    <s v="Medium (201-500)"/>
    <s v="Jessica Martinez"/>
    <d v="2024-02-11T00:00:00"/>
    <s v="SAAS"/>
    <x v="2"/>
    <x v="2"/>
    <m/>
    <m/>
    <n v="5129"/>
    <n v="30"/>
    <d v="2024-04-04T00:00:00"/>
    <m/>
  </r>
  <r>
    <x v="500"/>
    <s v="Switzerland"/>
    <s v="46.204391"/>
    <s v="6.143158"/>
    <s v="Agriculture &amp; Mining"/>
    <s v="Medium (201-500)"/>
    <s v="John Smith"/>
    <d v="2024-01-14T00:00:00"/>
    <s v="SAAS"/>
    <x v="2"/>
    <x v="2"/>
    <m/>
    <m/>
    <n v="3756"/>
    <n v="20"/>
    <d v="2024-06-13T00:00:00"/>
    <m/>
  </r>
  <r>
    <x v="501"/>
    <s v="Belgium"/>
    <s v="51.260197"/>
    <s v="4.402771"/>
    <s v="Construction &amp; Engineering"/>
    <s v="Medium (201-500)"/>
    <s v="Laura Thompson"/>
    <d v="2024-04-03T00:00:00"/>
    <s v="SAAS"/>
    <x v="2"/>
    <x v="2"/>
    <m/>
    <m/>
    <n v="7165"/>
    <n v="40"/>
    <d v="2024-12-02T00:00:00"/>
    <m/>
  </r>
  <r>
    <x v="502"/>
    <s v="Switzerland"/>
    <s v="46.204391"/>
    <s v="6.143158"/>
    <s v="Transportation &amp; Logistics"/>
    <s v="Medium (201-500)"/>
    <s v="Emily Johnson"/>
    <d v="2024-01-20T00:00:00"/>
    <s v="Custom solution"/>
    <x v="2"/>
    <x v="2"/>
    <m/>
    <m/>
    <n v="1241"/>
    <n v="40"/>
    <d v="2024-09-09T00:00:00"/>
    <m/>
  </r>
  <r>
    <x v="503"/>
    <s v="Switzerland"/>
    <s v="46.204391"/>
    <s v="6.143158"/>
    <s v="Transportation &amp; Logistics"/>
    <s v="Medium (201-500)"/>
    <s v="John Smith"/>
    <d v="2024-03-17T00:00:00"/>
    <s v="SAAS"/>
    <x v="2"/>
    <x v="2"/>
    <m/>
    <m/>
    <n v="4487"/>
    <n v="40"/>
    <d v="2025-02-02T00:00:00"/>
    <m/>
  </r>
  <r>
    <x v="504"/>
    <s v="Netherlands"/>
    <s v="52.370216"/>
    <s v="4.895168"/>
    <s v="Retail &amp; Distribution"/>
    <s v="Medium (201-500)"/>
    <s v="Kevin Anderson"/>
    <d v="2024-02-21T00:00:00"/>
    <s v="SAAS"/>
    <x v="2"/>
    <x v="2"/>
    <m/>
    <m/>
    <n v="1725"/>
    <n v="60"/>
    <d v="2024-06-11T00:00:00"/>
    <m/>
  </r>
  <r>
    <x v="505"/>
    <s v="France"/>
    <s v="48.864716"/>
    <s v="2.349014"/>
    <s v="Construction &amp; Engineering"/>
    <s v="Medium (201-500)"/>
    <s v="Laura Thompson"/>
    <d v="2024-05-02T00:00:00"/>
    <s v="Services"/>
    <x v="2"/>
    <x v="2"/>
    <m/>
    <m/>
    <n v="2081"/>
    <n v="70"/>
    <d v="2024-05-24T00:00:00"/>
    <m/>
  </r>
  <r>
    <x v="506"/>
    <s v="Spain"/>
    <s v="40.416775"/>
    <s v="-3.703790"/>
    <s v="IT &amp; IT Services"/>
    <s v="Medium (201-500)"/>
    <s v="Emily Johnson"/>
    <d v="2024-01-08T00:00:00"/>
    <s v="Services"/>
    <x v="2"/>
    <x v="2"/>
    <m/>
    <m/>
    <n v="4044"/>
    <n v="60"/>
    <d v="2024-08-12T00:00:00"/>
    <m/>
  </r>
  <r>
    <x v="507"/>
    <s v="Switzerland"/>
    <s v="46.204391"/>
    <s v="6.143158"/>
    <s v="Transportation &amp; Logistics"/>
    <s v="Medium (201-500)"/>
    <s v="Jessica Martinez"/>
    <d v="2024-02-20T00:00:00"/>
    <s v="Services"/>
    <x v="2"/>
    <x v="2"/>
    <m/>
    <m/>
    <n v="741"/>
    <n v="60"/>
    <d v="2024-05-19T00:00:00"/>
    <m/>
  </r>
  <r>
    <x v="508"/>
    <s v="Switzerland"/>
    <s v="46.204391"/>
    <s v="6.143158"/>
    <s v="Transportation &amp; Logistics"/>
    <s v="Medium (201-500)"/>
    <s v="Emily Johnson"/>
    <d v="2024-04-26T00:00:00"/>
    <s v="Services"/>
    <x v="2"/>
    <x v="2"/>
    <m/>
    <m/>
    <n v="5826"/>
    <n v="40"/>
    <d v="2024-12-18T00:00:00"/>
    <m/>
  </r>
  <r>
    <x v="509"/>
    <s v="Switzerland"/>
    <s v="46.204391"/>
    <s v="6.143158"/>
    <s v="Banking and Finance"/>
    <s v="Medium (201-500)"/>
    <s v="Jessica Martinez"/>
    <d v="2024-01-27T00:00:00"/>
    <s v="SAAS"/>
    <x v="2"/>
    <x v="2"/>
    <m/>
    <m/>
    <n v="6543"/>
    <n v="20"/>
    <d v="2024-04-13T00:00:00"/>
    <m/>
  </r>
  <r>
    <x v="510"/>
    <s v="Spain"/>
    <s v="40.416775"/>
    <s v="-3.703790"/>
    <s v="IT &amp; IT Services"/>
    <s v="Medium (201-500)"/>
    <s v="John Smith"/>
    <d v="2024-04-24T00:00:00"/>
    <s v="Services"/>
    <x v="2"/>
    <x v="2"/>
    <m/>
    <m/>
    <n v="1554"/>
    <n v="50"/>
    <d v="2025-02-24T00:00:00"/>
    <m/>
  </r>
  <r>
    <x v="511"/>
    <s v="Switzerland"/>
    <s v="46.204391"/>
    <s v="6.143158"/>
    <s v="Transportation &amp; Logistics"/>
    <s v="Medium (201-500)"/>
    <s v="Laura Thompson"/>
    <d v="2024-05-10T00:00:00"/>
    <s v="Services"/>
    <x v="2"/>
    <x v="2"/>
    <m/>
    <m/>
    <n v="3931"/>
    <n v="10"/>
    <d v="2024-10-08T00:00:00"/>
    <m/>
  </r>
  <r>
    <x v="512"/>
    <s v="Belgium"/>
    <s v="51.260197"/>
    <s v="4.402771"/>
    <s v="Transportation &amp; Logistics"/>
    <s v="Medium (201-500)"/>
    <s v="Michael Brown"/>
    <d v="2024-04-16T00:00:00"/>
    <s v="Custom solution"/>
    <x v="2"/>
    <x v="2"/>
    <m/>
    <m/>
    <n v="5437"/>
    <n v="90"/>
    <d v="2024-10-06T00:00:00"/>
    <m/>
  </r>
  <r>
    <x v="513"/>
    <s v="Spain"/>
    <s v="40.416775"/>
    <s v="-3.703790"/>
    <s v="Banking and Finance"/>
    <s v="Medium (201-500)"/>
    <s v="Jessica Martinez"/>
    <d v="2024-04-10T00:00:00"/>
    <s v="Services"/>
    <x v="2"/>
    <x v="2"/>
    <m/>
    <m/>
    <n v="3858"/>
    <n v="90"/>
    <d v="2025-03-08T00:00:00"/>
    <m/>
  </r>
  <r>
    <x v="514"/>
    <s v="Belgium"/>
    <s v="51.260197"/>
    <s v="4.402771"/>
    <s v="Manufacturing &amp; Production"/>
    <s v="Medium (201-500)"/>
    <s v="David Wilson"/>
    <d v="2024-04-28T00:00:00"/>
    <s v="SAAS"/>
    <x v="2"/>
    <x v="2"/>
    <m/>
    <m/>
    <n v="5767"/>
    <n v="20"/>
    <d v="2024-06-10T00:00:00"/>
    <m/>
  </r>
  <r>
    <x v="515"/>
    <s v="Spain"/>
    <s v="40.416775"/>
    <s v="-3.703790"/>
    <s v="Transportation &amp; Logistics"/>
    <s v="Medium (201-500)"/>
    <s v="Emily Johnson"/>
    <d v="2024-03-15T00:00:00"/>
    <s v="Services"/>
    <x v="2"/>
    <x v="2"/>
    <m/>
    <m/>
    <n v="1713"/>
    <n v="50"/>
    <d v="2024-10-29T00:00:00"/>
    <m/>
  </r>
  <r>
    <x v="516"/>
    <s v="Switzerland"/>
    <s v="46.204391"/>
    <s v="6.143158"/>
    <s v="Government Administration Healthcare"/>
    <s v="Medium (201-500)"/>
    <s v="Kevin Anderson"/>
    <d v="2024-04-17T00:00:00"/>
    <s v="SAAS"/>
    <x v="2"/>
    <x v="2"/>
    <m/>
    <m/>
    <n v="2750"/>
    <n v="30"/>
    <d v="2024-12-09T00:00:00"/>
    <m/>
  </r>
  <r>
    <x v="517"/>
    <s v="Germany"/>
    <s v="52.520008"/>
    <s v="13.404954"/>
    <s v="Banking and Finance"/>
    <s v="Large (501-1000)"/>
    <s v="Laura Thompson"/>
    <d v="2024-03-13T00:00:00"/>
    <s v="SAAS"/>
    <x v="2"/>
    <x v="2"/>
    <m/>
    <m/>
    <n v="5353"/>
    <n v="30"/>
    <d v="2024-07-19T00:00:00"/>
    <m/>
  </r>
  <r>
    <x v="518"/>
    <s v="Italy"/>
    <s v="41.902782"/>
    <s v="12.496366"/>
    <s v="Banking and Finance"/>
    <s v="Large (501-1000)"/>
    <s v="Laura Thompson"/>
    <d v="2024-03-28T00:00:00"/>
    <s v="Custom solution"/>
    <x v="2"/>
    <x v="2"/>
    <m/>
    <m/>
    <n v="19224"/>
    <n v="30"/>
    <d v="2024-05-21T00:00:00"/>
    <m/>
  </r>
  <r>
    <x v="519"/>
    <s v="Germany"/>
    <s v="52.520008"/>
    <s v="13.404954"/>
    <s v="IT &amp; IT Services"/>
    <s v="Large (501-1000)"/>
    <s v="Michael Brown"/>
    <d v="2024-03-26T00:00:00"/>
    <s v="Services"/>
    <x v="2"/>
    <x v="2"/>
    <m/>
    <m/>
    <n v="5474"/>
    <n v="50"/>
    <d v="2024-05-22T00:00:00"/>
    <m/>
  </r>
  <r>
    <x v="520"/>
    <s v="Austria"/>
    <s v="48.210033"/>
    <s v="16.363449"/>
    <s v="Recreation &amp; Sports"/>
    <s v="Enterprise (1001+)"/>
    <s v="John Smith"/>
    <d v="2024-02-10T00:00:00"/>
    <s v="SAAS"/>
    <x v="2"/>
    <x v="2"/>
    <m/>
    <m/>
    <n v="13724"/>
    <n v="20"/>
    <d v="2024-09-10T00:00:00"/>
    <m/>
  </r>
  <r>
    <x v="521"/>
    <s v="Italy"/>
    <s v="41.902782"/>
    <s v="12.496366"/>
    <s v="Manufacturing &amp; Production"/>
    <s v="Enterprise (1001+)"/>
    <s v="Michael Brown"/>
    <d v="2024-05-22T00:00:00"/>
    <s v="Custom solution"/>
    <x v="2"/>
    <x v="2"/>
    <m/>
    <m/>
    <n v="11121"/>
    <n v="20"/>
    <d v="2024-12-24T00:00:00"/>
    <m/>
  </r>
  <r>
    <x v="522"/>
    <s v="Germany"/>
    <s v="52.520008"/>
    <s v="13.404954"/>
    <s v="Transportation &amp; Logistics"/>
    <s v="Enterprise (1001+)"/>
    <s v="John Smith"/>
    <d v="2024-01-29T00:00:00"/>
    <s v="Custom solution"/>
    <x v="2"/>
    <x v="2"/>
    <m/>
    <m/>
    <n v="14687"/>
    <n v="70"/>
    <d v="2024-12-31T00:00:00"/>
    <m/>
  </r>
  <r>
    <x v="523"/>
    <s v="Italy"/>
    <s v="41.902782"/>
    <s v="12.496366"/>
    <s v="Education &amp; Science"/>
    <s v="Enterprise (1001+)"/>
    <s v="John Smith"/>
    <d v="2024-04-14T00:00:00"/>
    <s v="SAAS"/>
    <x v="2"/>
    <x v="2"/>
    <m/>
    <m/>
    <n v="4281"/>
    <n v="60"/>
    <d v="2024-09-12T00:00:00"/>
    <m/>
  </r>
  <r>
    <x v="524"/>
    <s v="Italy"/>
    <s v="41.902782"/>
    <s v="12.496366"/>
    <s v="Banking and Finance"/>
    <s v="Enterprise (1001+)"/>
    <s v="Kevin Anderson"/>
    <d v="2024-05-02T00:00:00"/>
    <s v="Custom solution"/>
    <x v="2"/>
    <x v="2"/>
    <m/>
    <m/>
    <n v="3063"/>
    <n v="100"/>
    <d v="2025-02-13T00:00:00"/>
    <m/>
  </r>
  <r>
    <x v="525"/>
    <s v="Italy"/>
    <s v="41.902782"/>
    <s v="12.496366"/>
    <s v="Transportation &amp; Logistics"/>
    <s v="Small (11-200)"/>
    <s v="Emily Johnson"/>
    <d v="2024-01-02T00:00:00"/>
    <s v="SAAS"/>
    <x v="3"/>
    <x v="3"/>
    <m/>
    <m/>
    <n v="478"/>
    <n v="50"/>
    <d v="2024-10-31T00:00:00"/>
    <m/>
  </r>
  <r>
    <x v="526"/>
    <s v="Belgium"/>
    <s v="51.260197"/>
    <s v="4.402771"/>
    <s v="IT &amp; IT Services"/>
    <s v="Small (11-200)"/>
    <s v="Laura Thompson"/>
    <d v="2024-05-10T00:00:00"/>
    <s v="Custom solution"/>
    <x v="3"/>
    <x v="3"/>
    <m/>
    <m/>
    <n v="1380"/>
    <n v="80"/>
    <d v="2024-11-06T00:00:00"/>
    <m/>
  </r>
  <r>
    <x v="527"/>
    <s v="Germany"/>
    <s v="52.520008"/>
    <s v="13.404954"/>
    <s v="Transportation &amp; Logistics"/>
    <s v="Small (11-200)"/>
    <s v="Laura Thompson"/>
    <d v="2024-01-26T00:00:00"/>
    <s v="Services"/>
    <x v="3"/>
    <x v="3"/>
    <m/>
    <m/>
    <n v="396"/>
    <n v="60"/>
    <d v="2024-11-03T00:00:00"/>
    <m/>
  </r>
  <r>
    <x v="528"/>
    <s v="France"/>
    <s v="48.864716"/>
    <s v="2.349014"/>
    <s v="Telecommunications"/>
    <s v="Small (11-200)"/>
    <s v="Emily Johnson"/>
    <d v="2024-01-06T00:00:00"/>
    <s v="SAAS"/>
    <x v="3"/>
    <x v="3"/>
    <m/>
    <m/>
    <n v="1087"/>
    <n v="30"/>
    <d v="2024-05-17T00:00:00"/>
    <m/>
  </r>
  <r>
    <x v="529"/>
    <s v="Austria"/>
    <s v="48.210033"/>
    <s v="16.363449"/>
    <s v="Transportation &amp; Logistics"/>
    <s v="Small (11-200)"/>
    <s v="Laura Thompson"/>
    <d v="2024-03-23T00:00:00"/>
    <s v="SAAS"/>
    <x v="3"/>
    <x v="3"/>
    <m/>
    <m/>
    <n v="590"/>
    <n v="30"/>
    <d v="2025-03-22T00:00:00"/>
    <m/>
  </r>
  <r>
    <x v="530"/>
    <s v="Portugal"/>
    <s v="38.736946"/>
    <s v="-9.142685"/>
    <s v="Banking and Finance"/>
    <s v="Small (11-200)"/>
    <s v="John Smith"/>
    <d v="2024-05-15T00:00:00"/>
    <s v="Custom solution"/>
    <x v="3"/>
    <x v="3"/>
    <m/>
    <m/>
    <n v="1668"/>
    <n v="90"/>
    <d v="2024-07-17T00:00:00"/>
    <m/>
  </r>
  <r>
    <x v="531"/>
    <s v="Spain"/>
    <s v="40.416775"/>
    <s v="-3.703790"/>
    <s v="Agriculture &amp; Mining"/>
    <s v="Small (11-200)"/>
    <s v="John Smith"/>
    <d v="2024-02-25T00:00:00"/>
    <s v="SAAS"/>
    <x v="3"/>
    <x v="3"/>
    <m/>
    <m/>
    <n v="680"/>
    <n v="30"/>
    <d v="2025-01-14T00:00:00"/>
    <m/>
  </r>
  <r>
    <x v="532"/>
    <s v="Switzerland"/>
    <s v="46.204391"/>
    <s v="6.143158"/>
    <s v="Professional Services  &amp; Consulting"/>
    <s v="Small (11-200)"/>
    <s v="Jessica Martinez"/>
    <d v="2024-05-25T00:00:00"/>
    <s v="SAAS"/>
    <x v="3"/>
    <x v="3"/>
    <m/>
    <m/>
    <n v="474"/>
    <n v="40"/>
    <d v="2025-03-25T00:00:00"/>
    <m/>
  </r>
  <r>
    <x v="533"/>
    <s v="Italy"/>
    <s v="41.902782"/>
    <s v="12.496366"/>
    <s v="Professional Services  &amp; Consulting"/>
    <s v="Small (11-200)"/>
    <s v="Jessica Martinez"/>
    <d v="2024-03-04T00:00:00"/>
    <s v="Services"/>
    <x v="3"/>
    <x v="3"/>
    <m/>
    <m/>
    <n v="1850"/>
    <n v="20"/>
    <d v="2024-10-05T00:00:00"/>
    <m/>
  </r>
  <r>
    <x v="534"/>
    <s v="Portugal"/>
    <s v="38.736946"/>
    <s v="-9.142685"/>
    <s v="IT &amp; IT Services"/>
    <s v="Small (11-200)"/>
    <s v="Kevin Anderson"/>
    <d v="2024-02-03T00:00:00"/>
    <s v="Custom solution"/>
    <x v="3"/>
    <x v="3"/>
    <m/>
    <m/>
    <n v="1007"/>
    <n v="90"/>
    <d v="2024-11-27T00:00:00"/>
    <m/>
  </r>
  <r>
    <x v="535"/>
    <s v="Italy"/>
    <s v="41.902782"/>
    <s v="12.496366"/>
    <s v="Professional Services  &amp; Consulting"/>
    <s v="Small (11-200)"/>
    <s v="Kevin Anderson"/>
    <d v="2024-04-11T00:00:00"/>
    <s v="Services"/>
    <x v="3"/>
    <x v="3"/>
    <m/>
    <m/>
    <n v="1345"/>
    <n v="90"/>
    <d v="2024-05-22T00:00:00"/>
    <m/>
  </r>
  <r>
    <x v="536"/>
    <s v="Germany"/>
    <s v="52.520008"/>
    <s v="13.404954"/>
    <s v="Manufacturing &amp; Production"/>
    <s v="Small (11-200)"/>
    <s v="Jessica Martinez"/>
    <d v="2024-05-27T00:00:00"/>
    <s v="Services"/>
    <x v="3"/>
    <x v="3"/>
    <m/>
    <m/>
    <n v="1038"/>
    <n v="50"/>
    <d v="2024-12-14T00:00:00"/>
    <m/>
  </r>
  <r>
    <x v="537"/>
    <s v="Portugal"/>
    <s v="38.736946"/>
    <s v="-9.142685"/>
    <s v="Education &amp; Science"/>
    <s v="Small (11-200)"/>
    <s v="David Wilson"/>
    <d v="2024-04-03T00:00:00"/>
    <s v="SAAS"/>
    <x v="3"/>
    <x v="3"/>
    <m/>
    <m/>
    <n v="458"/>
    <n v="20"/>
    <d v="2024-09-14T00:00:00"/>
    <m/>
  </r>
  <r>
    <x v="538"/>
    <s v="Italy"/>
    <s v="41.902782"/>
    <s v="12.496366"/>
    <s v="Transportation &amp; Logistics"/>
    <s v="Small (11-200)"/>
    <s v="Laura Thompson"/>
    <d v="2024-05-12T00:00:00"/>
    <s v="Services"/>
    <x v="3"/>
    <x v="3"/>
    <m/>
    <m/>
    <n v="442"/>
    <n v="30"/>
    <d v="2024-12-24T00:00:00"/>
    <m/>
  </r>
  <r>
    <x v="539"/>
    <s v="Switzerland"/>
    <s v="46.204391"/>
    <s v="6.143158"/>
    <s v="Transportation &amp; Logistics"/>
    <s v="Small (11-200)"/>
    <s v="Laura Thompson"/>
    <d v="2024-04-27T00:00:00"/>
    <s v="SAAS"/>
    <x v="3"/>
    <x v="3"/>
    <m/>
    <m/>
    <n v="1997"/>
    <n v="50"/>
    <d v="2025-04-11T00:00:00"/>
    <m/>
  </r>
  <r>
    <x v="540"/>
    <s v="Austria"/>
    <s v="48.210033"/>
    <s v="16.363449"/>
    <s v="Education &amp; Science"/>
    <s v="Small (11-200)"/>
    <s v="David Wilson"/>
    <d v="2024-03-28T00:00:00"/>
    <s v="Custom solution"/>
    <x v="3"/>
    <x v="3"/>
    <m/>
    <m/>
    <n v="1717"/>
    <n v="20"/>
    <d v="2024-05-23T00:00:00"/>
    <m/>
  </r>
  <r>
    <x v="541"/>
    <s v="Germany"/>
    <s v="52.520008"/>
    <s v="13.404954"/>
    <s v="Energy &amp; Utilities"/>
    <s v="Small (11-200)"/>
    <s v="David Wilson"/>
    <d v="2024-01-03T00:00:00"/>
    <s v="SAAS"/>
    <x v="3"/>
    <x v="3"/>
    <m/>
    <m/>
    <n v="1640"/>
    <n v="30"/>
    <d v="2024-11-30T00:00:00"/>
    <m/>
  </r>
  <r>
    <x v="542"/>
    <s v="Italy"/>
    <s v="41.902782"/>
    <s v="12.496366"/>
    <s v="Manufacturing &amp; Production"/>
    <s v="Small (11-200)"/>
    <s v="Emily Johnson"/>
    <d v="2024-05-01T00:00:00"/>
    <s v="Services"/>
    <x v="3"/>
    <x v="3"/>
    <m/>
    <m/>
    <n v="855"/>
    <n v="70"/>
    <d v="2025-02-23T00:00:00"/>
    <m/>
  </r>
  <r>
    <x v="543"/>
    <s v="France"/>
    <s v="48.864716"/>
    <s v="2.349014"/>
    <s v="Recreation &amp; Sports"/>
    <s v="Small (11-200)"/>
    <s v="Jessica Martinez"/>
    <d v="2024-03-12T00:00:00"/>
    <s v="Services"/>
    <x v="3"/>
    <x v="3"/>
    <m/>
    <m/>
    <n v="1056"/>
    <n v="100"/>
    <d v="2025-03-10T00:00:00"/>
    <m/>
  </r>
  <r>
    <x v="544"/>
    <s v="Netherlands"/>
    <s v="52.370216"/>
    <s v="4.895168"/>
    <s v="Manufacturing &amp; Production"/>
    <s v="Small (11-200)"/>
    <s v="John Smith"/>
    <d v="2024-02-27T00:00:00"/>
    <s v="Custom solution"/>
    <x v="3"/>
    <x v="3"/>
    <m/>
    <m/>
    <n v="966"/>
    <n v="10"/>
    <d v="2024-06-13T00:00:00"/>
    <m/>
  </r>
  <r>
    <x v="545"/>
    <s v="Switzerland"/>
    <s v="46.204391"/>
    <s v="6.143158"/>
    <s v="Professional Services  &amp; Consulting"/>
    <s v="Small (11-200)"/>
    <s v="Jessica Martinez"/>
    <d v="2024-02-27T00:00:00"/>
    <s v="Custom solution"/>
    <x v="3"/>
    <x v="3"/>
    <m/>
    <m/>
    <n v="344"/>
    <n v="40"/>
    <d v="2024-10-11T00:00:00"/>
    <m/>
  </r>
  <r>
    <x v="546"/>
    <s v="Belgium"/>
    <s v="51.260197"/>
    <s v="4.402771"/>
    <s v="Recreation &amp; Sports"/>
    <s v="Small (11-200)"/>
    <s v="Michael Brown"/>
    <d v="2024-05-29T00:00:00"/>
    <s v="Services"/>
    <x v="3"/>
    <x v="3"/>
    <m/>
    <m/>
    <n v="407"/>
    <n v="70"/>
    <d v="2025-04-13T00:00:00"/>
    <m/>
  </r>
  <r>
    <x v="547"/>
    <s v="Portugal"/>
    <s v="38.736946"/>
    <s v="-9.142685"/>
    <s v="Energy &amp; Utilities"/>
    <s v="Small (11-200)"/>
    <s v="Kevin Anderson"/>
    <d v="2024-01-21T00:00:00"/>
    <s v="Services"/>
    <x v="3"/>
    <x v="3"/>
    <m/>
    <m/>
    <n v="1965"/>
    <n v="40"/>
    <d v="2025-01-17T00:00:00"/>
    <m/>
  </r>
  <r>
    <x v="548"/>
    <s v="Austria"/>
    <s v="48.210033"/>
    <s v="16.363449"/>
    <s v="Energy &amp; Utilities"/>
    <s v="Small (11-200)"/>
    <s v="Laura Thompson"/>
    <d v="2024-01-07T00:00:00"/>
    <s v="Custom solution"/>
    <x v="3"/>
    <x v="3"/>
    <m/>
    <m/>
    <n v="1494"/>
    <n v="20"/>
    <d v="2024-06-14T00:00:00"/>
    <m/>
  </r>
  <r>
    <x v="549"/>
    <s v="Germany"/>
    <s v="52.520008"/>
    <s v="13.404954"/>
    <s v="Energy &amp; Utilities"/>
    <s v="Small (11-200)"/>
    <s v="David Wilson"/>
    <d v="2024-03-13T00:00:00"/>
    <s v="Custom solution"/>
    <x v="3"/>
    <x v="3"/>
    <m/>
    <m/>
    <n v="1837"/>
    <n v="10"/>
    <d v="2024-04-06T00:00:00"/>
    <m/>
  </r>
  <r>
    <x v="550"/>
    <s v="Germany"/>
    <s v="52.520008"/>
    <s v="13.404954"/>
    <s v="Construction &amp; Engineering"/>
    <s v="Small (11-200)"/>
    <s v="John Smith"/>
    <d v="2024-03-31T00:00:00"/>
    <s v="Services"/>
    <x v="3"/>
    <x v="3"/>
    <m/>
    <m/>
    <n v="1175"/>
    <n v="20"/>
    <d v="2025-01-10T00:00:00"/>
    <m/>
  </r>
  <r>
    <x v="551"/>
    <s v="France"/>
    <s v="48.864716"/>
    <s v="2.349014"/>
    <s v="Telecommunications"/>
    <s v="Small (11-200)"/>
    <s v="David Wilson"/>
    <d v="2024-03-09T00:00:00"/>
    <s v="Services"/>
    <x v="3"/>
    <x v="3"/>
    <m/>
    <m/>
    <n v="617"/>
    <n v="40"/>
    <d v="2024-06-10T00:00:00"/>
    <m/>
  </r>
  <r>
    <x v="552"/>
    <s v="Italy"/>
    <s v="41.902782"/>
    <s v="12.496366"/>
    <s v="Transportation &amp; Logistics"/>
    <s v="Small (11-200)"/>
    <s v="David Wilson"/>
    <d v="2024-01-28T00:00:00"/>
    <s v="Services"/>
    <x v="3"/>
    <x v="3"/>
    <m/>
    <m/>
    <n v="1538"/>
    <n v="50"/>
    <d v="2024-10-14T00:00:00"/>
    <m/>
  </r>
  <r>
    <x v="553"/>
    <s v="Netherlands"/>
    <s v="52.370216"/>
    <s v="4.895168"/>
    <s v="Banking and Finance"/>
    <s v="Small (11-200)"/>
    <s v="Kevin Anderson"/>
    <d v="2024-01-06T00:00:00"/>
    <s v="SAAS"/>
    <x v="3"/>
    <x v="3"/>
    <m/>
    <m/>
    <n v="434"/>
    <n v="50"/>
    <d v="2024-10-21T00:00:00"/>
    <m/>
  </r>
  <r>
    <x v="554"/>
    <s v="Netherlands"/>
    <s v="52.370216"/>
    <s v="4.895168"/>
    <s v="Professional Services  &amp; Consulting"/>
    <s v="Small (11-200)"/>
    <s v="Laura Thompson"/>
    <d v="2024-02-27T00:00:00"/>
    <s v="Custom solution"/>
    <x v="3"/>
    <x v="3"/>
    <m/>
    <m/>
    <n v="870"/>
    <n v="60"/>
    <d v="2025-01-20T00:00:00"/>
    <m/>
  </r>
  <r>
    <x v="555"/>
    <s v="Italy"/>
    <s v="41.902782"/>
    <s v="12.496366"/>
    <s v="Education &amp; Science"/>
    <s v="Small (11-200)"/>
    <s v="Kevin Anderson"/>
    <d v="2024-05-30T00:00:00"/>
    <s v="SAAS"/>
    <x v="3"/>
    <x v="3"/>
    <m/>
    <m/>
    <n v="1225"/>
    <n v="30"/>
    <d v="2024-09-26T00:00:00"/>
    <m/>
  </r>
  <r>
    <x v="556"/>
    <s v="Switzerland"/>
    <s v="46.204391"/>
    <s v="6.143158"/>
    <s v="Government Administration Healthcare"/>
    <s v="Small (11-200)"/>
    <s v="Laura Thompson"/>
    <d v="2024-01-04T00:00:00"/>
    <s v="SAAS"/>
    <x v="3"/>
    <x v="3"/>
    <m/>
    <m/>
    <n v="1804"/>
    <n v="50"/>
    <d v="2024-03-04T00:00:00"/>
    <m/>
  </r>
  <r>
    <x v="557"/>
    <s v="Portugal"/>
    <s v="38.736946"/>
    <s v="-9.142685"/>
    <s v="Construction &amp; Engineering"/>
    <s v="Small (11-200)"/>
    <s v="Jessica Martinez"/>
    <d v="2024-01-17T00:00:00"/>
    <s v="Custom solution"/>
    <x v="3"/>
    <x v="3"/>
    <m/>
    <m/>
    <n v="1063"/>
    <n v="60"/>
    <d v="2024-02-25T00:00:00"/>
    <m/>
  </r>
  <r>
    <x v="558"/>
    <s v="Austria"/>
    <s v="48.210033"/>
    <s v="16.363449"/>
    <s v="Government Administration Healthcare"/>
    <s v="Small (11-200)"/>
    <s v="David Wilson"/>
    <d v="2024-03-03T00:00:00"/>
    <s v="SAAS"/>
    <x v="3"/>
    <x v="3"/>
    <m/>
    <m/>
    <n v="341"/>
    <n v="10"/>
    <d v="2025-02-18T00:00:00"/>
    <m/>
  </r>
  <r>
    <x v="559"/>
    <s v="Switzerland"/>
    <s v="46.204391"/>
    <s v="6.143158"/>
    <s v="Agriculture &amp; Mining"/>
    <s v="Small (11-200)"/>
    <s v="John Smith"/>
    <d v="2024-03-14T00:00:00"/>
    <s v="Services"/>
    <x v="3"/>
    <x v="3"/>
    <m/>
    <m/>
    <n v="1454"/>
    <n v="20"/>
    <d v="2024-05-13T00:00:00"/>
    <m/>
  </r>
  <r>
    <x v="560"/>
    <s v="France"/>
    <s v="48.864716"/>
    <s v="2.349014"/>
    <s v="Banking and Finance"/>
    <s v="Small (11-200)"/>
    <s v="Laura Thompson"/>
    <d v="2024-04-06T00:00:00"/>
    <s v="SAAS"/>
    <x v="3"/>
    <x v="3"/>
    <m/>
    <m/>
    <n v="263"/>
    <n v="80"/>
    <d v="2024-09-26T00:00:00"/>
    <m/>
  </r>
  <r>
    <x v="561"/>
    <s v="France"/>
    <s v="48.864716"/>
    <s v="2.349014"/>
    <s v="IT &amp; IT Services"/>
    <s v="Small (11-200)"/>
    <s v="Jessica Martinez"/>
    <d v="2024-05-25T00:00:00"/>
    <s v="Custom solution"/>
    <x v="3"/>
    <x v="3"/>
    <m/>
    <m/>
    <n v="976"/>
    <n v="100"/>
    <d v="2024-11-07T00:00:00"/>
    <m/>
  </r>
  <r>
    <x v="562"/>
    <s v="Belgium"/>
    <s v="51.260197"/>
    <s v="4.402771"/>
    <s v="Government Administration Healthcare"/>
    <s v="Small (11-200)"/>
    <s v="Sarah Davis"/>
    <d v="2024-01-08T00:00:00"/>
    <s v="SAAS"/>
    <x v="3"/>
    <x v="3"/>
    <m/>
    <m/>
    <n v="1977"/>
    <n v="60"/>
    <d v="2024-08-14T00:00:00"/>
    <m/>
  </r>
  <r>
    <x v="563"/>
    <s v="France"/>
    <s v="48.864716"/>
    <s v="2.349014"/>
    <s v="Professional Services  &amp; Consulting"/>
    <s v="Small (11-200)"/>
    <s v="Sarah Davis"/>
    <d v="2024-02-14T00:00:00"/>
    <s v="Services"/>
    <x v="3"/>
    <x v="3"/>
    <m/>
    <m/>
    <n v="1940"/>
    <n v="50"/>
    <d v="2024-10-06T00:00:00"/>
    <m/>
  </r>
  <r>
    <x v="564"/>
    <s v="France"/>
    <s v="48.864716"/>
    <s v="2.349014"/>
    <s v="Telecommunications"/>
    <s v="Small (11-200)"/>
    <s v="Sarah Davis"/>
    <d v="2024-04-23T00:00:00"/>
    <s v="Custom solution"/>
    <x v="3"/>
    <x v="3"/>
    <m/>
    <m/>
    <n v="945"/>
    <n v="60"/>
    <d v="2024-07-10T00:00:00"/>
    <m/>
  </r>
  <r>
    <x v="565"/>
    <s v="Italy"/>
    <s v="41.902782"/>
    <s v="12.496366"/>
    <s v="Recreation &amp; Sports"/>
    <s v="Small (11-200)"/>
    <s v="Jessica Martinez"/>
    <d v="2024-01-11T00:00:00"/>
    <s v="SAAS"/>
    <x v="3"/>
    <x v="3"/>
    <m/>
    <m/>
    <n v="741"/>
    <n v="10"/>
    <d v="2024-10-15T00:00:00"/>
    <m/>
  </r>
  <r>
    <x v="566"/>
    <s v="France"/>
    <s v="48.864716"/>
    <s v="2.349014"/>
    <s v="Banking and Finance"/>
    <s v="Small (11-200)"/>
    <s v="Jessica Martinez"/>
    <d v="2024-03-21T00:00:00"/>
    <s v="Services"/>
    <x v="3"/>
    <x v="3"/>
    <m/>
    <m/>
    <n v="1130"/>
    <n v="30"/>
    <d v="2025-02-26T00:00:00"/>
    <m/>
  </r>
  <r>
    <x v="567"/>
    <s v="Switzerland"/>
    <s v="46.204391"/>
    <s v="6.143158"/>
    <s v="Government Administration Healthcare"/>
    <s v="Small (11-200)"/>
    <s v="Sarah Davis"/>
    <d v="2024-02-14T00:00:00"/>
    <s v="Services"/>
    <x v="3"/>
    <x v="3"/>
    <m/>
    <m/>
    <n v="1047"/>
    <n v="20"/>
    <d v="2025-01-28T00:00:00"/>
    <m/>
  </r>
  <r>
    <x v="568"/>
    <s v="Austria"/>
    <s v="48.210033"/>
    <s v="16.363449"/>
    <s v="Transportation &amp; Logistics"/>
    <s v="Small (11-200)"/>
    <s v="John Smith"/>
    <d v="2024-02-04T00:00:00"/>
    <s v="SAAS"/>
    <x v="3"/>
    <x v="3"/>
    <m/>
    <m/>
    <n v="1473"/>
    <n v="50"/>
    <d v="2024-02-24T00:00:00"/>
    <m/>
  </r>
  <r>
    <x v="569"/>
    <s v="Germany"/>
    <s v="52.520008"/>
    <s v="13.404954"/>
    <s v="Manufacturing &amp; Production"/>
    <s v="Small (11-200)"/>
    <s v="Jessica Martinez"/>
    <d v="2024-03-01T00:00:00"/>
    <s v="Services"/>
    <x v="3"/>
    <x v="3"/>
    <m/>
    <m/>
    <n v="1084"/>
    <n v="60"/>
    <d v="2025-02-25T00:00:00"/>
    <m/>
  </r>
  <r>
    <x v="570"/>
    <s v="Portugal"/>
    <s v="38.736946"/>
    <s v="-9.142685"/>
    <s v="Telecommunications"/>
    <s v="Small (11-200)"/>
    <s v="John Smith"/>
    <d v="2024-04-10T00:00:00"/>
    <s v="Services"/>
    <x v="3"/>
    <x v="3"/>
    <m/>
    <m/>
    <n v="379"/>
    <n v="20"/>
    <d v="2024-05-29T00:00:00"/>
    <m/>
  </r>
  <r>
    <x v="571"/>
    <s v="Portugal"/>
    <s v="38.736946"/>
    <s v="-9.142685"/>
    <s v="Government Administration Healthcare"/>
    <s v="Small (11-200)"/>
    <s v="Kevin Anderson"/>
    <d v="2024-04-28T00:00:00"/>
    <s v="Services"/>
    <x v="3"/>
    <x v="3"/>
    <m/>
    <m/>
    <n v="351"/>
    <n v="20"/>
    <d v="2024-11-24T00:00:00"/>
    <m/>
  </r>
  <r>
    <x v="572"/>
    <s v="France"/>
    <s v="48.864716"/>
    <s v="2.349014"/>
    <s v="Professional Services  &amp; Consulting"/>
    <s v="Small (11-200)"/>
    <s v="Emily Johnson"/>
    <d v="2024-05-12T00:00:00"/>
    <s v="SAAS"/>
    <x v="3"/>
    <x v="3"/>
    <m/>
    <m/>
    <n v="1978"/>
    <n v="50"/>
    <d v="2024-10-07T00:00:00"/>
    <m/>
  </r>
  <r>
    <x v="573"/>
    <s v="Spain"/>
    <s v="40.416775"/>
    <s v="-3.703790"/>
    <s v="Banking and Finance"/>
    <s v="Small (11-200)"/>
    <s v="John Smith"/>
    <d v="2024-04-14T00:00:00"/>
    <s v="Services"/>
    <x v="3"/>
    <x v="3"/>
    <m/>
    <m/>
    <n v="754"/>
    <n v="40"/>
    <d v="2025-04-03T00:00:00"/>
    <m/>
  </r>
  <r>
    <x v="574"/>
    <s v="France"/>
    <s v="48.864716"/>
    <s v="2.349014"/>
    <s v="IT &amp; IT Services"/>
    <s v="Small (11-200)"/>
    <s v="Michael Brown"/>
    <d v="2024-05-02T00:00:00"/>
    <s v="Services"/>
    <x v="3"/>
    <x v="3"/>
    <m/>
    <m/>
    <n v="1487"/>
    <n v="40"/>
    <d v="2024-06-14T00:00:00"/>
    <m/>
  </r>
  <r>
    <x v="575"/>
    <s v="Switzerland"/>
    <s v="46.204391"/>
    <s v="6.143158"/>
    <s v="Government Administration Healthcare"/>
    <s v="Small (11-200)"/>
    <s v="Sarah Davis"/>
    <d v="2024-05-08T00:00:00"/>
    <s v="Services"/>
    <x v="3"/>
    <x v="3"/>
    <m/>
    <m/>
    <n v="1932"/>
    <n v="60"/>
    <d v="2024-07-30T00:00:00"/>
    <m/>
  </r>
  <r>
    <x v="576"/>
    <s v="Austria"/>
    <s v="48.210033"/>
    <s v="16.363449"/>
    <s v="Energy &amp; Utilities"/>
    <s v="Small (11-200)"/>
    <s v="Michael Brown"/>
    <d v="2024-05-03T00:00:00"/>
    <s v="Services"/>
    <x v="3"/>
    <x v="3"/>
    <m/>
    <m/>
    <n v="1315"/>
    <n v="60"/>
    <d v="2025-01-04T00:00:00"/>
    <m/>
  </r>
  <r>
    <x v="577"/>
    <s v="France"/>
    <s v="48.864716"/>
    <s v="2.349014"/>
    <s v="Telecommunications"/>
    <s v="Small (11-200)"/>
    <s v="Laura Thompson"/>
    <d v="2024-05-25T00:00:00"/>
    <s v="SAAS"/>
    <x v="3"/>
    <x v="3"/>
    <m/>
    <m/>
    <n v="1339"/>
    <n v="40"/>
    <d v="2025-03-28T00:00:00"/>
    <m/>
  </r>
  <r>
    <x v="578"/>
    <s v="France"/>
    <s v="48.864716"/>
    <s v="2.349014"/>
    <s v="Education &amp; Science"/>
    <s v="Small (11-200)"/>
    <s v="Laura Thompson"/>
    <d v="2024-04-05T00:00:00"/>
    <s v="SAAS"/>
    <x v="3"/>
    <x v="3"/>
    <m/>
    <m/>
    <n v="244"/>
    <n v="50"/>
    <d v="2024-06-30T00:00:00"/>
    <m/>
  </r>
  <r>
    <x v="579"/>
    <s v="Netherlands"/>
    <s v="52.370216"/>
    <s v="4.895168"/>
    <s v="Banking and Finance"/>
    <s v="Small (11-200)"/>
    <s v="Michael Brown"/>
    <d v="2024-03-03T00:00:00"/>
    <s v="SAAS"/>
    <x v="3"/>
    <x v="3"/>
    <m/>
    <m/>
    <n v="229"/>
    <n v="40"/>
    <d v="2024-05-08T00:00:00"/>
    <m/>
  </r>
  <r>
    <x v="580"/>
    <s v="Portugal"/>
    <s v="38.736946"/>
    <s v="-9.142685"/>
    <s v="Transportation &amp; Logistics"/>
    <s v="Small (11-200)"/>
    <s v="Laura Thompson"/>
    <d v="2024-01-05T00:00:00"/>
    <s v="SAAS"/>
    <x v="3"/>
    <x v="3"/>
    <m/>
    <m/>
    <n v="740"/>
    <n v="60"/>
    <d v="2024-06-04T00:00:00"/>
    <m/>
  </r>
  <r>
    <x v="581"/>
    <s v="France"/>
    <s v="48.864716"/>
    <s v="2.349014"/>
    <s v="IT &amp; IT Services"/>
    <s v="Small (11-200)"/>
    <s v="Jessica Martinez"/>
    <d v="2024-05-05T00:00:00"/>
    <s v="SAAS"/>
    <x v="3"/>
    <x v="3"/>
    <m/>
    <m/>
    <n v="433"/>
    <n v="30"/>
    <d v="2025-02-09T00:00:00"/>
    <m/>
  </r>
  <r>
    <x v="582"/>
    <s v="Switzerland"/>
    <s v="46.204391"/>
    <s v="6.143158"/>
    <s v="Transportation &amp; Logistics"/>
    <s v="Small (11-200)"/>
    <s v="Laura Thompson"/>
    <d v="2024-02-22T00:00:00"/>
    <s v="Custom solution"/>
    <x v="3"/>
    <x v="3"/>
    <m/>
    <m/>
    <n v="1073"/>
    <n v="30"/>
    <d v="2024-12-25T00:00:00"/>
    <m/>
  </r>
  <r>
    <x v="583"/>
    <s v="France"/>
    <s v="48.864716"/>
    <s v="2.349014"/>
    <s v="Retail &amp; Distribution"/>
    <s v="Small (11-200)"/>
    <s v="Emily Johnson"/>
    <d v="2024-02-05T00:00:00"/>
    <s v="SAAS"/>
    <x v="3"/>
    <x v="3"/>
    <m/>
    <m/>
    <n v="242"/>
    <n v="30"/>
    <d v="2024-06-21T00:00:00"/>
    <m/>
  </r>
  <r>
    <x v="584"/>
    <s v="Austria"/>
    <s v="48.210033"/>
    <s v="16.363449"/>
    <s v="IT &amp; IT Services"/>
    <s v="Small (11-200)"/>
    <s v="Laura Thompson"/>
    <d v="2024-04-25T00:00:00"/>
    <s v="Custom solution"/>
    <x v="3"/>
    <x v="3"/>
    <m/>
    <m/>
    <n v="1884"/>
    <n v="20"/>
    <d v="2024-10-18T00:00:00"/>
    <m/>
  </r>
  <r>
    <x v="585"/>
    <s v="Germany"/>
    <s v="52.520008"/>
    <s v="13.404954"/>
    <s v="Government Administration Healthcare"/>
    <s v="Small (11-200)"/>
    <s v="Laura Thompson"/>
    <d v="2024-03-24T00:00:00"/>
    <s v="SAAS"/>
    <x v="3"/>
    <x v="3"/>
    <m/>
    <m/>
    <n v="223"/>
    <n v="90"/>
    <d v="2024-04-28T00:00:00"/>
    <m/>
  </r>
  <r>
    <x v="586"/>
    <s v="Switzerland"/>
    <s v="46.204391"/>
    <s v="6.143158"/>
    <s v="Education &amp; Science"/>
    <s v="Small (11-200)"/>
    <s v="Laura Thompson"/>
    <d v="2024-04-28T00:00:00"/>
    <s v="SAAS"/>
    <x v="3"/>
    <x v="3"/>
    <m/>
    <m/>
    <n v="1772"/>
    <n v="10"/>
    <d v="2025-03-11T00:00:00"/>
    <m/>
  </r>
  <r>
    <x v="587"/>
    <s v="Italy"/>
    <s v="41.902782"/>
    <s v="12.496366"/>
    <s v="IT &amp; IT Services"/>
    <s v="Small (11-200)"/>
    <s v="Michael Brown"/>
    <d v="2024-03-20T00:00:00"/>
    <s v="SAAS"/>
    <x v="3"/>
    <x v="3"/>
    <m/>
    <m/>
    <n v="820"/>
    <n v="30"/>
    <d v="2024-12-23T00:00:00"/>
    <m/>
  </r>
  <r>
    <x v="588"/>
    <s v="Netherlands"/>
    <s v="52.370216"/>
    <s v="4.895168"/>
    <s v="Recreation &amp; Sports"/>
    <s v="Small (11-200)"/>
    <s v="Laura Thompson"/>
    <d v="2024-01-15T00:00:00"/>
    <s v="SAAS"/>
    <x v="3"/>
    <x v="3"/>
    <m/>
    <m/>
    <n v="1241"/>
    <n v="60"/>
    <d v="2024-12-24T00:00:00"/>
    <m/>
  </r>
  <r>
    <x v="589"/>
    <s v="Belgium"/>
    <s v="51.260197"/>
    <s v="4.402771"/>
    <s v="Banking and Finance"/>
    <s v="Small (11-200)"/>
    <s v="Kevin Anderson"/>
    <d v="2024-04-29T00:00:00"/>
    <s v="Custom solution"/>
    <x v="3"/>
    <x v="3"/>
    <m/>
    <m/>
    <n v="519"/>
    <n v="20"/>
    <d v="2024-11-05T00:00:00"/>
    <m/>
  </r>
  <r>
    <x v="590"/>
    <s v="Netherlands"/>
    <s v="52.370216"/>
    <s v="4.895168"/>
    <s v="Banking and Finance"/>
    <s v="Small (11-200)"/>
    <s v="Kevin Anderson"/>
    <d v="2024-05-21T00:00:00"/>
    <s v="Services"/>
    <x v="3"/>
    <x v="3"/>
    <m/>
    <m/>
    <n v="706"/>
    <n v="40"/>
    <d v="2025-05-16T00:00:00"/>
    <m/>
  </r>
  <r>
    <x v="591"/>
    <s v="Portugal"/>
    <s v="38.736946"/>
    <s v="-9.142685"/>
    <s v="Telecommunications"/>
    <s v="Small (11-200)"/>
    <s v="John Smith"/>
    <d v="2024-04-28T00:00:00"/>
    <s v="Services"/>
    <x v="3"/>
    <x v="3"/>
    <m/>
    <m/>
    <n v="1461"/>
    <n v="40"/>
    <d v="2024-12-11T00:00:00"/>
    <m/>
  </r>
  <r>
    <x v="592"/>
    <s v="Switzerland"/>
    <s v="46.204391"/>
    <s v="6.143158"/>
    <s v="Energy &amp; Utilities"/>
    <s v="Small (11-200)"/>
    <s v="Sarah Davis"/>
    <d v="2024-04-17T00:00:00"/>
    <s v="Services"/>
    <x v="3"/>
    <x v="3"/>
    <m/>
    <m/>
    <n v="1913"/>
    <n v="100"/>
    <d v="2024-07-10T00:00:00"/>
    <m/>
  </r>
  <r>
    <x v="593"/>
    <s v="Italy"/>
    <s v="41.902782"/>
    <s v="12.496366"/>
    <s v="Telecommunications"/>
    <s v="Small (11-200)"/>
    <s v="Laura Thompson"/>
    <d v="2024-05-13T00:00:00"/>
    <s v="SAAS"/>
    <x v="3"/>
    <x v="3"/>
    <m/>
    <m/>
    <n v="1539"/>
    <n v="20"/>
    <d v="2024-06-30T00:00:00"/>
    <m/>
  </r>
  <r>
    <x v="594"/>
    <s v="Portugal"/>
    <s v="38.736946"/>
    <s v="-9.142685"/>
    <s v="Energy &amp; Utilities"/>
    <s v="Small (11-200)"/>
    <s v="Laura Thompson"/>
    <d v="2024-04-10T00:00:00"/>
    <s v="SAAS"/>
    <x v="3"/>
    <x v="3"/>
    <m/>
    <m/>
    <n v="1212"/>
    <n v="30"/>
    <d v="2024-06-14T00:00:00"/>
    <m/>
  </r>
  <r>
    <x v="595"/>
    <s v="Portugal"/>
    <s v="38.736946"/>
    <s v="-9.142685"/>
    <s v="Professional Services  &amp; Consulting"/>
    <s v="Small (11-200)"/>
    <s v="Michael Brown"/>
    <d v="2024-03-13T00:00:00"/>
    <s v="Services"/>
    <x v="3"/>
    <x v="3"/>
    <m/>
    <m/>
    <n v="1832"/>
    <n v="20"/>
    <d v="2024-07-18T00:00:00"/>
    <m/>
  </r>
  <r>
    <x v="596"/>
    <s v="Germany"/>
    <s v="52.520008"/>
    <s v="13.404954"/>
    <s v="Transportation &amp; Logistics"/>
    <s v="Small (11-200)"/>
    <s v="Jessica Martinez"/>
    <d v="2024-03-18T00:00:00"/>
    <s v="Custom solution"/>
    <x v="3"/>
    <x v="3"/>
    <m/>
    <m/>
    <n v="1553"/>
    <n v="20"/>
    <d v="2024-08-04T00:00:00"/>
    <m/>
  </r>
  <r>
    <x v="597"/>
    <s v="France"/>
    <s v="48.864716"/>
    <s v="2.349014"/>
    <s v="Entertainment &amp; Media &amp; Hospitality"/>
    <s v="Small (11-200)"/>
    <s v="John Smith"/>
    <d v="2024-04-20T00:00:00"/>
    <s v="Services"/>
    <x v="3"/>
    <x v="3"/>
    <m/>
    <m/>
    <n v="322"/>
    <n v="40"/>
    <d v="2025-01-04T00:00:00"/>
    <m/>
  </r>
  <r>
    <x v="598"/>
    <s v="France"/>
    <s v="48.864716"/>
    <s v="2.349014"/>
    <s v="Transportation &amp; Logistics"/>
    <s v="Small (11-200)"/>
    <s v="John Smith"/>
    <d v="2024-01-10T00:00:00"/>
    <s v="Custom solution"/>
    <x v="3"/>
    <x v="3"/>
    <m/>
    <m/>
    <n v="1185"/>
    <n v="90"/>
    <d v="2024-07-22T00:00:00"/>
    <m/>
  </r>
  <r>
    <x v="599"/>
    <s v="Netherlands"/>
    <s v="52.370216"/>
    <s v="4.895168"/>
    <s v="Banking and Finance"/>
    <s v="Small (11-200)"/>
    <s v="Jessica Martinez"/>
    <d v="2024-05-20T00:00:00"/>
    <s v="Services"/>
    <x v="3"/>
    <x v="3"/>
    <m/>
    <m/>
    <n v="1747"/>
    <n v="20"/>
    <d v="2024-07-16T00:00:00"/>
    <m/>
  </r>
  <r>
    <x v="600"/>
    <s v="Germany"/>
    <s v="52.520008"/>
    <s v="13.404954"/>
    <s v="Government Administration Healthcare"/>
    <s v="Small (11-200)"/>
    <s v="Michael Brown"/>
    <d v="2024-03-22T00:00:00"/>
    <s v="SAAS"/>
    <x v="3"/>
    <x v="3"/>
    <m/>
    <m/>
    <n v="1286"/>
    <n v="20"/>
    <d v="2025-02-12T00:00:00"/>
    <m/>
  </r>
  <r>
    <x v="601"/>
    <s v="Belgium"/>
    <s v="51.260197"/>
    <s v="4.402771"/>
    <s v="Manufacturing &amp; Production"/>
    <s v="Small (11-200)"/>
    <s v="Laura Thompson"/>
    <d v="2024-01-04T00:00:00"/>
    <s v="Services"/>
    <x v="3"/>
    <x v="3"/>
    <m/>
    <m/>
    <n v="1735"/>
    <n v="90"/>
    <d v="2024-02-09T00:00:00"/>
    <m/>
  </r>
  <r>
    <x v="602"/>
    <s v="Portugal"/>
    <s v="38.736946"/>
    <s v="-9.142685"/>
    <s v="Transportation &amp; Logistics"/>
    <s v="Small (11-200)"/>
    <s v="David Wilson"/>
    <d v="2024-05-04T00:00:00"/>
    <s v="SAAS"/>
    <x v="3"/>
    <x v="3"/>
    <m/>
    <m/>
    <n v="1184"/>
    <n v="50"/>
    <d v="2025-01-30T00:00:00"/>
    <m/>
  </r>
  <r>
    <x v="603"/>
    <s v="Switzerland"/>
    <s v="46.204391"/>
    <s v="6.143158"/>
    <s v="Education &amp; Science"/>
    <s v="Small (11-200)"/>
    <s v="Laura Thompson"/>
    <d v="2024-02-18T00:00:00"/>
    <s v="SAAS"/>
    <x v="3"/>
    <x v="3"/>
    <m/>
    <m/>
    <n v="352"/>
    <n v="40"/>
    <d v="2024-10-24T00:00:00"/>
    <m/>
  </r>
  <r>
    <x v="604"/>
    <s v="Italy"/>
    <s v="41.902782"/>
    <s v="12.496366"/>
    <s v="Telecommunications"/>
    <s v="Small (11-200)"/>
    <s v="John Smith"/>
    <d v="2024-01-11T00:00:00"/>
    <s v="Custom solution"/>
    <x v="3"/>
    <x v="3"/>
    <m/>
    <m/>
    <n v="1581"/>
    <n v="50"/>
    <d v="2024-03-06T00:00:00"/>
    <m/>
  </r>
  <r>
    <x v="605"/>
    <s v="Italy"/>
    <s v="41.902782"/>
    <s v="12.496366"/>
    <s v="Government Administration Healthcare"/>
    <s v="Small (11-200)"/>
    <s v="David Wilson"/>
    <d v="2024-05-24T00:00:00"/>
    <s v="SAAS"/>
    <x v="3"/>
    <x v="3"/>
    <m/>
    <m/>
    <n v="1367"/>
    <n v="40"/>
    <d v="2025-03-29T00:00:00"/>
    <m/>
  </r>
  <r>
    <x v="606"/>
    <s v="Spain"/>
    <s v="40.416775"/>
    <s v="-3.703790"/>
    <s v="Banking and Finance"/>
    <s v="Small (11-200)"/>
    <s v="Sarah Davis"/>
    <d v="2024-03-05T00:00:00"/>
    <s v="Services"/>
    <x v="3"/>
    <x v="3"/>
    <m/>
    <m/>
    <n v="490"/>
    <n v="10"/>
    <d v="2024-07-08T00:00:00"/>
    <m/>
  </r>
  <r>
    <x v="607"/>
    <s v="France"/>
    <s v="48.864716"/>
    <s v="2.349014"/>
    <s v="IT &amp; IT Services"/>
    <s v="Small (11-200)"/>
    <s v="Laura Thompson"/>
    <d v="2024-01-23T00:00:00"/>
    <s v="SAAS"/>
    <x v="3"/>
    <x v="3"/>
    <m/>
    <m/>
    <n v="1627"/>
    <n v="40"/>
    <d v="2024-03-11T00:00:00"/>
    <m/>
  </r>
  <r>
    <x v="608"/>
    <s v="Portugal"/>
    <s v="38.736946"/>
    <s v="-9.142685"/>
    <s v="IT &amp; IT Services"/>
    <s v="Small (11-200)"/>
    <s v="Laura Thompson"/>
    <d v="2024-01-31T00:00:00"/>
    <s v="Custom solution"/>
    <x v="3"/>
    <x v="3"/>
    <m/>
    <m/>
    <n v="716"/>
    <n v="50"/>
    <d v="2024-08-16T00:00:00"/>
    <m/>
  </r>
  <r>
    <x v="609"/>
    <s v="Switzerland"/>
    <s v="46.204391"/>
    <s v="6.143158"/>
    <s v="Banking and Finance"/>
    <s v="Small (11-200)"/>
    <s v="John Smith"/>
    <d v="2024-02-14T00:00:00"/>
    <s v="Services"/>
    <x v="3"/>
    <x v="3"/>
    <m/>
    <m/>
    <n v="1139"/>
    <n v="30"/>
    <d v="2024-05-28T00:00:00"/>
    <m/>
  </r>
  <r>
    <x v="610"/>
    <s v="Switzerland"/>
    <s v="46.204391"/>
    <s v="6.143158"/>
    <s v="Banking and Finance"/>
    <s v="Small (11-200)"/>
    <s v="Jessica Martinez"/>
    <d v="2024-04-16T00:00:00"/>
    <s v="Custom solution"/>
    <x v="3"/>
    <x v="3"/>
    <m/>
    <m/>
    <n v="427"/>
    <n v="40"/>
    <d v="2024-09-15T00:00:00"/>
    <m/>
  </r>
  <r>
    <x v="611"/>
    <s v="Austria"/>
    <s v="48.210033"/>
    <s v="16.363449"/>
    <s v="Transportation &amp; Logistics"/>
    <s v="Small (11-200)"/>
    <s v="Michael Brown"/>
    <d v="2024-04-18T00:00:00"/>
    <s v="Services"/>
    <x v="3"/>
    <x v="3"/>
    <m/>
    <m/>
    <n v="857"/>
    <n v="50"/>
    <d v="2024-12-03T00:00:00"/>
    <m/>
  </r>
  <r>
    <x v="612"/>
    <s v="Portugal"/>
    <s v="38.736946"/>
    <s v="-9.142685"/>
    <s v="Telecommunications"/>
    <s v="Small (11-200)"/>
    <s v="Laura Thompson"/>
    <d v="2024-03-17T00:00:00"/>
    <s v="SAAS"/>
    <x v="3"/>
    <x v="3"/>
    <m/>
    <m/>
    <n v="1442"/>
    <n v="10"/>
    <d v="2025-02-10T00:00:00"/>
    <m/>
  </r>
  <r>
    <x v="613"/>
    <s v="France"/>
    <s v="48.864716"/>
    <s v="2.349014"/>
    <s v="Banking and Finance"/>
    <s v="Small (11-200)"/>
    <s v="David Wilson"/>
    <d v="2024-03-07T00:00:00"/>
    <s v="Services"/>
    <x v="3"/>
    <x v="3"/>
    <m/>
    <m/>
    <n v="839"/>
    <n v="60"/>
    <d v="2024-10-18T00:00:00"/>
    <m/>
  </r>
  <r>
    <x v="614"/>
    <s v="Germany"/>
    <s v="52.520008"/>
    <s v="13.404954"/>
    <s v="Retail &amp; Distribution"/>
    <s v="Small (11-200)"/>
    <s v="Jessica Martinez"/>
    <d v="2024-01-23T00:00:00"/>
    <s v="Custom solution"/>
    <x v="3"/>
    <x v="3"/>
    <m/>
    <m/>
    <n v="1660"/>
    <n v="80"/>
    <d v="2024-12-02T00:00:00"/>
    <m/>
  </r>
  <r>
    <x v="615"/>
    <s v="Portugal"/>
    <s v="38.736946"/>
    <s v="-9.142685"/>
    <s v="Banking and Finance"/>
    <s v="Small (11-200)"/>
    <s v="David Wilson"/>
    <d v="2024-05-01T00:00:00"/>
    <s v="SAAS"/>
    <x v="3"/>
    <x v="3"/>
    <m/>
    <m/>
    <n v="576"/>
    <n v="80"/>
    <d v="2025-02-25T00:00:00"/>
    <m/>
  </r>
  <r>
    <x v="616"/>
    <s v="Austria"/>
    <s v="48.210033"/>
    <s v="16.363449"/>
    <s v="Recreation &amp; Sports"/>
    <s v="Small (11-200)"/>
    <s v="Laura Thompson"/>
    <d v="2024-03-23T00:00:00"/>
    <s v="SAAS"/>
    <x v="3"/>
    <x v="3"/>
    <m/>
    <m/>
    <n v="1351"/>
    <n v="40"/>
    <d v="2024-06-12T00:00:00"/>
    <m/>
  </r>
  <r>
    <x v="617"/>
    <s v="Belgium"/>
    <s v="51.260197"/>
    <s v="4.402771"/>
    <s v="Transportation &amp; Logistics"/>
    <s v="Small (11-200)"/>
    <s v="Jessica Martinez"/>
    <d v="2024-02-07T00:00:00"/>
    <s v="Custom solution"/>
    <x v="3"/>
    <x v="3"/>
    <m/>
    <m/>
    <n v="1579"/>
    <n v="70"/>
    <d v="2025-01-03T00:00:00"/>
    <m/>
  </r>
  <r>
    <x v="618"/>
    <s v="Italy"/>
    <s v="41.902782"/>
    <s v="12.496366"/>
    <s v="Retail &amp; Distribution"/>
    <s v="Small (11-200)"/>
    <s v="Sarah Davis"/>
    <d v="2024-05-07T00:00:00"/>
    <s v="SAAS"/>
    <x v="3"/>
    <x v="3"/>
    <m/>
    <m/>
    <n v="731"/>
    <n v="20"/>
    <d v="2024-10-05T00:00:00"/>
    <m/>
  </r>
  <r>
    <x v="619"/>
    <s v="Portugal"/>
    <s v="38.736946"/>
    <s v="-9.142685"/>
    <s v="Government Administration Healthcare"/>
    <s v="Small (11-200)"/>
    <s v="John Smith"/>
    <d v="2024-05-18T00:00:00"/>
    <s v="SAAS"/>
    <x v="3"/>
    <x v="3"/>
    <m/>
    <m/>
    <n v="931"/>
    <n v="30"/>
    <d v="2025-04-04T00:00:00"/>
    <m/>
  </r>
  <r>
    <x v="620"/>
    <s v="Austria"/>
    <s v="48.210033"/>
    <s v="16.363449"/>
    <s v="IT &amp; IT Services"/>
    <s v="Small (11-200)"/>
    <s v="Laura Thompson"/>
    <d v="2024-01-23T00:00:00"/>
    <s v="SAAS"/>
    <x v="3"/>
    <x v="3"/>
    <m/>
    <m/>
    <n v="1237"/>
    <n v="30"/>
    <d v="2024-07-17T00:00:00"/>
    <m/>
  </r>
  <r>
    <x v="621"/>
    <s v="Italy"/>
    <s v="41.902782"/>
    <s v="12.496366"/>
    <s v="Government Administration Healthcare"/>
    <s v="Small (11-200)"/>
    <s v="Kevin Anderson"/>
    <d v="2024-04-23T00:00:00"/>
    <s v="SAAS"/>
    <x v="3"/>
    <x v="3"/>
    <m/>
    <m/>
    <n v="1716"/>
    <n v="20"/>
    <d v="2024-11-17T00:00:00"/>
    <m/>
  </r>
  <r>
    <x v="622"/>
    <s v="Portugal"/>
    <s v="38.736946"/>
    <s v="-9.142685"/>
    <s v="IT &amp; IT Services"/>
    <s v="Small (11-200)"/>
    <s v="Jessica Martinez"/>
    <d v="2024-01-17T00:00:00"/>
    <s v="Services"/>
    <x v="3"/>
    <x v="3"/>
    <m/>
    <m/>
    <n v="1382"/>
    <n v="30"/>
    <d v="2024-11-26T00:00:00"/>
    <m/>
  </r>
  <r>
    <x v="623"/>
    <s v="Portugal"/>
    <s v="38.736946"/>
    <s v="-9.142685"/>
    <s v="Agriculture &amp; Mining"/>
    <s v="Small (11-200)"/>
    <s v="Jessica Martinez"/>
    <d v="2024-05-09T00:00:00"/>
    <s v="Services"/>
    <x v="3"/>
    <x v="3"/>
    <m/>
    <m/>
    <n v="1194"/>
    <n v="100"/>
    <d v="2024-12-02T00:00:00"/>
    <m/>
  </r>
  <r>
    <x v="624"/>
    <s v="Belgium"/>
    <s v="51.260197"/>
    <s v="4.402771"/>
    <s v="Banking and Finance"/>
    <s v="Small (11-200)"/>
    <s v="Kevin Anderson"/>
    <d v="2024-01-10T00:00:00"/>
    <s v="Services"/>
    <x v="3"/>
    <x v="3"/>
    <m/>
    <m/>
    <n v="1073"/>
    <n v="20"/>
    <d v="2024-04-06T00:00:00"/>
    <m/>
  </r>
  <r>
    <x v="625"/>
    <s v="Spain"/>
    <s v="40.416775"/>
    <s v="-3.703790"/>
    <s v="Government Administration Healthcare"/>
    <s v="Small (11-200)"/>
    <s v="Michael Brown"/>
    <d v="2024-05-11T00:00:00"/>
    <s v="Services"/>
    <x v="3"/>
    <x v="3"/>
    <m/>
    <m/>
    <n v="1102"/>
    <n v="20"/>
    <d v="2024-07-07T00:00:00"/>
    <m/>
  </r>
  <r>
    <x v="626"/>
    <s v="Italy"/>
    <s v="41.902782"/>
    <s v="12.496366"/>
    <s v="IT &amp; IT Services"/>
    <s v="Small (11-200)"/>
    <s v="Jessica Martinez"/>
    <d v="2024-02-21T00:00:00"/>
    <s v="Services"/>
    <x v="3"/>
    <x v="3"/>
    <m/>
    <m/>
    <n v="1252"/>
    <n v="50"/>
    <d v="2024-11-08T00:00:00"/>
    <m/>
  </r>
  <r>
    <x v="627"/>
    <s v="Belgium"/>
    <s v="51.260197"/>
    <s v="4.402771"/>
    <s v="Retail &amp; Distribution"/>
    <s v="Small (11-200)"/>
    <s v="Michael Brown"/>
    <d v="2024-01-30T00:00:00"/>
    <s v="SAAS"/>
    <x v="3"/>
    <x v="3"/>
    <m/>
    <m/>
    <n v="786"/>
    <n v="70"/>
    <d v="2024-11-27T00:00:00"/>
    <m/>
  </r>
  <r>
    <x v="628"/>
    <s v="Belgium"/>
    <s v="51.260197"/>
    <s v="4.402771"/>
    <s v="Professional Services  &amp; Consulting"/>
    <s v="Small (11-200)"/>
    <s v="Sarah Davis"/>
    <d v="2024-03-20T00:00:00"/>
    <s v="Services"/>
    <x v="3"/>
    <x v="3"/>
    <m/>
    <m/>
    <n v="1292"/>
    <n v="80"/>
    <d v="2025-02-14T00:00:00"/>
    <m/>
  </r>
  <r>
    <x v="629"/>
    <s v="Italy"/>
    <s v="41.902782"/>
    <s v="12.496366"/>
    <s v="Banking and Finance"/>
    <s v="Small (11-200)"/>
    <s v="Laura Thompson"/>
    <d v="2024-01-09T00:00:00"/>
    <s v="Services"/>
    <x v="3"/>
    <x v="3"/>
    <m/>
    <m/>
    <n v="317"/>
    <n v="60"/>
    <d v="2024-07-13T00:00:00"/>
    <m/>
  </r>
  <r>
    <x v="630"/>
    <s v="Switzerland"/>
    <s v="46.204391"/>
    <s v="6.143158"/>
    <s v="Transportation &amp; Logistics"/>
    <s v="Small (11-200)"/>
    <s v="Laura Thompson"/>
    <d v="2024-02-21T00:00:00"/>
    <s v="SAAS"/>
    <x v="3"/>
    <x v="3"/>
    <m/>
    <m/>
    <n v="958"/>
    <n v="30"/>
    <d v="2024-09-04T00:00:00"/>
    <m/>
  </r>
  <r>
    <x v="631"/>
    <s v="Italy"/>
    <s v="41.902782"/>
    <s v="12.496366"/>
    <s v="Banking and Finance"/>
    <s v="Small (11-200)"/>
    <s v="Sarah Davis"/>
    <d v="2024-05-23T00:00:00"/>
    <s v="Services"/>
    <x v="3"/>
    <x v="3"/>
    <m/>
    <m/>
    <n v="1364"/>
    <n v="50"/>
    <d v="2024-09-06T00:00:00"/>
    <m/>
  </r>
  <r>
    <x v="632"/>
    <s v="Switzerland"/>
    <s v="46.204391"/>
    <s v="6.143158"/>
    <s v="Transportation &amp; Logistics"/>
    <s v="Small (11-200)"/>
    <s v="Jessica Martinez"/>
    <d v="2024-04-03T00:00:00"/>
    <s v="Services"/>
    <x v="3"/>
    <x v="3"/>
    <m/>
    <m/>
    <n v="1348"/>
    <n v="20"/>
    <d v="2024-05-14T00:00:00"/>
    <m/>
  </r>
  <r>
    <x v="633"/>
    <s v="Switzerland"/>
    <s v="46.204391"/>
    <s v="6.143158"/>
    <s v="Banking and Finance"/>
    <s v="Small (11-200)"/>
    <s v="Jessica Martinez"/>
    <d v="2024-02-10T00:00:00"/>
    <s v="Custom solution"/>
    <x v="3"/>
    <x v="3"/>
    <m/>
    <m/>
    <n v="1811"/>
    <n v="10"/>
    <d v="2024-11-09T00:00:00"/>
    <m/>
  </r>
  <r>
    <x v="634"/>
    <s v="Germany"/>
    <s v="52.520008"/>
    <s v="13.404954"/>
    <s v="IT &amp; IT Services"/>
    <s v="Small (11-200)"/>
    <s v="Sarah Davis"/>
    <d v="2024-02-19T00:00:00"/>
    <s v="SAAS"/>
    <x v="3"/>
    <x v="3"/>
    <m/>
    <m/>
    <n v="1607"/>
    <n v="10"/>
    <d v="2025-01-12T00:00:00"/>
    <m/>
  </r>
  <r>
    <x v="635"/>
    <s v="Italy"/>
    <s v="41.902782"/>
    <s v="12.496366"/>
    <s v="Transportation &amp; Logistics"/>
    <s v="Small (11-200)"/>
    <s v="Laura Thompson"/>
    <d v="2024-04-05T00:00:00"/>
    <s v="Services"/>
    <x v="3"/>
    <x v="3"/>
    <m/>
    <m/>
    <n v="1139"/>
    <n v="30"/>
    <d v="2024-07-25T00:00:00"/>
    <m/>
  </r>
  <r>
    <x v="636"/>
    <s v="Italy"/>
    <s v="41.902782"/>
    <s v="12.496366"/>
    <s v="IT &amp; IT Services"/>
    <s v="Small (11-200)"/>
    <s v="Michael Brown"/>
    <d v="2024-01-26T00:00:00"/>
    <s v="Services"/>
    <x v="3"/>
    <x v="3"/>
    <m/>
    <m/>
    <n v="487"/>
    <n v="50"/>
    <d v="2024-09-13T00:00:00"/>
    <m/>
  </r>
  <r>
    <x v="637"/>
    <s v="Italy"/>
    <s v="41.902782"/>
    <s v="12.496366"/>
    <s v="Manufacturing &amp; Production"/>
    <s v="Small (11-200)"/>
    <s v="Sarah Davis"/>
    <d v="2024-04-17T00:00:00"/>
    <s v="Services"/>
    <x v="3"/>
    <x v="3"/>
    <m/>
    <m/>
    <n v="495"/>
    <n v="60"/>
    <d v="2024-05-28T00:00:00"/>
    <m/>
  </r>
  <r>
    <x v="638"/>
    <s v="Portugal"/>
    <s v="38.736946"/>
    <s v="-9.142685"/>
    <s v="IT &amp; IT Services"/>
    <s v="Small (11-200)"/>
    <s v="Laura Thompson"/>
    <d v="2024-02-08T00:00:00"/>
    <s v="Services"/>
    <x v="3"/>
    <x v="3"/>
    <m/>
    <m/>
    <n v="344"/>
    <n v="40"/>
    <d v="2024-04-01T00:00:00"/>
    <m/>
  </r>
  <r>
    <x v="639"/>
    <s v="France"/>
    <s v="48.864716"/>
    <s v="2.349014"/>
    <s v="Education &amp; Science"/>
    <s v="Small (11-200)"/>
    <s v="Laura Thompson"/>
    <d v="2024-04-11T00:00:00"/>
    <s v="SAAS"/>
    <x v="3"/>
    <x v="3"/>
    <m/>
    <m/>
    <n v="443"/>
    <n v="30"/>
    <d v="2024-08-07T00:00:00"/>
    <m/>
  </r>
  <r>
    <x v="640"/>
    <s v="Spain"/>
    <s v="40.416775"/>
    <s v="-3.703790"/>
    <s v="Education &amp; Science"/>
    <s v="Small (11-200)"/>
    <s v="Emily Johnson"/>
    <d v="2024-03-11T00:00:00"/>
    <s v="SAAS"/>
    <x v="3"/>
    <x v="3"/>
    <m/>
    <m/>
    <n v="718"/>
    <n v="40"/>
    <d v="2025-02-03T00:00:00"/>
    <m/>
  </r>
  <r>
    <x v="641"/>
    <s v="Austria"/>
    <s v="48.210033"/>
    <s v="16.363449"/>
    <s v="IT &amp; IT Services"/>
    <s v="Small (11-200)"/>
    <s v="Jessica Martinez"/>
    <d v="2024-05-30T00:00:00"/>
    <s v="Custom solution"/>
    <x v="3"/>
    <x v="3"/>
    <m/>
    <m/>
    <n v="1917"/>
    <n v="90"/>
    <d v="2024-10-25T00:00:00"/>
    <m/>
  </r>
  <r>
    <x v="642"/>
    <s v="Germany"/>
    <s v="52.520008"/>
    <s v="13.404954"/>
    <s v="Government Administration Healthcare"/>
    <s v="Small (11-200)"/>
    <s v="Emily Johnson"/>
    <d v="2024-01-23T00:00:00"/>
    <s v="Custom solution"/>
    <x v="3"/>
    <x v="3"/>
    <m/>
    <m/>
    <n v="1729"/>
    <n v="50"/>
    <d v="2024-06-28T00:00:00"/>
    <m/>
  </r>
  <r>
    <x v="643"/>
    <s v="Italy"/>
    <s v="41.902782"/>
    <s v="12.496366"/>
    <s v="Construction &amp; Engineering"/>
    <s v="Small (11-200)"/>
    <s v="Jessica Martinez"/>
    <d v="2024-05-04T00:00:00"/>
    <s v="Custom solution"/>
    <x v="3"/>
    <x v="3"/>
    <m/>
    <m/>
    <n v="1345"/>
    <n v="10"/>
    <d v="2024-08-15T00:00:00"/>
    <m/>
  </r>
  <r>
    <x v="644"/>
    <s v="Portugal"/>
    <s v="38.736946"/>
    <s v="-9.142685"/>
    <s v="Transportation &amp; Logistics"/>
    <s v="Small (11-200)"/>
    <s v="Michael Brown"/>
    <d v="2024-04-21T00:00:00"/>
    <s v="Services"/>
    <x v="3"/>
    <x v="3"/>
    <m/>
    <m/>
    <n v="1626"/>
    <n v="60"/>
    <d v="2025-04-19T00:00:00"/>
    <m/>
  </r>
  <r>
    <x v="645"/>
    <s v="Italy"/>
    <s v="41.902782"/>
    <s v="12.496366"/>
    <s v="Telecommunications"/>
    <s v="Small (11-200)"/>
    <s v="Michael Brown"/>
    <d v="2024-05-22T00:00:00"/>
    <s v="SAAS"/>
    <x v="3"/>
    <x v="3"/>
    <m/>
    <m/>
    <n v="1592"/>
    <n v="50"/>
    <d v="2024-07-23T00:00:00"/>
    <m/>
  </r>
  <r>
    <x v="646"/>
    <s v="Belgium"/>
    <s v="51.260197"/>
    <s v="4.402771"/>
    <s v="Energy &amp; Utilities"/>
    <s v="Small (11-200)"/>
    <s v="Jessica Martinez"/>
    <d v="2024-02-07T00:00:00"/>
    <s v="Custom solution"/>
    <x v="3"/>
    <x v="3"/>
    <m/>
    <m/>
    <n v="819"/>
    <n v="30"/>
    <d v="2024-02-28T00:00:00"/>
    <m/>
  </r>
  <r>
    <x v="647"/>
    <s v="Italy"/>
    <s v="41.902782"/>
    <s v="12.496366"/>
    <s v="Entertainment &amp; Media &amp; Hospitality"/>
    <s v="Small (11-200)"/>
    <s v="Laura Thompson"/>
    <d v="2024-02-28T00:00:00"/>
    <s v="SAAS"/>
    <x v="3"/>
    <x v="3"/>
    <m/>
    <m/>
    <n v="766"/>
    <n v="50"/>
    <d v="2025-02-15T00:00:00"/>
    <m/>
  </r>
  <r>
    <x v="648"/>
    <s v="Italy"/>
    <s v="41.902782"/>
    <s v="12.496366"/>
    <s v="Banking and Finance"/>
    <s v="Small (11-200)"/>
    <s v="Jessica Martinez"/>
    <d v="2024-01-09T00:00:00"/>
    <s v="Services"/>
    <x v="3"/>
    <x v="3"/>
    <m/>
    <m/>
    <n v="834"/>
    <n v="40"/>
    <d v="2024-12-30T00:00:00"/>
    <m/>
  </r>
  <r>
    <x v="649"/>
    <s v="Italy"/>
    <s v="41.902782"/>
    <s v="12.496366"/>
    <s v="Transportation &amp; Logistics"/>
    <s v="Small (11-200)"/>
    <s v="Sarah Davis"/>
    <d v="2024-03-29T00:00:00"/>
    <s v="SAAS"/>
    <x v="3"/>
    <x v="3"/>
    <m/>
    <m/>
    <n v="1662"/>
    <n v="30"/>
    <d v="2025-03-23T00:00:00"/>
    <m/>
  </r>
  <r>
    <x v="650"/>
    <s v="Germany"/>
    <s v="52.520008"/>
    <s v="13.404954"/>
    <s v="Recreation &amp; Sports"/>
    <s v="Small (11-200)"/>
    <s v="Michael Brown"/>
    <d v="2024-01-13T00:00:00"/>
    <s v="SAAS"/>
    <x v="3"/>
    <x v="3"/>
    <m/>
    <m/>
    <n v="1819"/>
    <n v="60"/>
    <d v="2024-08-28T00:00:00"/>
    <m/>
  </r>
  <r>
    <x v="651"/>
    <s v="Austria"/>
    <s v="48.210033"/>
    <s v="16.363449"/>
    <s v="Agriculture &amp; Mining"/>
    <s v="Small (11-200)"/>
    <s v="Jessica Martinez"/>
    <d v="2024-05-21T00:00:00"/>
    <s v="Services"/>
    <x v="3"/>
    <x v="3"/>
    <m/>
    <m/>
    <n v="1142"/>
    <n v="20"/>
    <d v="2024-06-26T00:00:00"/>
    <m/>
  </r>
  <r>
    <x v="652"/>
    <s v="Austria"/>
    <s v="48.210033"/>
    <s v="16.363449"/>
    <s v="Entertainment &amp; Media &amp; Hospitality"/>
    <s v="Small (11-200)"/>
    <s v="Laura Thompson"/>
    <d v="2024-02-21T00:00:00"/>
    <s v="Custom solution"/>
    <x v="3"/>
    <x v="3"/>
    <m/>
    <m/>
    <n v="1340"/>
    <n v="30"/>
    <d v="2024-08-16T00:00:00"/>
    <m/>
  </r>
  <r>
    <x v="653"/>
    <s v="Belgium"/>
    <s v="51.260197"/>
    <s v="4.402771"/>
    <s v="Transportation &amp; Logistics"/>
    <s v="Small (11-200)"/>
    <s v="Emily Johnson"/>
    <d v="2024-01-23T00:00:00"/>
    <s v="Services"/>
    <x v="3"/>
    <x v="3"/>
    <m/>
    <m/>
    <n v="797"/>
    <n v="40"/>
    <d v="2024-06-12T00:00:00"/>
    <m/>
  </r>
  <r>
    <x v="654"/>
    <s v="Germany"/>
    <s v="52.520008"/>
    <s v="13.404954"/>
    <s v="Transportation &amp; Logistics"/>
    <s v="Small (11-200)"/>
    <s v="Laura Thompson"/>
    <d v="2024-05-09T00:00:00"/>
    <s v="SAAS"/>
    <x v="3"/>
    <x v="3"/>
    <m/>
    <m/>
    <n v="644"/>
    <n v="40"/>
    <d v="2025-01-25T00:00:00"/>
    <m/>
  </r>
  <r>
    <x v="655"/>
    <s v="Netherlands"/>
    <s v="52.370216"/>
    <s v="4.895168"/>
    <s v="Banking and Finance"/>
    <s v="Small (11-200)"/>
    <s v="Sarah Davis"/>
    <d v="2024-05-19T00:00:00"/>
    <s v="Services"/>
    <x v="3"/>
    <x v="3"/>
    <m/>
    <m/>
    <n v="355"/>
    <n v="30"/>
    <d v="2025-02-26T00:00:00"/>
    <m/>
  </r>
  <r>
    <x v="656"/>
    <s v="Germany"/>
    <s v="52.520008"/>
    <s v="13.404954"/>
    <s v="IT &amp; IT Services"/>
    <s v="Small (11-200)"/>
    <s v="John Smith"/>
    <d v="2024-05-28T00:00:00"/>
    <s v="Custom solution"/>
    <x v="3"/>
    <x v="3"/>
    <m/>
    <m/>
    <n v="1741"/>
    <n v="50"/>
    <d v="2024-10-18T00:00:00"/>
    <m/>
  </r>
  <r>
    <x v="657"/>
    <s v="Netherlands"/>
    <s v="52.370216"/>
    <s v="4.895168"/>
    <s v="Banking and Finance"/>
    <s v="Small (11-200)"/>
    <s v="Laura Thompson"/>
    <d v="2024-01-31T00:00:00"/>
    <s v="SAAS"/>
    <x v="3"/>
    <x v="3"/>
    <m/>
    <m/>
    <n v="441"/>
    <n v="30"/>
    <d v="2024-10-17T00:00:00"/>
    <m/>
  </r>
  <r>
    <x v="658"/>
    <s v="Germany"/>
    <s v="52.520008"/>
    <s v="13.404954"/>
    <s v="Transportation &amp; Logistics"/>
    <s v="Small (11-200)"/>
    <s v="Michael Brown"/>
    <d v="2024-05-10T00:00:00"/>
    <s v="SAAS"/>
    <x v="3"/>
    <x v="3"/>
    <m/>
    <m/>
    <n v="1239"/>
    <n v="40"/>
    <d v="2025-03-02T00:00:00"/>
    <m/>
  </r>
  <r>
    <x v="659"/>
    <s v="Belgium"/>
    <s v="51.260197"/>
    <s v="4.402771"/>
    <s v="IT &amp; IT Services"/>
    <s v="Small (11-200)"/>
    <s v="Laura Thompson"/>
    <d v="2024-05-11T00:00:00"/>
    <s v="SAAS"/>
    <x v="3"/>
    <x v="3"/>
    <m/>
    <m/>
    <n v="467"/>
    <n v="40"/>
    <d v="2025-02-15T00:00:00"/>
    <m/>
  </r>
  <r>
    <x v="660"/>
    <s v="Germany"/>
    <s v="52.520008"/>
    <s v="13.404954"/>
    <s v="Transportation &amp; Logistics"/>
    <s v="Small (11-200)"/>
    <s v="Jessica Martinez"/>
    <d v="2024-02-10T00:00:00"/>
    <s v="SAAS"/>
    <x v="3"/>
    <x v="3"/>
    <m/>
    <m/>
    <n v="403"/>
    <n v="50"/>
    <d v="2024-06-19T00:00:00"/>
    <m/>
  </r>
  <r>
    <x v="661"/>
    <s v="Austria"/>
    <s v="48.210033"/>
    <s v="16.363449"/>
    <s v="Energy &amp; Utilities"/>
    <s v="Small (11-200)"/>
    <s v="Jessica Martinez"/>
    <d v="2024-03-20T00:00:00"/>
    <s v="SAAS"/>
    <x v="3"/>
    <x v="3"/>
    <m/>
    <m/>
    <n v="677"/>
    <n v="20"/>
    <d v="2024-12-29T00:00:00"/>
    <m/>
  </r>
  <r>
    <x v="662"/>
    <s v="Switzerland"/>
    <s v="46.204391"/>
    <s v="6.143158"/>
    <s v="IT &amp; IT Services"/>
    <s v="Small (11-200)"/>
    <s v="Michael Brown"/>
    <d v="2024-03-29T00:00:00"/>
    <s v="SAAS"/>
    <x v="3"/>
    <x v="3"/>
    <m/>
    <m/>
    <n v="690"/>
    <n v="10"/>
    <d v="2024-11-27T00:00:00"/>
    <m/>
  </r>
  <r>
    <x v="663"/>
    <s v="Switzerland"/>
    <s v="46.204391"/>
    <s v="6.143158"/>
    <s v="Transportation &amp; Logistics"/>
    <s v="Small (11-200)"/>
    <s v="Jessica Martinez"/>
    <d v="2024-05-25T00:00:00"/>
    <s v="SAAS"/>
    <x v="3"/>
    <x v="3"/>
    <m/>
    <m/>
    <n v="404"/>
    <n v="30"/>
    <d v="2024-08-08T00:00:00"/>
    <m/>
  </r>
  <r>
    <x v="664"/>
    <s v="France"/>
    <s v="48.864716"/>
    <s v="2.349014"/>
    <s v="IT &amp; IT Services"/>
    <s v="Small (11-200)"/>
    <s v="Michael Brown"/>
    <d v="2024-02-12T00:00:00"/>
    <s v="SAAS"/>
    <x v="3"/>
    <x v="3"/>
    <m/>
    <m/>
    <n v="1126"/>
    <n v="80"/>
    <d v="2024-04-11T00:00:00"/>
    <m/>
  </r>
  <r>
    <x v="665"/>
    <s v="Germany"/>
    <s v="52.520008"/>
    <s v="13.404954"/>
    <s v="Telecommunications"/>
    <s v="Small (11-200)"/>
    <s v="Laura Thompson"/>
    <d v="2024-01-30T00:00:00"/>
    <s v="SAAS"/>
    <x v="3"/>
    <x v="3"/>
    <m/>
    <m/>
    <n v="1675"/>
    <n v="40"/>
    <d v="2024-07-13T00:00:00"/>
    <m/>
  </r>
  <r>
    <x v="666"/>
    <s v="Italy"/>
    <s v="41.902782"/>
    <s v="12.496366"/>
    <s v="Banking and Finance"/>
    <s v="Small (11-200)"/>
    <s v="John Smith"/>
    <d v="2024-05-13T00:00:00"/>
    <s v="Services"/>
    <x v="3"/>
    <x v="3"/>
    <m/>
    <m/>
    <n v="1910"/>
    <n v="20"/>
    <d v="2025-03-18T00:00:00"/>
    <m/>
  </r>
  <r>
    <x v="667"/>
    <s v="Austria"/>
    <s v="48.210033"/>
    <s v="16.363449"/>
    <s v="Banking and Finance"/>
    <s v="Small (11-200)"/>
    <s v="Laura Thompson"/>
    <d v="2024-02-04T00:00:00"/>
    <s v="Custom solution"/>
    <x v="3"/>
    <x v="3"/>
    <m/>
    <m/>
    <n v="857"/>
    <n v="30"/>
    <d v="2024-11-21T00:00:00"/>
    <m/>
  </r>
  <r>
    <x v="668"/>
    <s v="Portugal"/>
    <s v="38.736946"/>
    <s v="-9.142685"/>
    <s v="Government Administration Healthcare"/>
    <s v="Small (11-200)"/>
    <s v="Jessica Martinez"/>
    <d v="2024-03-14T00:00:00"/>
    <s v="Services"/>
    <x v="3"/>
    <x v="3"/>
    <m/>
    <m/>
    <n v="1561"/>
    <n v="40"/>
    <d v="2025-01-04T00:00:00"/>
    <m/>
  </r>
  <r>
    <x v="669"/>
    <s v="Portugal"/>
    <s v="38.736946"/>
    <s v="-9.142685"/>
    <s v="Transportation &amp; Logistics"/>
    <s v="Small (11-200)"/>
    <s v="Michael Brown"/>
    <d v="2024-05-27T00:00:00"/>
    <s v="Custom solution"/>
    <x v="3"/>
    <x v="3"/>
    <m/>
    <m/>
    <n v="872"/>
    <n v="50"/>
    <d v="2024-10-04T00:00:00"/>
    <m/>
  </r>
  <r>
    <x v="670"/>
    <s v="Germany"/>
    <s v="52.520008"/>
    <s v="13.404954"/>
    <s v="Banking and Finance"/>
    <s v="Small (11-200)"/>
    <s v="Jessica Martinez"/>
    <d v="2024-01-07T00:00:00"/>
    <s v="Services"/>
    <x v="3"/>
    <x v="3"/>
    <m/>
    <m/>
    <n v="757"/>
    <n v="30"/>
    <d v="2024-08-12T00:00:00"/>
    <m/>
  </r>
  <r>
    <x v="671"/>
    <s v="Germany"/>
    <s v="52.520008"/>
    <s v="13.404954"/>
    <s v="Retail &amp; Distribution"/>
    <s v="Small (11-200)"/>
    <s v="Laura Thompson"/>
    <d v="2024-03-17T00:00:00"/>
    <s v="SAAS"/>
    <x v="3"/>
    <x v="3"/>
    <m/>
    <m/>
    <n v="1521"/>
    <n v="70"/>
    <d v="2025-03-17T00:00:00"/>
    <m/>
  </r>
  <r>
    <x v="672"/>
    <s v="France"/>
    <s v="48.864716"/>
    <s v="2.349014"/>
    <s v="Manufacturing &amp; Production"/>
    <s v="Small (11-200)"/>
    <s v="Michael Brown"/>
    <d v="2024-04-20T00:00:00"/>
    <s v="SAAS"/>
    <x v="3"/>
    <x v="3"/>
    <m/>
    <m/>
    <n v="1010"/>
    <n v="80"/>
    <d v="2025-02-14T00:00:00"/>
    <m/>
  </r>
  <r>
    <x v="673"/>
    <s v="Italy"/>
    <s v="41.902782"/>
    <s v="12.496366"/>
    <s v="IT &amp; IT Services"/>
    <s v="Small (11-200)"/>
    <s v="Kevin Anderson"/>
    <d v="2024-02-16T00:00:00"/>
    <s v="Services"/>
    <x v="3"/>
    <x v="3"/>
    <m/>
    <m/>
    <n v="1175"/>
    <n v="30"/>
    <d v="2024-07-05T00:00:00"/>
    <m/>
  </r>
  <r>
    <x v="674"/>
    <s v="Italy"/>
    <s v="41.902782"/>
    <s v="12.496366"/>
    <s v="Professional Services  &amp; Consulting"/>
    <s v="Small (11-200)"/>
    <s v="Laura Thompson"/>
    <d v="2024-01-26T00:00:00"/>
    <s v="SAAS"/>
    <x v="3"/>
    <x v="3"/>
    <m/>
    <m/>
    <n v="1058"/>
    <n v="80"/>
    <d v="2024-11-02T00:00:00"/>
    <m/>
  </r>
  <r>
    <x v="675"/>
    <s v="Austria"/>
    <s v="48.210033"/>
    <s v="16.363449"/>
    <s v="Energy &amp; Utilities"/>
    <s v="Small (11-200)"/>
    <s v="Michael Brown"/>
    <d v="2024-03-22T00:00:00"/>
    <s v="SAAS"/>
    <x v="3"/>
    <x v="3"/>
    <m/>
    <m/>
    <n v="1546"/>
    <n v="10"/>
    <d v="2024-04-30T00:00:00"/>
    <m/>
  </r>
  <r>
    <x v="676"/>
    <s v="Switzerland"/>
    <s v="46.204391"/>
    <s v="6.143158"/>
    <s v="Transportation &amp; Logistics"/>
    <s v="Small (11-200)"/>
    <s v="Michael Brown"/>
    <d v="2024-05-05T00:00:00"/>
    <s v="SAAS"/>
    <x v="3"/>
    <x v="3"/>
    <m/>
    <m/>
    <n v="1029"/>
    <n v="90"/>
    <d v="2024-09-19T00:00:00"/>
    <m/>
  </r>
  <r>
    <x v="677"/>
    <s v="France"/>
    <s v="48.864716"/>
    <s v="2.349014"/>
    <s v="Energy &amp; Utilities"/>
    <s v="Small (11-200)"/>
    <s v="David Wilson"/>
    <d v="2024-04-02T00:00:00"/>
    <s v="SAAS"/>
    <x v="3"/>
    <x v="3"/>
    <m/>
    <m/>
    <n v="1736"/>
    <n v="40"/>
    <d v="2024-10-04T00:00:00"/>
    <m/>
  </r>
  <r>
    <x v="678"/>
    <s v="Belgium"/>
    <s v="51.260197"/>
    <s v="4.402771"/>
    <s v="Banking and Finance"/>
    <s v="Small (11-200)"/>
    <s v="Sarah Davis"/>
    <d v="2024-01-02T00:00:00"/>
    <s v="Services"/>
    <x v="3"/>
    <x v="3"/>
    <m/>
    <m/>
    <n v="1035"/>
    <n v="60"/>
    <d v="2024-08-04T00:00:00"/>
    <m/>
  </r>
  <r>
    <x v="679"/>
    <s v="Germany"/>
    <s v="52.520008"/>
    <s v="13.404954"/>
    <s v="IT &amp; IT Services"/>
    <s v="Small (11-200)"/>
    <s v="David Wilson"/>
    <d v="2024-03-14T00:00:00"/>
    <s v="SAAS"/>
    <x v="3"/>
    <x v="3"/>
    <m/>
    <m/>
    <n v="1077"/>
    <n v="20"/>
    <d v="2024-10-10T00:00:00"/>
    <m/>
  </r>
  <r>
    <x v="680"/>
    <s v="Germany"/>
    <s v="52.520008"/>
    <s v="13.404954"/>
    <s v="IT &amp; IT Services"/>
    <s v="Small (11-200)"/>
    <s v="Laura Thompson"/>
    <d v="2024-02-01T00:00:00"/>
    <s v="Services"/>
    <x v="3"/>
    <x v="3"/>
    <m/>
    <m/>
    <n v="1462"/>
    <n v="60"/>
    <d v="2024-09-05T00:00:00"/>
    <m/>
  </r>
  <r>
    <x v="681"/>
    <s v="France"/>
    <s v="48.864716"/>
    <s v="2.349014"/>
    <s v="Transportation &amp; Logistics"/>
    <s v="Small (11-200)"/>
    <s v="Jessica Martinez"/>
    <d v="2024-01-09T00:00:00"/>
    <s v="SAAS"/>
    <x v="3"/>
    <x v="3"/>
    <m/>
    <m/>
    <n v="1849"/>
    <n v="80"/>
    <d v="2024-12-16T00:00:00"/>
    <m/>
  </r>
  <r>
    <x v="682"/>
    <s v="Italy"/>
    <s v="41.902782"/>
    <s v="12.496366"/>
    <s v="Transportation &amp; Logistics"/>
    <s v="Small (11-200)"/>
    <s v="Emily Johnson"/>
    <d v="2024-05-13T00:00:00"/>
    <s v="SAAS"/>
    <x v="3"/>
    <x v="3"/>
    <m/>
    <m/>
    <n v="294"/>
    <n v="40"/>
    <d v="2025-02-03T00:00:00"/>
    <m/>
  </r>
  <r>
    <x v="683"/>
    <s v="Germany"/>
    <s v="52.520008"/>
    <s v="13.404954"/>
    <s v="Banking and Finance"/>
    <s v="Small (11-200)"/>
    <s v="Laura Thompson"/>
    <d v="2024-01-03T00:00:00"/>
    <s v="SAAS"/>
    <x v="3"/>
    <x v="3"/>
    <m/>
    <m/>
    <n v="1632"/>
    <n v="30"/>
    <d v="2024-11-16T00:00:00"/>
    <m/>
  </r>
  <r>
    <x v="684"/>
    <s v="Italy"/>
    <s v="41.902782"/>
    <s v="12.496366"/>
    <s v="Banking and Finance"/>
    <s v="Small (11-200)"/>
    <s v="Laura Thompson"/>
    <d v="2024-02-05T00:00:00"/>
    <s v="SAAS"/>
    <x v="3"/>
    <x v="3"/>
    <m/>
    <m/>
    <n v="457"/>
    <n v="30"/>
    <d v="2024-08-29T00:00:00"/>
    <m/>
  </r>
  <r>
    <x v="685"/>
    <s v="France"/>
    <s v="48.864716"/>
    <s v="2.349014"/>
    <s v="Agriculture &amp; Mining"/>
    <s v="Small (11-200)"/>
    <s v="Emily Johnson"/>
    <d v="2024-01-17T00:00:00"/>
    <s v="Custom solution"/>
    <x v="3"/>
    <x v="3"/>
    <m/>
    <m/>
    <n v="852"/>
    <n v="40"/>
    <d v="2024-12-21T00:00:00"/>
    <m/>
  </r>
  <r>
    <x v="686"/>
    <s v="Austria"/>
    <s v="48.210033"/>
    <s v="16.363449"/>
    <s v="Banking and Finance"/>
    <s v="Small (11-200)"/>
    <s v="Laura Thompson"/>
    <d v="2024-04-01T00:00:00"/>
    <s v="Services"/>
    <x v="3"/>
    <x v="3"/>
    <m/>
    <m/>
    <n v="220"/>
    <n v="30"/>
    <d v="2025-03-17T00:00:00"/>
    <m/>
  </r>
  <r>
    <x v="687"/>
    <s v="Italy"/>
    <s v="41.902782"/>
    <s v="12.496366"/>
    <s v="Energy &amp; Utilities"/>
    <s v="Small (11-200)"/>
    <s v="David Wilson"/>
    <d v="2024-04-28T00:00:00"/>
    <s v="SAAS"/>
    <x v="3"/>
    <x v="3"/>
    <m/>
    <m/>
    <n v="733"/>
    <n v="60"/>
    <d v="2024-11-02T00:00:00"/>
    <m/>
  </r>
  <r>
    <x v="688"/>
    <s v="Belgium"/>
    <s v="51.260197"/>
    <s v="4.402771"/>
    <s v="Banking and Finance"/>
    <s v="Small (11-200)"/>
    <s v="Michael Brown"/>
    <d v="2024-03-13T00:00:00"/>
    <s v="SAAS"/>
    <x v="3"/>
    <x v="3"/>
    <m/>
    <m/>
    <n v="1736"/>
    <n v="30"/>
    <d v="2024-09-03T00:00:00"/>
    <m/>
  </r>
  <r>
    <x v="689"/>
    <s v="France"/>
    <s v="48.864716"/>
    <s v="2.349014"/>
    <s v="Education &amp; Science"/>
    <s v="Small (11-200)"/>
    <s v="Laura Thompson"/>
    <d v="2024-01-20T00:00:00"/>
    <s v="SAAS"/>
    <x v="3"/>
    <x v="3"/>
    <m/>
    <m/>
    <n v="1064"/>
    <n v="20"/>
    <d v="2024-04-17T00:00:00"/>
    <m/>
  </r>
  <r>
    <x v="690"/>
    <s v="Germany"/>
    <s v="52.520008"/>
    <s v="13.404954"/>
    <s v="Retail &amp; Distribution"/>
    <s v="Small (11-200)"/>
    <s v="John Smith"/>
    <d v="2024-03-07T00:00:00"/>
    <s v="SAAS"/>
    <x v="3"/>
    <x v="3"/>
    <m/>
    <m/>
    <n v="1152"/>
    <n v="40"/>
    <d v="2024-04-25T00:00:00"/>
    <m/>
  </r>
  <r>
    <x v="691"/>
    <s v="Germany"/>
    <s v="52.520008"/>
    <s v="13.404954"/>
    <s v="Professional Services  &amp; Consulting"/>
    <s v="Small (11-200)"/>
    <s v="Sarah Davis"/>
    <d v="2024-05-10T00:00:00"/>
    <s v="SAAS"/>
    <x v="3"/>
    <x v="3"/>
    <m/>
    <m/>
    <n v="227"/>
    <n v="40"/>
    <d v="2025-02-17T00:00:00"/>
    <m/>
  </r>
  <r>
    <x v="692"/>
    <s v="Austria"/>
    <s v="48.210033"/>
    <s v="16.363449"/>
    <s v="Recreation &amp; Sports"/>
    <s v="Small (11-200)"/>
    <s v="David Wilson"/>
    <d v="2024-03-11T00:00:00"/>
    <s v="SAAS"/>
    <x v="3"/>
    <x v="3"/>
    <m/>
    <m/>
    <n v="1409"/>
    <n v="30"/>
    <d v="2024-12-21T00:00:00"/>
    <m/>
  </r>
  <r>
    <x v="693"/>
    <s v="Switzerland"/>
    <s v="46.204391"/>
    <s v="6.143158"/>
    <s v="Transportation &amp; Logistics"/>
    <s v="Small (11-200)"/>
    <s v="Michael Brown"/>
    <d v="2024-03-28T00:00:00"/>
    <s v="Services"/>
    <x v="3"/>
    <x v="3"/>
    <m/>
    <m/>
    <n v="1853"/>
    <n v="40"/>
    <d v="2024-05-28T00:00:00"/>
    <m/>
  </r>
  <r>
    <x v="694"/>
    <s v="Germany"/>
    <s v="52.520008"/>
    <s v="13.404954"/>
    <s v="Education &amp; Science"/>
    <s v="Small (11-200)"/>
    <s v="Laura Thompson"/>
    <d v="2024-03-01T00:00:00"/>
    <s v="SAAS"/>
    <x v="3"/>
    <x v="3"/>
    <m/>
    <m/>
    <n v="601"/>
    <n v="30"/>
    <d v="2024-09-29T00:00:00"/>
    <m/>
  </r>
  <r>
    <x v="695"/>
    <s v="Switzerland"/>
    <s v="46.204391"/>
    <s v="6.143158"/>
    <s v="IT &amp; IT Services"/>
    <s v="Small (11-200)"/>
    <s v="Jessica Martinez"/>
    <d v="2024-03-16T00:00:00"/>
    <s v="Services"/>
    <x v="3"/>
    <x v="3"/>
    <m/>
    <m/>
    <n v="637"/>
    <n v="40"/>
    <d v="2024-07-11T00:00:00"/>
    <m/>
  </r>
  <r>
    <x v="696"/>
    <s v="France"/>
    <s v="48.864716"/>
    <s v="2.349014"/>
    <s v="Agriculture &amp; Mining"/>
    <s v="Small (11-200)"/>
    <s v="Sarah Davis"/>
    <d v="2024-01-12T00:00:00"/>
    <s v="SAAS"/>
    <x v="3"/>
    <x v="3"/>
    <m/>
    <m/>
    <n v="1011"/>
    <n v="80"/>
    <d v="2024-09-20T00:00:00"/>
    <m/>
  </r>
  <r>
    <x v="697"/>
    <s v="France"/>
    <s v="48.864716"/>
    <s v="2.349014"/>
    <s v="Agriculture &amp; Mining"/>
    <s v="Small (11-200)"/>
    <s v="David Wilson"/>
    <d v="2024-05-14T00:00:00"/>
    <s v="Services"/>
    <x v="3"/>
    <x v="3"/>
    <m/>
    <m/>
    <n v="1368"/>
    <n v="40"/>
    <d v="2025-04-07T00:00:00"/>
    <m/>
  </r>
  <r>
    <x v="698"/>
    <s v="France"/>
    <s v="48.864716"/>
    <s v="2.349014"/>
    <s v="Professional Services  &amp; Consulting"/>
    <s v="Small (11-200)"/>
    <s v="Emily Johnson"/>
    <d v="2024-05-23T00:00:00"/>
    <s v="SAAS"/>
    <x v="3"/>
    <x v="3"/>
    <m/>
    <m/>
    <n v="706"/>
    <n v="60"/>
    <d v="2024-11-18T00:00:00"/>
    <m/>
  </r>
  <r>
    <x v="699"/>
    <s v="Austria"/>
    <s v="48.210033"/>
    <s v="16.363449"/>
    <s v="Transportation &amp; Logistics"/>
    <s v="Small (11-200)"/>
    <s v="Sarah Davis"/>
    <d v="2024-03-26T00:00:00"/>
    <s v="Custom solution"/>
    <x v="3"/>
    <x v="3"/>
    <m/>
    <m/>
    <n v="1324"/>
    <n v="50"/>
    <d v="2025-02-26T00:00:00"/>
    <m/>
  </r>
  <r>
    <x v="700"/>
    <s v="Portugal"/>
    <s v="38.736946"/>
    <s v="-9.142685"/>
    <s v="Banking and Finance"/>
    <s v="Small (11-200)"/>
    <s v="Laura Thompson"/>
    <d v="2024-03-01T00:00:00"/>
    <s v="Services"/>
    <x v="3"/>
    <x v="3"/>
    <m/>
    <m/>
    <n v="1916"/>
    <n v="90"/>
    <d v="2024-04-13T00:00:00"/>
    <m/>
  </r>
  <r>
    <x v="701"/>
    <s v="Italy"/>
    <s v="41.902782"/>
    <s v="12.496366"/>
    <s v="Recreation &amp; Sports"/>
    <s v="Small (11-200)"/>
    <s v="Kevin Anderson"/>
    <d v="2024-01-16T00:00:00"/>
    <s v="SAAS"/>
    <x v="3"/>
    <x v="3"/>
    <m/>
    <m/>
    <n v="1838"/>
    <n v="30"/>
    <d v="2024-02-17T00:00:00"/>
    <m/>
  </r>
  <r>
    <x v="702"/>
    <s v="Germany"/>
    <s v="52.520008"/>
    <s v="13.404954"/>
    <s v="IT &amp; IT Services"/>
    <s v="Small (11-200)"/>
    <s v="Sarah Davis"/>
    <d v="2024-01-18T00:00:00"/>
    <s v="SAAS"/>
    <x v="3"/>
    <x v="3"/>
    <m/>
    <m/>
    <n v="621"/>
    <n v="20"/>
    <d v="2024-04-25T00:00:00"/>
    <m/>
  </r>
  <r>
    <x v="703"/>
    <s v="Italy"/>
    <s v="41.902782"/>
    <s v="12.496366"/>
    <s v="Agriculture &amp; Mining"/>
    <s v="Micro (1-10)"/>
    <s v="John Smith"/>
    <d v="2024-01-28T00:00:00"/>
    <s v="SAAS"/>
    <x v="3"/>
    <x v="3"/>
    <m/>
    <m/>
    <n v="450"/>
    <n v="40"/>
    <d v="2024-05-12T00:00:00"/>
    <m/>
  </r>
  <r>
    <x v="704"/>
    <s v="Switzerland"/>
    <s v="46.204391"/>
    <s v="6.143158"/>
    <s v="Government Administration Healthcare"/>
    <s v="Micro (1-10)"/>
    <s v="Kevin Anderson"/>
    <d v="2024-02-17T00:00:00"/>
    <s v="SAAS"/>
    <x v="3"/>
    <x v="3"/>
    <m/>
    <m/>
    <n v="904"/>
    <n v="80"/>
    <d v="2024-07-23T00:00:00"/>
    <m/>
  </r>
  <r>
    <x v="705"/>
    <s v="France"/>
    <s v="48.864716"/>
    <s v="2.349014"/>
    <s v="Manufacturing &amp; Production"/>
    <s v="Micro (1-10)"/>
    <s v="Kevin Anderson"/>
    <d v="2024-02-16T00:00:00"/>
    <s v="SAAS"/>
    <x v="3"/>
    <x v="3"/>
    <m/>
    <m/>
    <n v="299"/>
    <n v="60"/>
    <d v="2024-05-03T00:00:00"/>
    <m/>
  </r>
  <r>
    <x v="706"/>
    <s v="Italy"/>
    <s v="41.902782"/>
    <s v="12.496366"/>
    <s v="Transportation &amp; Logistics"/>
    <s v="Micro (1-10)"/>
    <s v="Emily Johnson"/>
    <d v="2024-04-26T00:00:00"/>
    <s v="Services"/>
    <x v="3"/>
    <x v="3"/>
    <m/>
    <m/>
    <n v="935"/>
    <n v="80"/>
    <d v="2025-03-16T00:00:00"/>
    <m/>
  </r>
  <r>
    <x v="707"/>
    <s v="Germany"/>
    <s v="52.520008"/>
    <s v="13.404954"/>
    <s v="Government Administration Healthcare"/>
    <s v="Micro (1-10)"/>
    <s v="Laura Thompson"/>
    <d v="2024-01-24T00:00:00"/>
    <s v="SAAS"/>
    <x v="3"/>
    <x v="3"/>
    <m/>
    <m/>
    <n v="828"/>
    <n v="100"/>
    <d v="2024-10-08T00:00:00"/>
    <m/>
  </r>
  <r>
    <x v="708"/>
    <s v="Belgium"/>
    <s v="51.260197"/>
    <s v="4.402771"/>
    <s v="Education &amp; Science"/>
    <s v="Micro (1-10)"/>
    <s v="Jessica Martinez"/>
    <d v="2024-02-20T00:00:00"/>
    <s v="Services"/>
    <x v="3"/>
    <x v="3"/>
    <m/>
    <m/>
    <n v="1035"/>
    <n v="50"/>
    <d v="2024-08-28T00:00:00"/>
    <m/>
  </r>
  <r>
    <x v="709"/>
    <s v="Germany"/>
    <s v="52.520008"/>
    <s v="13.404954"/>
    <s v="IT &amp; IT Services"/>
    <s v="Micro (1-10)"/>
    <s v="Sarah Davis"/>
    <d v="2024-03-23T00:00:00"/>
    <s v="SAAS"/>
    <x v="3"/>
    <x v="3"/>
    <m/>
    <m/>
    <n v="749"/>
    <n v="20"/>
    <d v="2025-03-18T00:00:00"/>
    <m/>
  </r>
  <r>
    <x v="710"/>
    <s v="Italy"/>
    <s v="41.902782"/>
    <s v="12.496366"/>
    <s v="Government Administration Healthcare"/>
    <s v="Micro (1-10)"/>
    <s v="Kevin Anderson"/>
    <d v="2024-03-04T00:00:00"/>
    <s v="SAAS"/>
    <x v="3"/>
    <x v="3"/>
    <m/>
    <m/>
    <n v="866"/>
    <n v="40"/>
    <d v="2024-12-25T00:00:00"/>
    <m/>
  </r>
  <r>
    <x v="711"/>
    <s v="France"/>
    <s v="48.864716"/>
    <s v="2.349014"/>
    <s v="IT &amp; IT Services"/>
    <s v="Micro (1-10)"/>
    <s v="Kevin Anderson"/>
    <d v="2024-04-25T00:00:00"/>
    <s v="Services"/>
    <x v="3"/>
    <x v="3"/>
    <m/>
    <m/>
    <n v="315"/>
    <n v="40"/>
    <d v="2024-10-20T00:00:00"/>
    <m/>
  </r>
  <r>
    <x v="712"/>
    <s v="Italy"/>
    <s v="41.902782"/>
    <s v="12.496366"/>
    <s v="Professional Services  &amp; Consulting"/>
    <s v="Micro (1-10)"/>
    <s v="Kevin Anderson"/>
    <d v="2024-05-24T00:00:00"/>
    <s v="SAAS"/>
    <x v="3"/>
    <x v="3"/>
    <m/>
    <m/>
    <n v="376"/>
    <n v="50"/>
    <d v="2025-05-05T00:00:00"/>
    <m/>
  </r>
  <r>
    <x v="713"/>
    <s v="Italy"/>
    <s v="41.902782"/>
    <s v="12.496366"/>
    <s v="Energy &amp; Utilities"/>
    <s v="Micro (1-10)"/>
    <s v="Laura Thompson"/>
    <d v="2024-02-18T00:00:00"/>
    <s v="SAAS"/>
    <x v="3"/>
    <x v="3"/>
    <m/>
    <m/>
    <n v="625"/>
    <n v="30"/>
    <d v="2024-07-20T00:00:00"/>
    <m/>
  </r>
  <r>
    <x v="714"/>
    <s v="Austria"/>
    <s v="48.210033"/>
    <s v="16.363449"/>
    <s v="Banking and Finance"/>
    <s v="Micro (1-10)"/>
    <s v="Jessica Martinez"/>
    <d v="2024-04-27T00:00:00"/>
    <s v="SAAS"/>
    <x v="3"/>
    <x v="3"/>
    <m/>
    <m/>
    <n v="859"/>
    <n v="20"/>
    <d v="2025-04-15T00:00:00"/>
    <m/>
  </r>
  <r>
    <x v="715"/>
    <s v="Italy"/>
    <s v="41.902782"/>
    <s v="12.496366"/>
    <s v="Retail &amp; Distribution"/>
    <s v="Micro (1-10)"/>
    <s v="Jessica Martinez"/>
    <d v="2024-02-04T00:00:00"/>
    <s v="SAAS"/>
    <x v="3"/>
    <x v="3"/>
    <m/>
    <m/>
    <n v="1139"/>
    <n v="30"/>
    <d v="2024-07-07T00:00:00"/>
    <m/>
  </r>
  <r>
    <x v="716"/>
    <s v="France"/>
    <s v="48.864716"/>
    <s v="2.349014"/>
    <s v="Professional Services  &amp; Consulting"/>
    <s v="Micro (1-10)"/>
    <s v="Michael Brown"/>
    <d v="2024-03-20T00:00:00"/>
    <s v="Services"/>
    <x v="3"/>
    <x v="3"/>
    <m/>
    <m/>
    <n v="458"/>
    <n v="30"/>
    <d v="2024-08-16T00:00:00"/>
    <m/>
  </r>
  <r>
    <x v="717"/>
    <s v="Netherlands"/>
    <s v="52.370216"/>
    <s v="4.895168"/>
    <s v="Retail &amp; Distribution"/>
    <s v="Micro (1-10)"/>
    <s v="David Wilson"/>
    <d v="2024-01-21T00:00:00"/>
    <s v="Services"/>
    <x v="3"/>
    <x v="3"/>
    <m/>
    <m/>
    <n v="737"/>
    <n v="40"/>
    <d v="2025-01-20T00:00:00"/>
    <m/>
  </r>
  <r>
    <x v="718"/>
    <s v="France"/>
    <s v="48.864716"/>
    <s v="2.349014"/>
    <s v="Retail &amp; Distribution"/>
    <s v="Micro (1-10)"/>
    <s v="Jessica Martinez"/>
    <d v="2024-03-25T00:00:00"/>
    <s v="Custom solution"/>
    <x v="3"/>
    <x v="3"/>
    <m/>
    <m/>
    <n v="1096"/>
    <n v="40"/>
    <d v="2025-03-12T00:00:00"/>
    <m/>
  </r>
  <r>
    <x v="719"/>
    <s v="Germany"/>
    <s v="52.520008"/>
    <s v="13.404954"/>
    <s v="Construction &amp; Engineering"/>
    <s v="Micro (1-10)"/>
    <s v="Jessica Martinez"/>
    <d v="2024-03-06T00:00:00"/>
    <s v="Services"/>
    <x v="3"/>
    <x v="3"/>
    <m/>
    <m/>
    <n v="491"/>
    <n v="90"/>
    <d v="2025-02-26T00:00:00"/>
    <m/>
  </r>
  <r>
    <x v="720"/>
    <s v="Italy"/>
    <s v="41.902782"/>
    <s v="12.496366"/>
    <s v="IT &amp; IT Services"/>
    <s v="Micro (1-10)"/>
    <s v="Laura Thompson"/>
    <d v="2024-03-20T00:00:00"/>
    <s v="SAAS"/>
    <x v="3"/>
    <x v="3"/>
    <m/>
    <m/>
    <n v="1107"/>
    <n v="40"/>
    <d v="2024-11-29T00:00:00"/>
    <m/>
  </r>
  <r>
    <x v="721"/>
    <s v="Spain"/>
    <s v="40.416775"/>
    <s v="-3.703790"/>
    <s v="Transportation &amp; Logistics"/>
    <s v="Micro (1-10)"/>
    <s v="Kevin Anderson"/>
    <d v="2024-03-29T00:00:00"/>
    <s v="SAAS"/>
    <x v="3"/>
    <x v="3"/>
    <m/>
    <m/>
    <n v="261"/>
    <n v="30"/>
    <d v="2024-08-13T00:00:00"/>
    <m/>
  </r>
  <r>
    <x v="722"/>
    <s v="Austria"/>
    <s v="48.210033"/>
    <s v="16.363449"/>
    <s v="Education &amp; Science"/>
    <s v="Micro (1-10)"/>
    <s v="Laura Thompson"/>
    <d v="2024-04-14T00:00:00"/>
    <s v="SAAS"/>
    <x v="3"/>
    <x v="3"/>
    <m/>
    <m/>
    <n v="873"/>
    <n v="30"/>
    <d v="2024-09-15T00:00:00"/>
    <m/>
  </r>
  <r>
    <x v="723"/>
    <s v="Switzerland"/>
    <s v="46.204391"/>
    <s v="6.143158"/>
    <s v="Education &amp; Science"/>
    <s v="Micro (1-10)"/>
    <s v="Laura Thompson"/>
    <d v="2024-03-16T00:00:00"/>
    <s v="Custom solution"/>
    <x v="3"/>
    <x v="3"/>
    <m/>
    <m/>
    <n v="455"/>
    <n v="20"/>
    <d v="2025-01-22T00:00:00"/>
    <m/>
  </r>
  <r>
    <x v="724"/>
    <s v="Switzerland"/>
    <s v="46.204391"/>
    <s v="6.143158"/>
    <s v="Retail &amp; Distribution"/>
    <s v="Micro (1-10)"/>
    <s v="Jessica Martinez"/>
    <d v="2024-04-17T00:00:00"/>
    <s v="Services"/>
    <x v="3"/>
    <x v="3"/>
    <m/>
    <m/>
    <n v="600"/>
    <n v="40"/>
    <d v="2024-09-15T00:00:00"/>
    <m/>
  </r>
  <r>
    <x v="725"/>
    <s v="Italy"/>
    <s v="41.902782"/>
    <s v="12.496366"/>
    <s v="IT &amp; IT Services"/>
    <s v="Micro (1-10)"/>
    <s v="Sarah Davis"/>
    <d v="2024-02-19T00:00:00"/>
    <s v="Services"/>
    <x v="3"/>
    <x v="3"/>
    <m/>
    <m/>
    <n v="467"/>
    <n v="40"/>
    <d v="2024-04-29T00:00:00"/>
    <m/>
  </r>
  <r>
    <x v="726"/>
    <s v="Switzerland"/>
    <s v="46.204391"/>
    <s v="6.143158"/>
    <s v="Energy &amp; Utilities"/>
    <s v="Micro (1-10)"/>
    <s v="Emily Johnson"/>
    <d v="2024-05-19T00:00:00"/>
    <s v="SAAS"/>
    <x v="3"/>
    <x v="3"/>
    <m/>
    <m/>
    <n v="477"/>
    <n v="40"/>
    <d v="2024-09-20T00:00:00"/>
    <m/>
  </r>
  <r>
    <x v="727"/>
    <s v="France"/>
    <s v="48.864716"/>
    <s v="2.349014"/>
    <s v="Government Administration Healthcare"/>
    <s v="Micro (1-10)"/>
    <s v="Jessica Martinez"/>
    <d v="2024-03-02T00:00:00"/>
    <s v="SAAS"/>
    <x v="3"/>
    <x v="3"/>
    <m/>
    <m/>
    <n v="1014"/>
    <n v="40"/>
    <d v="2024-06-19T00:00:00"/>
    <m/>
  </r>
  <r>
    <x v="728"/>
    <s v="Switzerland"/>
    <s v="46.204391"/>
    <s v="6.143158"/>
    <s v="Entertainment &amp; Media &amp; Hospitality"/>
    <s v="Micro (1-10)"/>
    <s v="Sarah Davis"/>
    <d v="2024-04-06T00:00:00"/>
    <s v="Services"/>
    <x v="3"/>
    <x v="3"/>
    <m/>
    <m/>
    <n v="226"/>
    <n v="40"/>
    <d v="2025-01-31T00:00:00"/>
    <m/>
  </r>
  <r>
    <x v="729"/>
    <s v="Austria"/>
    <s v="48.210033"/>
    <s v="16.363449"/>
    <s v="Construction &amp; Engineering"/>
    <s v="Micro (1-10)"/>
    <s v="Kevin Anderson"/>
    <d v="2024-01-17T00:00:00"/>
    <s v="Custom solution"/>
    <x v="3"/>
    <x v="3"/>
    <m/>
    <m/>
    <n v="688"/>
    <n v="20"/>
    <d v="2024-07-22T00:00:00"/>
    <m/>
  </r>
  <r>
    <x v="730"/>
    <s v="Germany"/>
    <s v="52.520008"/>
    <s v="13.404954"/>
    <s v="Professional Services  &amp; Consulting"/>
    <s v="Micro (1-10)"/>
    <s v="Emily Johnson"/>
    <d v="2024-01-07T00:00:00"/>
    <s v="Services"/>
    <x v="3"/>
    <x v="3"/>
    <m/>
    <m/>
    <n v="814"/>
    <n v="40"/>
    <d v="2024-11-04T00:00:00"/>
    <m/>
  </r>
  <r>
    <x v="731"/>
    <s v="Switzerland"/>
    <s v="46.204391"/>
    <s v="6.143158"/>
    <s v="Transportation &amp; Logistics"/>
    <s v="Micro (1-10)"/>
    <s v="Emily Johnson"/>
    <d v="2024-02-25T00:00:00"/>
    <s v="SAAS"/>
    <x v="3"/>
    <x v="3"/>
    <m/>
    <m/>
    <n v="648"/>
    <n v="50"/>
    <d v="2024-04-12T00:00:00"/>
    <m/>
  </r>
  <r>
    <x v="732"/>
    <s v="France"/>
    <s v="48.864716"/>
    <s v="2.349014"/>
    <s v="Banking and Finance"/>
    <s v="Micro (1-10)"/>
    <s v="Jessica Martinez"/>
    <d v="2024-03-22T00:00:00"/>
    <s v="Services"/>
    <x v="3"/>
    <x v="3"/>
    <m/>
    <m/>
    <n v="880"/>
    <n v="30"/>
    <d v="2024-12-09T00:00:00"/>
    <m/>
  </r>
  <r>
    <x v="733"/>
    <s v="Italy"/>
    <s v="41.902782"/>
    <s v="12.496366"/>
    <s v="Entertainment &amp; Media &amp; Hospitality"/>
    <s v="Micro (1-10)"/>
    <s v="Michael Brown"/>
    <d v="2024-03-24T00:00:00"/>
    <s v="SAAS"/>
    <x v="3"/>
    <x v="3"/>
    <m/>
    <m/>
    <n v="936"/>
    <n v="80"/>
    <d v="2025-02-13T00:00:00"/>
    <m/>
  </r>
  <r>
    <x v="734"/>
    <s v="France"/>
    <s v="48.864716"/>
    <s v="2.349014"/>
    <s v="Manufacturing &amp; Production"/>
    <s v="Micro (1-10)"/>
    <s v="Laura Thompson"/>
    <d v="2024-04-29T00:00:00"/>
    <s v="Services"/>
    <x v="3"/>
    <x v="3"/>
    <m/>
    <m/>
    <n v="796"/>
    <n v="70"/>
    <d v="2024-08-18T00:00:00"/>
    <m/>
  </r>
  <r>
    <x v="735"/>
    <s v="Germany"/>
    <s v="52.520008"/>
    <s v="13.404954"/>
    <s v="Energy &amp; Utilities"/>
    <s v="Micro (1-10)"/>
    <s v="Laura Thompson"/>
    <d v="2024-01-02T00:00:00"/>
    <s v="Services"/>
    <x v="3"/>
    <x v="3"/>
    <m/>
    <m/>
    <n v="973"/>
    <n v="30"/>
    <d v="2024-04-22T00:00:00"/>
    <m/>
  </r>
  <r>
    <x v="736"/>
    <s v="Italy"/>
    <s v="41.902782"/>
    <s v="12.496366"/>
    <s v="Agriculture &amp; Mining"/>
    <s v="Micro (1-10)"/>
    <s v="Michael Brown"/>
    <d v="2024-05-31T00:00:00"/>
    <s v="SAAS"/>
    <x v="3"/>
    <x v="3"/>
    <m/>
    <m/>
    <n v="1097"/>
    <n v="60"/>
    <d v="2025-05-17T00:00:00"/>
    <m/>
  </r>
  <r>
    <x v="737"/>
    <s v="France"/>
    <s v="48.864716"/>
    <s v="2.349014"/>
    <s v="Transportation &amp; Logistics"/>
    <s v="Micro (1-10)"/>
    <s v="David Wilson"/>
    <d v="2024-05-06T00:00:00"/>
    <s v="SAAS"/>
    <x v="3"/>
    <x v="3"/>
    <m/>
    <m/>
    <n v="1020"/>
    <n v="20"/>
    <d v="2025-04-14T00:00:00"/>
    <m/>
  </r>
  <r>
    <x v="738"/>
    <s v="Switzerland"/>
    <s v="46.204391"/>
    <s v="6.143158"/>
    <s v="IT &amp; IT Services"/>
    <s v="Micro (1-10)"/>
    <s v="Sarah Davis"/>
    <d v="2024-03-23T00:00:00"/>
    <s v="Custom solution"/>
    <x v="3"/>
    <x v="3"/>
    <m/>
    <m/>
    <n v="1067"/>
    <n v="20"/>
    <d v="2024-08-03T00:00:00"/>
    <m/>
  </r>
  <r>
    <x v="739"/>
    <s v="Switzerland"/>
    <s v="46.204391"/>
    <s v="6.143158"/>
    <s v="Energy &amp; Utilities"/>
    <s v="Micro (1-10)"/>
    <s v="Jessica Martinez"/>
    <d v="2024-02-01T00:00:00"/>
    <s v="Services"/>
    <x v="3"/>
    <x v="3"/>
    <m/>
    <m/>
    <n v="1063"/>
    <n v="50"/>
    <d v="2024-08-08T00:00:00"/>
    <m/>
  </r>
  <r>
    <x v="740"/>
    <s v="Portugal"/>
    <s v="38.736946"/>
    <s v="-9.142685"/>
    <s v="Professional Services  &amp; Consulting"/>
    <s v="Micro (1-10)"/>
    <s v="Kevin Anderson"/>
    <d v="2024-03-10T00:00:00"/>
    <s v="SAAS"/>
    <x v="3"/>
    <x v="3"/>
    <m/>
    <m/>
    <n v="738"/>
    <n v="20"/>
    <d v="2024-10-11T00:00:00"/>
    <m/>
  </r>
  <r>
    <x v="741"/>
    <s v="Italy"/>
    <s v="41.902782"/>
    <s v="12.496366"/>
    <s v="Entertainment &amp; Media &amp; Hospitality"/>
    <s v="Micro (1-10)"/>
    <s v="Laura Thompson"/>
    <d v="2024-05-12T00:00:00"/>
    <s v="SAAS"/>
    <x v="3"/>
    <x v="3"/>
    <m/>
    <m/>
    <n v="425"/>
    <n v="60"/>
    <d v="2024-06-21T00:00:00"/>
    <m/>
  </r>
  <r>
    <x v="742"/>
    <s v="France"/>
    <s v="48.864716"/>
    <s v="2.349014"/>
    <s v="Agriculture &amp; Mining"/>
    <s v="Micro (1-10)"/>
    <s v="Sarah Davis"/>
    <d v="2024-01-09T00:00:00"/>
    <s v="SAAS"/>
    <x v="3"/>
    <x v="3"/>
    <m/>
    <m/>
    <n v="854"/>
    <n v="40"/>
    <d v="2024-06-03T00:00:00"/>
    <m/>
  </r>
  <r>
    <x v="743"/>
    <s v="Italy"/>
    <s v="41.902782"/>
    <s v="12.496366"/>
    <s v="Retail &amp; Distribution"/>
    <s v="Micro (1-10)"/>
    <s v="Jessica Martinez"/>
    <d v="2024-02-15T00:00:00"/>
    <s v="Services"/>
    <x v="3"/>
    <x v="3"/>
    <m/>
    <m/>
    <n v="627"/>
    <n v="20"/>
    <d v="2024-09-16T00:00:00"/>
    <m/>
  </r>
  <r>
    <x v="744"/>
    <s v="Austria"/>
    <s v="48.210033"/>
    <s v="16.363449"/>
    <s v="Banking and Finance"/>
    <s v="Micro (1-10)"/>
    <s v="Emily Johnson"/>
    <d v="2024-04-29T00:00:00"/>
    <s v="Custom solution"/>
    <x v="3"/>
    <x v="3"/>
    <m/>
    <m/>
    <n v="365"/>
    <n v="100"/>
    <d v="2024-08-03T00:00:00"/>
    <m/>
  </r>
  <r>
    <x v="745"/>
    <s v="Italy"/>
    <s v="41.902782"/>
    <s v="12.496366"/>
    <s v="Transportation &amp; Logistics"/>
    <s v="Micro (1-10)"/>
    <s v="Kevin Anderson"/>
    <d v="2024-04-21T00:00:00"/>
    <s v="Services"/>
    <x v="3"/>
    <x v="3"/>
    <m/>
    <m/>
    <n v="852"/>
    <n v="70"/>
    <d v="2025-02-20T00:00:00"/>
    <m/>
  </r>
  <r>
    <x v="746"/>
    <s v="Italy"/>
    <s v="41.902782"/>
    <s v="12.496366"/>
    <s v="Transportation &amp; Logistics"/>
    <s v="Micro (1-10)"/>
    <s v="Laura Thompson"/>
    <d v="2024-04-20T00:00:00"/>
    <s v="Services"/>
    <x v="3"/>
    <x v="3"/>
    <m/>
    <m/>
    <n v="1139"/>
    <n v="80"/>
    <d v="2024-06-30T00:00:00"/>
    <m/>
  </r>
  <r>
    <x v="747"/>
    <s v="France"/>
    <s v="48.864716"/>
    <s v="2.349014"/>
    <s v="Banking and Finance"/>
    <s v="Micro (1-10)"/>
    <s v="Michael Brown"/>
    <d v="2024-03-14T00:00:00"/>
    <s v="Services"/>
    <x v="3"/>
    <x v="3"/>
    <m/>
    <m/>
    <n v="286"/>
    <n v="40"/>
    <d v="2024-12-16T00:00:00"/>
    <m/>
  </r>
  <r>
    <x v="748"/>
    <s v="France"/>
    <s v="48.864716"/>
    <s v="2.349014"/>
    <s v="IT &amp; IT Services"/>
    <s v="Micro (1-10)"/>
    <s v="Laura Thompson"/>
    <d v="2024-02-26T00:00:00"/>
    <s v="Services"/>
    <x v="3"/>
    <x v="3"/>
    <m/>
    <m/>
    <n v="563"/>
    <n v="30"/>
    <d v="2024-05-05T00:00:00"/>
    <m/>
  </r>
  <r>
    <x v="749"/>
    <s v="Germany"/>
    <s v="52.520008"/>
    <s v="13.404954"/>
    <s v="IT &amp; IT Services"/>
    <s v="Micro (1-10)"/>
    <s v="David Wilson"/>
    <d v="2024-03-24T00:00:00"/>
    <s v="Services"/>
    <x v="3"/>
    <x v="3"/>
    <m/>
    <m/>
    <n v="1130"/>
    <n v="30"/>
    <d v="2025-02-23T00:00:00"/>
    <m/>
  </r>
  <r>
    <x v="750"/>
    <s v="Netherlands"/>
    <s v="52.370216"/>
    <s v="4.895168"/>
    <s v="Energy &amp; Utilities"/>
    <s v="Micro (1-10)"/>
    <s v="David Wilson"/>
    <d v="2024-04-01T00:00:00"/>
    <s v="Custom solution"/>
    <x v="3"/>
    <x v="3"/>
    <m/>
    <m/>
    <n v="850"/>
    <n v="30"/>
    <d v="2024-05-16T00:00:00"/>
    <m/>
  </r>
  <r>
    <x v="751"/>
    <s v="Switzerland"/>
    <s v="46.204391"/>
    <s v="6.143158"/>
    <s v="Manufacturing &amp; Production"/>
    <s v="Micro (1-10)"/>
    <s v="Michael Brown"/>
    <d v="2024-02-25T00:00:00"/>
    <s v="SAAS"/>
    <x v="3"/>
    <x v="3"/>
    <m/>
    <m/>
    <n v="866"/>
    <n v="20"/>
    <d v="2025-02-17T00:00:00"/>
    <m/>
  </r>
  <r>
    <x v="752"/>
    <s v="France"/>
    <s v="48.864716"/>
    <s v="2.349014"/>
    <s v="Government Administration Healthcare"/>
    <s v="Micro (1-10)"/>
    <s v="John Smith"/>
    <d v="2024-02-20T00:00:00"/>
    <s v="Services"/>
    <x v="3"/>
    <x v="3"/>
    <m/>
    <m/>
    <n v="940"/>
    <n v="50"/>
    <d v="2024-11-29T00:00:00"/>
    <m/>
  </r>
  <r>
    <x v="753"/>
    <s v="Portugal"/>
    <s v="38.736946"/>
    <s v="-9.142685"/>
    <s v="Banking and Finance"/>
    <s v="Micro (1-10)"/>
    <s v="John Smith"/>
    <d v="2024-01-23T00:00:00"/>
    <s v="Custom solution"/>
    <x v="3"/>
    <x v="3"/>
    <m/>
    <m/>
    <n v="1024"/>
    <n v="30"/>
    <d v="2024-03-30T00:00:00"/>
    <m/>
  </r>
  <r>
    <x v="754"/>
    <s v="Germany"/>
    <s v="52.520008"/>
    <s v="13.404954"/>
    <s v="Transportation &amp; Logistics"/>
    <s v="Micro (1-10)"/>
    <s v="Emily Johnson"/>
    <d v="2024-04-15T00:00:00"/>
    <s v="SAAS"/>
    <x v="3"/>
    <x v="3"/>
    <m/>
    <m/>
    <n v="1068"/>
    <n v="20"/>
    <d v="2024-12-25T00:00:00"/>
    <m/>
  </r>
  <r>
    <x v="755"/>
    <s v="Italy"/>
    <s v="41.902782"/>
    <s v="12.496366"/>
    <s v="Manufacturing &amp; Production"/>
    <s v="Micro (1-10)"/>
    <s v="John Smith"/>
    <d v="2024-02-06T00:00:00"/>
    <s v="Services"/>
    <x v="3"/>
    <x v="3"/>
    <m/>
    <m/>
    <n v="902"/>
    <n v="20"/>
    <d v="2024-09-14T00:00:00"/>
    <m/>
  </r>
  <r>
    <x v="756"/>
    <s v="Italy"/>
    <s v="41.902782"/>
    <s v="12.496366"/>
    <s v="Government Administration Healthcare"/>
    <s v="Micro (1-10)"/>
    <s v="Emily Johnson"/>
    <d v="2024-04-17T00:00:00"/>
    <s v="Custom solution"/>
    <x v="3"/>
    <x v="3"/>
    <m/>
    <m/>
    <n v="922"/>
    <n v="50"/>
    <d v="2024-10-10T00:00:00"/>
    <m/>
  </r>
  <r>
    <x v="757"/>
    <s v="Italy"/>
    <s v="41.902782"/>
    <s v="12.496366"/>
    <s v="Government Administration Healthcare"/>
    <s v="Micro (1-10)"/>
    <s v="David Wilson"/>
    <d v="2024-02-08T00:00:00"/>
    <s v="SAAS"/>
    <x v="3"/>
    <x v="3"/>
    <m/>
    <m/>
    <n v="780"/>
    <n v="50"/>
    <d v="2024-10-11T00:00:00"/>
    <m/>
  </r>
  <r>
    <x v="758"/>
    <s v="Netherlands"/>
    <s v="52.370216"/>
    <s v="4.895168"/>
    <s v="IT &amp; IT Services"/>
    <s v="Micro (1-10)"/>
    <s v="Jessica Martinez"/>
    <d v="2024-02-20T00:00:00"/>
    <s v="Services"/>
    <x v="3"/>
    <x v="3"/>
    <m/>
    <m/>
    <n v="387"/>
    <n v="30"/>
    <d v="2025-02-03T00:00:00"/>
    <m/>
  </r>
  <r>
    <x v="759"/>
    <s v="Switzerland"/>
    <s v="46.204391"/>
    <s v="6.143158"/>
    <s v="Government Administration Healthcare"/>
    <s v="Micro (1-10)"/>
    <s v="John Smith"/>
    <d v="2024-03-06T00:00:00"/>
    <s v="Services"/>
    <x v="3"/>
    <x v="3"/>
    <m/>
    <m/>
    <n v="905"/>
    <n v="50"/>
    <d v="2025-01-15T00:00:00"/>
    <m/>
  </r>
  <r>
    <x v="760"/>
    <s v="Portugal"/>
    <s v="38.736946"/>
    <s v="-9.142685"/>
    <s v="Recreation &amp; Sports"/>
    <s v="Micro (1-10)"/>
    <s v="Michael Brown"/>
    <d v="2024-01-29T00:00:00"/>
    <s v="SAAS"/>
    <x v="3"/>
    <x v="3"/>
    <m/>
    <m/>
    <n v="678"/>
    <n v="20"/>
    <d v="2024-06-07T00:00:00"/>
    <m/>
  </r>
  <r>
    <x v="761"/>
    <s v="Portugal"/>
    <s v="38.736946"/>
    <s v="-9.142685"/>
    <s v="Manufacturing &amp; Production"/>
    <s v="Micro (1-10)"/>
    <s v="Jessica Martinez"/>
    <d v="2024-04-17T00:00:00"/>
    <s v="SAAS"/>
    <x v="3"/>
    <x v="3"/>
    <m/>
    <m/>
    <n v="883"/>
    <n v="70"/>
    <d v="2024-12-10T00:00:00"/>
    <m/>
  </r>
  <r>
    <x v="762"/>
    <s v="Portugal"/>
    <s v="38.736946"/>
    <s v="-9.142685"/>
    <s v="Government Administration Healthcare"/>
    <s v="Micro (1-10)"/>
    <s v="Michael Brown"/>
    <d v="2024-05-25T00:00:00"/>
    <s v="SAAS"/>
    <x v="3"/>
    <x v="3"/>
    <m/>
    <m/>
    <n v="1175"/>
    <n v="90"/>
    <d v="2025-01-16T00:00:00"/>
    <m/>
  </r>
  <r>
    <x v="763"/>
    <s v="France"/>
    <s v="48.864716"/>
    <s v="2.349014"/>
    <s v="Retail &amp; Distribution"/>
    <s v="Micro (1-10)"/>
    <s v="Laura Thompson"/>
    <d v="2024-05-06T00:00:00"/>
    <s v="SAAS"/>
    <x v="3"/>
    <x v="3"/>
    <m/>
    <m/>
    <n v="493"/>
    <n v="20"/>
    <d v="2024-06-08T00:00:00"/>
    <m/>
  </r>
  <r>
    <x v="764"/>
    <s v="Spain"/>
    <s v="40.416775"/>
    <s v="-3.703790"/>
    <s v="Transportation &amp; Logistics"/>
    <s v="Micro (1-10)"/>
    <s v="Jessica Martinez"/>
    <d v="2024-05-16T00:00:00"/>
    <s v="SAAS"/>
    <x v="3"/>
    <x v="3"/>
    <m/>
    <m/>
    <n v="995"/>
    <n v="30"/>
    <d v="2024-06-10T00:00:00"/>
    <m/>
  </r>
  <r>
    <x v="765"/>
    <s v="Germany"/>
    <s v="52.520008"/>
    <s v="13.404954"/>
    <s v="Transportation &amp; Logistics"/>
    <s v="Micro (1-10)"/>
    <s v="John Smith"/>
    <d v="2024-05-23T00:00:00"/>
    <s v="Services"/>
    <x v="3"/>
    <x v="3"/>
    <m/>
    <m/>
    <n v="236"/>
    <n v="100"/>
    <d v="2025-02-06T00:00:00"/>
    <m/>
  </r>
  <r>
    <x v="766"/>
    <s v="Italy"/>
    <s v="41.902782"/>
    <s v="12.496366"/>
    <s v="Transportation &amp; Logistics"/>
    <s v="Micro (1-10)"/>
    <s v="John Smith"/>
    <d v="2024-04-17T00:00:00"/>
    <s v="Services"/>
    <x v="3"/>
    <x v="3"/>
    <m/>
    <m/>
    <n v="762"/>
    <n v="20"/>
    <d v="2024-09-29T00:00:00"/>
    <m/>
  </r>
  <r>
    <x v="767"/>
    <s v="Italy"/>
    <s v="41.902782"/>
    <s v="12.496366"/>
    <s v="Banking and Finance"/>
    <s v="Micro (1-10)"/>
    <s v="David Wilson"/>
    <d v="2024-03-13T00:00:00"/>
    <s v="Services"/>
    <x v="3"/>
    <x v="3"/>
    <m/>
    <m/>
    <n v="463"/>
    <n v="40"/>
    <d v="2025-02-19T00:00:00"/>
    <m/>
  </r>
  <r>
    <x v="768"/>
    <s v="Italy"/>
    <s v="41.902782"/>
    <s v="12.496366"/>
    <s v="Transportation &amp; Logistics"/>
    <s v="Micro (1-10)"/>
    <s v="Michael Brown"/>
    <d v="2024-04-07T00:00:00"/>
    <s v="Custom solution"/>
    <x v="3"/>
    <x v="3"/>
    <m/>
    <m/>
    <n v="421"/>
    <n v="40"/>
    <d v="2025-03-11T00:00:00"/>
    <m/>
  </r>
  <r>
    <x v="769"/>
    <s v="Netherlands"/>
    <s v="52.370216"/>
    <s v="4.895168"/>
    <s v="Banking and Finance"/>
    <s v="Micro (1-10)"/>
    <s v="Michael Brown"/>
    <d v="2024-01-29T00:00:00"/>
    <s v="SAAS"/>
    <x v="3"/>
    <x v="3"/>
    <m/>
    <m/>
    <n v="1089"/>
    <n v="30"/>
    <d v="2024-12-02T00:00:00"/>
    <m/>
  </r>
  <r>
    <x v="770"/>
    <s v="Austria"/>
    <s v="48.210033"/>
    <s v="16.363449"/>
    <s v="Banking and Finance"/>
    <s v="Micro (1-10)"/>
    <s v="Laura Thompson"/>
    <d v="2024-05-03T00:00:00"/>
    <s v="SAAS"/>
    <x v="3"/>
    <x v="3"/>
    <m/>
    <m/>
    <n v="655"/>
    <n v="80"/>
    <d v="2024-09-17T00:00:00"/>
    <m/>
  </r>
  <r>
    <x v="771"/>
    <s v="Switzerland"/>
    <s v="46.204391"/>
    <s v="6.143158"/>
    <s v="Transportation &amp; Logistics"/>
    <s v="Micro (1-10)"/>
    <s v="John Smith"/>
    <d v="2024-02-22T00:00:00"/>
    <s v="Services"/>
    <x v="3"/>
    <x v="3"/>
    <m/>
    <m/>
    <n v="453"/>
    <n v="10"/>
    <d v="2024-05-27T00:00:00"/>
    <m/>
  </r>
  <r>
    <x v="772"/>
    <s v="Switzerland"/>
    <s v="46.204391"/>
    <s v="6.143158"/>
    <s v="Government Administration Healthcare"/>
    <s v="Micro (1-10)"/>
    <s v="Jessica Martinez"/>
    <d v="2024-04-14T00:00:00"/>
    <s v="SAAS"/>
    <x v="3"/>
    <x v="3"/>
    <m/>
    <m/>
    <n v="777"/>
    <n v="40"/>
    <d v="2024-08-05T00:00:00"/>
    <m/>
  </r>
  <r>
    <x v="773"/>
    <s v="France"/>
    <s v="48.864716"/>
    <s v="2.349014"/>
    <s v="IT &amp; IT Services"/>
    <s v="Micro (1-10)"/>
    <s v="Laura Thompson"/>
    <d v="2024-02-10T00:00:00"/>
    <s v="Services"/>
    <x v="3"/>
    <x v="3"/>
    <m/>
    <m/>
    <n v="719"/>
    <n v="80"/>
    <d v="2024-07-08T00:00:00"/>
    <m/>
  </r>
  <r>
    <x v="774"/>
    <s v="Portugal"/>
    <s v="38.736946"/>
    <s v="-9.142685"/>
    <s v="IT &amp; IT Services"/>
    <s v="Micro (1-10)"/>
    <s v="Emily Johnson"/>
    <d v="2024-05-06T00:00:00"/>
    <s v="Services"/>
    <x v="3"/>
    <x v="3"/>
    <m/>
    <m/>
    <n v="657"/>
    <n v="20"/>
    <d v="2025-01-31T00:00:00"/>
    <m/>
  </r>
  <r>
    <x v="775"/>
    <s v="Switzerland"/>
    <s v="46.204391"/>
    <s v="6.143158"/>
    <s v="Transportation &amp; Logistics"/>
    <s v="Micro (1-10)"/>
    <s v="Laura Thompson"/>
    <d v="2024-01-09T00:00:00"/>
    <s v="Services"/>
    <x v="3"/>
    <x v="3"/>
    <m/>
    <m/>
    <n v="226"/>
    <n v="20"/>
    <d v="2024-07-26T00:00:00"/>
    <m/>
  </r>
  <r>
    <x v="776"/>
    <s v="Germany"/>
    <s v="52.520008"/>
    <s v="13.404954"/>
    <s v="Entertainment &amp; Media &amp; Hospitality"/>
    <s v="Micro (1-10)"/>
    <s v="Laura Thompson"/>
    <d v="2024-01-26T00:00:00"/>
    <s v="Services"/>
    <x v="3"/>
    <x v="3"/>
    <m/>
    <m/>
    <n v="439"/>
    <n v="30"/>
    <d v="2024-07-06T00:00:00"/>
    <m/>
  </r>
  <r>
    <x v="777"/>
    <s v="Switzerland"/>
    <s v="46.204391"/>
    <s v="6.143158"/>
    <s v="Agriculture &amp; Mining"/>
    <s v="Micro (1-10)"/>
    <s v="Emily Johnson"/>
    <d v="2024-02-22T00:00:00"/>
    <s v="Custom solution"/>
    <x v="3"/>
    <x v="3"/>
    <m/>
    <m/>
    <n v="311"/>
    <n v="20"/>
    <d v="2024-07-28T00:00:00"/>
    <m/>
  </r>
  <r>
    <x v="778"/>
    <s v="Austria"/>
    <s v="48.210033"/>
    <s v="16.363449"/>
    <s v="IT &amp; IT Services"/>
    <s v="Micro (1-10)"/>
    <s v="Jessica Martinez"/>
    <d v="2024-02-10T00:00:00"/>
    <s v="SAAS"/>
    <x v="3"/>
    <x v="3"/>
    <m/>
    <m/>
    <n v="1160"/>
    <n v="60"/>
    <d v="2024-09-16T00:00:00"/>
    <m/>
  </r>
  <r>
    <x v="779"/>
    <s v="Spain"/>
    <s v="40.416775"/>
    <s v="-3.703790"/>
    <s v="Recreation &amp; Sports"/>
    <s v="Micro (1-10)"/>
    <s v="Michael Brown"/>
    <d v="2024-05-01T00:00:00"/>
    <s v="SAAS"/>
    <x v="3"/>
    <x v="3"/>
    <m/>
    <m/>
    <n v="696"/>
    <n v="10"/>
    <d v="2024-07-20T00:00:00"/>
    <m/>
  </r>
  <r>
    <x v="780"/>
    <s v="Spain"/>
    <s v="40.416775"/>
    <s v="-3.703790"/>
    <s v="Entertainment &amp; Media &amp; Hospitality"/>
    <s v="Micro (1-10)"/>
    <s v="Laura Thompson"/>
    <d v="2024-04-20T00:00:00"/>
    <s v="Custom solution"/>
    <x v="3"/>
    <x v="3"/>
    <m/>
    <m/>
    <n v="696"/>
    <n v="50"/>
    <d v="2024-06-11T00:00:00"/>
    <m/>
  </r>
  <r>
    <x v="781"/>
    <s v="Germany"/>
    <s v="52.520008"/>
    <s v="13.404954"/>
    <s v="Banking and Finance"/>
    <s v="Micro (1-10)"/>
    <s v="Emily Johnson"/>
    <d v="2024-04-04T00:00:00"/>
    <s v="Custom solution"/>
    <x v="3"/>
    <x v="3"/>
    <m/>
    <m/>
    <n v="633"/>
    <n v="50"/>
    <d v="2024-08-20T00:00:00"/>
    <m/>
  </r>
  <r>
    <x v="782"/>
    <s v="Austria"/>
    <s v="48.210033"/>
    <s v="16.363449"/>
    <s v="Retail &amp; Distribution"/>
    <s v="Micro (1-10)"/>
    <s v="Laura Thompson"/>
    <d v="2024-05-30T00:00:00"/>
    <s v="Services"/>
    <x v="3"/>
    <x v="3"/>
    <m/>
    <m/>
    <n v="683"/>
    <n v="20"/>
    <d v="2024-10-02T00:00:00"/>
    <m/>
  </r>
  <r>
    <x v="783"/>
    <s v="Belgium"/>
    <s v="51.260197"/>
    <s v="4.402771"/>
    <s v="Retail &amp; Distribution"/>
    <s v="Micro (1-10)"/>
    <s v="Laura Thompson"/>
    <d v="2024-04-14T00:00:00"/>
    <s v="SAAS"/>
    <x v="3"/>
    <x v="3"/>
    <m/>
    <m/>
    <n v="433"/>
    <n v="70"/>
    <d v="2024-12-21T00:00:00"/>
    <m/>
  </r>
  <r>
    <x v="784"/>
    <s v="Germany"/>
    <s v="52.520008"/>
    <s v="13.404954"/>
    <s v="Banking and Finance"/>
    <s v="Micro (1-10)"/>
    <s v="Michael Brown"/>
    <d v="2024-02-12T00:00:00"/>
    <s v="SAAS"/>
    <x v="3"/>
    <x v="3"/>
    <m/>
    <m/>
    <n v="456"/>
    <n v="100"/>
    <d v="2024-10-19T00:00:00"/>
    <m/>
  </r>
  <r>
    <x v="785"/>
    <s v="Portugal"/>
    <s v="38.736946"/>
    <s v="-9.142685"/>
    <s v="Government Administration Healthcare"/>
    <s v="Micro (1-10)"/>
    <s v="Sarah Davis"/>
    <d v="2024-05-11T00:00:00"/>
    <s v="SAAS"/>
    <x v="3"/>
    <x v="3"/>
    <m/>
    <m/>
    <n v="211"/>
    <n v="30"/>
    <d v="2024-09-11T00:00:00"/>
    <m/>
  </r>
  <r>
    <x v="786"/>
    <s v="France"/>
    <s v="48.864716"/>
    <s v="2.349014"/>
    <s v="Education &amp; Science"/>
    <s v="Micro (1-10)"/>
    <s v="David Wilson"/>
    <d v="2024-04-14T00:00:00"/>
    <s v="Services"/>
    <x v="3"/>
    <x v="3"/>
    <m/>
    <m/>
    <n v="345"/>
    <n v="40"/>
    <d v="2025-01-22T00:00:00"/>
    <m/>
  </r>
  <r>
    <x v="787"/>
    <s v="Spain"/>
    <s v="40.416775"/>
    <s v="-3.703790"/>
    <s v="Retail &amp; Distribution"/>
    <s v="Micro (1-10)"/>
    <s v="Jessica Martinez"/>
    <d v="2024-03-12T00:00:00"/>
    <s v="SAAS"/>
    <x v="3"/>
    <x v="3"/>
    <m/>
    <m/>
    <n v="496"/>
    <n v="70"/>
    <d v="2024-06-23T00:00:00"/>
    <m/>
  </r>
  <r>
    <x v="788"/>
    <s v="Portugal"/>
    <s v="38.736946"/>
    <s v="-9.142685"/>
    <s v="Banking and Finance"/>
    <s v="Micro (1-10)"/>
    <s v="Laura Thompson"/>
    <d v="2024-05-14T00:00:00"/>
    <s v="SAAS"/>
    <x v="3"/>
    <x v="3"/>
    <m/>
    <m/>
    <n v="897"/>
    <n v="50"/>
    <d v="2024-08-11T00:00:00"/>
    <m/>
  </r>
  <r>
    <x v="789"/>
    <s v="Italy"/>
    <s v="41.902782"/>
    <s v="12.496366"/>
    <s v="Construction &amp; Engineering"/>
    <s v="Micro (1-10)"/>
    <s v="David Wilson"/>
    <d v="2024-04-28T00:00:00"/>
    <s v="Custom solution"/>
    <x v="3"/>
    <x v="3"/>
    <m/>
    <m/>
    <n v="244"/>
    <n v="100"/>
    <d v="2025-04-20T00:00:00"/>
    <m/>
  </r>
  <r>
    <x v="790"/>
    <s v="Netherlands"/>
    <s v="52.370216"/>
    <s v="4.895168"/>
    <s v="Manufacturing &amp; Production"/>
    <s v="Micro (1-10)"/>
    <s v="John Smith"/>
    <d v="2024-04-29T00:00:00"/>
    <s v="SAAS"/>
    <x v="3"/>
    <x v="3"/>
    <m/>
    <m/>
    <n v="1181"/>
    <n v="20"/>
    <d v="2024-06-13T00:00:00"/>
    <m/>
  </r>
  <r>
    <x v="791"/>
    <s v="Switzerland"/>
    <s v="46.204391"/>
    <s v="6.143158"/>
    <s v="Transportation &amp; Logistics"/>
    <s v="Micro (1-10)"/>
    <s v="Sarah Davis"/>
    <d v="2024-02-12T00:00:00"/>
    <s v="Services"/>
    <x v="3"/>
    <x v="3"/>
    <m/>
    <m/>
    <n v="447"/>
    <n v="90"/>
    <d v="2024-08-15T00:00:00"/>
    <m/>
  </r>
  <r>
    <x v="792"/>
    <s v="Portugal"/>
    <s v="38.736946"/>
    <s v="-9.142685"/>
    <s v="Professional Services  &amp; Consulting"/>
    <s v="Micro (1-10)"/>
    <s v="Laura Thompson"/>
    <d v="2024-05-08T00:00:00"/>
    <s v="Services"/>
    <x v="3"/>
    <x v="3"/>
    <m/>
    <m/>
    <n v="679"/>
    <n v="80"/>
    <d v="2025-01-19T00:00:00"/>
    <m/>
  </r>
  <r>
    <x v="793"/>
    <s v="Switzerland"/>
    <s v="46.204391"/>
    <s v="6.143158"/>
    <s v="Transportation &amp; Logistics"/>
    <s v="Micro (1-10)"/>
    <s v="Jessica Martinez"/>
    <d v="2024-04-15T00:00:00"/>
    <s v="Custom solution"/>
    <x v="3"/>
    <x v="3"/>
    <m/>
    <m/>
    <n v="705"/>
    <n v="50"/>
    <d v="2024-07-07T00:00:00"/>
    <m/>
  </r>
  <r>
    <x v="794"/>
    <s v="Netherlands"/>
    <s v="52.370216"/>
    <s v="4.895168"/>
    <s v="Retail &amp; Distribution"/>
    <s v="Micro (1-10)"/>
    <s v="Michael Brown"/>
    <d v="2024-05-23T00:00:00"/>
    <s v="Services"/>
    <x v="3"/>
    <x v="3"/>
    <m/>
    <m/>
    <n v="1155"/>
    <n v="70"/>
    <d v="2024-08-09T00:00:00"/>
    <m/>
  </r>
  <r>
    <x v="795"/>
    <s v="Netherlands"/>
    <s v="52.370216"/>
    <s v="4.895168"/>
    <s v="Professional Services  &amp; Consulting"/>
    <s v="Micro (1-10)"/>
    <s v="Jessica Martinez"/>
    <d v="2024-02-22T00:00:00"/>
    <s v="SAAS"/>
    <x v="3"/>
    <x v="3"/>
    <m/>
    <m/>
    <n v="856"/>
    <n v="20"/>
    <d v="2024-10-08T00:00:00"/>
    <m/>
  </r>
  <r>
    <x v="796"/>
    <s v="Portugal"/>
    <s v="38.736946"/>
    <s v="-9.142685"/>
    <s v="Energy &amp; Utilities"/>
    <s v="Micro (1-10)"/>
    <s v="Emily Johnson"/>
    <d v="2024-02-15T00:00:00"/>
    <s v="SAAS"/>
    <x v="3"/>
    <x v="3"/>
    <m/>
    <m/>
    <n v="1100"/>
    <n v="40"/>
    <d v="2025-01-07T00:00:00"/>
    <m/>
  </r>
  <r>
    <x v="797"/>
    <s v="Portugal"/>
    <s v="38.736946"/>
    <s v="-9.142685"/>
    <s v="Government Administration Healthcare"/>
    <s v="Micro (1-10)"/>
    <s v="David Wilson"/>
    <d v="2024-01-26T00:00:00"/>
    <s v="Services"/>
    <x v="3"/>
    <x v="3"/>
    <m/>
    <m/>
    <n v="277"/>
    <n v="30"/>
    <d v="2024-11-24T00:00:00"/>
    <m/>
  </r>
  <r>
    <x v="798"/>
    <s v="Portugal"/>
    <s v="38.736946"/>
    <s v="-9.142685"/>
    <s v="Construction &amp; Engineering"/>
    <s v="Micro (1-10)"/>
    <s v="Michael Brown"/>
    <d v="2024-04-07T00:00:00"/>
    <s v="Services"/>
    <x v="3"/>
    <x v="3"/>
    <m/>
    <m/>
    <n v="597"/>
    <n v="90"/>
    <d v="2024-06-27T00:00:00"/>
    <m/>
  </r>
  <r>
    <x v="799"/>
    <s v="Austria"/>
    <s v="48.210033"/>
    <s v="16.363449"/>
    <s v="Agriculture &amp; Mining"/>
    <s v="Micro (1-10)"/>
    <s v="Jessica Martinez"/>
    <d v="2024-05-22T00:00:00"/>
    <s v="Services"/>
    <x v="3"/>
    <x v="3"/>
    <m/>
    <m/>
    <n v="618"/>
    <n v="90"/>
    <d v="2024-07-14T00:00:00"/>
    <m/>
  </r>
  <r>
    <x v="800"/>
    <s v="Belgium"/>
    <s v="51.260197"/>
    <s v="4.402771"/>
    <s v="Telecommunications"/>
    <s v="Micro (1-10)"/>
    <s v="Laura Thompson"/>
    <d v="2024-05-09T00:00:00"/>
    <s v="SAAS"/>
    <x v="3"/>
    <x v="3"/>
    <m/>
    <m/>
    <n v="960"/>
    <n v="20"/>
    <d v="2025-04-23T00:00:00"/>
    <m/>
  </r>
  <r>
    <x v="801"/>
    <s v="Netherlands"/>
    <s v="52.370216"/>
    <s v="4.895168"/>
    <s v="Government Administration Healthcare"/>
    <s v="Micro (1-10)"/>
    <s v="Jessica Martinez"/>
    <d v="2024-02-02T00:00:00"/>
    <s v="SAAS"/>
    <x v="3"/>
    <x v="3"/>
    <m/>
    <m/>
    <n v="944"/>
    <n v="30"/>
    <d v="2025-01-11T00:00:00"/>
    <m/>
  </r>
  <r>
    <x v="802"/>
    <s v="Italy"/>
    <s v="41.902782"/>
    <s v="12.496366"/>
    <s v="Professional Services  &amp; Consulting"/>
    <s v="Micro (1-10)"/>
    <s v="Laura Thompson"/>
    <d v="2024-03-02T00:00:00"/>
    <s v="SAAS"/>
    <x v="3"/>
    <x v="3"/>
    <m/>
    <m/>
    <n v="343"/>
    <n v="100"/>
    <d v="2024-05-13T00:00:00"/>
    <m/>
  </r>
  <r>
    <x v="803"/>
    <s v="Switzerland"/>
    <s v="46.204391"/>
    <s v="6.143158"/>
    <s v="Telecommunications"/>
    <s v="Micro (1-10)"/>
    <s v="Jessica Martinez"/>
    <d v="2024-01-06T00:00:00"/>
    <s v="SAAS"/>
    <x v="3"/>
    <x v="3"/>
    <m/>
    <m/>
    <n v="272"/>
    <n v="100"/>
    <d v="2024-12-04T00:00:00"/>
    <m/>
  </r>
  <r>
    <x v="804"/>
    <s v="France"/>
    <s v="48.864716"/>
    <s v="2.349014"/>
    <s v="Banking and Finance"/>
    <s v="Micro (1-10)"/>
    <s v="Jessica Martinez"/>
    <d v="2024-02-07T00:00:00"/>
    <s v="SAAS"/>
    <x v="3"/>
    <x v="3"/>
    <m/>
    <m/>
    <n v="946"/>
    <n v="30"/>
    <d v="2024-12-04T00:00:00"/>
    <m/>
  </r>
  <r>
    <x v="805"/>
    <s v="Portugal"/>
    <s v="38.736946"/>
    <s v="-9.142685"/>
    <s v="Manufacturing &amp; Production"/>
    <s v="Micro (1-10)"/>
    <s v="Michael Brown"/>
    <d v="2024-03-09T00:00:00"/>
    <s v="Services"/>
    <x v="3"/>
    <x v="3"/>
    <m/>
    <m/>
    <n v="720"/>
    <n v="40"/>
    <d v="2024-10-05T00:00:00"/>
    <m/>
  </r>
  <r>
    <x v="806"/>
    <s v="Belgium"/>
    <s v="51.260197"/>
    <s v="4.402771"/>
    <s v="Professional Services  &amp; Consulting"/>
    <s v="Micro (1-10)"/>
    <s v="Michael Brown"/>
    <d v="2024-02-07T00:00:00"/>
    <s v="Services"/>
    <x v="3"/>
    <x v="3"/>
    <m/>
    <m/>
    <n v="1196"/>
    <n v="50"/>
    <d v="2024-04-30T00:00:00"/>
    <m/>
  </r>
  <r>
    <x v="807"/>
    <s v="Portugal"/>
    <s v="38.736946"/>
    <s v="-9.142685"/>
    <s v="Agriculture &amp; Mining"/>
    <s v="Micro (1-10)"/>
    <s v="Jessica Martinez"/>
    <d v="2024-03-29T00:00:00"/>
    <s v="Custom solution"/>
    <x v="3"/>
    <x v="3"/>
    <m/>
    <m/>
    <n v="429"/>
    <n v="20"/>
    <d v="2025-02-08T00:00:00"/>
    <m/>
  </r>
  <r>
    <x v="808"/>
    <s v="Belgium"/>
    <s v="51.260197"/>
    <s v="4.402771"/>
    <s v="IT &amp; IT Services"/>
    <s v="Medium (201-500)"/>
    <s v="Michael Brown"/>
    <d v="2024-02-17T00:00:00"/>
    <s v="SAAS"/>
    <x v="3"/>
    <x v="3"/>
    <m/>
    <m/>
    <n v="2023"/>
    <n v="40"/>
    <d v="2024-09-24T00:00:00"/>
    <m/>
  </r>
  <r>
    <x v="809"/>
    <s v="Germany"/>
    <s v="52.520008"/>
    <s v="13.404954"/>
    <s v="Government Administration Healthcare"/>
    <s v="Medium (201-500)"/>
    <s v="Michael Brown"/>
    <d v="2024-04-06T00:00:00"/>
    <s v="Services"/>
    <x v="3"/>
    <x v="3"/>
    <m/>
    <m/>
    <n v="7694"/>
    <n v="60"/>
    <d v="2024-08-08T00:00:00"/>
    <m/>
  </r>
  <r>
    <x v="810"/>
    <s v="Netherlands"/>
    <s v="52.370216"/>
    <s v="4.895168"/>
    <s v="Agriculture &amp; Mining"/>
    <s v="Medium (201-500)"/>
    <s v="Emily Johnson"/>
    <d v="2024-04-12T00:00:00"/>
    <s v="Services"/>
    <x v="3"/>
    <x v="3"/>
    <m/>
    <m/>
    <n v="3165"/>
    <n v="20"/>
    <d v="2024-06-07T00:00:00"/>
    <m/>
  </r>
  <r>
    <x v="811"/>
    <s v="Austria"/>
    <s v="48.210033"/>
    <s v="16.363449"/>
    <s v="Entertainment &amp; Media &amp; Hospitality"/>
    <s v="Medium (201-500)"/>
    <s v="John Smith"/>
    <d v="2024-02-12T00:00:00"/>
    <s v="SAAS"/>
    <x v="3"/>
    <x v="3"/>
    <m/>
    <m/>
    <n v="7131"/>
    <n v="40"/>
    <d v="2024-11-12T00:00:00"/>
    <m/>
  </r>
  <r>
    <x v="812"/>
    <s v="Italy"/>
    <s v="41.902782"/>
    <s v="12.496366"/>
    <s v="IT &amp; IT Services"/>
    <s v="Medium (201-500)"/>
    <s v="Laura Thompson"/>
    <d v="2024-03-24T00:00:00"/>
    <s v="Services"/>
    <x v="3"/>
    <x v="3"/>
    <m/>
    <m/>
    <n v="648"/>
    <n v="60"/>
    <d v="2024-06-24T00:00:00"/>
    <m/>
  </r>
  <r>
    <x v="813"/>
    <s v="Germany"/>
    <s v="52.520008"/>
    <s v="13.404954"/>
    <s v="Recreation &amp; Sports"/>
    <s v="Medium (201-500)"/>
    <s v="Michael Brown"/>
    <d v="2024-02-18T00:00:00"/>
    <s v="Services"/>
    <x v="3"/>
    <x v="3"/>
    <m/>
    <m/>
    <n v="3927"/>
    <n v="60"/>
    <d v="2024-04-14T00:00:00"/>
    <m/>
  </r>
  <r>
    <x v="814"/>
    <s v="Switzerland"/>
    <s v="46.204391"/>
    <s v="6.143158"/>
    <s v="IT &amp; IT Services"/>
    <s v="Medium (201-500)"/>
    <s v="Michael Brown"/>
    <d v="2024-03-23T00:00:00"/>
    <s v="SAAS"/>
    <x v="3"/>
    <x v="3"/>
    <m/>
    <m/>
    <n v="4421"/>
    <n v="30"/>
    <d v="2024-12-30T00:00:00"/>
    <m/>
  </r>
  <r>
    <x v="815"/>
    <s v="Spain"/>
    <s v="40.416775"/>
    <s v="-3.703790"/>
    <s v="Banking and Finance"/>
    <s v="Medium (201-500)"/>
    <s v="Michael Brown"/>
    <d v="2024-05-15T00:00:00"/>
    <s v="Services"/>
    <x v="3"/>
    <x v="3"/>
    <m/>
    <m/>
    <n v="290"/>
    <n v="20"/>
    <d v="2025-01-23T00:00:00"/>
    <m/>
  </r>
  <r>
    <x v="816"/>
    <s v="Switzerland"/>
    <s v="46.204391"/>
    <s v="6.143158"/>
    <s v="Transportation &amp; Logistics"/>
    <s v="Medium (201-500)"/>
    <s v="Jessica Martinez"/>
    <d v="2024-03-11T00:00:00"/>
    <s v="SAAS"/>
    <x v="3"/>
    <x v="3"/>
    <m/>
    <m/>
    <n v="2699"/>
    <n v="80"/>
    <d v="2024-04-19T00:00:00"/>
    <m/>
  </r>
  <r>
    <x v="817"/>
    <s v="Switzerland"/>
    <s v="46.204391"/>
    <s v="6.143158"/>
    <s v="Banking and Finance"/>
    <s v="Medium (201-500)"/>
    <s v="David Wilson"/>
    <d v="2024-01-06T00:00:00"/>
    <s v="SAAS"/>
    <x v="3"/>
    <x v="3"/>
    <m/>
    <m/>
    <n v="3195"/>
    <n v="100"/>
    <d v="2024-02-17T00:00:00"/>
    <m/>
  </r>
  <r>
    <x v="818"/>
    <s v="Spain"/>
    <s v="40.416775"/>
    <s v="-3.703790"/>
    <s v="Retail &amp; Distribution"/>
    <s v="Medium (201-500)"/>
    <s v="Michael Brown"/>
    <d v="2024-03-05T00:00:00"/>
    <s v="Services"/>
    <x v="3"/>
    <x v="3"/>
    <m/>
    <m/>
    <n v="1765"/>
    <n v="50"/>
    <d v="2024-04-14T00:00:00"/>
    <m/>
  </r>
  <r>
    <x v="819"/>
    <s v="Germany"/>
    <s v="52.520008"/>
    <s v="13.404954"/>
    <s v="Agriculture &amp; Mining"/>
    <s v="Medium (201-500)"/>
    <s v="Kevin Anderson"/>
    <d v="2024-04-08T00:00:00"/>
    <s v="SAAS"/>
    <x v="3"/>
    <x v="3"/>
    <m/>
    <m/>
    <n v="7602"/>
    <n v="30"/>
    <d v="2025-02-09T00:00:00"/>
    <m/>
  </r>
  <r>
    <x v="820"/>
    <s v="Italy"/>
    <s v="41.902782"/>
    <s v="12.496366"/>
    <s v="Education &amp; Science"/>
    <s v="Medium (201-500)"/>
    <s v="David Wilson"/>
    <d v="2024-02-25T00:00:00"/>
    <s v="SAAS"/>
    <x v="3"/>
    <x v="3"/>
    <m/>
    <m/>
    <n v="3872"/>
    <n v="20"/>
    <d v="2024-06-24T00:00:00"/>
    <m/>
  </r>
  <r>
    <x v="821"/>
    <s v="France"/>
    <s v="48.864716"/>
    <s v="2.349014"/>
    <s v="Banking and Finance"/>
    <s v="Medium (201-500)"/>
    <s v="Michael Brown"/>
    <d v="2024-05-31T00:00:00"/>
    <s v="Services"/>
    <x v="3"/>
    <x v="3"/>
    <m/>
    <m/>
    <n v="6817"/>
    <n v="20"/>
    <d v="2024-08-27T00:00:00"/>
    <m/>
  </r>
  <r>
    <x v="822"/>
    <s v="Germany"/>
    <s v="52.520008"/>
    <s v="13.404954"/>
    <s v="Transportation &amp; Logistics"/>
    <s v="Medium (201-500)"/>
    <s v="Jessica Martinez"/>
    <d v="2024-03-19T00:00:00"/>
    <s v="SAAS"/>
    <x v="3"/>
    <x v="3"/>
    <m/>
    <m/>
    <n v="686"/>
    <n v="60"/>
    <d v="2025-02-07T00:00:00"/>
    <m/>
  </r>
  <r>
    <x v="823"/>
    <s v="France"/>
    <s v="48.864716"/>
    <s v="2.349014"/>
    <s v="Entertainment &amp; Media &amp; Hospitality"/>
    <s v="Medium (201-500)"/>
    <s v="Michael Brown"/>
    <d v="2024-05-07T00:00:00"/>
    <s v="Services"/>
    <x v="3"/>
    <x v="3"/>
    <m/>
    <m/>
    <n v="7489"/>
    <n v="40"/>
    <d v="2024-07-28T00:00:00"/>
    <m/>
  </r>
  <r>
    <x v="824"/>
    <s v="France"/>
    <s v="48.864716"/>
    <s v="2.349014"/>
    <s v="Professional Services  &amp; Consulting"/>
    <s v="Medium (201-500)"/>
    <s v="Laura Thompson"/>
    <d v="2024-02-01T00:00:00"/>
    <s v="Services"/>
    <x v="3"/>
    <x v="3"/>
    <m/>
    <m/>
    <n v="361"/>
    <n v="20"/>
    <d v="2024-08-02T00:00:00"/>
    <m/>
  </r>
  <r>
    <x v="825"/>
    <s v="France"/>
    <s v="48.864716"/>
    <s v="2.349014"/>
    <s v="Transportation &amp; Logistics"/>
    <s v="Medium (201-500)"/>
    <s v="David Wilson"/>
    <d v="2024-01-29T00:00:00"/>
    <s v="SAAS"/>
    <x v="3"/>
    <x v="3"/>
    <m/>
    <m/>
    <n v="6737"/>
    <n v="80"/>
    <d v="2024-07-23T00:00:00"/>
    <m/>
  </r>
  <r>
    <x v="826"/>
    <s v="Switzerland"/>
    <s v="46.204391"/>
    <s v="6.143158"/>
    <s v="Education &amp; Science"/>
    <s v="Medium (201-500)"/>
    <s v="Laura Thompson"/>
    <d v="2024-01-08T00:00:00"/>
    <s v="Custom solution"/>
    <x v="3"/>
    <x v="3"/>
    <m/>
    <m/>
    <n v="3058"/>
    <n v="10"/>
    <d v="2024-03-25T00:00:00"/>
    <m/>
  </r>
  <r>
    <x v="827"/>
    <s v="Austria"/>
    <s v="48.210033"/>
    <s v="16.363449"/>
    <s v="Recreation &amp; Sports"/>
    <s v="Medium (201-500)"/>
    <s v="Emily Johnson"/>
    <d v="2024-04-22T00:00:00"/>
    <s v="SAAS"/>
    <x v="3"/>
    <x v="3"/>
    <m/>
    <m/>
    <n v="6586"/>
    <n v="40"/>
    <d v="2025-02-03T00:00:00"/>
    <m/>
  </r>
  <r>
    <x v="828"/>
    <s v="Italy"/>
    <s v="41.902782"/>
    <s v="12.496366"/>
    <s v="Telecommunications"/>
    <s v="Medium (201-500)"/>
    <s v="Laura Thompson"/>
    <d v="2024-05-18T00:00:00"/>
    <s v="Services"/>
    <x v="3"/>
    <x v="3"/>
    <m/>
    <m/>
    <n v="3108"/>
    <n v="40"/>
    <d v="2025-04-24T00:00:00"/>
    <m/>
  </r>
  <r>
    <x v="829"/>
    <s v="Austria"/>
    <s v="48.210033"/>
    <s v="16.363449"/>
    <s v="Energy &amp; Utilities"/>
    <s v="Medium (201-500)"/>
    <s v="Jessica Martinez"/>
    <d v="2024-05-19T00:00:00"/>
    <s v="SAAS"/>
    <x v="3"/>
    <x v="3"/>
    <m/>
    <m/>
    <n v="2864"/>
    <n v="20"/>
    <d v="2024-11-05T00:00:00"/>
    <m/>
  </r>
  <r>
    <x v="830"/>
    <s v="Belgium"/>
    <s v="51.260197"/>
    <s v="4.402771"/>
    <s v="IT &amp; IT Services"/>
    <s v="Medium (201-500)"/>
    <s v="Kevin Anderson"/>
    <d v="2024-04-07T00:00:00"/>
    <s v="Services"/>
    <x v="3"/>
    <x v="3"/>
    <m/>
    <m/>
    <n v="2513"/>
    <n v="20"/>
    <d v="2024-11-08T00:00:00"/>
    <m/>
  </r>
  <r>
    <x v="831"/>
    <s v="Italy"/>
    <s v="41.902782"/>
    <s v="12.496366"/>
    <s v="Transportation &amp; Logistics"/>
    <s v="Medium (201-500)"/>
    <s v="Jessica Martinez"/>
    <d v="2024-01-10T00:00:00"/>
    <s v="SAAS"/>
    <x v="3"/>
    <x v="3"/>
    <m/>
    <m/>
    <n v="2504"/>
    <n v="30"/>
    <d v="2024-07-01T00:00:00"/>
    <m/>
  </r>
  <r>
    <x v="832"/>
    <s v="Austria"/>
    <s v="48.210033"/>
    <s v="16.363449"/>
    <s v="Transportation &amp; Logistics"/>
    <s v="Medium (201-500)"/>
    <s v="Sarah Davis"/>
    <d v="2024-01-15T00:00:00"/>
    <s v="Services"/>
    <x v="3"/>
    <x v="3"/>
    <m/>
    <m/>
    <n v="3666"/>
    <n v="40"/>
    <d v="2024-12-29T00:00:00"/>
    <m/>
  </r>
  <r>
    <x v="833"/>
    <s v="France"/>
    <s v="48.864716"/>
    <s v="2.349014"/>
    <s v="Recreation &amp; Sports"/>
    <s v="Medium (201-500)"/>
    <s v="Laura Thompson"/>
    <d v="2024-05-09T00:00:00"/>
    <s v="Services"/>
    <x v="3"/>
    <x v="3"/>
    <m/>
    <m/>
    <n v="5438"/>
    <n v="60"/>
    <d v="2024-11-11T00:00:00"/>
    <m/>
  </r>
  <r>
    <x v="834"/>
    <s v="Netherlands"/>
    <s v="52.370216"/>
    <s v="4.895168"/>
    <s v="Transportation &amp; Logistics"/>
    <s v="Medium (201-500)"/>
    <s v="Laura Thompson"/>
    <d v="2024-05-22T00:00:00"/>
    <s v="Services"/>
    <x v="3"/>
    <x v="3"/>
    <m/>
    <m/>
    <n v="1631"/>
    <n v="20"/>
    <d v="2024-12-09T00:00:00"/>
    <m/>
  </r>
  <r>
    <x v="835"/>
    <s v="France"/>
    <s v="48.864716"/>
    <s v="2.349014"/>
    <s v="Education &amp; Science"/>
    <s v="Medium (201-500)"/>
    <s v="David Wilson"/>
    <d v="2024-01-24T00:00:00"/>
    <s v="SAAS"/>
    <x v="3"/>
    <x v="3"/>
    <m/>
    <m/>
    <n v="926"/>
    <n v="20"/>
    <d v="2024-04-18T00:00:00"/>
    <m/>
  </r>
  <r>
    <x v="836"/>
    <s v="France"/>
    <s v="48.864716"/>
    <s v="2.349014"/>
    <s v="Retail &amp; Distribution"/>
    <s v="Medium (201-500)"/>
    <s v="Jessica Martinez"/>
    <d v="2024-01-13T00:00:00"/>
    <s v="SAAS"/>
    <x v="3"/>
    <x v="3"/>
    <m/>
    <m/>
    <n v="4198"/>
    <n v="90"/>
    <d v="2024-02-19T00:00:00"/>
    <m/>
  </r>
  <r>
    <x v="837"/>
    <s v="France"/>
    <s v="48.864716"/>
    <s v="2.349014"/>
    <s v="Retail &amp; Distribution"/>
    <s v="Medium (201-500)"/>
    <s v="Jessica Martinez"/>
    <d v="2024-05-03T00:00:00"/>
    <s v="Custom solution"/>
    <x v="3"/>
    <x v="3"/>
    <m/>
    <m/>
    <n v="6604"/>
    <n v="50"/>
    <d v="2025-03-14T00:00:00"/>
    <m/>
  </r>
  <r>
    <x v="838"/>
    <s v="Portugal"/>
    <s v="38.736946"/>
    <s v="-9.142685"/>
    <s v="Transportation &amp; Logistics"/>
    <s v="Medium (201-500)"/>
    <s v="Jessica Martinez"/>
    <d v="2024-03-06T00:00:00"/>
    <s v="SAAS"/>
    <x v="3"/>
    <x v="3"/>
    <m/>
    <m/>
    <n v="959"/>
    <n v="50"/>
    <d v="2025-03-01T00:00:00"/>
    <m/>
  </r>
  <r>
    <x v="839"/>
    <s v="Netherlands"/>
    <s v="52.370216"/>
    <s v="4.895168"/>
    <s v="Energy &amp; Utilities"/>
    <s v="Medium (201-500)"/>
    <s v="Emily Johnson"/>
    <d v="2024-01-12T00:00:00"/>
    <s v="SAAS"/>
    <x v="3"/>
    <x v="3"/>
    <m/>
    <m/>
    <n v="2332"/>
    <n v="20"/>
    <d v="2024-03-16T00:00:00"/>
    <m/>
  </r>
  <r>
    <x v="840"/>
    <s v="Germany"/>
    <s v="52.520008"/>
    <s v="13.404954"/>
    <s v="Transportation &amp; Logistics"/>
    <s v="Medium (201-500)"/>
    <s v="Laura Thompson"/>
    <d v="2024-01-20T00:00:00"/>
    <s v="Services"/>
    <x v="3"/>
    <x v="3"/>
    <m/>
    <m/>
    <n v="5288"/>
    <n v="40"/>
    <d v="2024-07-03T00:00:00"/>
    <m/>
  </r>
  <r>
    <x v="841"/>
    <s v="Italy"/>
    <s v="41.902782"/>
    <s v="12.496366"/>
    <s v="Banking and Finance"/>
    <s v="Medium (201-500)"/>
    <s v="Laura Thompson"/>
    <d v="2024-03-08T00:00:00"/>
    <s v="Custom solution"/>
    <x v="3"/>
    <x v="3"/>
    <m/>
    <m/>
    <n v="2839"/>
    <n v="30"/>
    <d v="2025-01-23T00:00:00"/>
    <m/>
  </r>
  <r>
    <x v="842"/>
    <s v="Switzerland"/>
    <s v="46.204391"/>
    <s v="6.143158"/>
    <s v="Education &amp; Science"/>
    <s v="Medium (201-500)"/>
    <s v="Michael Brown"/>
    <d v="2024-04-13T00:00:00"/>
    <s v="SAAS"/>
    <x v="3"/>
    <x v="3"/>
    <m/>
    <m/>
    <n v="3677"/>
    <n v="70"/>
    <d v="2024-05-25T00:00:00"/>
    <m/>
  </r>
  <r>
    <x v="843"/>
    <s v="Netherlands"/>
    <s v="52.370216"/>
    <s v="4.895168"/>
    <s v="Entertainment &amp; Media &amp; Hospitality"/>
    <s v="Medium (201-500)"/>
    <s v="Laura Thompson"/>
    <d v="2024-02-16T00:00:00"/>
    <s v="Custom solution"/>
    <x v="3"/>
    <x v="3"/>
    <m/>
    <m/>
    <n v="6388"/>
    <n v="90"/>
    <d v="2024-06-27T00:00:00"/>
    <m/>
  </r>
  <r>
    <x v="844"/>
    <s v="Germany"/>
    <s v="52.520008"/>
    <s v="13.404954"/>
    <s v="Construction &amp; Engineering"/>
    <s v="Medium (201-500)"/>
    <s v="Sarah Davis"/>
    <d v="2024-01-27T00:00:00"/>
    <s v="Services"/>
    <x v="3"/>
    <x v="3"/>
    <m/>
    <m/>
    <n v="4941"/>
    <n v="40"/>
    <d v="2024-04-03T00:00:00"/>
    <m/>
  </r>
  <r>
    <x v="845"/>
    <s v="Portugal"/>
    <s v="38.736946"/>
    <s v="-9.142685"/>
    <s v="Agriculture &amp; Mining"/>
    <s v="Medium (201-500)"/>
    <s v="Jessica Martinez"/>
    <d v="2024-03-14T00:00:00"/>
    <s v="Services"/>
    <x v="3"/>
    <x v="3"/>
    <m/>
    <m/>
    <n v="1652"/>
    <n v="40"/>
    <d v="2025-02-26T00:00:00"/>
    <m/>
  </r>
  <r>
    <x v="846"/>
    <s v="Netherlands"/>
    <s v="52.370216"/>
    <s v="4.895168"/>
    <s v="Government Administration Healthcare"/>
    <s v="Medium (201-500)"/>
    <s v="Michael Brown"/>
    <d v="2024-04-16T00:00:00"/>
    <s v="Services"/>
    <x v="3"/>
    <x v="3"/>
    <m/>
    <m/>
    <n v="1813"/>
    <n v="50"/>
    <d v="2024-09-11T00:00:00"/>
    <m/>
  </r>
  <r>
    <x v="847"/>
    <s v="France"/>
    <s v="48.864716"/>
    <s v="2.349014"/>
    <s v="Recreation &amp; Sports"/>
    <s v="Medium (201-500)"/>
    <s v="Jessica Martinez"/>
    <d v="2024-03-27T00:00:00"/>
    <s v="Services"/>
    <x v="3"/>
    <x v="3"/>
    <m/>
    <m/>
    <n v="4568"/>
    <n v="20"/>
    <d v="2024-08-24T00:00:00"/>
    <m/>
  </r>
  <r>
    <x v="848"/>
    <s v="Spain"/>
    <s v="40.416775"/>
    <s v="-3.703790"/>
    <s v="IT &amp; IT Services"/>
    <s v="Medium (201-500)"/>
    <s v="Michael Brown"/>
    <d v="2024-02-20T00:00:00"/>
    <s v="Custom solution"/>
    <x v="3"/>
    <x v="3"/>
    <m/>
    <m/>
    <n v="761"/>
    <n v="40"/>
    <d v="2025-02-01T00:00:00"/>
    <m/>
  </r>
  <r>
    <x v="849"/>
    <s v="Austria"/>
    <s v="48.210033"/>
    <s v="16.363449"/>
    <s v="Banking and Finance"/>
    <s v="Medium (201-500)"/>
    <s v="Laura Thompson"/>
    <d v="2024-05-05T00:00:00"/>
    <s v="Custom solution"/>
    <x v="3"/>
    <x v="3"/>
    <m/>
    <m/>
    <n v="6194"/>
    <n v="50"/>
    <d v="2025-03-11T00:00:00"/>
    <m/>
  </r>
  <r>
    <x v="850"/>
    <s v="Austria"/>
    <s v="48.210033"/>
    <s v="16.363449"/>
    <s v="Energy &amp; Utilities"/>
    <s v="Medium (201-500)"/>
    <s v="Kevin Anderson"/>
    <d v="2024-02-17T00:00:00"/>
    <s v="SAAS"/>
    <x v="3"/>
    <x v="3"/>
    <m/>
    <m/>
    <n v="1538"/>
    <n v="30"/>
    <d v="2024-05-31T00:00:00"/>
    <m/>
  </r>
  <r>
    <x v="851"/>
    <s v="Switzerland"/>
    <s v="46.204391"/>
    <s v="6.143158"/>
    <s v="Agriculture &amp; Mining"/>
    <s v="Medium (201-500)"/>
    <s v="Laura Thompson"/>
    <d v="2024-03-26T00:00:00"/>
    <s v="Services"/>
    <x v="3"/>
    <x v="3"/>
    <m/>
    <m/>
    <n v="5141"/>
    <n v="80"/>
    <d v="2024-07-06T00:00:00"/>
    <m/>
  </r>
  <r>
    <x v="852"/>
    <s v="France"/>
    <s v="48.864716"/>
    <s v="2.349014"/>
    <s v="IT &amp; IT Services"/>
    <s v="Medium (201-500)"/>
    <s v="Laura Thompson"/>
    <d v="2024-04-21T00:00:00"/>
    <s v="Services"/>
    <x v="3"/>
    <x v="3"/>
    <m/>
    <m/>
    <n v="4067"/>
    <n v="50"/>
    <d v="2024-11-04T00:00:00"/>
    <m/>
  </r>
  <r>
    <x v="853"/>
    <s v="Austria"/>
    <s v="48.210033"/>
    <s v="16.363449"/>
    <s v="Professional Services  &amp; Consulting"/>
    <s v="Medium (201-500)"/>
    <s v="Sarah Davis"/>
    <d v="2024-05-28T00:00:00"/>
    <s v="Services"/>
    <x v="3"/>
    <x v="3"/>
    <m/>
    <m/>
    <n v="2214"/>
    <n v="60"/>
    <d v="2024-09-20T00:00:00"/>
    <m/>
  </r>
  <r>
    <x v="854"/>
    <s v="France"/>
    <s v="48.864716"/>
    <s v="2.349014"/>
    <s v="Construction &amp; Engineering"/>
    <s v="Medium (201-500)"/>
    <s v="Laura Thompson"/>
    <d v="2024-04-03T00:00:00"/>
    <s v="SAAS"/>
    <x v="3"/>
    <x v="3"/>
    <m/>
    <m/>
    <n v="7441"/>
    <n v="20"/>
    <d v="2024-09-22T00:00:00"/>
    <m/>
  </r>
  <r>
    <x v="855"/>
    <s v="Austria"/>
    <s v="48.210033"/>
    <s v="16.363449"/>
    <s v="Banking and Finance"/>
    <s v="Medium (201-500)"/>
    <s v="Kevin Anderson"/>
    <d v="2024-02-03T00:00:00"/>
    <s v="Custom solution"/>
    <x v="3"/>
    <x v="3"/>
    <m/>
    <m/>
    <n v="2263"/>
    <n v="20"/>
    <d v="2024-06-04T00:00:00"/>
    <m/>
  </r>
  <r>
    <x v="856"/>
    <s v="Netherlands"/>
    <s v="52.370216"/>
    <s v="4.895168"/>
    <s v="Banking and Finance"/>
    <s v="Medium (201-500)"/>
    <s v="David Wilson"/>
    <d v="2024-01-14T00:00:00"/>
    <s v="SAAS"/>
    <x v="3"/>
    <x v="3"/>
    <m/>
    <m/>
    <n v="4085"/>
    <n v="50"/>
    <d v="2024-05-29T00:00:00"/>
    <m/>
  </r>
  <r>
    <x v="857"/>
    <s v="Italy"/>
    <s v="41.902782"/>
    <s v="12.496366"/>
    <s v="Manufacturing &amp; Production"/>
    <s v="Medium (201-500)"/>
    <s v="Kevin Anderson"/>
    <d v="2024-04-19T00:00:00"/>
    <s v="SAAS"/>
    <x v="3"/>
    <x v="3"/>
    <m/>
    <m/>
    <n v="6749"/>
    <n v="20"/>
    <d v="2024-08-14T00:00:00"/>
    <m/>
  </r>
  <r>
    <x v="858"/>
    <s v="Austria"/>
    <s v="48.210033"/>
    <s v="16.363449"/>
    <s v="Professional Services  &amp; Consulting"/>
    <s v="Medium (201-500)"/>
    <s v="Michael Brown"/>
    <d v="2024-01-16T00:00:00"/>
    <s v="SAAS"/>
    <x v="3"/>
    <x v="3"/>
    <m/>
    <m/>
    <n v="422"/>
    <n v="40"/>
    <d v="2024-03-21T00:00:00"/>
    <m/>
  </r>
  <r>
    <x v="859"/>
    <s v="Italy"/>
    <s v="41.902782"/>
    <s v="12.496366"/>
    <s v="Energy &amp; Utilities"/>
    <s v="Medium (201-500)"/>
    <s v="Jessica Martinez"/>
    <d v="2024-05-30T00:00:00"/>
    <s v="Custom solution"/>
    <x v="3"/>
    <x v="3"/>
    <m/>
    <m/>
    <n v="3211"/>
    <n v="30"/>
    <d v="2025-02-25T00:00:00"/>
    <m/>
  </r>
  <r>
    <x v="860"/>
    <s v="Germany"/>
    <s v="52.520008"/>
    <s v="13.404954"/>
    <s v="Transportation &amp; Logistics"/>
    <s v="Medium (201-500)"/>
    <s v="Jessica Martinez"/>
    <d v="2024-01-13T00:00:00"/>
    <s v="SAAS"/>
    <x v="3"/>
    <x v="3"/>
    <m/>
    <m/>
    <n v="1894"/>
    <n v="20"/>
    <d v="2024-05-07T00:00:00"/>
    <m/>
  </r>
  <r>
    <x v="861"/>
    <s v="Belgium"/>
    <s v="51.260197"/>
    <s v="4.402771"/>
    <s v="Government Administration Healthcare"/>
    <s v="Medium (201-500)"/>
    <s v="Emily Johnson"/>
    <d v="2024-03-25T00:00:00"/>
    <s v="Services"/>
    <x v="3"/>
    <x v="3"/>
    <m/>
    <m/>
    <n v="6133"/>
    <n v="30"/>
    <d v="2024-07-05T00:00:00"/>
    <m/>
  </r>
  <r>
    <x v="862"/>
    <s v="France"/>
    <s v="48.864716"/>
    <s v="2.349014"/>
    <s v="Transportation &amp; Logistics"/>
    <s v="Medium (201-500)"/>
    <s v="Emily Johnson"/>
    <d v="2024-02-01T00:00:00"/>
    <s v="Services"/>
    <x v="3"/>
    <x v="3"/>
    <m/>
    <m/>
    <n v="3536"/>
    <n v="50"/>
    <d v="2024-04-05T00:00:00"/>
    <m/>
  </r>
  <r>
    <x v="863"/>
    <s v="Italy"/>
    <s v="41.902782"/>
    <s v="12.496366"/>
    <s v="Banking and Finance"/>
    <s v="Medium (201-500)"/>
    <s v="Sarah Davis"/>
    <d v="2024-05-31T00:00:00"/>
    <s v="Custom solution"/>
    <x v="3"/>
    <x v="3"/>
    <m/>
    <m/>
    <n v="6276"/>
    <n v="20"/>
    <d v="2025-02-12T00:00:00"/>
    <m/>
  </r>
  <r>
    <x v="864"/>
    <s v="France"/>
    <s v="48.864716"/>
    <s v="2.349014"/>
    <s v="Agriculture &amp; Mining"/>
    <s v="Medium (201-500)"/>
    <s v="Laura Thompson"/>
    <d v="2024-05-11T00:00:00"/>
    <s v="Services"/>
    <x v="3"/>
    <x v="3"/>
    <m/>
    <m/>
    <n v="5423"/>
    <n v="50"/>
    <d v="2024-12-23T00:00:00"/>
    <m/>
  </r>
  <r>
    <x v="865"/>
    <s v="Germany"/>
    <s v="52.520008"/>
    <s v="13.404954"/>
    <s v="Manufacturing &amp; Production"/>
    <s v="Medium (201-500)"/>
    <s v="Jessica Martinez"/>
    <d v="2024-04-20T00:00:00"/>
    <s v="Services"/>
    <x v="3"/>
    <x v="3"/>
    <m/>
    <m/>
    <n v="1217"/>
    <n v="20"/>
    <d v="2025-02-24T00:00:00"/>
    <m/>
  </r>
  <r>
    <x v="866"/>
    <s v="Germany"/>
    <s v="52.520008"/>
    <s v="13.404954"/>
    <s v="Government Administration Healthcare"/>
    <s v="Medium (201-500)"/>
    <s v="Michael Brown"/>
    <d v="2024-01-31T00:00:00"/>
    <s v="Services"/>
    <x v="3"/>
    <x v="3"/>
    <m/>
    <m/>
    <n v="4737"/>
    <n v="80"/>
    <d v="2024-05-22T00:00:00"/>
    <m/>
  </r>
  <r>
    <x v="867"/>
    <s v="Switzerland"/>
    <s v="46.204391"/>
    <s v="6.143158"/>
    <s v="Transportation &amp; Logistics"/>
    <s v="Medium (201-500)"/>
    <s v="John Smith"/>
    <d v="2024-04-29T00:00:00"/>
    <s v="SAAS"/>
    <x v="3"/>
    <x v="3"/>
    <m/>
    <m/>
    <n v="5200"/>
    <n v="20"/>
    <d v="2025-04-24T00:00:00"/>
    <m/>
  </r>
  <r>
    <x v="868"/>
    <s v="Italy"/>
    <s v="41.902782"/>
    <s v="12.496366"/>
    <s v="IT &amp; IT Services"/>
    <s v="Medium (201-500)"/>
    <s v="Kevin Anderson"/>
    <d v="2024-01-10T00:00:00"/>
    <s v="Custom solution"/>
    <x v="3"/>
    <x v="3"/>
    <m/>
    <m/>
    <n v="6127"/>
    <n v="60"/>
    <d v="2024-07-02T00:00:00"/>
    <m/>
  </r>
  <r>
    <x v="869"/>
    <s v="Switzerland"/>
    <s v="46.204391"/>
    <s v="6.143158"/>
    <s v="Recreation &amp; Sports"/>
    <s v="Medium (201-500)"/>
    <s v="Laura Thompson"/>
    <d v="2024-01-03T00:00:00"/>
    <s v="Custom solution"/>
    <x v="3"/>
    <x v="3"/>
    <m/>
    <m/>
    <n v="1449"/>
    <n v="10"/>
    <d v="2024-07-23T00:00:00"/>
    <m/>
  </r>
  <r>
    <x v="870"/>
    <s v="France"/>
    <s v="48.864716"/>
    <s v="2.349014"/>
    <s v="Agriculture &amp; Mining"/>
    <s v="Medium (201-500)"/>
    <s v="David Wilson"/>
    <d v="2024-03-20T00:00:00"/>
    <s v="Services"/>
    <x v="3"/>
    <x v="3"/>
    <m/>
    <m/>
    <n v="4897"/>
    <n v="40"/>
    <d v="2024-12-18T00:00:00"/>
    <m/>
  </r>
  <r>
    <x v="871"/>
    <s v="Portugal"/>
    <s v="38.736946"/>
    <s v="-9.142685"/>
    <s v="Entertainment &amp; Media &amp; Hospitality"/>
    <s v="Medium (201-500)"/>
    <s v="Jessica Martinez"/>
    <d v="2024-03-15T00:00:00"/>
    <s v="SAAS"/>
    <x v="3"/>
    <x v="3"/>
    <m/>
    <m/>
    <n v="2131"/>
    <n v="20"/>
    <d v="2024-05-24T00:00:00"/>
    <m/>
  </r>
  <r>
    <x v="872"/>
    <s v="France"/>
    <s v="48.864716"/>
    <s v="2.349014"/>
    <s v="Transportation &amp; Logistics"/>
    <s v="Medium (201-500)"/>
    <s v="Laura Thompson"/>
    <d v="2024-02-20T00:00:00"/>
    <s v="SAAS"/>
    <x v="3"/>
    <x v="3"/>
    <m/>
    <m/>
    <n v="3412"/>
    <n v="50"/>
    <d v="2025-01-08T00:00:00"/>
    <m/>
  </r>
  <r>
    <x v="873"/>
    <s v="Switzerland"/>
    <s v="46.204391"/>
    <s v="6.143158"/>
    <s v="IT &amp; IT Services"/>
    <s v="Medium (201-500)"/>
    <s v="Emily Johnson"/>
    <d v="2024-01-04T00:00:00"/>
    <s v="Custom solution"/>
    <x v="3"/>
    <x v="3"/>
    <m/>
    <m/>
    <n v="6066"/>
    <n v="40"/>
    <d v="2024-05-18T00:00:00"/>
    <m/>
  </r>
  <r>
    <x v="874"/>
    <s v="Austria"/>
    <s v="48.210033"/>
    <s v="16.363449"/>
    <s v="Energy &amp; Utilities"/>
    <s v="Medium (201-500)"/>
    <s v="Jessica Martinez"/>
    <d v="2024-02-12T00:00:00"/>
    <s v="Services"/>
    <x v="3"/>
    <x v="3"/>
    <m/>
    <m/>
    <n v="7000"/>
    <n v="40"/>
    <d v="2024-04-14T00:00:00"/>
    <m/>
  </r>
  <r>
    <x v="875"/>
    <s v="Belgium"/>
    <s v="51.260197"/>
    <s v="4.402771"/>
    <s v="Manufacturing &amp; Production"/>
    <s v="Medium (201-500)"/>
    <s v="Laura Thompson"/>
    <d v="2024-02-12T00:00:00"/>
    <s v="Custom solution"/>
    <x v="3"/>
    <x v="3"/>
    <m/>
    <m/>
    <n v="5247"/>
    <n v="50"/>
    <d v="2025-01-28T00:00:00"/>
    <m/>
  </r>
  <r>
    <x v="876"/>
    <s v="France"/>
    <s v="48.864716"/>
    <s v="2.349014"/>
    <s v="Recreation &amp; Sports"/>
    <s v="Medium (201-500)"/>
    <s v="Laura Thompson"/>
    <d v="2024-04-10T00:00:00"/>
    <s v="Services"/>
    <x v="3"/>
    <x v="3"/>
    <m/>
    <m/>
    <n v="6449"/>
    <n v="10"/>
    <d v="2025-02-12T00:00:00"/>
    <m/>
  </r>
  <r>
    <x v="877"/>
    <s v="Portugal"/>
    <s v="38.736946"/>
    <s v="-9.142685"/>
    <s v="Banking and Finance"/>
    <s v="Medium (201-500)"/>
    <s v="Kevin Anderson"/>
    <d v="2024-05-29T00:00:00"/>
    <s v="SAAS"/>
    <x v="3"/>
    <x v="3"/>
    <m/>
    <m/>
    <n v="774"/>
    <n v="70"/>
    <d v="2025-05-08T00:00:00"/>
    <m/>
  </r>
  <r>
    <x v="878"/>
    <s v="France"/>
    <s v="48.864716"/>
    <s v="2.349014"/>
    <s v="Government Administration Healthcare"/>
    <s v="Medium (201-500)"/>
    <s v="Jessica Martinez"/>
    <d v="2024-03-31T00:00:00"/>
    <s v="Services"/>
    <x v="3"/>
    <x v="3"/>
    <m/>
    <m/>
    <n v="3600"/>
    <n v="70"/>
    <d v="2024-05-20T00:00:00"/>
    <m/>
  </r>
  <r>
    <x v="879"/>
    <s v="Italy"/>
    <s v="41.902782"/>
    <s v="12.496366"/>
    <s v="Retail &amp; Distribution"/>
    <s v="Medium (201-500)"/>
    <s v="David Wilson"/>
    <d v="2024-03-11T00:00:00"/>
    <s v="Services"/>
    <x v="3"/>
    <x v="3"/>
    <m/>
    <m/>
    <n v="478"/>
    <n v="20"/>
    <d v="2025-02-02T00:00:00"/>
    <m/>
  </r>
  <r>
    <x v="880"/>
    <s v="Italy"/>
    <s v="41.902782"/>
    <s v="12.496366"/>
    <s v="Transportation &amp; Logistics"/>
    <s v="Medium (201-500)"/>
    <s v="Laura Thompson"/>
    <d v="2024-05-19T00:00:00"/>
    <s v="Services"/>
    <x v="3"/>
    <x v="3"/>
    <m/>
    <m/>
    <n v="6164"/>
    <n v="40"/>
    <d v="2025-02-06T00:00:00"/>
    <m/>
  </r>
  <r>
    <x v="881"/>
    <s v="Belgium"/>
    <s v="51.260197"/>
    <s v="4.402771"/>
    <s v="Professional Services  &amp; Consulting"/>
    <s v="Medium (201-500)"/>
    <s v="Sarah Davis"/>
    <d v="2024-04-02T00:00:00"/>
    <s v="SAAS"/>
    <x v="3"/>
    <x v="3"/>
    <m/>
    <m/>
    <n v="1794"/>
    <n v="50"/>
    <d v="2024-05-29T00:00:00"/>
    <m/>
  </r>
  <r>
    <x v="882"/>
    <s v="Italy"/>
    <s v="41.902782"/>
    <s v="12.496366"/>
    <s v="IT &amp; IT Services"/>
    <s v="Medium (201-500)"/>
    <s v="Sarah Davis"/>
    <d v="2024-01-02T00:00:00"/>
    <s v="Custom solution"/>
    <x v="3"/>
    <x v="3"/>
    <m/>
    <m/>
    <n v="6881"/>
    <n v="20"/>
    <d v="2024-08-09T00:00:00"/>
    <m/>
  </r>
  <r>
    <x v="883"/>
    <s v="Italy"/>
    <s v="41.902782"/>
    <s v="12.496366"/>
    <s v="Professional Services  &amp; Consulting"/>
    <s v="Medium (201-500)"/>
    <s v="Michael Brown"/>
    <d v="2024-04-22T00:00:00"/>
    <s v="Custom solution"/>
    <x v="3"/>
    <x v="3"/>
    <m/>
    <m/>
    <n v="1580"/>
    <n v="10"/>
    <d v="2025-04-12T00:00:00"/>
    <m/>
  </r>
  <r>
    <x v="884"/>
    <s v="Italy"/>
    <s v="41.902782"/>
    <s v="12.496366"/>
    <s v="Education &amp; Science"/>
    <s v="Medium (201-500)"/>
    <s v="Michael Brown"/>
    <d v="2024-03-09T00:00:00"/>
    <s v="SAAS"/>
    <x v="3"/>
    <x v="3"/>
    <m/>
    <m/>
    <n v="4840"/>
    <n v="10"/>
    <d v="2024-10-22T00:00:00"/>
    <m/>
  </r>
  <r>
    <x v="885"/>
    <s v="Spain"/>
    <s v="40.416775"/>
    <s v="-3.703790"/>
    <s v="Construction &amp; Engineering"/>
    <s v="Medium (201-500)"/>
    <s v="Laura Thompson"/>
    <d v="2024-01-31T00:00:00"/>
    <s v="Services"/>
    <x v="3"/>
    <x v="3"/>
    <m/>
    <m/>
    <n v="5943"/>
    <n v="30"/>
    <d v="2024-07-10T00:00:00"/>
    <m/>
  </r>
  <r>
    <x v="886"/>
    <s v="Switzerland"/>
    <s v="46.204391"/>
    <s v="6.143158"/>
    <s v="Banking and Finance"/>
    <s v="Medium (201-500)"/>
    <s v="Laura Thompson"/>
    <d v="2024-01-31T00:00:00"/>
    <s v="SAAS"/>
    <x v="3"/>
    <x v="3"/>
    <m/>
    <m/>
    <n v="4116"/>
    <n v="90"/>
    <d v="2024-11-06T00:00:00"/>
    <m/>
  </r>
  <r>
    <x v="887"/>
    <s v="Italy"/>
    <s v="41.902782"/>
    <s v="12.496366"/>
    <s v="Government Administration Healthcare"/>
    <s v="Medium (201-500)"/>
    <s v="Laura Thompson"/>
    <d v="2024-05-06T00:00:00"/>
    <s v="SAAS"/>
    <x v="3"/>
    <x v="3"/>
    <m/>
    <m/>
    <n v="4588"/>
    <n v="30"/>
    <d v="2025-03-06T00:00:00"/>
    <m/>
  </r>
  <r>
    <x v="888"/>
    <s v="Germany"/>
    <s v="52.520008"/>
    <s v="13.404954"/>
    <s v="Banking and Finance"/>
    <s v="Medium (201-500)"/>
    <s v="Michael Brown"/>
    <d v="2024-01-30T00:00:00"/>
    <s v="SAAS"/>
    <x v="3"/>
    <x v="3"/>
    <m/>
    <m/>
    <n v="7420"/>
    <n v="80"/>
    <d v="2024-09-17T00:00:00"/>
    <m/>
  </r>
  <r>
    <x v="889"/>
    <s v="Portugal"/>
    <s v="38.736946"/>
    <s v="-9.142685"/>
    <s v="IT &amp; IT Services"/>
    <s v="Medium (201-500)"/>
    <s v="Michael Brown"/>
    <d v="2024-03-06T00:00:00"/>
    <s v="SAAS"/>
    <x v="3"/>
    <x v="3"/>
    <m/>
    <m/>
    <n v="1956"/>
    <n v="40"/>
    <d v="2024-08-10T00:00:00"/>
    <m/>
  </r>
  <r>
    <x v="890"/>
    <s v="Switzerland"/>
    <s v="46.204391"/>
    <s v="6.143158"/>
    <s v="Banking and Finance"/>
    <s v="Medium (201-500)"/>
    <s v="Sarah Davis"/>
    <d v="2024-05-16T00:00:00"/>
    <s v="SAAS"/>
    <x v="3"/>
    <x v="3"/>
    <m/>
    <m/>
    <n v="3137"/>
    <n v="30"/>
    <d v="2024-06-05T00:00:00"/>
    <m/>
  </r>
  <r>
    <x v="891"/>
    <s v="Spain"/>
    <s v="40.416775"/>
    <s v="-3.703790"/>
    <s v="Transportation &amp; Logistics"/>
    <s v="Medium (201-500)"/>
    <s v="Laura Thompson"/>
    <d v="2024-03-31T00:00:00"/>
    <s v="Services"/>
    <x v="3"/>
    <x v="3"/>
    <m/>
    <m/>
    <n v="3915"/>
    <n v="20"/>
    <d v="2024-05-03T00:00:00"/>
    <m/>
  </r>
  <r>
    <x v="892"/>
    <s v="Switzerland"/>
    <s v="46.204391"/>
    <s v="6.143158"/>
    <s v="Agriculture &amp; Mining"/>
    <s v="Medium (201-500)"/>
    <s v="Sarah Davis"/>
    <d v="2024-05-22T00:00:00"/>
    <s v="SAAS"/>
    <x v="3"/>
    <x v="3"/>
    <m/>
    <m/>
    <n v="764"/>
    <n v="90"/>
    <d v="2024-11-23T00:00:00"/>
    <m/>
  </r>
  <r>
    <x v="893"/>
    <s v="Germany"/>
    <s v="52.520008"/>
    <s v="13.404954"/>
    <s v="Telecommunications"/>
    <s v="Medium (201-500)"/>
    <s v="Laura Thompson"/>
    <d v="2024-04-20T00:00:00"/>
    <s v="Services"/>
    <x v="3"/>
    <x v="3"/>
    <m/>
    <m/>
    <n v="3298"/>
    <n v="20"/>
    <d v="2024-11-09T00:00:00"/>
    <m/>
  </r>
  <r>
    <x v="894"/>
    <s v="Netherlands"/>
    <s v="52.370216"/>
    <s v="4.895168"/>
    <s v="Transportation &amp; Logistics"/>
    <s v="Medium (201-500)"/>
    <s v="John Smith"/>
    <d v="2024-05-28T00:00:00"/>
    <s v="Services"/>
    <x v="3"/>
    <x v="3"/>
    <m/>
    <m/>
    <n v="5766"/>
    <n v="20"/>
    <d v="2024-07-23T00:00:00"/>
    <m/>
  </r>
  <r>
    <x v="895"/>
    <s v="Austria"/>
    <s v="48.210033"/>
    <s v="16.363449"/>
    <s v="Transportation &amp; Logistics"/>
    <s v="Medium (201-500)"/>
    <s v="Michael Brown"/>
    <d v="2024-05-03T00:00:00"/>
    <s v="Services"/>
    <x v="3"/>
    <x v="3"/>
    <m/>
    <m/>
    <n v="1937"/>
    <n v="30"/>
    <d v="2024-06-26T00:00:00"/>
    <m/>
  </r>
  <r>
    <x v="896"/>
    <s v="Netherlands"/>
    <s v="52.370216"/>
    <s v="4.895168"/>
    <s v="IT &amp; IT Services"/>
    <s v="Medium (201-500)"/>
    <s v="Emily Johnson"/>
    <d v="2024-02-11T00:00:00"/>
    <s v="Services"/>
    <x v="3"/>
    <x v="3"/>
    <m/>
    <m/>
    <n v="6782"/>
    <n v="60"/>
    <d v="2024-04-01T00:00:00"/>
    <m/>
  </r>
  <r>
    <x v="897"/>
    <s v="Netherlands"/>
    <s v="52.370216"/>
    <s v="4.895168"/>
    <s v="Telecommunications"/>
    <s v="Medium (201-500)"/>
    <s v="Emily Johnson"/>
    <d v="2024-03-17T00:00:00"/>
    <s v="Services"/>
    <x v="3"/>
    <x v="3"/>
    <m/>
    <m/>
    <n v="2270"/>
    <n v="10"/>
    <d v="2024-09-18T00:00:00"/>
    <m/>
  </r>
  <r>
    <x v="898"/>
    <s v="Germany"/>
    <s v="52.520008"/>
    <s v="13.404954"/>
    <s v="Manufacturing &amp; Production"/>
    <s v="Medium (201-500)"/>
    <s v="Michael Brown"/>
    <d v="2024-03-29T00:00:00"/>
    <s v="Services"/>
    <x v="3"/>
    <x v="3"/>
    <m/>
    <m/>
    <n v="7722"/>
    <n v="80"/>
    <d v="2024-09-09T00:00:00"/>
    <m/>
  </r>
  <r>
    <x v="899"/>
    <s v="Belgium"/>
    <s v="51.260197"/>
    <s v="4.402771"/>
    <s v="Transportation &amp; Logistics"/>
    <s v="Medium (201-500)"/>
    <s v="Kevin Anderson"/>
    <d v="2024-05-18T00:00:00"/>
    <s v="Services"/>
    <x v="3"/>
    <x v="3"/>
    <m/>
    <m/>
    <n v="3419"/>
    <n v="90"/>
    <d v="2025-02-19T00:00:00"/>
    <m/>
  </r>
  <r>
    <x v="900"/>
    <s v="Germany"/>
    <s v="52.520008"/>
    <s v="13.404954"/>
    <s v="Education &amp; Science"/>
    <s v="Medium (201-500)"/>
    <s v="Sarah Davis"/>
    <d v="2024-02-29T00:00:00"/>
    <s v="SAAS"/>
    <x v="3"/>
    <x v="3"/>
    <m/>
    <m/>
    <n v="7103"/>
    <n v="50"/>
    <d v="2025-01-04T00:00:00"/>
    <m/>
  </r>
  <r>
    <x v="901"/>
    <s v="Italy"/>
    <s v="41.902782"/>
    <s v="12.496366"/>
    <s v="IT &amp; IT Services"/>
    <s v="Medium (201-500)"/>
    <s v="Laura Thompson"/>
    <d v="2024-03-20T00:00:00"/>
    <s v="Services"/>
    <x v="3"/>
    <x v="3"/>
    <m/>
    <m/>
    <n v="7155"/>
    <n v="40"/>
    <d v="2025-02-15T00:00:00"/>
    <m/>
  </r>
  <r>
    <x v="902"/>
    <s v="Switzerland"/>
    <s v="46.204391"/>
    <s v="6.143158"/>
    <s v="Construction &amp; Engineering"/>
    <s v="Medium (201-500)"/>
    <s v="Emily Johnson"/>
    <d v="2024-01-02T00:00:00"/>
    <s v="SAAS"/>
    <x v="3"/>
    <x v="3"/>
    <m/>
    <m/>
    <n v="7505"/>
    <n v="50"/>
    <d v="2024-08-25T00:00:00"/>
    <m/>
  </r>
  <r>
    <x v="903"/>
    <s v="Italy"/>
    <s v="41.902782"/>
    <s v="12.496366"/>
    <s v="Banking and Finance"/>
    <s v="Medium (201-500)"/>
    <s v="Emily Johnson"/>
    <d v="2024-05-06T00:00:00"/>
    <s v="SAAS"/>
    <x v="3"/>
    <x v="3"/>
    <m/>
    <m/>
    <n v="1076"/>
    <n v="20"/>
    <d v="2024-08-04T00:00:00"/>
    <m/>
  </r>
  <r>
    <x v="904"/>
    <s v="Germany"/>
    <s v="52.520008"/>
    <s v="13.404954"/>
    <s v="Transportation &amp; Logistics"/>
    <s v="Medium (201-500)"/>
    <s v="Laura Thompson"/>
    <d v="2024-02-18T00:00:00"/>
    <s v="SAAS"/>
    <x v="3"/>
    <x v="3"/>
    <m/>
    <m/>
    <n v="3880"/>
    <n v="20"/>
    <d v="2024-05-09T00:00:00"/>
    <m/>
  </r>
  <r>
    <x v="905"/>
    <s v="France"/>
    <s v="48.864716"/>
    <s v="2.349014"/>
    <s v="Telecommunications"/>
    <s v="Medium (201-500)"/>
    <s v="Michael Brown"/>
    <d v="2024-02-27T00:00:00"/>
    <s v="Custom solution"/>
    <x v="3"/>
    <x v="3"/>
    <m/>
    <m/>
    <n v="1854"/>
    <n v="20"/>
    <d v="2024-09-11T00:00:00"/>
    <m/>
  </r>
  <r>
    <x v="906"/>
    <s v="Portugal"/>
    <s v="38.736946"/>
    <s v="-9.142685"/>
    <s v="Recreation &amp; Sports"/>
    <s v="Medium (201-500)"/>
    <s v="Kevin Anderson"/>
    <d v="2024-04-08T00:00:00"/>
    <s v="Services"/>
    <x v="3"/>
    <x v="3"/>
    <m/>
    <m/>
    <n v="6316"/>
    <n v="40"/>
    <d v="2024-12-23T00:00:00"/>
    <m/>
  </r>
  <r>
    <x v="907"/>
    <s v="Italy"/>
    <s v="41.902782"/>
    <s v="12.496366"/>
    <s v="Banking and Finance"/>
    <s v="Medium (201-500)"/>
    <s v="Laura Thompson"/>
    <d v="2024-05-10T00:00:00"/>
    <s v="Services"/>
    <x v="3"/>
    <x v="3"/>
    <m/>
    <m/>
    <n v="7557"/>
    <n v="90"/>
    <d v="2025-02-08T00:00:00"/>
    <m/>
  </r>
  <r>
    <x v="908"/>
    <s v="Belgium"/>
    <s v="51.260197"/>
    <s v="4.402771"/>
    <s v="Banking and Finance"/>
    <s v="Medium (201-500)"/>
    <s v="David Wilson"/>
    <d v="2024-03-29T00:00:00"/>
    <s v="Services"/>
    <x v="3"/>
    <x v="3"/>
    <m/>
    <m/>
    <n v="5533"/>
    <n v="60"/>
    <d v="2024-12-30T00:00:00"/>
    <m/>
  </r>
  <r>
    <x v="909"/>
    <s v="France"/>
    <s v="48.864716"/>
    <s v="2.349014"/>
    <s v="Energy &amp; Utilities"/>
    <s v="Medium (201-500)"/>
    <s v="Sarah Davis"/>
    <d v="2024-03-12T00:00:00"/>
    <s v="Services"/>
    <x v="3"/>
    <x v="3"/>
    <m/>
    <m/>
    <n v="3045"/>
    <n v="20"/>
    <d v="2024-04-29T00:00:00"/>
    <m/>
  </r>
  <r>
    <x v="910"/>
    <s v="Germany"/>
    <s v="52.520008"/>
    <s v="13.404954"/>
    <s v="IT &amp; IT Services"/>
    <s v="Medium (201-500)"/>
    <s v="Jessica Martinez"/>
    <d v="2024-03-01T00:00:00"/>
    <s v="Services"/>
    <x v="3"/>
    <x v="3"/>
    <m/>
    <m/>
    <n v="6633"/>
    <n v="100"/>
    <d v="2024-10-21T00:00:00"/>
    <m/>
  </r>
  <r>
    <x v="911"/>
    <s v="Portugal"/>
    <s v="38.736946"/>
    <s v="-9.142685"/>
    <s v="Transportation &amp; Logistics"/>
    <s v="Medium (201-500)"/>
    <s v="Emily Johnson"/>
    <d v="2024-02-09T00:00:00"/>
    <s v="Custom solution"/>
    <x v="3"/>
    <x v="3"/>
    <m/>
    <m/>
    <n v="707"/>
    <n v="30"/>
    <d v="2024-02-29T00:00:00"/>
    <m/>
  </r>
  <r>
    <x v="912"/>
    <s v="Italy"/>
    <s v="41.902782"/>
    <s v="12.496366"/>
    <s v="Transportation &amp; Logistics"/>
    <s v="Medium (201-500)"/>
    <s v="Laura Thompson"/>
    <d v="2024-02-25T00:00:00"/>
    <s v="SAAS"/>
    <x v="3"/>
    <x v="3"/>
    <m/>
    <m/>
    <n v="2422"/>
    <n v="30"/>
    <d v="2024-12-19T00:00:00"/>
    <m/>
  </r>
  <r>
    <x v="913"/>
    <s v="Belgium"/>
    <s v="51.260197"/>
    <s v="4.402771"/>
    <s v="Transportation &amp; Logistics"/>
    <s v="Medium (201-500)"/>
    <s v="Laura Thompson"/>
    <d v="2024-02-23T00:00:00"/>
    <s v="Services"/>
    <x v="3"/>
    <x v="3"/>
    <m/>
    <m/>
    <n v="4070"/>
    <n v="60"/>
    <d v="2024-04-04T00:00:00"/>
    <m/>
  </r>
  <r>
    <x v="914"/>
    <s v="Netherlands"/>
    <s v="52.370216"/>
    <s v="4.895168"/>
    <s v="Banking and Finance"/>
    <s v="Medium (201-500)"/>
    <s v="Laura Thompson"/>
    <d v="2024-01-17T00:00:00"/>
    <s v="Services"/>
    <x v="3"/>
    <x v="3"/>
    <m/>
    <m/>
    <n v="2596"/>
    <n v="20"/>
    <d v="2024-06-05T00:00:00"/>
    <m/>
  </r>
  <r>
    <x v="915"/>
    <s v="Germany"/>
    <s v="52.520008"/>
    <s v="13.404954"/>
    <s v="Transportation &amp; Logistics"/>
    <s v="Medium (201-500)"/>
    <s v="David Wilson"/>
    <d v="2024-02-15T00:00:00"/>
    <s v="SAAS"/>
    <x v="3"/>
    <x v="3"/>
    <m/>
    <m/>
    <n v="4915"/>
    <n v="40"/>
    <d v="2024-11-29T00:00:00"/>
    <m/>
  </r>
  <r>
    <x v="916"/>
    <s v="Italy"/>
    <s v="41.902782"/>
    <s v="12.496366"/>
    <s v="Government Administration Healthcare"/>
    <s v="Medium (201-500)"/>
    <s v="Jessica Martinez"/>
    <d v="2024-03-24T00:00:00"/>
    <s v="Custom solution"/>
    <x v="3"/>
    <x v="3"/>
    <m/>
    <m/>
    <n v="7272"/>
    <n v="60"/>
    <d v="2025-02-25T00:00:00"/>
    <m/>
  </r>
  <r>
    <x v="917"/>
    <s v="Italy"/>
    <s v="41.902782"/>
    <s v="12.496366"/>
    <s v="Transportation &amp; Logistics"/>
    <s v="Medium (201-500)"/>
    <s v="David Wilson"/>
    <d v="2024-03-28T00:00:00"/>
    <s v="Services"/>
    <x v="3"/>
    <x v="3"/>
    <m/>
    <m/>
    <n v="2908"/>
    <n v="40"/>
    <d v="2024-10-09T00:00:00"/>
    <m/>
  </r>
  <r>
    <x v="918"/>
    <s v="Switzerland"/>
    <s v="46.204391"/>
    <s v="6.143158"/>
    <s v="Banking and Finance"/>
    <s v="Medium (201-500)"/>
    <s v="Laura Thompson"/>
    <d v="2024-05-04T00:00:00"/>
    <s v="SAAS"/>
    <x v="3"/>
    <x v="3"/>
    <m/>
    <m/>
    <n v="1508"/>
    <n v="50"/>
    <d v="2024-10-13T00:00:00"/>
    <m/>
  </r>
  <r>
    <x v="919"/>
    <s v="France"/>
    <s v="48.864716"/>
    <s v="2.349014"/>
    <s v="Recreation &amp; Sports"/>
    <s v="Medium (201-500)"/>
    <s v="Laura Thompson"/>
    <d v="2024-03-12T00:00:00"/>
    <s v="SAAS"/>
    <x v="3"/>
    <x v="3"/>
    <m/>
    <m/>
    <n v="349"/>
    <n v="60"/>
    <d v="2025-02-12T00:00:00"/>
    <m/>
  </r>
  <r>
    <x v="920"/>
    <s v="France"/>
    <s v="48.864716"/>
    <s v="2.349014"/>
    <s v="Banking and Finance"/>
    <s v="Medium (201-500)"/>
    <s v="Michael Brown"/>
    <d v="2024-03-01T00:00:00"/>
    <s v="Services"/>
    <x v="3"/>
    <x v="3"/>
    <m/>
    <m/>
    <n v="6829"/>
    <n v="40"/>
    <d v="2024-08-14T00:00:00"/>
    <m/>
  </r>
  <r>
    <x v="921"/>
    <s v="Italy"/>
    <s v="41.902782"/>
    <s v="12.496366"/>
    <s v="Manufacturing &amp; Production"/>
    <s v="Medium (201-500)"/>
    <s v="Emily Johnson"/>
    <d v="2024-03-20T00:00:00"/>
    <s v="Services"/>
    <x v="3"/>
    <x v="3"/>
    <m/>
    <m/>
    <n v="1866"/>
    <n v="20"/>
    <d v="2024-10-13T00:00:00"/>
    <m/>
  </r>
  <r>
    <x v="922"/>
    <s v="Germany"/>
    <s v="52.520008"/>
    <s v="13.404954"/>
    <s v="Professional Services  &amp; Consulting"/>
    <s v="Medium (201-500)"/>
    <s v="Michael Brown"/>
    <d v="2024-03-20T00:00:00"/>
    <s v="Services"/>
    <x v="3"/>
    <x v="3"/>
    <m/>
    <m/>
    <n v="2334"/>
    <n v="60"/>
    <d v="2024-07-23T00:00:00"/>
    <m/>
  </r>
  <r>
    <x v="923"/>
    <s v="Belgium"/>
    <s v="51.260197"/>
    <s v="4.402771"/>
    <s v="Retail &amp; Distribution"/>
    <s v="Medium (201-500)"/>
    <s v="Kevin Anderson"/>
    <d v="2024-02-08T00:00:00"/>
    <s v="Services"/>
    <x v="3"/>
    <x v="3"/>
    <m/>
    <m/>
    <n v="612"/>
    <n v="30"/>
    <d v="2024-06-23T00:00:00"/>
    <m/>
  </r>
  <r>
    <x v="924"/>
    <s v="Portugal"/>
    <s v="38.736946"/>
    <s v="-9.142685"/>
    <s v="Retail &amp; Distribution"/>
    <s v="Medium (201-500)"/>
    <s v="Michael Brown"/>
    <d v="2024-05-11T00:00:00"/>
    <s v="SAAS"/>
    <x v="3"/>
    <x v="3"/>
    <m/>
    <m/>
    <n v="1780"/>
    <n v="40"/>
    <d v="2024-10-04T00:00:00"/>
    <m/>
  </r>
  <r>
    <x v="925"/>
    <s v="Germany"/>
    <s v="52.520008"/>
    <s v="13.404954"/>
    <s v="Professional Services  &amp; Consulting"/>
    <s v="Medium (201-500)"/>
    <s v="David Wilson"/>
    <d v="2024-03-24T00:00:00"/>
    <s v="Services"/>
    <x v="3"/>
    <x v="3"/>
    <m/>
    <m/>
    <n v="1157"/>
    <n v="30"/>
    <d v="2024-07-29T00:00:00"/>
    <m/>
  </r>
  <r>
    <x v="926"/>
    <s v="Italy"/>
    <s v="41.902782"/>
    <s v="12.496366"/>
    <s v="Banking and Finance"/>
    <s v="Medium (201-500)"/>
    <s v="Laura Thompson"/>
    <d v="2024-03-07T00:00:00"/>
    <s v="Services"/>
    <x v="3"/>
    <x v="3"/>
    <m/>
    <m/>
    <n v="7851"/>
    <n v="30"/>
    <d v="2024-10-11T00:00:00"/>
    <m/>
  </r>
  <r>
    <x v="927"/>
    <s v="France"/>
    <s v="48.864716"/>
    <s v="2.349014"/>
    <s v="Professional Services  &amp; Consulting"/>
    <s v="Medium (201-500)"/>
    <s v="Sarah Davis"/>
    <d v="2024-01-21T00:00:00"/>
    <s v="Services"/>
    <x v="3"/>
    <x v="3"/>
    <m/>
    <m/>
    <n v="1721"/>
    <n v="50"/>
    <d v="2024-08-09T00:00:00"/>
    <m/>
  </r>
  <r>
    <x v="928"/>
    <s v="Switzerland"/>
    <s v="46.204391"/>
    <s v="6.143158"/>
    <s v="Entertainment &amp; Media &amp; Hospitality"/>
    <s v="Medium (201-500)"/>
    <s v="David Wilson"/>
    <d v="2024-03-02T00:00:00"/>
    <s v="SAAS"/>
    <x v="3"/>
    <x v="3"/>
    <m/>
    <m/>
    <n v="3474"/>
    <n v="40"/>
    <d v="2024-04-14T00:00:00"/>
    <m/>
  </r>
  <r>
    <x v="929"/>
    <s v="Germany"/>
    <s v="52.520008"/>
    <s v="13.404954"/>
    <s v="Energy &amp; Utilities"/>
    <s v="Medium (201-500)"/>
    <s v="Kevin Anderson"/>
    <d v="2024-04-13T00:00:00"/>
    <s v="Services"/>
    <x v="3"/>
    <x v="3"/>
    <m/>
    <m/>
    <n v="1249"/>
    <n v="30"/>
    <d v="2025-01-14T00:00:00"/>
    <m/>
  </r>
  <r>
    <x v="930"/>
    <s v="Spain"/>
    <s v="40.416775"/>
    <s v="-3.703790"/>
    <s v="Agriculture &amp; Mining"/>
    <s v="Medium (201-500)"/>
    <s v="Emily Johnson"/>
    <d v="2024-03-27T00:00:00"/>
    <s v="SAAS"/>
    <x v="3"/>
    <x v="3"/>
    <m/>
    <m/>
    <n v="2734"/>
    <n v="40"/>
    <d v="2025-01-30T00:00:00"/>
    <m/>
  </r>
  <r>
    <x v="931"/>
    <s v="Belgium"/>
    <s v="51.260197"/>
    <s v="4.402771"/>
    <s v="Transportation &amp; Logistics"/>
    <s v="Medium (201-500)"/>
    <s v="Kevin Anderson"/>
    <d v="2024-05-06T00:00:00"/>
    <s v="Services"/>
    <x v="3"/>
    <x v="3"/>
    <m/>
    <m/>
    <n v="6083"/>
    <n v="40"/>
    <d v="2024-07-16T00:00:00"/>
    <m/>
  </r>
  <r>
    <x v="932"/>
    <s v="Belgium"/>
    <s v="51.260197"/>
    <s v="4.402771"/>
    <s v="Transportation &amp; Logistics"/>
    <s v="Medium (201-500)"/>
    <s v="Laura Thompson"/>
    <d v="2024-01-05T00:00:00"/>
    <s v="Services"/>
    <x v="3"/>
    <x v="3"/>
    <m/>
    <m/>
    <n v="2744"/>
    <n v="70"/>
    <d v="2024-12-30T00:00:00"/>
    <m/>
  </r>
  <r>
    <x v="933"/>
    <s v="Portugal"/>
    <s v="38.736946"/>
    <s v="-9.142685"/>
    <s v="Retail &amp; Distribution"/>
    <s v="Medium (201-500)"/>
    <s v="David Wilson"/>
    <d v="2024-01-15T00:00:00"/>
    <s v="SAAS"/>
    <x v="3"/>
    <x v="3"/>
    <m/>
    <m/>
    <n v="2259"/>
    <n v="80"/>
    <d v="2024-07-30T00:00:00"/>
    <m/>
  </r>
  <r>
    <x v="934"/>
    <s v="Switzerland"/>
    <s v="46.204391"/>
    <s v="6.143158"/>
    <s v="Banking and Finance"/>
    <s v="Medium (201-500)"/>
    <s v="Jessica Martinez"/>
    <d v="2024-05-20T00:00:00"/>
    <s v="SAAS"/>
    <x v="3"/>
    <x v="3"/>
    <m/>
    <m/>
    <n v="1092"/>
    <n v="40"/>
    <d v="2025-04-23T00:00:00"/>
    <m/>
  </r>
  <r>
    <x v="935"/>
    <s v="Portugal"/>
    <s v="38.736946"/>
    <s v="-9.142685"/>
    <s v="Transportation &amp; Logistics"/>
    <s v="Medium (201-500)"/>
    <s v="Michael Brown"/>
    <d v="2024-02-06T00:00:00"/>
    <s v="SAAS"/>
    <x v="3"/>
    <x v="3"/>
    <m/>
    <m/>
    <n v="6678"/>
    <n v="100"/>
    <d v="2024-09-06T00:00:00"/>
    <m/>
  </r>
  <r>
    <x v="936"/>
    <s v="France"/>
    <s v="48.864716"/>
    <s v="2.349014"/>
    <s v="IT &amp; IT Services"/>
    <s v="Medium (201-500)"/>
    <s v="Michael Brown"/>
    <d v="2024-04-05T00:00:00"/>
    <s v="Custom solution"/>
    <x v="3"/>
    <x v="3"/>
    <m/>
    <m/>
    <n v="2005"/>
    <n v="30"/>
    <d v="2024-07-19T00:00:00"/>
    <m/>
  </r>
  <r>
    <x v="937"/>
    <s v="Spain"/>
    <s v="40.416775"/>
    <s v="-3.703790"/>
    <s v="Government Administration Healthcare"/>
    <s v="Medium (201-500)"/>
    <s v="David Wilson"/>
    <d v="2024-02-08T00:00:00"/>
    <s v="Custom solution"/>
    <x v="3"/>
    <x v="3"/>
    <m/>
    <m/>
    <n v="7677"/>
    <n v="10"/>
    <d v="2024-07-20T00:00:00"/>
    <m/>
  </r>
  <r>
    <x v="938"/>
    <s v="Switzerland"/>
    <s v="46.204391"/>
    <s v="6.143158"/>
    <s v="Transportation &amp; Logistics"/>
    <s v="Medium (201-500)"/>
    <s v="Kevin Anderson"/>
    <d v="2024-03-13T00:00:00"/>
    <s v="Services"/>
    <x v="3"/>
    <x v="3"/>
    <m/>
    <m/>
    <n v="6331"/>
    <n v="80"/>
    <d v="2024-07-30T00:00:00"/>
    <m/>
  </r>
  <r>
    <x v="939"/>
    <s v="Portugal"/>
    <s v="38.736946"/>
    <s v="-9.142685"/>
    <s v="Recreation &amp; Sports"/>
    <s v="Medium (201-500)"/>
    <s v="Kevin Anderson"/>
    <d v="2024-01-27T00:00:00"/>
    <s v="Services"/>
    <x v="3"/>
    <x v="3"/>
    <m/>
    <m/>
    <n v="3130"/>
    <n v="20"/>
    <d v="2024-03-28T00:00:00"/>
    <m/>
  </r>
  <r>
    <x v="940"/>
    <s v="Italy"/>
    <s v="41.902782"/>
    <s v="12.496366"/>
    <s v="Recreation &amp; Sports"/>
    <s v="Medium (201-500)"/>
    <s v="Sarah Davis"/>
    <d v="2024-02-06T00:00:00"/>
    <s v="SAAS"/>
    <x v="3"/>
    <x v="3"/>
    <m/>
    <m/>
    <n v="7247"/>
    <n v="60"/>
    <d v="2024-05-28T00:00:00"/>
    <m/>
  </r>
  <r>
    <x v="941"/>
    <s v="Germany"/>
    <s v="52.520008"/>
    <s v="13.404954"/>
    <s v="Professional Services  &amp; Consulting"/>
    <s v="Medium (201-500)"/>
    <s v="Laura Thompson"/>
    <d v="2024-04-19T00:00:00"/>
    <s v="Services"/>
    <x v="3"/>
    <x v="3"/>
    <m/>
    <m/>
    <n v="5609"/>
    <n v="90"/>
    <d v="2025-03-27T00:00:00"/>
    <m/>
  </r>
  <r>
    <x v="942"/>
    <s v="Italy"/>
    <s v="41.902782"/>
    <s v="12.496366"/>
    <s v="Transportation &amp; Logistics"/>
    <s v="Medium (201-500)"/>
    <s v="Emily Johnson"/>
    <d v="2024-04-18T00:00:00"/>
    <s v="Services"/>
    <x v="3"/>
    <x v="3"/>
    <m/>
    <m/>
    <n v="4369"/>
    <n v="50"/>
    <d v="2025-03-13T00:00:00"/>
    <m/>
  </r>
  <r>
    <x v="943"/>
    <s v="Switzerland"/>
    <s v="46.204391"/>
    <s v="6.143158"/>
    <s v="Transportation &amp; Logistics"/>
    <s v="Medium (201-500)"/>
    <s v="Jessica Martinez"/>
    <d v="2024-03-27T00:00:00"/>
    <s v="Custom solution"/>
    <x v="3"/>
    <x v="3"/>
    <m/>
    <m/>
    <n v="4214"/>
    <n v="50"/>
    <d v="2024-08-04T00:00:00"/>
    <m/>
  </r>
  <r>
    <x v="944"/>
    <s v="Switzerland"/>
    <s v="46.204391"/>
    <s v="6.143158"/>
    <s v="Education &amp; Science"/>
    <s v="Medium (201-500)"/>
    <s v="Jessica Martinez"/>
    <d v="2024-05-31T00:00:00"/>
    <s v="SAAS"/>
    <x v="3"/>
    <x v="3"/>
    <m/>
    <m/>
    <n v="824"/>
    <n v="80"/>
    <d v="2025-05-20T00:00:00"/>
    <m/>
  </r>
  <r>
    <x v="945"/>
    <s v="Austria"/>
    <s v="48.210033"/>
    <s v="16.363449"/>
    <s v="Banking and Finance"/>
    <s v="Medium (201-500)"/>
    <s v="Laura Thompson"/>
    <d v="2024-04-13T00:00:00"/>
    <s v="SAAS"/>
    <x v="3"/>
    <x v="3"/>
    <m/>
    <m/>
    <n v="639"/>
    <n v="40"/>
    <d v="2024-10-15T00:00:00"/>
    <m/>
  </r>
  <r>
    <x v="946"/>
    <s v="Belgium"/>
    <s v="51.260197"/>
    <s v="4.402771"/>
    <s v="Banking and Finance"/>
    <s v="Medium (201-500)"/>
    <s v="David Wilson"/>
    <d v="2024-05-08T00:00:00"/>
    <s v="Services"/>
    <x v="3"/>
    <x v="3"/>
    <m/>
    <m/>
    <n v="2686"/>
    <n v="20"/>
    <d v="2025-02-19T00:00:00"/>
    <m/>
  </r>
  <r>
    <x v="947"/>
    <s v="Netherlands"/>
    <s v="52.370216"/>
    <s v="4.895168"/>
    <s v="Agriculture &amp; Mining"/>
    <s v="Medium (201-500)"/>
    <s v="Kevin Anderson"/>
    <d v="2024-05-01T00:00:00"/>
    <s v="SAAS"/>
    <x v="3"/>
    <x v="3"/>
    <m/>
    <m/>
    <n v="465"/>
    <n v="20"/>
    <d v="2024-12-28T00:00:00"/>
    <m/>
  </r>
  <r>
    <x v="948"/>
    <s v="Austria"/>
    <s v="48.210033"/>
    <s v="16.363449"/>
    <s v="Agriculture &amp; Mining"/>
    <s v="Medium (201-500)"/>
    <s v="Sarah Davis"/>
    <d v="2024-01-21T00:00:00"/>
    <s v="Services"/>
    <x v="3"/>
    <x v="3"/>
    <m/>
    <m/>
    <n v="2049"/>
    <n v="90"/>
    <d v="2024-09-08T00:00:00"/>
    <m/>
  </r>
  <r>
    <x v="949"/>
    <s v="Italy"/>
    <s v="41.902782"/>
    <s v="12.496366"/>
    <s v="Retail &amp; Distribution"/>
    <s v="Medium (201-500)"/>
    <s v="Sarah Davis"/>
    <d v="2024-04-18T00:00:00"/>
    <s v="Services"/>
    <x v="3"/>
    <x v="3"/>
    <m/>
    <m/>
    <n v="5160"/>
    <n v="20"/>
    <d v="2024-08-09T00:00:00"/>
    <m/>
  </r>
  <r>
    <x v="950"/>
    <s v="Netherlands"/>
    <s v="52.370216"/>
    <s v="4.895168"/>
    <s v="IT &amp; IT Services"/>
    <s v="Medium (201-500)"/>
    <s v="Michael Brown"/>
    <d v="2024-01-06T00:00:00"/>
    <s v="Services"/>
    <x v="3"/>
    <x v="3"/>
    <m/>
    <m/>
    <n v="2783"/>
    <n v="60"/>
    <d v="2024-03-22T00:00:00"/>
    <m/>
  </r>
  <r>
    <x v="951"/>
    <s v="France"/>
    <s v="48.864716"/>
    <s v="2.349014"/>
    <s v="Agriculture &amp; Mining"/>
    <s v="Medium (201-500)"/>
    <s v="Emily Johnson"/>
    <d v="2024-01-15T00:00:00"/>
    <s v="Services"/>
    <x v="3"/>
    <x v="3"/>
    <m/>
    <m/>
    <n v="727"/>
    <n v="40"/>
    <d v="2024-11-12T00:00:00"/>
    <m/>
  </r>
  <r>
    <x v="952"/>
    <s v="Austria"/>
    <s v="48.210033"/>
    <s v="16.363449"/>
    <s v="Government Administration Healthcare"/>
    <s v="Medium (201-500)"/>
    <s v="Laura Thompson"/>
    <d v="2024-03-01T00:00:00"/>
    <s v="SAAS"/>
    <x v="3"/>
    <x v="3"/>
    <m/>
    <m/>
    <n v="6977"/>
    <n v="40"/>
    <d v="2024-08-15T00:00:00"/>
    <m/>
  </r>
  <r>
    <x v="953"/>
    <s v="Italy"/>
    <s v="41.902782"/>
    <s v="12.496366"/>
    <s v="Manufacturing &amp; Production"/>
    <s v="Medium (201-500)"/>
    <s v="David Wilson"/>
    <d v="2024-05-28T00:00:00"/>
    <s v="Services"/>
    <x v="3"/>
    <x v="3"/>
    <m/>
    <m/>
    <n v="5086"/>
    <n v="60"/>
    <d v="2025-02-19T00:00:00"/>
    <m/>
  </r>
  <r>
    <x v="954"/>
    <s v="Switzerland"/>
    <s v="46.204391"/>
    <s v="6.143158"/>
    <s v="Professional Services  &amp; Consulting"/>
    <s v="Medium (201-500)"/>
    <s v="Michael Brown"/>
    <d v="2024-01-27T00:00:00"/>
    <s v="Custom solution"/>
    <x v="3"/>
    <x v="3"/>
    <m/>
    <m/>
    <n v="7919"/>
    <n v="90"/>
    <d v="2025-01-11T00:00:00"/>
    <m/>
  </r>
  <r>
    <x v="955"/>
    <s v="Belgium"/>
    <s v="51.260197"/>
    <s v="4.402771"/>
    <s v="Transportation &amp; Logistics"/>
    <s v="Medium (201-500)"/>
    <s v="David Wilson"/>
    <d v="2024-02-14T00:00:00"/>
    <s v="Custom solution"/>
    <x v="3"/>
    <x v="3"/>
    <m/>
    <m/>
    <n v="7875"/>
    <n v="10"/>
    <d v="2024-10-15T00:00:00"/>
    <m/>
  </r>
  <r>
    <x v="956"/>
    <s v="Belgium"/>
    <s v="51.260197"/>
    <s v="4.402771"/>
    <s v="Construction &amp; Engineering"/>
    <s v="Medium (201-500)"/>
    <s v="Emily Johnson"/>
    <d v="2024-05-13T00:00:00"/>
    <s v="SAAS"/>
    <x v="3"/>
    <x v="3"/>
    <m/>
    <m/>
    <n v="3763"/>
    <n v="20"/>
    <d v="2024-10-10T00:00:00"/>
    <m/>
  </r>
  <r>
    <x v="957"/>
    <s v="Germany"/>
    <s v="52.520008"/>
    <s v="13.404954"/>
    <s v="Telecommunications"/>
    <s v="Medium (201-500)"/>
    <s v="Jessica Martinez"/>
    <d v="2024-01-02T00:00:00"/>
    <s v="SAAS"/>
    <x v="3"/>
    <x v="3"/>
    <m/>
    <m/>
    <n v="6783"/>
    <n v="20"/>
    <d v="2024-03-04T00:00:00"/>
    <m/>
  </r>
  <r>
    <x v="958"/>
    <s v="Netherlands"/>
    <s v="52.370216"/>
    <s v="4.895168"/>
    <s v="Professional Services  &amp; Consulting"/>
    <s v="Medium (201-500)"/>
    <s v="Laura Thompson"/>
    <d v="2024-03-05T00:00:00"/>
    <s v="Custom solution"/>
    <x v="3"/>
    <x v="3"/>
    <m/>
    <m/>
    <n v="5323"/>
    <n v="50"/>
    <d v="2024-10-21T00:00:00"/>
    <m/>
  </r>
  <r>
    <x v="959"/>
    <s v="Spain"/>
    <s v="40.416775"/>
    <s v="-3.703790"/>
    <s v="Banking and Finance"/>
    <s v="Medium (201-500)"/>
    <s v="Emily Johnson"/>
    <d v="2024-03-25T00:00:00"/>
    <s v="Services"/>
    <x v="3"/>
    <x v="3"/>
    <m/>
    <m/>
    <n v="6797"/>
    <n v="40"/>
    <d v="2024-06-14T00:00:00"/>
    <m/>
  </r>
  <r>
    <x v="960"/>
    <s v="Italy"/>
    <s v="41.902782"/>
    <s v="12.496366"/>
    <s v="Transportation &amp; Logistics"/>
    <s v="Medium (201-500)"/>
    <s v="Laura Thompson"/>
    <d v="2024-04-19T00:00:00"/>
    <s v="Services"/>
    <x v="3"/>
    <x v="3"/>
    <m/>
    <m/>
    <n v="5063"/>
    <n v="20"/>
    <d v="2024-07-05T00:00:00"/>
    <m/>
  </r>
  <r>
    <x v="961"/>
    <s v="Germany"/>
    <s v="52.520008"/>
    <s v="13.404954"/>
    <s v="Manufacturing &amp; Production"/>
    <s v="Medium (201-500)"/>
    <s v="Laura Thompson"/>
    <d v="2024-05-07T00:00:00"/>
    <s v="SAAS"/>
    <x v="3"/>
    <x v="3"/>
    <m/>
    <m/>
    <n v="7039"/>
    <n v="20"/>
    <d v="2024-11-16T00:00:00"/>
    <m/>
  </r>
  <r>
    <x v="962"/>
    <s v="Belgium"/>
    <s v="51.260197"/>
    <s v="4.402771"/>
    <s v="Banking and Finance"/>
    <s v="Medium (201-500)"/>
    <s v="David Wilson"/>
    <d v="2024-02-14T00:00:00"/>
    <s v="SAAS"/>
    <x v="3"/>
    <x v="3"/>
    <m/>
    <m/>
    <n v="4498"/>
    <n v="90"/>
    <d v="2024-07-02T00:00:00"/>
    <m/>
  </r>
  <r>
    <x v="963"/>
    <s v="Belgium"/>
    <s v="51.260197"/>
    <s v="4.402771"/>
    <s v="IT &amp; IT Services"/>
    <s v="Medium (201-500)"/>
    <s v="Sarah Davis"/>
    <d v="2024-01-15T00:00:00"/>
    <s v="SAAS"/>
    <x v="3"/>
    <x v="3"/>
    <m/>
    <m/>
    <n v="6073"/>
    <n v="70"/>
    <d v="2024-03-03T00:00:00"/>
    <m/>
  </r>
  <r>
    <x v="964"/>
    <s v="Italy"/>
    <s v="41.902782"/>
    <s v="12.496366"/>
    <s v="Banking and Finance"/>
    <s v="Medium (201-500)"/>
    <s v="David Wilson"/>
    <d v="2024-04-21T00:00:00"/>
    <s v="SAAS"/>
    <x v="3"/>
    <x v="3"/>
    <m/>
    <m/>
    <n v="4800"/>
    <n v="20"/>
    <d v="2025-03-18T00:00:00"/>
    <m/>
  </r>
  <r>
    <x v="965"/>
    <s v="France"/>
    <s v="48.864716"/>
    <s v="2.349014"/>
    <s v="Banking and Finance"/>
    <s v="Medium (201-500)"/>
    <s v="Sarah Davis"/>
    <d v="2024-01-05T00:00:00"/>
    <s v="Custom solution"/>
    <x v="3"/>
    <x v="3"/>
    <m/>
    <m/>
    <n v="3325"/>
    <n v="30"/>
    <d v="2024-11-01T00:00:00"/>
    <m/>
  </r>
  <r>
    <x v="966"/>
    <s v="France"/>
    <s v="48.864716"/>
    <s v="2.349014"/>
    <s v="Banking and Finance"/>
    <s v="Medium (201-500)"/>
    <s v="John Smith"/>
    <d v="2024-03-15T00:00:00"/>
    <s v="SAAS"/>
    <x v="3"/>
    <x v="3"/>
    <m/>
    <m/>
    <n v="1199"/>
    <n v="100"/>
    <d v="2024-12-23T00:00:00"/>
    <m/>
  </r>
  <r>
    <x v="967"/>
    <s v="France"/>
    <s v="48.864716"/>
    <s v="2.349014"/>
    <s v="IT &amp; IT Services"/>
    <s v="Medium (201-500)"/>
    <s v="Sarah Davis"/>
    <d v="2024-04-01T00:00:00"/>
    <s v="Services"/>
    <x v="3"/>
    <x v="3"/>
    <m/>
    <m/>
    <n v="5621"/>
    <n v="40"/>
    <d v="2025-02-06T00:00:00"/>
    <m/>
  </r>
  <r>
    <x v="968"/>
    <s v="Switzerland"/>
    <s v="46.204391"/>
    <s v="6.143158"/>
    <s v="Government Administration Healthcare"/>
    <s v="Medium (201-500)"/>
    <s v="Jessica Martinez"/>
    <d v="2024-01-23T00:00:00"/>
    <s v="SAAS"/>
    <x v="3"/>
    <x v="3"/>
    <m/>
    <m/>
    <n v="2549"/>
    <n v="60"/>
    <d v="2024-10-31T00:00:00"/>
    <m/>
  </r>
  <r>
    <x v="969"/>
    <s v="Portugal"/>
    <s v="38.736946"/>
    <s v="-9.142685"/>
    <s v="Government Administration Healthcare"/>
    <s v="Medium (201-500)"/>
    <s v="Jessica Martinez"/>
    <d v="2024-04-10T00:00:00"/>
    <s v="Services"/>
    <x v="3"/>
    <x v="3"/>
    <m/>
    <m/>
    <n v="3219"/>
    <n v="40"/>
    <d v="2024-08-25T00:00:00"/>
    <m/>
  </r>
  <r>
    <x v="970"/>
    <s v="Germany"/>
    <s v="52.520008"/>
    <s v="13.404954"/>
    <s v="Professional Services  &amp; Consulting"/>
    <s v="Medium (201-500)"/>
    <s v="David Wilson"/>
    <d v="2024-03-19T00:00:00"/>
    <s v="Services"/>
    <x v="3"/>
    <x v="3"/>
    <m/>
    <m/>
    <n v="2160"/>
    <n v="50"/>
    <d v="2024-07-27T00:00:00"/>
    <m/>
  </r>
  <r>
    <x v="971"/>
    <s v="Netherlands"/>
    <s v="52.370216"/>
    <s v="4.895168"/>
    <s v="IT &amp; IT Services"/>
    <s v="Medium (201-500)"/>
    <s v="John Smith"/>
    <d v="2024-02-11T00:00:00"/>
    <s v="SAAS"/>
    <x v="3"/>
    <x v="3"/>
    <m/>
    <m/>
    <n v="1545"/>
    <n v="20"/>
    <d v="2024-03-22T00:00:00"/>
    <m/>
  </r>
  <r>
    <x v="972"/>
    <s v="Portugal"/>
    <s v="38.736946"/>
    <s v="-9.142685"/>
    <s v="Entertainment &amp; Media &amp; Hospitality"/>
    <s v="Medium (201-500)"/>
    <s v="Jessica Martinez"/>
    <d v="2024-04-27T00:00:00"/>
    <s v="SAAS"/>
    <x v="3"/>
    <x v="3"/>
    <m/>
    <m/>
    <n v="229"/>
    <n v="50"/>
    <d v="2025-01-08T00:00:00"/>
    <m/>
  </r>
  <r>
    <x v="973"/>
    <s v="Spain"/>
    <s v="40.416775"/>
    <s v="-3.703790"/>
    <s v="Telecommunications"/>
    <s v="Medium (201-500)"/>
    <s v="Michael Brown"/>
    <d v="2024-03-27T00:00:00"/>
    <s v="Services"/>
    <x v="3"/>
    <x v="3"/>
    <m/>
    <m/>
    <n v="285"/>
    <n v="20"/>
    <d v="2024-12-14T00:00:00"/>
    <m/>
  </r>
  <r>
    <x v="974"/>
    <s v="Portugal"/>
    <s v="38.736946"/>
    <s v="-9.142685"/>
    <s v="Construction &amp; Engineering"/>
    <s v="Medium (201-500)"/>
    <s v="Emily Johnson"/>
    <d v="2024-05-26T00:00:00"/>
    <s v="Custom solution"/>
    <x v="3"/>
    <x v="3"/>
    <m/>
    <m/>
    <n v="6838"/>
    <n v="90"/>
    <d v="2025-02-06T00:00:00"/>
    <m/>
  </r>
  <r>
    <x v="975"/>
    <s v="Germany"/>
    <s v="52.520008"/>
    <s v="13.404954"/>
    <s v="Transportation &amp; Logistics"/>
    <s v="Medium (201-500)"/>
    <s v="David Wilson"/>
    <d v="2024-01-18T00:00:00"/>
    <s v="SAAS"/>
    <x v="3"/>
    <x v="3"/>
    <m/>
    <m/>
    <n v="4339"/>
    <n v="30"/>
    <d v="2024-09-27T00:00:00"/>
    <m/>
  </r>
  <r>
    <x v="976"/>
    <s v="Spain"/>
    <s v="40.416775"/>
    <s v="-3.703790"/>
    <s v="IT &amp; IT Services"/>
    <s v="Medium (201-500)"/>
    <s v="Laura Thompson"/>
    <d v="2024-01-27T00:00:00"/>
    <s v="Services"/>
    <x v="3"/>
    <x v="3"/>
    <m/>
    <m/>
    <n v="3405"/>
    <n v="10"/>
    <d v="2024-06-12T00:00:00"/>
    <m/>
  </r>
  <r>
    <x v="977"/>
    <s v="Portugal"/>
    <s v="38.736946"/>
    <s v="-9.142685"/>
    <s v="Banking and Finance"/>
    <s v="Medium (201-500)"/>
    <s v="Michael Brown"/>
    <d v="2024-05-11T00:00:00"/>
    <s v="SAAS"/>
    <x v="3"/>
    <x v="3"/>
    <m/>
    <m/>
    <n v="2221"/>
    <n v="90"/>
    <d v="2024-06-26T00:00:00"/>
    <m/>
  </r>
  <r>
    <x v="978"/>
    <s v="Germany"/>
    <s v="52.520008"/>
    <s v="13.404954"/>
    <s v="Transportation &amp; Logistics"/>
    <s v="Medium (201-500)"/>
    <s v="Michael Brown"/>
    <d v="2024-03-11T00:00:00"/>
    <s v="SAAS"/>
    <x v="3"/>
    <x v="3"/>
    <m/>
    <m/>
    <n v="4404"/>
    <n v="20"/>
    <d v="2024-10-14T00:00:00"/>
    <m/>
  </r>
  <r>
    <x v="979"/>
    <s v="France"/>
    <s v="48.864716"/>
    <s v="2.349014"/>
    <s v="Entertainment &amp; Media &amp; Hospitality"/>
    <s v="Medium (201-500)"/>
    <s v="Kevin Anderson"/>
    <d v="2024-04-18T00:00:00"/>
    <s v="Custom solution"/>
    <x v="3"/>
    <x v="3"/>
    <m/>
    <m/>
    <n v="6369"/>
    <n v="30"/>
    <d v="2024-06-20T00:00:00"/>
    <m/>
  </r>
  <r>
    <x v="980"/>
    <s v="Germany"/>
    <s v="52.520008"/>
    <s v="13.404954"/>
    <s v="Banking and Finance"/>
    <s v="Medium (201-500)"/>
    <s v="Sarah Davis"/>
    <d v="2024-01-05T00:00:00"/>
    <s v="SAAS"/>
    <x v="3"/>
    <x v="3"/>
    <m/>
    <m/>
    <n v="799"/>
    <n v="30"/>
    <d v="2024-03-20T00:00:00"/>
    <m/>
  </r>
  <r>
    <x v="981"/>
    <s v="Spain"/>
    <s v="40.416775"/>
    <s v="-3.703790"/>
    <s v="Agriculture &amp; Mining"/>
    <s v="Medium (201-500)"/>
    <s v="Sarah Davis"/>
    <d v="2024-01-12T00:00:00"/>
    <s v="SAAS"/>
    <x v="3"/>
    <x v="3"/>
    <m/>
    <m/>
    <n v="2740"/>
    <n v="80"/>
    <d v="2024-05-18T00:00:00"/>
    <m/>
  </r>
  <r>
    <x v="982"/>
    <s v="Spain"/>
    <s v="40.416775"/>
    <s v="-3.703790"/>
    <s v="Education &amp; Science"/>
    <s v="Medium (201-500)"/>
    <s v="Jessica Martinez"/>
    <d v="2024-03-09T00:00:00"/>
    <s v="SAAS"/>
    <x v="3"/>
    <x v="3"/>
    <m/>
    <m/>
    <n v="4124"/>
    <n v="40"/>
    <d v="2024-05-26T00:00:00"/>
    <m/>
  </r>
  <r>
    <x v="983"/>
    <s v="Belgium"/>
    <s v="51.260197"/>
    <s v="4.402771"/>
    <s v="Transportation &amp; Logistics"/>
    <s v="Medium (201-500)"/>
    <s v="Laura Thompson"/>
    <d v="2024-03-14T00:00:00"/>
    <s v="Services"/>
    <x v="3"/>
    <x v="3"/>
    <m/>
    <m/>
    <n v="3431"/>
    <n v="20"/>
    <d v="2024-04-17T00:00:00"/>
    <m/>
  </r>
  <r>
    <x v="984"/>
    <s v="Italy"/>
    <s v="41.902782"/>
    <s v="12.496366"/>
    <s v="Banking and Finance"/>
    <s v="Medium (201-500)"/>
    <s v="Laura Thompson"/>
    <d v="2024-04-26T00:00:00"/>
    <s v="SAAS"/>
    <x v="3"/>
    <x v="3"/>
    <m/>
    <m/>
    <n v="4306"/>
    <n v="60"/>
    <d v="2024-11-19T00:00:00"/>
    <m/>
  </r>
  <r>
    <x v="985"/>
    <s v="Switzerland"/>
    <s v="46.204391"/>
    <s v="6.143158"/>
    <s v="Telecommunications"/>
    <s v="Medium (201-500)"/>
    <s v="Michael Brown"/>
    <d v="2024-02-08T00:00:00"/>
    <s v="Services"/>
    <x v="3"/>
    <x v="3"/>
    <m/>
    <m/>
    <n v="2988"/>
    <n v="50"/>
    <d v="2024-11-28T00:00:00"/>
    <m/>
  </r>
  <r>
    <x v="986"/>
    <s v="Portugal"/>
    <s v="38.736946"/>
    <s v="-9.142685"/>
    <s v="IT &amp; IT Services"/>
    <s v="Medium (201-500)"/>
    <s v="Jessica Martinez"/>
    <d v="2024-03-27T00:00:00"/>
    <s v="SAAS"/>
    <x v="3"/>
    <x v="3"/>
    <m/>
    <m/>
    <n v="1307"/>
    <n v="30"/>
    <d v="2024-07-17T00:00:00"/>
    <m/>
  </r>
  <r>
    <x v="987"/>
    <s v="Austria"/>
    <s v="48.210033"/>
    <s v="16.363449"/>
    <s v="IT &amp; IT Services"/>
    <s v="Medium (201-500)"/>
    <s v="Laura Thompson"/>
    <d v="2024-01-25T00:00:00"/>
    <s v="Services"/>
    <x v="3"/>
    <x v="3"/>
    <m/>
    <m/>
    <n v="4757"/>
    <n v="30"/>
    <d v="2024-06-01T00:00:00"/>
    <m/>
  </r>
  <r>
    <x v="988"/>
    <s v="Portugal"/>
    <s v="38.736946"/>
    <s v="-9.142685"/>
    <s v="Professional Services  &amp; Consulting"/>
    <s v="Medium (201-500)"/>
    <s v="David Wilson"/>
    <d v="2024-05-14T00:00:00"/>
    <s v="SAAS"/>
    <x v="3"/>
    <x v="3"/>
    <m/>
    <m/>
    <n v="3458"/>
    <n v="40"/>
    <d v="2024-10-01T00:00:00"/>
    <m/>
  </r>
  <r>
    <x v="989"/>
    <s v="France"/>
    <s v="48.864716"/>
    <s v="2.349014"/>
    <s v="Education &amp; Science"/>
    <s v="Medium (201-500)"/>
    <s v="Laura Thompson"/>
    <d v="2024-05-02T00:00:00"/>
    <s v="Services"/>
    <x v="3"/>
    <x v="3"/>
    <m/>
    <m/>
    <n v="5921"/>
    <n v="40"/>
    <d v="2024-07-13T00:00:00"/>
    <m/>
  </r>
  <r>
    <x v="990"/>
    <s v="Switzerland"/>
    <s v="46.204391"/>
    <s v="6.143158"/>
    <s v="Telecommunications"/>
    <s v="Medium (201-500)"/>
    <s v="John Smith"/>
    <d v="2024-05-22T00:00:00"/>
    <s v="SAAS"/>
    <x v="3"/>
    <x v="3"/>
    <m/>
    <m/>
    <n v="2305"/>
    <n v="40"/>
    <d v="2025-03-18T00:00:00"/>
    <m/>
  </r>
  <r>
    <x v="991"/>
    <s v="Italy"/>
    <s v="41.902782"/>
    <s v="12.496366"/>
    <s v="Government Administration Healthcare"/>
    <s v="Medium (201-500)"/>
    <s v="Emily Johnson"/>
    <d v="2024-01-21T00:00:00"/>
    <s v="Custom solution"/>
    <x v="3"/>
    <x v="3"/>
    <m/>
    <m/>
    <n v="2764"/>
    <n v="30"/>
    <d v="2024-04-09T00:00:00"/>
    <m/>
  </r>
  <r>
    <x v="992"/>
    <s v="Germany"/>
    <s v="52.520008"/>
    <s v="13.404954"/>
    <s v="Banking and Finance"/>
    <s v="Medium (201-500)"/>
    <s v="Laura Thompson"/>
    <d v="2024-05-23T00:00:00"/>
    <s v="Services"/>
    <x v="3"/>
    <x v="3"/>
    <m/>
    <m/>
    <n v="7311"/>
    <n v="10"/>
    <d v="2024-09-03T00:00:00"/>
    <m/>
  </r>
  <r>
    <x v="993"/>
    <s v="Portugal"/>
    <s v="38.736946"/>
    <s v="-9.142685"/>
    <s v="Recreation &amp; Sports"/>
    <s v="Medium (201-500)"/>
    <s v="Jessica Martinez"/>
    <d v="2024-04-13T00:00:00"/>
    <s v="SAAS"/>
    <x v="3"/>
    <x v="3"/>
    <m/>
    <m/>
    <n v="1828"/>
    <n v="80"/>
    <d v="2024-05-21T00:00:00"/>
    <m/>
  </r>
  <r>
    <x v="994"/>
    <s v="Germany"/>
    <s v="52.520008"/>
    <s v="13.404954"/>
    <s v="IT &amp; IT Services"/>
    <s v="Medium (201-500)"/>
    <s v="John Smith"/>
    <d v="2024-03-20T00:00:00"/>
    <s v="SAAS"/>
    <x v="3"/>
    <x v="3"/>
    <m/>
    <m/>
    <n v="1846"/>
    <n v="30"/>
    <d v="2024-10-27T00:00:00"/>
    <m/>
  </r>
  <r>
    <x v="995"/>
    <s v="Italy"/>
    <s v="41.902782"/>
    <s v="12.496366"/>
    <s v="Recreation &amp; Sports"/>
    <s v="Medium (201-500)"/>
    <s v="Sarah Davis"/>
    <d v="2024-02-20T00:00:00"/>
    <s v="Custom solution"/>
    <x v="3"/>
    <x v="3"/>
    <m/>
    <m/>
    <n v="6929"/>
    <n v="20"/>
    <d v="2024-07-19T00:00:00"/>
    <m/>
  </r>
  <r>
    <x v="996"/>
    <s v="Switzerland"/>
    <s v="46.204391"/>
    <s v="6.143158"/>
    <s v="Transportation &amp; Logistics"/>
    <s v="Medium (201-500)"/>
    <s v="Jessica Martinez"/>
    <d v="2024-05-08T00:00:00"/>
    <s v="Services"/>
    <x v="3"/>
    <x v="3"/>
    <m/>
    <m/>
    <n v="1720"/>
    <n v="60"/>
    <d v="2024-06-01T00:00:00"/>
    <m/>
  </r>
  <r>
    <x v="997"/>
    <s v="Italy"/>
    <s v="41.902782"/>
    <s v="12.496366"/>
    <s v="Education &amp; Science"/>
    <s v="Medium (201-500)"/>
    <s v="Laura Thompson"/>
    <d v="2024-03-08T00:00:00"/>
    <s v="SAAS"/>
    <x v="3"/>
    <x v="3"/>
    <m/>
    <m/>
    <n v="6119"/>
    <n v="30"/>
    <d v="2024-10-25T00:00:00"/>
    <m/>
  </r>
  <r>
    <x v="998"/>
    <s v="Italy"/>
    <s v="41.902782"/>
    <s v="12.496366"/>
    <s v="Transportation &amp; Logistics"/>
    <s v="Medium (201-500)"/>
    <s v="Kevin Anderson"/>
    <d v="2024-04-14T00:00:00"/>
    <s v="Services"/>
    <x v="3"/>
    <x v="3"/>
    <m/>
    <m/>
    <n v="1087"/>
    <n v="40"/>
    <d v="2024-06-17T00:00:00"/>
    <m/>
  </r>
  <r>
    <x v="999"/>
    <s v="Switzerland"/>
    <s v="46.204391"/>
    <s v="6.143158"/>
    <s v="Transportation &amp; Logistics"/>
    <s v="Medium (201-500)"/>
    <s v="Michael Brown"/>
    <d v="2024-02-07T00:00:00"/>
    <s v="Services"/>
    <x v="3"/>
    <x v="3"/>
    <m/>
    <m/>
    <n v="1358"/>
    <n v="30"/>
    <d v="2024-12-30T00:00:00"/>
    <m/>
  </r>
  <r>
    <x v="1000"/>
    <s v="Switzerland"/>
    <s v="46.204391"/>
    <s v="6.143158"/>
    <s v="Professional Services  &amp; Consulting"/>
    <s v="Medium (201-500)"/>
    <s v="Laura Thompson"/>
    <d v="2024-01-11T00:00:00"/>
    <s v="Services"/>
    <x v="3"/>
    <x v="3"/>
    <m/>
    <m/>
    <n v="3463"/>
    <n v="20"/>
    <d v="2024-09-01T00:00:00"/>
    <m/>
  </r>
  <r>
    <x v="1001"/>
    <s v="Germany"/>
    <s v="52.520008"/>
    <s v="13.404954"/>
    <s v="Banking and Finance"/>
    <s v="Medium (201-500)"/>
    <s v="David Wilson"/>
    <d v="2024-02-25T00:00:00"/>
    <s v="SAAS"/>
    <x v="3"/>
    <x v="3"/>
    <m/>
    <m/>
    <n v="2395"/>
    <n v="30"/>
    <d v="2024-04-03T00:00:00"/>
    <m/>
  </r>
  <r>
    <x v="1002"/>
    <s v="Portugal"/>
    <s v="38.736946"/>
    <s v="-9.142685"/>
    <s v="Government Administration Healthcare"/>
    <s v="Medium (201-500)"/>
    <s v="John Smith"/>
    <d v="2024-04-18T00:00:00"/>
    <s v="Services"/>
    <x v="3"/>
    <x v="3"/>
    <m/>
    <m/>
    <n v="2547"/>
    <n v="40"/>
    <d v="2024-06-23T00:00:00"/>
    <m/>
  </r>
  <r>
    <x v="1003"/>
    <s v="Switzerland"/>
    <s v="46.204391"/>
    <s v="6.143158"/>
    <s v="Recreation &amp; Sports"/>
    <s v="Medium (201-500)"/>
    <s v="Emily Johnson"/>
    <d v="2024-03-24T00:00:00"/>
    <s v="SAAS"/>
    <x v="3"/>
    <x v="3"/>
    <m/>
    <m/>
    <n v="1557"/>
    <n v="20"/>
    <d v="2024-07-08T00:00:00"/>
    <m/>
  </r>
  <r>
    <x v="1004"/>
    <s v="Belgium"/>
    <s v="51.260197"/>
    <s v="4.402771"/>
    <s v="Manufacturing &amp; Production"/>
    <s v="Medium (201-500)"/>
    <s v="Jessica Martinez"/>
    <d v="2024-03-24T00:00:00"/>
    <s v="SAAS"/>
    <x v="3"/>
    <x v="3"/>
    <m/>
    <m/>
    <n v="6040"/>
    <n v="40"/>
    <d v="2024-05-15T00:00:00"/>
    <m/>
  </r>
  <r>
    <x v="1005"/>
    <s v="Portugal"/>
    <s v="38.736946"/>
    <s v="-9.142685"/>
    <s v="Banking and Finance"/>
    <s v="Medium (201-500)"/>
    <s v="Sarah Davis"/>
    <d v="2024-04-10T00:00:00"/>
    <s v="SAAS"/>
    <x v="3"/>
    <x v="3"/>
    <m/>
    <m/>
    <n v="2867"/>
    <n v="80"/>
    <d v="2024-06-26T00:00:00"/>
    <m/>
  </r>
  <r>
    <x v="1006"/>
    <s v="Austria"/>
    <s v="48.210033"/>
    <s v="16.363449"/>
    <s v="Retail &amp; Distribution"/>
    <s v="Medium (201-500)"/>
    <s v="Michael Brown"/>
    <d v="2024-01-12T00:00:00"/>
    <s v="SAAS"/>
    <x v="3"/>
    <x v="3"/>
    <m/>
    <m/>
    <n v="5894"/>
    <n v="30"/>
    <d v="2024-04-09T00:00:00"/>
    <m/>
  </r>
  <r>
    <x v="1007"/>
    <s v="Portugal"/>
    <s v="38.736946"/>
    <s v="-9.142685"/>
    <s v="Transportation &amp; Logistics"/>
    <s v="Medium (201-500)"/>
    <s v="Jessica Martinez"/>
    <d v="2024-01-11T00:00:00"/>
    <s v="Services"/>
    <x v="3"/>
    <x v="3"/>
    <m/>
    <m/>
    <n v="1595"/>
    <n v="30"/>
    <d v="2024-05-09T00:00:00"/>
    <m/>
  </r>
  <r>
    <x v="1008"/>
    <s v="France"/>
    <s v="48.864716"/>
    <s v="2.349014"/>
    <s v="Retail &amp; Distribution"/>
    <s v="Medium (201-500)"/>
    <s v="Michael Brown"/>
    <d v="2024-05-24T00:00:00"/>
    <s v="SAAS"/>
    <x v="3"/>
    <x v="3"/>
    <m/>
    <m/>
    <n v="4690"/>
    <n v="100"/>
    <d v="2024-10-21T00:00:00"/>
    <m/>
  </r>
  <r>
    <x v="1009"/>
    <s v="Germany"/>
    <s v="52.520008"/>
    <s v="13.404954"/>
    <s v="Transportation &amp; Logistics"/>
    <s v="Medium (201-500)"/>
    <s v="Sarah Davis"/>
    <d v="2024-04-11T00:00:00"/>
    <s v="Services"/>
    <x v="3"/>
    <x v="3"/>
    <m/>
    <m/>
    <n v="6578"/>
    <n v="30"/>
    <d v="2024-12-10T00:00:00"/>
    <m/>
  </r>
  <r>
    <x v="1010"/>
    <s v="Portugal"/>
    <s v="38.736946"/>
    <s v="-9.142685"/>
    <s v="Transportation &amp; Logistics"/>
    <s v="Medium (201-500)"/>
    <s v="Laura Thompson"/>
    <d v="2024-04-13T00:00:00"/>
    <s v="Services"/>
    <x v="3"/>
    <x v="3"/>
    <m/>
    <m/>
    <n v="6308"/>
    <n v="20"/>
    <d v="2024-10-15T00:00:00"/>
    <m/>
  </r>
  <r>
    <x v="1011"/>
    <s v="Italy"/>
    <s v="41.902782"/>
    <s v="12.496366"/>
    <s v="Recreation &amp; Sports"/>
    <s v="Large (501-1000)"/>
    <s v="Laura Thompson"/>
    <d v="2024-01-02T00:00:00"/>
    <s v="Services"/>
    <x v="3"/>
    <x v="3"/>
    <m/>
    <m/>
    <n v="5166"/>
    <n v="30"/>
    <d v="2024-01-26T00:00:00"/>
    <m/>
  </r>
  <r>
    <x v="1012"/>
    <s v="Germany"/>
    <s v="52.520008"/>
    <s v="13.404954"/>
    <s v="Recreation &amp; Sports"/>
    <s v="Large (501-1000)"/>
    <s v="Kevin Anderson"/>
    <d v="2024-03-26T00:00:00"/>
    <s v="Services"/>
    <x v="3"/>
    <x v="3"/>
    <m/>
    <m/>
    <n v="14523"/>
    <n v="30"/>
    <d v="2024-08-05T00:00:00"/>
    <m/>
  </r>
  <r>
    <x v="1013"/>
    <s v="Germany"/>
    <s v="52.520008"/>
    <s v="13.404954"/>
    <s v="Transportation &amp; Logistics"/>
    <s v="Large (501-1000)"/>
    <s v="John Smith"/>
    <d v="2024-04-01T00:00:00"/>
    <s v="Custom solution"/>
    <x v="3"/>
    <x v="3"/>
    <m/>
    <m/>
    <n v="5375"/>
    <n v="20"/>
    <d v="2025-02-03T00:00:00"/>
    <m/>
  </r>
  <r>
    <x v="1014"/>
    <s v="Switzerland"/>
    <s v="46.204391"/>
    <s v="6.143158"/>
    <s v="Banking and Finance"/>
    <s v="Large (501-1000)"/>
    <s v="Michael Brown"/>
    <d v="2024-03-19T00:00:00"/>
    <s v="SAAS"/>
    <x v="3"/>
    <x v="3"/>
    <m/>
    <m/>
    <n v="13128"/>
    <n v="60"/>
    <d v="2025-03-18T00:00:00"/>
    <m/>
  </r>
  <r>
    <x v="1015"/>
    <s v="France"/>
    <s v="48.864716"/>
    <s v="2.349014"/>
    <s v="Transportation &amp; Logistics"/>
    <s v="Large (501-1000)"/>
    <s v="Laura Thompson"/>
    <d v="2024-05-15T00:00:00"/>
    <s v="SAAS"/>
    <x v="3"/>
    <x v="3"/>
    <m/>
    <m/>
    <n v="18904"/>
    <n v="30"/>
    <d v="2024-06-27T00:00:00"/>
    <m/>
  </r>
  <r>
    <x v="1016"/>
    <s v="Netherlands"/>
    <s v="52.370216"/>
    <s v="4.895168"/>
    <s v="Transportation &amp; Logistics"/>
    <s v="Large (501-1000)"/>
    <s v="Emily Johnson"/>
    <d v="2024-05-04T00:00:00"/>
    <s v="SAAS"/>
    <x v="3"/>
    <x v="3"/>
    <m/>
    <m/>
    <n v="11566"/>
    <n v="40"/>
    <d v="2024-06-06T00:00:00"/>
    <m/>
  </r>
  <r>
    <x v="1017"/>
    <s v="Italy"/>
    <s v="41.902782"/>
    <s v="12.496366"/>
    <s v="Government Administration Healthcare"/>
    <s v="Large (501-1000)"/>
    <s v="Jessica Martinez"/>
    <d v="2024-01-10T00:00:00"/>
    <s v="Custom solution"/>
    <x v="3"/>
    <x v="3"/>
    <m/>
    <m/>
    <n v="7949"/>
    <n v="20"/>
    <d v="2024-12-18T00:00:00"/>
    <m/>
  </r>
  <r>
    <x v="1018"/>
    <s v="Austria"/>
    <s v="48.210033"/>
    <s v="16.363449"/>
    <s v="Telecommunications"/>
    <s v="Large (501-1000)"/>
    <s v="Laura Thompson"/>
    <d v="2024-04-01T00:00:00"/>
    <s v="Custom solution"/>
    <x v="3"/>
    <x v="3"/>
    <m/>
    <m/>
    <n v="6542"/>
    <n v="40"/>
    <d v="2024-10-05T00:00:00"/>
    <m/>
  </r>
  <r>
    <x v="1019"/>
    <s v="Switzerland"/>
    <s v="46.204391"/>
    <s v="6.143158"/>
    <s v="IT &amp; IT Services"/>
    <s v="Large (501-1000)"/>
    <s v="Jessica Martinez"/>
    <d v="2024-03-01T00:00:00"/>
    <s v="Services"/>
    <x v="3"/>
    <x v="3"/>
    <m/>
    <m/>
    <n v="16150"/>
    <n v="40"/>
    <d v="2024-05-29T00:00:00"/>
    <m/>
  </r>
  <r>
    <x v="1020"/>
    <s v="Germany"/>
    <s v="52.520008"/>
    <s v="13.404954"/>
    <s v="Professional Services  &amp; Consulting"/>
    <s v="Large (501-1000)"/>
    <s v="Sarah Davis"/>
    <d v="2024-01-06T00:00:00"/>
    <s v="SAAS"/>
    <x v="3"/>
    <x v="3"/>
    <m/>
    <m/>
    <n v="12331"/>
    <n v="40"/>
    <d v="2024-12-01T00:00:00"/>
    <m/>
  </r>
  <r>
    <x v="1021"/>
    <s v="Portugal"/>
    <s v="38.736946"/>
    <s v="-9.142685"/>
    <s v="Energy &amp; Utilities"/>
    <s v="Enterprise (1001+)"/>
    <s v="Michael Brown"/>
    <d v="2024-04-08T00:00:00"/>
    <s v="Services"/>
    <x v="3"/>
    <x v="3"/>
    <m/>
    <m/>
    <n v="5559"/>
    <n v="50"/>
    <d v="2024-07-22T00:00:00"/>
    <m/>
  </r>
  <r>
    <x v="1022"/>
    <s v="France"/>
    <s v="48.864716"/>
    <s v="2.349014"/>
    <s v="Agriculture &amp; Mining"/>
    <s v="Enterprise (1001+)"/>
    <s v="Michael Brown"/>
    <d v="2024-03-28T00:00:00"/>
    <s v="Services"/>
    <x v="3"/>
    <x v="3"/>
    <m/>
    <m/>
    <n v="17695"/>
    <n v="80"/>
    <d v="2025-03-05T00:00:00"/>
    <m/>
  </r>
  <r>
    <x v="1023"/>
    <s v="Italy"/>
    <s v="41.902782"/>
    <s v="12.496366"/>
    <s v="Telecommunications"/>
    <s v="Enterprise (1001+)"/>
    <s v="Emily Johnson"/>
    <d v="2024-03-27T00:00:00"/>
    <s v="Custom solution"/>
    <x v="3"/>
    <x v="3"/>
    <m/>
    <m/>
    <n v="18405"/>
    <n v="70"/>
    <d v="2024-09-11T00:00:00"/>
    <m/>
  </r>
  <r>
    <x v="1024"/>
    <s v="Spain"/>
    <s v="40.416775"/>
    <s v="-3.703790"/>
    <s v="Telecommunications"/>
    <s v="Enterprise (1001+)"/>
    <s v="Laura Thompson"/>
    <d v="2024-02-27T00:00:00"/>
    <s v="Custom solution"/>
    <x v="3"/>
    <x v="3"/>
    <m/>
    <m/>
    <n v="17424"/>
    <n v="40"/>
    <d v="2024-11-04T00:00:00"/>
    <m/>
  </r>
  <r>
    <x v="1025"/>
    <s v="Spain"/>
    <s v="40.416775"/>
    <s v="-3.703790"/>
    <s v="Telecommunications"/>
    <s v="Enterprise (1001+)"/>
    <s v="Laura Thompson"/>
    <d v="2024-01-18T00:00:00"/>
    <s v="Services"/>
    <x v="3"/>
    <x v="3"/>
    <m/>
    <m/>
    <n v="4132"/>
    <n v="60"/>
    <d v="2024-06-22T00:00:00"/>
    <m/>
  </r>
  <r>
    <x v="1026"/>
    <s v="Switzerland"/>
    <s v="46.204391"/>
    <s v="6.143158"/>
    <s v="Professional Services  &amp; Consulting"/>
    <s v="Enterprise (1001+)"/>
    <s v="Laura Thompson"/>
    <d v="2024-03-06T00:00:00"/>
    <s v="Custom solution"/>
    <x v="3"/>
    <x v="3"/>
    <m/>
    <m/>
    <n v="3394"/>
    <n v="50"/>
    <d v="2024-12-22T00:00:00"/>
    <m/>
  </r>
  <r>
    <x v="1027"/>
    <s v="Switzerland"/>
    <s v="46.204391"/>
    <s v="6.143158"/>
    <s v="IT &amp; IT Services"/>
    <s v="Enterprise (1001+)"/>
    <s v="Emily Johnson"/>
    <d v="2024-02-15T00:00:00"/>
    <s v="Custom solution"/>
    <x v="3"/>
    <x v="3"/>
    <m/>
    <m/>
    <n v="9437"/>
    <n v="20"/>
    <d v="2024-08-21T00:00:00"/>
    <m/>
  </r>
  <r>
    <x v="1028"/>
    <s v="Austria"/>
    <s v="48.210033"/>
    <s v="16.363449"/>
    <s v="Transportation &amp; Logistics"/>
    <s v="Enterprise (1001+)"/>
    <s v="Laura Thompson"/>
    <d v="2024-03-02T00:00:00"/>
    <s v="Custom solution"/>
    <x v="3"/>
    <x v="3"/>
    <m/>
    <m/>
    <n v="5064"/>
    <n v="80"/>
    <d v="2024-04-08T00:00:00"/>
    <m/>
  </r>
  <r>
    <x v="1029"/>
    <s v="Portugal"/>
    <s v="38.736946"/>
    <s v="-9.142685"/>
    <s v="Entertainment &amp; Media &amp; Hospitality"/>
    <s v="Enterprise (1001+)"/>
    <s v="Laura Thompson"/>
    <d v="2024-05-26T00:00:00"/>
    <s v="Services"/>
    <x v="3"/>
    <x v="3"/>
    <m/>
    <m/>
    <n v="19446"/>
    <n v="30"/>
    <d v="2024-08-22T00:00:00"/>
    <m/>
  </r>
  <r>
    <x v="1030"/>
    <s v="Germany"/>
    <s v="52.520008"/>
    <s v="13.404954"/>
    <s v="Recreation &amp; Sports"/>
    <s v="Enterprise (1001+)"/>
    <s v="Emily Johnson"/>
    <d v="2024-05-06T00:00:00"/>
    <s v="Services"/>
    <x v="3"/>
    <x v="3"/>
    <m/>
    <m/>
    <n v="18343"/>
    <n v="30"/>
    <d v="2024-09-04T00:00:00"/>
    <m/>
  </r>
  <r>
    <x v="1031"/>
    <s v="Portugal"/>
    <s v="38.736946"/>
    <s v="-9.142685"/>
    <s v="Education &amp; Science"/>
    <s v="Enterprise (1001+)"/>
    <s v="Jessica Martinez"/>
    <d v="2024-05-11T00:00:00"/>
    <s v="Custom solution"/>
    <x v="3"/>
    <x v="3"/>
    <m/>
    <m/>
    <n v="6617"/>
    <n v="100"/>
    <d v="2024-12-22T00:00:00"/>
    <m/>
  </r>
  <r>
    <x v="1032"/>
    <s v="Italy"/>
    <s v="41.902782"/>
    <s v="12.496366"/>
    <s v="Agriculture &amp; Mining"/>
    <s v="Enterprise (1001+)"/>
    <s v="Kevin Anderson"/>
    <d v="2024-05-26T00:00:00"/>
    <s v="Services"/>
    <x v="3"/>
    <x v="3"/>
    <m/>
    <m/>
    <n v="18700"/>
    <n v="20"/>
    <d v="2025-02-27T00:00:00"/>
    <m/>
  </r>
  <r>
    <x v="1033"/>
    <s v="France"/>
    <s v="48.864716"/>
    <s v="2.349014"/>
    <s v="Manufacturing &amp; Production"/>
    <s v="Enterprise (1001+)"/>
    <s v="Emily Johnson"/>
    <d v="2024-01-05T00:00:00"/>
    <s v="Services"/>
    <x v="3"/>
    <x v="3"/>
    <m/>
    <m/>
    <n v="8157"/>
    <n v="20"/>
    <d v="2024-06-17T00:00:00"/>
    <m/>
  </r>
  <r>
    <x v="1034"/>
    <s v="Germany"/>
    <s v="52.520008"/>
    <s v="13.404954"/>
    <s v="Transportation &amp; Logistics"/>
    <s v="Enterprise (1001+)"/>
    <s v="Michael Brown"/>
    <d v="2024-04-14T00:00:00"/>
    <s v="Services"/>
    <x v="3"/>
    <x v="3"/>
    <m/>
    <m/>
    <n v="14502"/>
    <n v="20"/>
    <d v="2024-11-12T00:00:00"/>
    <m/>
  </r>
  <r>
    <x v="1035"/>
    <s v="France"/>
    <s v="48.864716"/>
    <s v="2.349014"/>
    <s v="Construction &amp; Engineering"/>
    <s v="Enterprise (1001+)"/>
    <s v="Jessica Martinez"/>
    <d v="2024-02-13T00:00:00"/>
    <s v="Services"/>
    <x v="3"/>
    <x v="3"/>
    <m/>
    <m/>
    <n v="14344"/>
    <n v="100"/>
    <d v="2024-03-30T00:00:00"/>
    <m/>
  </r>
  <r>
    <x v="1036"/>
    <s v="Switzerland"/>
    <s v="46.204391"/>
    <s v="6.143158"/>
    <s v="Transportation &amp; Logistics"/>
    <s v="Enterprise (1001+)"/>
    <s v="Emily Johnson"/>
    <d v="2024-04-15T00:00:00"/>
    <s v="SAAS"/>
    <x v="3"/>
    <x v="3"/>
    <m/>
    <m/>
    <n v="19863"/>
    <n v="40"/>
    <d v="2024-11-04T00:00:00"/>
    <m/>
  </r>
  <r>
    <x v="1037"/>
    <s v="France"/>
    <s v="48.864716"/>
    <s v="2.349014"/>
    <s v="IT &amp; IT Services"/>
    <s v="Enterprise (1001+)"/>
    <s v="Michael Brown"/>
    <d v="2024-02-29T00:00:00"/>
    <s v="Services"/>
    <x v="3"/>
    <x v="3"/>
    <m/>
    <m/>
    <n v="14666"/>
    <n v="60"/>
    <d v="2024-09-29T00:00:00"/>
    <m/>
  </r>
  <r>
    <x v="1038"/>
    <s v="Belgium"/>
    <s v="51.260197"/>
    <s v="4.402771"/>
    <s v="Education &amp; Science"/>
    <s v="Small (11-200)"/>
    <s v="Jessica Martinez"/>
    <d v="2024-03-15T00:00:00"/>
    <s v="Services"/>
    <x v="4"/>
    <x v="4"/>
    <s v="Initial contact"/>
    <n v="2"/>
    <n v="1136"/>
    <n v="90"/>
    <d v="2024-04-06T00:00:00"/>
    <m/>
  </r>
  <r>
    <x v="1039"/>
    <s v="Germany"/>
    <s v="52.520008"/>
    <s v="13.404954"/>
    <s v="Banking and Finance"/>
    <s v="Small (11-200)"/>
    <s v="Sarah Davis"/>
    <d v="2024-03-28T00:00:00"/>
    <s v="SAAS"/>
    <x v="4"/>
    <x v="4"/>
    <s v="Initial contact"/>
    <n v="2"/>
    <n v="402"/>
    <n v="20"/>
    <d v="2024-12-18T00:00:00"/>
    <m/>
  </r>
  <r>
    <x v="1040"/>
    <s v="France"/>
    <s v="48.864716"/>
    <s v="2.349014"/>
    <s v="Energy &amp; Utilities"/>
    <s v="Small (11-200)"/>
    <s v="Jessica Martinez"/>
    <d v="2024-02-28T00:00:00"/>
    <s v="Custom solution"/>
    <x v="4"/>
    <x v="4"/>
    <s v="Initial contact"/>
    <n v="2"/>
    <n v="1210"/>
    <n v="30"/>
    <d v="2024-11-28T00:00:00"/>
    <m/>
  </r>
  <r>
    <x v="1041"/>
    <s v="Italy"/>
    <s v="41.902782"/>
    <s v="12.496366"/>
    <s v="Transportation &amp; Logistics"/>
    <s v="Small (11-200)"/>
    <s v="Kevin Anderson"/>
    <d v="2024-05-03T00:00:00"/>
    <s v="Services"/>
    <x v="4"/>
    <x v="4"/>
    <s v="Initial contact"/>
    <n v="2"/>
    <n v="1626"/>
    <n v="40"/>
    <d v="2024-10-03T00:00:00"/>
    <m/>
  </r>
  <r>
    <x v="1042"/>
    <s v="Switzerland"/>
    <s v="46.204391"/>
    <s v="6.143158"/>
    <s v="Transportation &amp; Logistics"/>
    <s v="Small (11-200)"/>
    <s v="John Smith"/>
    <d v="2024-01-04T00:00:00"/>
    <s v="Services"/>
    <x v="4"/>
    <x v="4"/>
    <s v="Initial contact"/>
    <n v="2"/>
    <n v="785"/>
    <n v="60"/>
    <d v="2024-02-21T00:00:00"/>
    <m/>
  </r>
  <r>
    <x v="1043"/>
    <s v="France"/>
    <s v="48.864716"/>
    <s v="2.349014"/>
    <s v="Entertainment &amp; Media &amp; Hospitality"/>
    <s v="Small (11-200)"/>
    <s v="Laura Thompson"/>
    <d v="2024-01-08T00:00:00"/>
    <s v="Services"/>
    <x v="4"/>
    <x v="4"/>
    <s v="Initial contact"/>
    <n v="2"/>
    <n v="1380"/>
    <n v="30"/>
    <d v="2024-12-15T00:00:00"/>
    <m/>
  </r>
  <r>
    <x v="1044"/>
    <s v="Spain"/>
    <s v="40.416775"/>
    <s v="-3.703790"/>
    <s v="Retail &amp; Distribution"/>
    <s v="Small (11-200)"/>
    <s v="Jessica Martinez"/>
    <d v="2024-05-03T00:00:00"/>
    <s v="Services"/>
    <x v="4"/>
    <x v="4"/>
    <s v="Initial contact"/>
    <n v="2"/>
    <n v="1885"/>
    <n v="70"/>
    <d v="2024-10-15T00:00:00"/>
    <m/>
  </r>
  <r>
    <x v="1045"/>
    <s v="Switzerland"/>
    <s v="46.204391"/>
    <s v="6.143158"/>
    <s v="IT &amp; IT Services"/>
    <s v="Small (11-200)"/>
    <s v="Laura Thompson"/>
    <d v="2024-01-29T00:00:00"/>
    <s v="Services"/>
    <x v="4"/>
    <x v="4"/>
    <s v="Initial contact"/>
    <n v="2"/>
    <n v="1320"/>
    <n v="70"/>
    <d v="2024-02-20T00:00:00"/>
    <m/>
  </r>
  <r>
    <x v="1046"/>
    <s v="Portugal"/>
    <s v="38.736946"/>
    <s v="-9.142685"/>
    <s v="Transportation &amp; Logistics"/>
    <s v="Small (11-200)"/>
    <s v="Michael Brown"/>
    <d v="2024-03-03T00:00:00"/>
    <s v="Services"/>
    <x v="4"/>
    <x v="4"/>
    <s v="Initial contact"/>
    <n v="2"/>
    <n v="683"/>
    <n v="100"/>
    <d v="2024-11-29T00:00:00"/>
    <m/>
  </r>
  <r>
    <x v="1047"/>
    <s v="Switzerland"/>
    <s v="46.204391"/>
    <s v="6.143158"/>
    <s v="Transportation &amp; Logistics"/>
    <s v="Small (11-200)"/>
    <s v="Laura Thompson"/>
    <d v="2024-03-24T00:00:00"/>
    <s v="Services"/>
    <x v="4"/>
    <x v="4"/>
    <s v="Initial contact"/>
    <n v="2"/>
    <n v="909"/>
    <n v="40"/>
    <d v="2024-04-29T00:00:00"/>
    <m/>
  </r>
  <r>
    <x v="1048"/>
    <s v="Germany"/>
    <s v="52.520008"/>
    <s v="13.404954"/>
    <s v="Banking and Finance"/>
    <s v="Small (11-200)"/>
    <s v="Jessica Martinez"/>
    <d v="2024-01-24T00:00:00"/>
    <s v="SAAS"/>
    <x v="4"/>
    <x v="4"/>
    <s v="Initial contact"/>
    <n v="2"/>
    <n v="673"/>
    <n v="60"/>
    <d v="2024-12-21T00:00:00"/>
    <m/>
  </r>
  <r>
    <x v="1049"/>
    <s v="Belgium"/>
    <s v="51.260197"/>
    <s v="4.402771"/>
    <s v="Government Administration Healthcare"/>
    <s v="Small (11-200)"/>
    <s v="John Smith"/>
    <d v="2024-04-06T00:00:00"/>
    <s v="Custom solution"/>
    <x v="4"/>
    <x v="4"/>
    <s v="Initial contact"/>
    <n v="2"/>
    <n v="1498"/>
    <n v="60"/>
    <d v="2024-07-23T00:00:00"/>
    <m/>
  </r>
  <r>
    <x v="1050"/>
    <s v="France"/>
    <s v="48.864716"/>
    <s v="2.349014"/>
    <s v="IT &amp; IT Services"/>
    <s v="Small (11-200)"/>
    <s v="Michael Brown"/>
    <d v="2024-04-14T00:00:00"/>
    <s v="Services"/>
    <x v="4"/>
    <x v="4"/>
    <s v="Initial contact"/>
    <n v="2"/>
    <n v="1710"/>
    <n v="10"/>
    <d v="2024-11-23T00:00:00"/>
    <m/>
  </r>
  <r>
    <x v="1051"/>
    <s v="Italy"/>
    <s v="41.902782"/>
    <s v="12.496366"/>
    <s v="Construction &amp; Engineering"/>
    <s v="Small (11-200)"/>
    <s v="Laura Thompson"/>
    <d v="2024-02-05T00:00:00"/>
    <s v="SAAS"/>
    <x v="4"/>
    <x v="4"/>
    <s v="Initial contact"/>
    <n v="2"/>
    <n v="1963"/>
    <n v="50"/>
    <d v="2024-12-29T00:00:00"/>
    <m/>
  </r>
  <r>
    <x v="1052"/>
    <s v="Austria"/>
    <s v="48.210033"/>
    <s v="16.363449"/>
    <s v="Retail &amp; Distribution"/>
    <s v="Small (11-200)"/>
    <s v="John Smith"/>
    <d v="2024-05-09T00:00:00"/>
    <s v="Custom solution"/>
    <x v="4"/>
    <x v="4"/>
    <s v="Initial contact"/>
    <n v="2"/>
    <n v="1053"/>
    <n v="60"/>
    <d v="2025-04-11T00:00:00"/>
    <m/>
  </r>
  <r>
    <x v="1053"/>
    <s v="Netherlands"/>
    <s v="52.370216"/>
    <s v="4.895168"/>
    <s v="Professional Services  &amp; Consulting"/>
    <s v="Small (11-200)"/>
    <s v="Laura Thompson"/>
    <d v="2024-04-11T00:00:00"/>
    <s v="Services"/>
    <x v="4"/>
    <x v="4"/>
    <s v="Initial contact"/>
    <n v="2"/>
    <n v="927"/>
    <n v="100"/>
    <d v="2024-12-20T00:00:00"/>
    <m/>
  </r>
  <r>
    <x v="1054"/>
    <s v="Germany"/>
    <s v="52.520008"/>
    <s v="13.404954"/>
    <s v="Education &amp; Science"/>
    <s v="Small (11-200)"/>
    <s v="Jessica Martinez"/>
    <d v="2024-02-13T00:00:00"/>
    <s v="SAAS"/>
    <x v="4"/>
    <x v="4"/>
    <s v="Initial contact"/>
    <n v="2"/>
    <n v="345"/>
    <n v="20"/>
    <d v="2024-11-01T00:00:00"/>
    <m/>
  </r>
  <r>
    <x v="1055"/>
    <s v="Germany"/>
    <s v="52.520008"/>
    <s v="13.404954"/>
    <s v="Government Administration Healthcare"/>
    <s v="Small (11-200)"/>
    <s v="John Smith"/>
    <d v="2024-03-01T00:00:00"/>
    <s v="Services"/>
    <x v="4"/>
    <x v="4"/>
    <s v="Initial contact"/>
    <n v="2"/>
    <n v="1553"/>
    <n v="40"/>
    <d v="2024-06-26T00:00:00"/>
    <m/>
  </r>
  <r>
    <x v="1056"/>
    <s v="Austria"/>
    <s v="48.210033"/>
    <s v="16.363449"/>
    <s v="Banking and Finance"/>
    <s v="Small (11-200)"/>
    <s v="Emily Johnson"/>
    <d v="2024-01-12T00:00:00"/>
    <s v="SAAS"/>
    <x v="4"/>
    <x v="4"/>
    <s v="Initial contact"/>
    <n v="2"/>
    <n v="955"/>
    <n v="50"/>
    <d v="2024-03-17T00:00:00"/>
    <m/>
  </r>
  <r>
    <x v="1057"/>
    <s v="Germany"/>
    <s v="52.520008"/>
    <s v="13.404954"/>
    <s v="Retail &amp; Distribution"/>
    <s v="Small (11-200)"/>
    <s v="Laura Thompson"/>
    <d v="2024-02-15T00:00:00"/>
    <s v="Services"/>
    <x v="4"/>
    <x v="4"/>
    <s v="Initial contact"/>
    <n v="2"/>
    <n v="630"/>
    <n v="30"/>
    <d v="2024-10-28T00:00:00"/>
    <m/>
  </r>
  <r>
    <x v="1058"/>
    <s v="Germany"/>
    <s v="52.520008"/>
    <s v="13.404954"/>
    <s v="Telecommunications"/>
    <s v="Small (11-200)"/>
    <s v="Laura Thompson"/>
    <d v="2024-05-31T00:00:00"/>
    <s v="Custom solution"/>
    <x v="4"/>
    <x v="4"/>
    <s v="Initial contact"/>
    <n v="2"/>
    <n v="1832"/>
    <n v="30"/>
    <d v="2024-11-03T00:00:00"/>
    <m/>
  </r>
  <r>
    <x v="1059"/>
    <s v="Portugal"/>
    <s v="38.736946"/>
    <s v="-9.142685"/>
    <s v="IT &amp; IT Services"/>
    <s v="Small (11-200)"/>
    <s v="Jessica Martinez"/>
    <d v="2024-02-07T00:00:00"/>
    <s v="Services"/>
    <x v="4"/>
    <x v="4"/>
    <s v="Initial contact"/>
    <n v="2"/>
    <n v="649"/>
    <n v="30"/>
    <d v="2024-04-09T00:00:00"/>
    <m/>
  </r>
  <r>
    <x v="1060"/>
    <s v="Portugal"/>
    <s v="38.736946"/>
    <s v="-9.142685"/>
    <s v="Retail &amp; Distribution"/>
    <s v="Small (11-200)"/>
    <s v="Laura Thompson"/>
    <d v="2024-04-03T00:00:00"/>
    <s v="SAAS"/>
    <x v="4"/>
    <x v="4"/>
    <s v="Initial contact"/>
    <n v="2"/>
    <n v="448"/>
    <n v="20"/>
    <d v="2024-12-17T00:00:00"/>
    <m/>
  </r>
  <r>
    <x v="1061"/>
    <s v="Spain"/>
    <s v="40.416775"/>
    <s v="-3.703790"/>
    <s v="IT &amp; IT Services"/>
    <s v="Small (11-200)"/>
    <s v="John Smith"/>
    <d v="2024-02-18T00:00:00"/>
    <s v="SAAS"/>
    <x v="4"/>
    <x v="4"/>
    <s v="Initial contact"/>
    <n v="2"/>
    <n v="550"/>
    <n v="50"/>
    <d v="2024-03-18T00:00:00"/>
    <m/>
  </r>
  <r>
    <x v="1062"/>
    <s v="Portugal"/>
    <s v="38.736946"/>
    <s v="-9.142685"/>
    <s v="Government Administration Healthcare"/>
    <s v="Small (11-200)"/>
    <s v="Laura Thompson"/>
    <d v="2024-05-12T00:00:00"/>
    <s v="Services"/>
    <x v="4"/>
    <x v="4"/>
    <s v="Initial contact"/>
    <n v="2"/>
    <n v="1238"/>
    <n v="40"/>
    <d v="2024-10-18T00:00:00"/>
    <m/>
  </r>
  <r>
    <x v="1063"/>
    <s v="Austria"/>
    <s v="48.210033"/>
    <s v="16.363449"/>
    <s v="IT &amp; IT Services"/>
    <s v="Small (11-200)"/>
    <s v="Laura Thompson"/>
    <d v="2024-01-20T00:00:00"/>
    <s v="Services"/>
    <x v="4"/>
    <x v="4"/>
    <s v="Initial contact"/>
    <n v="2"/>
    <n v="1646"/>
    <n v="40"/>
    <d v="2024-09-10T00:00:00"/>
    <m/>
  </r>
  <r>
    <x v="1064"/>
    <s v="Italy"/>
    <s v="41.902782"/>
    <s v="12.496366"/>
    <s v="Government Administration Healthcare"/>
    <s v="Small (11-200)"/>
    <s v="Laura Thompson"/>
    <d v="2024-04-06T00:00:00"/>
    <s v="Services"/>
    <x v="4"/>
    <x v="4"/>
    <s v="Initial contact"/>
    <n v="2"/>
    <n v="1054"/>
    <n v="50"/>
    <d v="2024-12-20T00:00:00"/>
    <m/>
  </r>
  <r>
    <x v="1065"/>
    <s v="Switzerland"/>
    <s v="46.204391"/>
    <s v="6.143158"/>
    <s v="Entertainment &amp; Media &amp; Hospitality"/>
    <s v="Small (11-200)"/>
    <s v="Jessica Martinez"/>
    <d v="2024-04-21T00:00:00"/>
    <s v="SAAS"/>
    <x v="4"/>
    <x v="4"/>
    <s v="Initial contact"/>
    <n v="2"/>
    <n v="288"/>
    <n v="60"/>
    <d v="2024-06-21T00:00:00"/>
    <m/>
  </r>
  <r>
    <x v="1066"/>
    <s v="France"/>
    <s v="48.864716"/>
    <s v="2.349014"/>
    <s v="Transportation &amp; Logistics"/>
    <s v="Small (11-200)"/>
    <s v="Laura Thompson"/>
    <d v="2024-04-03T00:00:00"/>
    <s v="SAAS"/>
    <x v="4"/>
    <x v="4"/>
    <s v="Initial contact"/>
    <n v="2"/>
    <n v="1824"/>
    <n v="70"/>
    <d v="2024-05-29T00:00:00"/>
    <m/>
  </r>
  <r>
    <x v="1067"/>
    <s v="Portugal"/>
    <s v="38.736946"/>
    <s v="-9.142685"/>
    <s v="IT &amp; IT Services"/>
    <s v="Small (11-200)"/>
    <s v="Jessica Martinez"/>
    <d v="2024-04-22T00:00:00"/>
    <s v="Services"/>
    <x v="4"/>
    <x v="4"/>
    <s v="Initial contact"/>
    <n v="2"/>
    <n v="1987"/>
    <n v="30"/>
    <d v="2024-09-01T00:00:00"/>
    <m/>
  </r>
  <r>
    <x v="1068"/>
    <s v="Belgium"/>
    <s v="51.260197"/>
    <s v="4.402771"/>
    <s v="Government Administration Healthcare"/>
    <s v="Small (11-200)"/>
    <s v="Michael Brown"/>
    <d v="2024-02-28T00:00:00"/>
    <s v="Custom solution"/>
    <x v="4"/>
    <x v="4"/>
    <s v="Initial contact"/>
    <n v="2"/>
    <n v="1202"/>
    <n v="20"/>
    <d v="2025-01-17T00:00:00"/>
    <m/>
  </r>
  <r>
    <x v="1069"/>
    <s v="Germany"/>
    <s v="52.520008"/>
    <s v="13.404954"/>
    <s v="Manufacturing &amp; Production"/>
    <s v="Small (11-200)"/>
    <s v="Laura Thompson"/>
    <d v="2024-01-25T00:00:00"/>
    <s v="SAAS"/>
    <x v="4"/>
    <x v="4"/>
    <s v="Initial contact"/>
    <n v="2"/>
    <n v="565"/>
    <n v="10"/>
    <d v="2024-12-30T00:00:00"/>
    <m/>
  </r>
  <r>
    <x v="1070"/>
    <s v="Switzerland"/>
    <s v="46.204391"/>
    <s v="6.143158"/>
    <s v="Construction &amp; Engineering"/>
    <s v="Small (11-200)"/>
    <s v="Michael Brown"/>
    <d v="2024-04-06T00:00:00"/>
    <s v="Custom solution"/>
    <x v="4"/>
    <x v="4"/>
    <s v="Initial contact"/>
    <n v="2"/>
    <n v="893"/>
    <n v="20"/>
    <d v="2024-10-11T00:00:00"/>
    <m/>
  </r>
  <r>
    <x v="1071"/>
    <s v="France"/>
    <s v="48.864716"/>
    <s v="2.349014"/>
    <s v="Manufacturing &amp; Production"/>
    <s v="Small (11-200)"/>
    <s v="Michael Brown"/>
    <d v="2024-04-21T00:00:00"/>
    <s v="Services"/>
    <x v="4"/>
    <x v="4"/>
    <s v="Initial contact"/>
    <n v="2"/>
    <n v="724"/>
    <n v="30"/>
    <d v="2024-12-16T00:00:00"/>
    <m/>
  </r>
  <r>
    <x v="1072"/>
    <s v="Austria"/>
    <s v="48.210033"/>
    <s v="16.363449"/>
    <s v="Recreation &amp; Sports"/>
    <s v="Small (11-200)"/>
    <s v="Michael Brown"/>
    <d v="2024-05-17T00:00:00"/>
    <s v="SAAS"/>
    <x v="4"/>
    <x v="4"/>
    <s v="Initial contact"/>
    <n v="2"/>
    <n v="558"/>
    <n v="70"/>
    <d v="2025-03-24T00:00:00"/>
    <m/>
  </r>
  <r>
    <x v="1073"/>
    <s v="Italy"/>
    <s v="41.902782"/>
    <s v="12.496366"/>
    <s v="IT &amp; IT Services"/>
    <s v="Small (11-200)"/>
    <s v="Sarah Davis"/>
    <d v="2024-03-28T00:00:00"/>
    <s v="SAAS"/>
    <x v="4"/>
    <x v="4"/>
    <s v="Initial contact"/>
    <n v="2"/>
    <n v="453"/>
    <n v="80"/>
    <d v="2024-11-11T00:00:00"/>
    <m/>
  </r>
  <r>
    <x v="1074"/>
    <s v="Germany"/>
    <s v="52.520008"/>
    <s v="13.404954"/>
    <s v="Banking and Finance"/>
    <s v="Small (11-200)"/>
    <s v="Laura Thompson"/>
    <d v="2024-04-29T00:00:00"/>
    <s v="Services"/>
    <x v="4"/>
    <x v="4"/>
    <s v="Initial contact"/>
    <n v="2"/>
    <n v="1881"/>
    <n v="70"/>
    <d v="2024-08-10T00:00:00"/>
    <m/>
  </r>
  <r>
    <x v="1075"/>
    <s v="Austria"/>
    <s v="48.210033"/>
    <s v="16.363449"/>
    <s v="Transportation &amp; Logistics"/>
    <s v="Small (11-200)"/>
    <s v="David Wilson"/>
    <d v="2024-02-23T00:00:00"/>
    <s v="SAAS"/>
    <x v="4"/>
    <x v="4"/>
    <s v="Initial contact"/>
    <n v="2"/>
    <n v="1735"/>
    <n v="40"/>
    <d v="2025-02-15T00:00:00"/>
    <m/>
  </r>
  <r>
    <x v="1076"/>
    <s v="Switzerland"/>
    <s v="46.204391"/>
    <s v="6.143158"/>
    <s v="Transportation &amp; Logistics"/>
    <s v="Small (11-200)"/>
    <s v="Laura Thompson"/>
    <d v="2024-05-13T00:00:00"/>
    <s v="SAAS"/>
    <x v="4"/>
    <x v="4"/>
    <s v="Initial contact"/>
    <n v="2"/>
    <n v="1418"/>
    <n v="40"/>
    <d v="2024-11-20T00:00:00"/>
    <m/>
  </r>
  <r>
    <x v="1077"/>
    <s v="Portugal"/>
    <s v="38.736946"/>
    <s v="-9.142685"/>
    <s v="Transportation &amp; Logistics"/>
    <s v="Small (11-200)"/>
    <s v="Michael Brown"/>
    <d v="2024-01-13T00:00:00"/>
    <s v="Services"/>
    <x v="4"/>
    <x v="4"/>
    <s v="Initial contact"/>
    <n v="2"/>
    <n v="585"/>
    <n v="70"/>
    <d v="2024-07-29T00:00:00"/>
    <m/>
  </r>
  <r>
    <x v="1078"/>
    <s v="France"/>
    <s v="48.864716"/>
    <s v="2.349014"/>
    <s v="Construction &amp; Engineering"/>
    <s v="Small (11-200)"/>
    <s v="Jessica Martinez"/>
    <d v="2024-01-07T00:00:00"/>
    <s v="Services"/>
    <x v="4"/>
    <x v="4"/>
    <s v="Initial contact"/>
    <n v="2"/>
    <n v="334"/>
    <n v="30"/>
    <d v="2024-06-07T00:00:00"/>
    <m/>
  </r>
  <r>
    <x v="1079"/>
    <s v="Austria"/>
    <s v="48.210033"/>
    <s v="16.363449"/>
    <s v="Manufacturing &amp; Production"/>
    <s v="Small (11-200)"/>
    <s v="Kevin Anderson"/>
    <d v="2024-05-18T00:00:00"/>
    <s v="Custom solution"/>
    <x v="4"/>
    <x v="4"/>
    <s v="Initial contact"/>
    <n v="2"/>
    <n v="1959"/>
    <n v="50"/>
    <d v="2024-06-07T00:00:00"/>
    <m/>
  </r>
  <r>
    <x v="1080"/>
    <s v="Portugal"/>
    <s v="38.736946"/>
    <s v="-9.142685"/>
    <s v="Recreation &amp; Sports"/>
    <s v="Small (11-200)"/>
    <s v="John Smith"/>
    <d v="2024-01-14T00:00:00"/>
    <s v="SAAS"/>
    <x v="4"/>
    <x v="4"/>
    <s v="Initial contact"/>
    <n v="2"/>
    <n v="623"/>
    <n v="40"/>
    <d v="2024-10-25T00:00:00"/>
    <m/>
  </r>
  <r>
    <x v="1081"/>
    <s v="Italy"/>
    <s v="41.902782"/>
    <s v="12.496366"/>
    <s v="Banking and Finance"/>
    <s v="Small (11-200)"/>
    <s v="David Wilson"/>
    <d v="2024-04-29T00:00:00"/>
    <s v="SAAS"/>
    <x v="4"/>
    <x v="4"/>
    <s v="Initial contact"/>
    <n v="2"/>
    <n v="307"/>
    <n v="20"/>
    <d v="2025-04-25T00:00:00"/>
    <m/>
  </r>
  <r>
    <x v="1082"/>
    <s v="Italy"/>
    <s v="41.902782"/>
    <s v="12.496366"/>
    <s v="Education &amp; Science"/>
    <s v="Small (11-200)"/>
    <s v="Michael Brown"/>
    <d v="2024-02-03T00:00:00"/>
    <s v="Services"/>
    <x v="4"/>
    <x v="4"/>
    <s v="Initial contact"/>
    <n v="2"/>
    <n v="349"/>
    <n v="40"/>
    <d v="2025-01-10T00:00:00"/>
    <m/>
  </r>
  <r>
    <x v="1083"/>
    <s v="Portugal"/>
    <s v="38.736946"/>
    <s v="-9.142685"/>
    <s v="IT &amp; IT Services"/>
    <s v="Small (11-200)"/>
    <s v="Kevin Anderson"/>
    <d v="2024-01-27T00:00:00"/>
    <s v="SAAS"/>
    <x v="4"/>
    <x v="4"/>
    <s v="Initial contact"/>
    <n v="2"/>
    <n v="460"/>
    <n v="70"/>
    <d v="2024-10-22T00:00:00"/>
    <m/>
  </r>
  <r>
    <x v="1084"/>
    <s v="France"/>
    <s v="48.864716"/>
    <s v="2.349014"/>
    <s v="Entertainment &amp; Media &amp; Hospitality"/>
    <s v="Small (11-200)"/>
    <s v="Sarah Davis"/>
    <d v="2024-03-22T00:00:00"/>
    <s v="SAAS"/>
    <x v="4"/>
    <x v="4"/>
    <s v="Initial contact"/>
    <n v="2"/>
    <n v="992"/>
    <n v="90"/>
    <d v="2024-05-28T00:00:00"/>
    <m/>
  </r>
  <r>
    <x v="1085"/>
    <s v="Italy"/>
    <s v="41.902782"/>
    <s v="12.496366"/>
    <s v="Recreation &amp; Sports"/>
    <s v="Small (11-200)"/>
    <s v="David Wilson"/>
    <d v="2024-04-15T00:00:00"/>
    <s v="Services"/>
    <x v="4"/>
    <x v="4"/>
    <s v="Initial contact"/>
    <n v="2"/>
    <n v="1369"/>
    <n v="50"/>
    <d v="2024-12-31T00:00:00"/>
    <m/>
  </r>
  <r>
    <x v="1086"/>
    <s v="Netherlands"/>
    <s v="52.370216"/>
    <s v="4.895168"/>
    <s v="Telecommunications"/>
    <s v="Small (11-200)"/>
    <s v="Emily Johnson"/>
    <d v="2024-05-24T00:00:00"/>
    <s v="SAAS"/>
    <x v="4"/>
    <x v="4"/>
    <s v="Initial contact"/>
    <n v="2"/>
    <n v="638"/>
    <n v="40"/>
    <d v="2024-08-21T00:00:00"/>
    <m/>
  </r>
  <r>
    <x v="1087"/>
    <s v="Switzerland"/>
    <s v="46.204391"/>
    <s v="6.143158"/>
    <s v="Agriculture &amp; Mining"/>
    <s v="Small (11-200)"/>
    <s v="David Wilson"/>
    <d v="2024-05-15T00:00:00"/>
    <s v="Custom solution"/>
    <x v="4"/>
    <x v="4"/>
    <s v="Initial contact"/>
    <n v="2"/>
    <n v="1269"/>
    <n v="40"/>
    <d v="2025-01-28T00:00:00"/>
    <m/>
  </r>
  <r>
    <x v="1088"/>
    <s v="Italy"/>
    <s v="41.902782"/>
    <s v="12.496366"/>
    <s v="Energy &amp; Utilities"/>
    <s v="Small (11-200)"/>
    <s v="Jessica Martinez"/>
    <d v="2024-02-24T00:00:00"/>
    <s v="Services"/>
    <x v="4"/>
    <x v="4"/>
    <s v="Initial contact"/>
    <n v="2"/>
    <n v="1875"/>
    <n v="20"/>
    <d v="2024-08-25T00:00:00"/>
    <m/>
  </r>
  <r>
    <x v="1089"/>
    <s v="Spain"/>
    <s v="40.416775"/>
    <s v="-3.703790"/>
    <s v="Education &amp; Science"/>
    <s v="Small (11-200)"/>
    <s v="Jessica Martinez"/>
    <d v="2024-01-03T00:00:00"/>
    <s v="SAAS"/>
    <x v="4"/>
    <x v="4"/>
    <s v="Initial contact"/>
    <n v="2"/>
    <n v="218"/>
    <n v="30"/>
    <d v="2024-09-01T00:00:00"/>
    <m/>
  </r>
  <r>
    <x v="1090"/>
    <s v="Italy"/>
    <s v="41.902782"/>
    <s v="12.496366"/>
    <s v="IT &amp; IT Services"/>
    <s v="Small (11-200)"/>
    <s v="John Smith"/>
    <d v="2024-05-27T00:00:00"/>
    <s v="SAAS"/>
    <x v="4"/>
    <x v="4"/>
    <s v="Initial contact"/>
    <n v="2"/>
    <n v="628"/>
    <n v="60"/>
    <d v="2025-04-11T00:00:00"/>
    <m/>
  </r>
  <r>
    <x v="1091"/>
    <s v="France"/>
    <s v="48.864716"/>
    <s v="2.349014"/>
    <s v="IT &amp; IT Services"/>
    <s v="Small (11-200)"/>
    <s v="Emily Johnson"/>
    <d v="2024-04-24T00:00:00"/>
    <s v="SAAS"/>
    <x v="4"/>
    <x v="4"/>
    <s v="Initial contact"/>
    <n v="2"/>
    <n v="889"/>
    <n v="20"/>
    <d v="2025-04-12T00:00:00"/>
    <m/>
  </r>
  <r>
    <x v="1092"/>
    <s v="Austria"/>
    <s v="48.210033"/>
    <s v="16.363449"/>
    <s v="IT &amp; IT Services"/>
    <s v="Small (11-200)"/>
    <s v="Michael Brown"/>
    <d v="2024-03-14T00:00:00"/>
    <s v="SAAS"/>
    <x v="4"/>
    <x v="4"/>
    <s v="Initial contact"/>
    <n v="2"/>
    <n v="1694"/>
    <n v="50"/>
    <d v="2024-11-10T00:00:00"/>
    <m/>
  </r>
  <r>
    <x v="1093"/>
    <s v="Belgium"/>
    <s v="51.260197"/>
    <s v="4.402771"/>
    <s v="IT &amp; IT Services"/>
    <s v="Small (11-200)"/>
    <s v="Emily Johnson"/>
    <d v="2024-03-16T00:00:00"/>
    <s v="Custom solution"/>
    <x v="4"/>
    <x v="4"/>
    <s v="Initial contact"/>
    <n v="2"/>
    <n v="1902"/>
    <n v="40"/>
    <d v="2024-08-26T00:00:00"/>
    <m/>
  </r>
  <r>
    <x v="1094"/>
    <s v="Spain"/>
    <s v="40.416775"/>
    <s v="-3.703790"/>
    <s v="Professional Services  &amp; Consulting"/>
    <s v="Small (11-200)"/>
    <s v="Jessica Martinez"/>
    <d v="2024-05-22T00:00:00"/>
    <s v="Services"/>
    <x v="4"/>
    <x v="4"/>
    <s v="Initial contact"/>
    <n v="2"/>
    <n v="1897"/>
    <n v="60"/>
    <d v="2025-03-31T00:00:00"/>
    <m/>
  </r>
  <r>
    <x v="1095"/>
    <s v="Netherlands"/>
    <s v="52.370216"/>
    <s v="4.895168"/>
    <s v="Government Administration Healthcare"/>
    <s v="Small (11-200)"/>
    <s v="Michael Brown"/>
    <d v="2024-04-28T00:00:00"/>
    <s v="Custom solution"/>
    <x v="4"/>
    <x v="4"/>
    <s v="Initial contact"/>
    <n v="2"/>
    <n v="1568"/>
    <n v="40"/>
    <d v="2024-12-16T00:00:00"/>
    <m/>
  </r>
  <r>
    <x v="1096"/>
    <s v="Austria"/>
    <s v="48.210033"/>
    <s v="16.363449"/>
    <s v="Government Administration Healthcare"/>
    <s v="Small (11-200)"/>
    <s v="John Smith"/>
    <d v="2024-04-21T00:00:00"/>
    <s v="SAAS"/>
    <x v="4"/>
    <x v="4"/>
    <s v="Initial contact"/>
    <n v="2"/>
    <n v="357"/>
    <n v="40"/>
    <d v="2024-09-22T00:00:00"/>
    <m/>
  </r>
  <r>
    <x v="1097"/>
    <s v="Italy"/>
    <s v="41.902782"/>
    <s v="12.496366"/>
    <s v="Banking and Finance"/>
    <s v="Small (11-200)"/>
    <s v="Michael Brown"/>
    <d v="2024-03-23T00:00:00"/>
    <s v="SAAS"/>
    <x v="4"/>
    <x v="4"/>
    <s v="Initial contact"/>
    <n v="2"/>
    <n v="468"/>
    <n v="20"/>
    <d v="2024-12-30T00:00:00"/>
    <m/>
  </r>
  <r>
    <x v="1098"/>
    <s v="Portugal"/>
    <s v="38.736946"/>
    <s v="-9.142685"/>
    <s v="Entertainment &amp; Media &amp; Hospitality"/>
    <s v="Small (11-200)"/>
    <s v="John Smith"/>
    <d v="2024-05-25T00:00:00"/>
    <s v="Custom solution"/>
    <x v="4"/>
    <x v="4"/>
    <s v="Initial contact"/>
    <n v="2"/>
    <n v="1704"/>
    <n v="40"/>
    <d v="2024-11-18T00:00:00"/>
    <m/>
  </r>
  <r>
    <x v="1099"/>
    <s v="Switzerland"/>
    <s v="46.204391"/>
    <s v="6.143158"/>
    <s v="Entertainment &amp; Media &amp; Hospitality"/>
    <s v="Small (11-200)"/>
    <s v="Jessica Martinez"/>
    <d v="2024-04-15T00:00:00"/>
    <s v="SAAS"/>
    <x v="4"/>
    <x v="4"/>
    <s v="Initial contact"/>
    <n v="2"/>
    <n v="939"/>
    <n v="80"/>
    <d v="2024-11-25T00:00:00"/>
    <m/>
  </r>
  <r>
    <x v="1100"/>
    <s v="Switzerland"/>
    <s v="46.204391"/>
    <s v="6.143158"/>
    <s v="IT &amp; IT Services"/>
    <s v="Small (11-200)"/>
    <s v="Sarah Davis"/>
    <d v="2024-05-28T00:00:00"/>
    <s v="Services"/>
    <x v="4"/>
    <x v="4"/>
    <s v="Initial contact"/>
    <n v="2"/>
    <n v="1225"/>
    <n v="10"/>
    <d v="2025-01-23T00:00:00"/>
    <m/>
  </r>
  <r>
    <x v="1101"/>
    <s v="Switzerland"/>
    <s v="46.204391"/>
    <s v="6.143158"/>
    <s v="Education &amp; Science"/>
    <s v="Small (11-200)"/>
    <s v="Jessica Martinez"/>
    <d v="2024-02-07T00:00:00"/>
    <s v="SAAS"/>
    <x v="4"/>
    <x v="4"/>
    <s v="Initial contact"/>
    <n v="2"/>
    <n v="788"/>
    <n v="80"/>
    <d v="2024-05-30T00:00:00"/>
    <m/>
  </r>
  <r>
    <x v="1102"/>
    <s v="Austria"/>
    <s v="48.210033"/>
    <s v="16.363449"/>
    <s v="Entertainment &amp; Media &amp; Hospitality"/>
    <s v="Small (11-200)"/>
    <s v="David Wilson"/>
    <d v="2024-03-12T00:00:00"/>
    <s v="Services"/>
    <x v="4"/>
    <x v="4"/>
    <s v="Initial contact"/>
    <n v="2"/>
    <n v="1004"/>
    <n v="20"/>
    <d v="2025-01-29T00:00:00"/>
    <m/>
  </r>
  <r>
    <x v="1103"/>
    <s v="Germany"/>
    <s v="52.520008"/>
    <s v="13.404954"/>
    <s v="IT &amp; IT Services"/>
    <s v="Small (11-200)"/>
    <s v="Laura Thompson"/>
    <d v="2024-01-25T00:00:00"/>
    <s v="SAAS"/>
    <x v="4"/>
    <x v="4"/>
    <s v="Initial contact"/>
    <n v="2"/>
    <n v="586"/>
    <n v="40"/>
    <d v="2024-09-06T00:00:00"/>
    <m/>
  </r>
  <r>
    <x v="1104"/>
    <s v="Italy"/>
    <s v="41.902782"/>
    <s v="12.496366"/>
    <s v="Government Administration Healthcare"/>
    <s v="Small (11-200)"/>
    <s v="Jessica Martinez"/>
    <d v="2024-05-22T00:00:00"/>
    <s v="SAAS"/>
    <x v="4"/>
    <x v="4"/>
    <s v="Initial contact"/>
    <n v="2"/>
    <n v="1990"/>
    <n v="40"/>
    <d v="2024-08-28T00:00:00"/>
    <m/>
  </r>
  <r>
    <x v="1105"/>
    <s v="Germany"/>
    <s v="52.520008"/>
    <s v="13.404954"/>
    <s v="Banking and Finance"/>
    <s v="Small (11-200)"/>
    <s v="Emily Johnson"/>
    <d v="2024-01-30T00:00:00"/>
    <s v="Custom solution"/>
    <x v="4"/>
    <x v="4"/>
    <s v="Initial contact"/>
    <n v="2"/>
    <n v="1567"/>
    <n v="40"/>
    <d v="2024-05-12T00:00:00"/>
    <m/>
  </r>
  <r>
    <x v="1106"/>
    <s v="Portugal"/>
    <s v="38.736946"/>
    <s v="-9.142685"/>
    <s v="Banking and Finance"/>
    <s v="Small (11-200)"/>
    <s v="Laura Thompson"/>
    <d v="2024-04-02T00:00:00"/>
    <s v="Custom solution"/>
    <x v="4"/>
    <x v="4"/>
    <s v="Initial contact"/>
    <n v="2"/>
    <n v="1256"/>
    <n v="50"/>
    <d v="2025-03-28T00:00:00"/>
    <m/>
  </r>
  <r>
    <x v="1107"/>
    <s v="Italy"/>
    <s v="41.902782"/>
    <s v="12.496366"/>
    <s v="Banking and Finance"/>
    <s v="Small (11-200)"/>
    <s v="Michael Brown"/>
    <d v="2024-05-22T00:00:00"/>
    <s v="SAAS"/>
    <x v="4"/>
    <x v="4"/>
    <s v="Initial contact"/>
    <n v="2"/>
    <n v="1279"/>
    <n v="70"/>
    <d v="2024-09-04T00:00:00"/>
    <m/>
  </r>
  <r>
    <x v="1108"/>
    <s v="Portugal"/>
    <s v="38.736946"/>
    <s v="-9.142685"/>
    <s v="Telecommunications"/>
    <s v="Small (11-200)"/>
    <s v="Kevin Anderson"/>
    <d v="2024-03-03T00:00:00"/>
    <s v="SAAS"/>
    <x v="4"/>
    <x v="4"/>
    <s v="Initial contact"/>
    <n v="2"/>
    <n v="1850"/>
    <n v="60"/>
    <d v="2024-11-30T00:00:00"/>
    <m/>
  </r>
  <r>
    <x v="1109"/>
    <s v="Spain"/>
    <s v="40.416775"/>
    <s v="-3.703790"/>
    <s v="Entertainment &amp; Media &amp; Hospitality"/>
    <s v="Small (11-200)"/>
    <s v="David Wilson"/>
    <d v="2024-05-26T00:00:00"/>
    <s v="SAAS"/>
    <x v="4"/>
    <x v="4"/>
    <s v="Initial contact"/>
    <n v="2"/>
    <n v="1738"/>
    <n v="90"/>
    <d v="2025-03-16T00:00:00"/>
    <m/>
  </r>
  <r>
    <x v="1110"/>
    <s v="Italy"/>
    <s v="41.902782"/>
    <s v="12.496366"/>
    <s v="IT &amp; IT Services"/>
    <s v="Small (11-200)"/>
    <s v="John Smith"/>
    <d v="2024-01-03T00:00:00"/>
    <s v="Services"/>
    <x v="4"/>
    <x v="4"/>
    <s v="Initial contact"/>
    <n v="2"/>
    <n v="219"/>
    <n v="60"/>
    <d v="2024-11-03T00:00:00"/>
    <m/>
  </r>
  <r>
    <x v="1111"/>
    <s v="Switzerland"/>
    <s v="46.204391"/>
    <s v="6.143158"/>
    <s v="Telecommunications"/>
    <s v="Small (11-200)"/>
    <s v="Michael Brown"/>
    <d v="2024-01-14T00:00:00"/>
    <s v="SAAS"/>
    <x v="4"/>
    <x v="4"/>
    <s v="Initial contact"/>
    <n v="2"/>
    <n v="487"/>
    <n v="30"/>
    <d v="2024-09-21T00:00:00"/>
    <m/>
  </r>
  <r>
    <x v="1112"/>
    <s v="Spain"/>
    <s v="40.416775"/>
    <s v="-3.703790"/>
    <s v="Education &amp; Science"/>
    <s v="Small (11-200)"/>
    <s v="Sarah Davis"/>
    <d v="2024-02-07T00:00:00"/>
    <s v="Services"/>
    <x v="4"/>
    <x v="4"/>
    <s v="Initial contact"/>
    <n v="2"/>
    <n v="1790"/>
    <n v="80"/>
    <d v="2024-05-13T00:00:00"/>
    <m/>
  </r>
  <r>
    <x v="1113"/>
    <s v="Germany"/>
    <s v="52.520008"/>
    <s v="13.404954"/>
    <s v="IT &amp; IT Services"/>
    <s v="Small (11-200)"/>
    <s v="Michael Brown"/>
    <d v="2024-01-11T00:00:00"/>
    <s v="Custom solution"/>
    <x v="4"/>
    <x v="4"/>
    <s v="Initial contact"/>
    <n v="2"/>
    <n v="713"/>
    <n v="30"/>
    <d v="2024-03-25T00:00:00"/>
    <m/>
  </r>
  <r>
    <x v="1114"/>
    <s v="Belgium"/>
    <s v="51.260197"/>
    <s v="4.402771"/>
    <s v="Energy &amp; Utilities"/>
    <s v="Small (11-200)"/>
    <s v="Kevin Anderson"/>
    <d v="2024-01-29T00:00:00"/>
    <s v="SAAS"/>
    <x v="4"/>
    <x v="4"/>
    <s v="Initial contact"/>
    <n v="2"/>
    <n v="474"/>
    <n v="30"/>
    <d v="2024-08-15T00:00:00"/>
    <m/>
  </r>
  <r>
    <x v="1115"/>
    <s v="France"/>
    <s v="48.864716"/>
    <s v="2.349014"/>
    <s v="Telecommunications"/>
    <s v="Small (11-200)"/>
    <s v="Michael Brown"/>
    <d v="2024-02-02T00:00:00"/>
    <s v="Custom solution"/>
    <x v="4"/>
    <x v="4"/>
    <s v="Initial contact"/>
    <n v="2"/>
    <n v="662"/>
    <n v="40"/>
    <d v="2024-02-23T00:00:00"/>
    <m/>
  </r>
  <r>
    <x v="1116"/>
    <s v="Spain"/>
    <s v="40.416775"/>
    <s v="-3.703790"/>
    <s v="Transportation &amp; Logistics"/>
    <s v="Small (11-200)"/>
    <s v="Jessica Martinez"/>
    <d v="2024-03-14T00:00:00"/>
    <s v="Custom solution"/>
    <x v="4"/>
    <x v="4"/>
    <s v="Initial contact"/>
    <n v="2"/>
    <n v="251"/>
    <n v="60"/>
    <d v="2025-02-15T00:00:00"/>
    <m/>
  </r>
  <r>
    <x v="1117"/>
    <s v="Italy"/>
    <s v="41.902782"/>
    <s v="12.496366"/>
    <s v="Banking and Finance"/>
    <s v="Small (11-200)"/>
    <s v="Laura Thompson"/>
    <d v="2024-03-09T00:00:00"/>
    <s v="Services"/>
    <x v="4"/>
    <x v="4"/>
    <s v="Initial contact"/>
    <n v="2"/>
    <n v="406"/>
    <n v="60"/>
    <d v="2024-07-16T00:00:00"/>
    <m/>
  </r>
  <r>
    <x v="1118"/>
    <s v="Belgium"/>
    <s v="51.260197"/>
    <s v="4.402771"/>
    <s v="Education &amp; Science"/>
    <s v="Small (11-200)"/>
    <s v="David Wilson"/>
    <d v="2024-01-14T00:00:00"/>
    <s v="SAAS"/>
    <x v="4"/>
    <x v="4"/>
    <s v="Initial contact"/>
    <n v="2"/>
    <n v="427"/>
    <n v="10"/>
    <d v="2024-11-15T00:00:00"/>
    <m/>
  </r>
  <r>
    <x v="1119"/>
    <s v="Netherlands"/>
    <s v="52.370216"/>
    <s v="4.895168"/>
    <s v="Entertainment &amp; Media &amp; Hospitality"/>
    <s v="Small (11-200)"/>
    <s v="Kevin Anderson"/>
    <d v="2024-04-03T00:00:00"/>
    <s v="Services"/>
    <x v="4"/>
    <x v="4"/>
    <s v="Initial contact"/>
    <n v="2"/>
    <n v="1398"/>
    <n v="70"/>
    <d v="2024-07-18T00:00:00"/>
    <m/>
  </r>
  <r>
    <x v="1120"/>
    <s v="Portugal"/>
    <s v="38.736946"/>
    <s v="-9.142685"/>
    <s v="Telecommunications"/>
    <s v="Small (11-200)"/>
    <s v="John Smith"/>
    <d v="2024-03-28T00:00:00"/>
    <s v="Services"/>
    <x v="4"/>
    <x v="4"/>
    <s v="Initial contact"/>
    <n v="2"/>
    <n v="1936"/>
    <n v="20"/>
    <d v="2024-08-14T00:00:00"/>
    <m/>
  </r>
  <r>
    <x v="1121"/>
    <s v="Italy"/>
    <s v="41.902782"/>
    <s v="12.496366"/>
    <s v="IT &amp; IT Services"/>
    <s v="Small (11-200)"/>
    <s v="David Wilson"/>
    <d v="2024-02-16T00:00:00"/>
    <s v="Services"/>
    <x v="4"/>
    <x v="4"/>
    <s v="Initial contact"/>
    <n v="2"/>
    <n v="1601"/>
    <n v="30"/>
    <d v="2024-11-06T00:00:00"/>
    <m/>
  </r>
  <r>
    <x v="1122"/>
    <s v="France"/>
    <s v="48.864716"/>
    <s v="2.349014"/>
    <s v="Energy &amp; Utilities"/>
    <s v="Small (11-200)"/>
    <s v="Michael Brown"/>
    <d v="2024-04-08T00:00:00"/>
    <s v="SAAS"/>
    <x v="4"/>
    <x v="4"/>
    <s v="Initial contact"/>
    <n v="2"/>
    <n v="677"/>
    <n v="40"/>
    <d v="2024-11-28T00:00:00"/>
    <m/>
  </r>
  <r>
    <x v="1123"/>
    <s v="Italy"/>
    <s v="41.902782"/>
    <s v="12.496366"/>
    <s v="Education &amp; Science"/>
    <s v="Small (11-200)"/>
    <s v="Emily Johnson"/>
    <d v="2024-01-26T00:00:00"/>
    <s v="Custom solution"/>
    <x v="4"/>
    <x v="4"/>
    <s v="Initial contact"/>
    <n v="2"/>
    <n v="1071"/>
    <n v="40"/>
    <d v="2024-08-18T00:00:00"/>
    <m/>
  </r>
  <r>
    <x v="1124"/>
    <s v="France"/>
    <s v="48.864716"/>
    <s v="2.349014"/>
    <s v="Retail &amp; Distribution"/>
    <s v="Small (11-200)"/>
    <s v="Laura Thompson"/>
    <d v="2024-05-22T00:00:00"/>
    <s v="SAAS"/>
    <x v="4"/>
    <x v="4"/>
    <s v="Initial contact"/>
    <n v="2"/>
    <n v="321"/>
    <n v="50"/>
    <d v="2024-12-27T00:00:00"/>
    <m/>
  </r>
  <r>
    <x v="1125"/>
    <s v="Italy"/>
    <s v="41.902782"/>
    <s v="12.496366"/>
    <s v="Energy &amp; Utilities"/>
    <s v="Small (11-200)"/>
    <s v="Jessica Martinez"/>
    <d v="2024-04-12T00:00:00"/>
    <s v="Custom solution"/>
    <x v="4"/>
    <x v="4"/>
    <s v="Initial contact"/>
    <n v="2"/>
    <n v="1248"/>
    <n v="90"/>
    <d v="2024-07-30T00:00:00"/>
    <m/>
  </r>
  <r>
    <x v="1126"/>
    <s v="France"/>
    <s v="48.864716"/>
    <s v="2.349014"/>
    <s v="Banking and Finance"/>
    <s v="Small (11-200)"/>
    <s v="Michael Brown"/>
    <d v="2024-04-02T00:00:00"/>
    <s v="SAAS"/>
    <x v="4"/>
    <x v="4"/>
    <s v="Initial contact"/>
    <n v="2"/>
    <n v="631"/>
    <n v="20"/>
    <d v="2025-03-14T00:00:00"/>
    <m/>
  </r>
  <r>
    <x v="1127"/>
    <s v="Switzerland"/>
    <s v="46.204391"/>
    <s v="6.143158"/>
    <s v="Professional Services  &amp; Consulting"/>
    <s v="Small (11-200)"/>
    <s v="Laura Thompson"/>
    <d v="2024-02-29T00:00:00"/>
    <s v="SAAS"/>
    <x v="4"/>
    <x v="4"/>
    <s v="Initial contact"/>
    <n v="2"/>
    <n v="1194"/>
    <n v="20"/>
    <d v="2024-07-13T00:00:00"/>
    <m/>
  </r>
  <r>
    <x v="1128"/>
    <s v="Germany"/>
    <s v="52.520008"/>
    <s v="13.404954"/>
    <s v="Transportation &amp; Logistics"/>
    <s v="Small (11-200)"/>
    <s v="Sarah Davis"/>
    <d v="2024-01-02T00:00:00"/>
    <s v="SAAS"/>
    <x v="4"/>
    <x v="4"/>
    <s v="Initial contact"/>
    <n v="2"/>
    <n v="1441"/>
    <n v="50"/>
    <d v="2024-03-27T00:00:00"/>
    <m/>
  </r>
  <r>
    <x v="1129"/>
    <s v="Spain"/>
    <s v="40.416775"/>
    <s v="-3.703790"/>
    <s v="Banking and Finance"/>
    <s v="Small (11-200)"/>
    <s v="John Smith"/>
    <d v="2024-02-07T00:00:00"/>
    <s v="Services"/>
    <x v="4"/>
    <x v="4"/>
    <s v="Initial contact"/>
    <n v="2"/>
    <n v="275"/>
    <n v="40"/>
    <d v="2024-09-21T00:00:00"/>
    <m/>
  </r>
  <r>
    <x v="1130"/>
    <s v="Belgium"/>
    <s v="51.260197"/>
    <s v="4.402771"/>
    <s v="Transportation &amp; Logistics"/>
    <s v="Small (11-200)"/>
    <s v="Michael Brown"/>
    <d v="2024-05-17T00:00:00"/>
    <s v="SAAS"/>
    <x v="4"/>
    <x v="4"/>
    <s v="Initial contact"/>
    <n v="2"/>
    <n v="1734"/>
    <n v="100"/>
    <d v="2024-10-11T00:00:00"/>
    <m/>
  </r>
  <r>
    <x v="1131"/>
    <s v="Italy"/>
    <s v="41.902782"/>
    <s v="12.496366"/>
    <s v="IT &amp; IT Services"/>
    <s v="Small (11-200)"/>
    <s v="Jessica Martinez"/>
    <d v="2024-03-16T00:00:00"/>
    <s v="SAAS"/>
    <x v="4"/>
    <x v="4"/>
    <s v="Initial contact"/>
    <n v="2"/>
    <n v="863"/>
    <n v="30"/>
    <d v="2025-01-06T00:00:00"/>
    <m/>
  </r>
  <r>
    <x v="1132"/>
    <s v="Belgium"/>
    <s v="51.260197"/>
    <s v="4.402771"/>
    <s v="Entertainment &amp; Media &amp; Hospitality"/>
    <s v="Small (11-200)"/>
    <s v="Michael Brown"/>
    <d v="2024-02-26T00:00:00"/>
    <s v="Custom solution"/>
    <x v="4"/>
    <x v="4"/>
    <s v="Initial contact"/>
    <n v="2"/>
    <n v="723"/>
    <n v="30"/>
    <d v="2025-01-28T00:00:00"/>
    <m/>
  </r>
  <r>
    <x v="1133"/>
    <s v="Belgium"/>
    <s v="51.260197"/>
    <s v="4.402771"/>
    <s v="Energy &amp; Utilities"/>
    <s v="Micro (1-10)"/>
    <s v="Emily Johnson"/>
    <d v="2024-05-26T00:00:00"/>
    <s v="SAAS"/>
    <x v="4"/>
    <x v="4"/>
    <s v="Initial contact"/>
    <n v="2"/>
    <n v="897"/>
    <n v="20"/>
    <d v="2024-09-16T00:00:00"/>
    <m/>
  </r>
  <r>
    <x v="1134"/>
    <s v="Switzerland"/>
    <s v="46.204391"/>
    <s v="6.143158"/>
    <s v="Agriculture &amp; Mining"/>
    <s v="Micro (1-10)"/>
    <s v="Emily Johnson"/>
    <d v="2024-05-10T00:00:00"/>
    <s v="Services"/>
    <x v="4"/>
    <x v="4"/>
    <s v="Initial contact"/>
    <n v="2"/>
    <n v="669"/>
    <n v="20"/>
    <d v="2025-03-14T00:00:00"/>
    <m/>
  </r>
  <r>
    <x v="1135"/>
    <s v="France"/>
    <s v="48.864716"/>
    <s v="2.349014"/>
    <s v="Transportation &amp; Logistics"/>
    <s v="Micro (1-10)"/>
    <s v="Jessica Martinez"/>
    <d v="2024-02-26T00:00:00"/>
    <s v="SAAS"/>
    <x v="4"/>
    <x v="4"/>
    <s v="Initial contact"/>
    <n v="2"/>
    <n v="759"/>
    <n v="30"/>
    <d v="2024-12-27T00:00:00"/>
    <m/>
  </r>
  <r>
    <x v="1136"/>
    <s v="Portugal"/>
    <s v="38.736946"/>
    <s v="-9.142685"/>
    <s v="Transportation &amp; Logistics"/>
    <s v="Micro (1-10)"/>
    <s v="Laura Thompson"/>
    <d v="2024-04-28T00:00:00"/>
    <s v="SAAS"/>
    <x v="4"/>
    <x v="4"/>
    <s v="Initial contact"/>
    <n v="2"/>
    <n v="767"/>
    <n v="50"/>
    <d v="2024-08-28T00:00:00"/>
    <m/>
  </r>
  <r>
    <x v="1137"/>
    <s v="Switzerland"/>
    <s v="46.204391"/>
    <s v="6.143158"/>
    <s v="Banking and Finance"/>
    <s v="Micro (1-10)"/>
    <s v="John Smith"/>
    <d v="2024-02-06T00:00:00"/>
    <s v="SAAS"/>
    <x v="4"/>
    <x v="4"/>
    <s v="Initial contact"/>
    <n v="2"/>
    <n v="697"/>
    <n v="90"/>
    <d v="2024-07-05T00:00:00"/>
    <m/>
  </r>
  <r>
    <x v="1138"/>
    <s v="Italy"/>
    <s v="41.902782"/>
    <s v="12.496366"/>
    <s v="Telecommunications"/>
    <s v="Micro (1-10)"/>
    <s v="Kevin Anderson"/>
    <d v="2024-02-12T00:00:00"/>
    <s v="SAAS"/>
    <x v="4"/>
    <x v="4"/>
    <s v="Initial contact"/>
    <n v="2"/>
    <n v="208"/>
    <n v="40"/>
    <d v="2024-11-22T00:00:00"/>
    <m/>
  </r>
  <r>
    <x v="1139"/>
    <s v="Germany"/>
    <s v="52.520008"/>
    <s v="13.404954"/>
    <s v="Entertainment &amp; Media &amp; Hospitality"/>
    <s v="Micro (1-10)"/>
    <s v="Sarah Davis"/>
    <d v="2024-03-11T00:00:00"/>
    <s v="SAAS"/>
    <x v="4"/>
    <x v="4"/>
    <s v="Initial contact"/>
    <n v="2"/>
    <n v="1193"/>
    <n v="40"/>
    <d v="2024-07-30T00:00:00"/>
    <m/>
  </r>
  <r>
    <x v="1140"/>
    <s v="France"/>
    <s v="48.864716"/>
    <s v="2.349014"/>
    <s v="Professional Services  &amp; Consulting"/>
    <s v="Micro (1-10)"/>
    <s v="Laura Thompson"/>
    <d v="2024-01-02T00:00:00"/>
    <s v="SAAS"/>
    <x v="4"/>
    <x v="4"/>
    <s v="Initial contact"/>
    <n v="2"/>
    <n v="488"/>
    <n v="40"/>
    <d v="2024-12-23T00:00:00"/>
    <m/>
  </r>
  <r>
    <x v="1141"/>
    <s v="France"/>
    <s v="48.864716"/>
    <s v="2.349014"/>
    <s v="Government Administration Healthcare"/>
    <s v="Micro (1-10)"/>
    <s v="David Wilson"/>
    <d v="2024-04-05T00:00:00"/>
    <s v="SAAS"/>
    <x v="4"/>
    <x v="4"/>
    <s v="Initial contact"/>
    <n v="2"/>
    <n v="216"/>
    <n v="30"/>
    <d v="2024-09-28T00:00:00"/>
    <m/>
  </r>
  <r>
    <x v="1142"/>
    <s v="Germany"/>
    <s v="52.520008"/>
    <s v="13.404954"/>
    <s v="IT &amp; IT Services"/>
    <s v="Micro (1-10)"/>
    <s v="Kevin Anderson"/>
    <d v="2024-03-29T00:00:00"/>
    <s v="Services"/>
    <x v="4"/>
    <x v="4"/>
    <s v="Initial contact"/>
    <n v="2"/>
    <n v="619"/>
    <n v="20"/>
    <d v="2025-03-14T00:00:00"/>
    <m/>
  </r>
  <r>
    <x v="1143"/>
    <s v="Italy"/>
    <s v="41.902782"/>
    <s v="12.496366"/>
    <s v="Recreation &amp; Sports"/>
    <s v="Micro (1-10)"/>
    <s v="Jessica Martinez"/>
    <d v="2024-02-08T00:00:00"/>
    <s v="SAAS"/>
    <x v="4"/>
    <x v="4"/>
    <s v="Initial contact"/>
    <n v="2"/>
    <n v="945"/>
    <n v="20"/>
    <d v="2024-10-03T00:00:00"/>
    <m/>
  </r>
  <r>
    <x v="1144"/>
    <s v="Switzerland"/>
    <s v="46.204391"/>
    <s v="6.143158"/>
    <s v="Government Administration Healthcare"/>
    <s v="Micro (1-10)"/>
    <s v="Jessica Martinez"/>
    <d v="2024-04-30T00:00:00"/>
    <s v="Services"/>
    <x v="4"/>
    <x v="4"/>
    <s v="Initial contact"/>
    <n v="2"/>
    <n v="461"/>
    <n v="40"/>
    <d v="2024-11-20T00:00:00"/>
    <m/>
  </r>
  <r>
    <x v="1145"/>
    <s v="Portugal"/>
    <s v="38.736946"/>
    <s v="-9.142685"/>
    <s v="Banking and Finance"/>
    <s v="Micro (1-10)"/>
    <s v="Kevin Anderson"/>
    <d v="2024-05-17T00:00:00"/>
    <s v="SAAS"/>
    <x v="4"/>
    <x v="4"/>
    <s v="Initial contact"/>
    <n v="2"/>
    <n v="552"/>
    <n v="40"/>
    <d v="2024-09-08T00:00:00"/>
    <m/>
  </r>
  <r>
    <x v="1146"/>
    <s v="France"/>
    <s v="48.864716"/>
    <s v="2.349014"/>
    <s v="Transportation &amp; Logistics"/>
    <s v="Micro (1-10)"/>
    <s v="Emily Johnson"/>
    <d v="2024-03-02T00:00:00"/>
    <s v="SAAS"/>
    <x v="4"/>
    <x v="4"/>
    <s v="Initial contact"/>
    <n v="2"/>
    <n v="893"/>
    <n v="100"/>
    <d v="2024-05-13T00:00:00"/>
    <m/>
  </r>
  <r>
    <x v="1147"/>
    <s v="Switzerland"/>
    <s v="46.204391"/>
    <s v="6.143158"/>
    <s v="Professional Services  &amp; Consulting"/>
    <s v="Micro (1-10)"/>
    <s v="Michael Brown"/>
    <d v="2024-01-27T00:00:00"/>
    <s v="SAAS"/>
    <x v="4"/>
    <x v="4"/>
    <s v="Initial contact"/>
    <n v="2"/>
    <n v="233"/>
    <n v="90"/>
    <d v="2024-07-04T00:00:00"/>
    <m/>
  </r>
  <r>
    <x v="1148"/>
    <s v="Portugal"/>
    <s v="38.736946"/>
    <s v="-9.142685"/>
    <s v="Government Administration Healthcare"/>
    <s v="Micro (1-10)"/>
    <s v="Laura Thompson"/>
    <d v="2024-04-05T00:00:00"/>
    <s v="Services"/>
    <x v="4"/>
    <x v="4"/>
    <s v="Initial contact"/>
    <n v="2"/>
    <n v="213"/>
    <n v="30"/>
    <d v="2025-03-23T00:00:00"/>
    <m/>
  </r>
  <r>
    <x v="1149"/>
    <s v="Netherlands"/>
    <s v="52.370216"/>
    <s v="4.895168"/>
    <s v="Retail &amp; Distribution"/>
    <s v="Micro (1-10)"/>
    <s v="Sarah Davis"/>
    <d v="2024-05-16T00:00:00"/>
    <s v="SAAS"/>
    <x v="4"/>
    <x v="4"/>
    <s v="Initial contact"/>
    <n v="2"/>
    <n v="364"/>
    <n v="40"/>
    <d v="2024-09-19T00:00:00"/>
    <m/>
  </r>
  <r>
    <x v="1150"/>
    <s v="France"/>
    <s v="48.864716"/>
    <s v="2.349014"/>
    <s v="Telecommunications"/>
    <s v="Micro (1-10)"/>
    <s v="Sarah Davis"/>
    <d v="2024-01-21T00:00:00"/>
    <s v="SAAS"/>
    <x v="4"/>
    <x v="4"/>
    <s v="Initial contact"/>
    <n v="2"/>
    <n v="946"/>
    <n v="70"/>
    <d v="2024-06-11T00:00:00"/>
    <m/>
  </r>
  <r>
    <x v="1151"/>
    <s v="Belgium"/>
    <s v="51.260197"/>
    <s v="4.402771"/>
    <s v="Telecommunications"/>
    <s v="Micro (1-10)"/>
    <s v="David Wilson"/>
    <d v="2024-02-25T00:00:00"/>
    <s v="SAAS"/>
    <x v="4"/>
    <x v="4"/>
    <s v="Initial contact"/>
    <n v="2"/>
    <n v="618"/>
    <n v="30"/>
    <d v="2025-02-20T00:00:00"/>
    <m/>
  </r>
  <r>
    <x v="1152"/>
    <s v="France"/>
    <s v="48.864716"/>
    <s v="2.349014"/>
    <s v="Transportation &amp; Logistics"/>
    <s v="Micro (1-10)"/>
    <s v="Laura Thompson"/>
    <d v="2024-01-09T00:00:00"/>
    <s v="Services"/>
    <x v="4"/>
    <x v="4"/>
    <s v="Initial contact"/>
    <n v="2"/>
    <n v="825"/>
    <n v="30"/>
    <d v="2024-07-15T00:00:00"/>
    <m/>
  </r>
  <r>
    <x v="1153"/>
    <s v="Switzerland"/>
    <s v="46.204391"/>
    <s v="6.143158"/>
    <s v="Telecommunications"/>
    <s v="Micro (1-10)"/>
    <s v="Sarah Davis"/>
    <d v="2024-05-07T00:00:00"/>
    <s v="Services"/>
    <x v="4"/>
    <x v="4"/>
    <s v="Initial contact"/>
    <n v="2"/>
    <n v="1188"/>
    <n v="40"/>
    <d v="2024-12-13T00:00:00"/>
    <m/>
  </r>
  <r>
    <x v="1154"/>
    <s v="France"/>
    <s v="48.864716"/>
    <s v="2.349014"/>
    <s v="IT &amp; IT Services"/>
    <s v="Micro (1-10)"/>
    <s v="David Wilson"/>
    <d v="2024-04-24T00:00:00"/>
    <s v="Services"/>
    <x v="4"/>
    <x v="4"/>
    <s v="Initial contact"/>
    <n v="2"/>
    <n v="1084"/>
    <n v="40"/>
    <d v="2024-10-24T00:00:00"/>
    <m/>
  </r>
  <r>
    <x v="1155"/>
    <s v="Spain"/>
    <s v="40.416775"/>
    <s v="-3.703790"/>
    <s v="Transportation &amp; Logistics"/>
    <s v="Micro (1-10)"/>
    <s v="Laura Thompson"/>
    <d v="2024-03-24T00:00:00"/>
    <s v="Custom solution"/>
    <x v="4"/>
    <x v="4"/>
    <s v="Initial contact"/>
    <n v="2"/>
    <n v="900"/>
    <n v="20"/>
    <d v="2024-08-27T00:00:00"/>
    <m/>
  </r>
  <r>
    <x v="1156"/>
    <s v="Germany"/>
    <s v="52.520008"/>
    <s v="13.404954"/>
    <s v="Construction &amp; Engineering"/>
    <s v="Micro (1-10)"/>
    <s v="Sarah Davis"/>
    <d v="2024-03-15T00:00:00"/>
    <s v="SAAS"/>
    <x v="4"/>
    <x v="4"/>
    <s v="Initial contact"/>
    <n v="2"/>
    <n v="744"/>
    <n v="40"/>
    <d v="2024-08-14T00:00:00"/>
    <m/>
  </r>
  <r>
    <x v="1157"/>
    <s v="France"/>
    <s v="48.864716"/>
    <s v="2.349014"/>
    <s v="Agriculture &amp; Mining"/>
    <s v="Micro (1-10)"/>
    <s v="Kevin Anderson"/>
    <d v="2024-03-24T00:00:00"/>
    <s v="SAAS"/>
    <x v="4"/>
    <x v="4"/>
    <s v="Initial contact"/>
    <n v="2"/>
    <n v="1139"/>
    <n v="20"/>
    <d v="2024-06-01T00:00:00"/>
    <m/>
  </r>
  <r>
    <x v="1158"/>
    <s v="Italy"/>
    <s v="41.902782"/>
    <s v="12.496366"/>
    <s v="Energy &amp; Utilities"/>
    <s v="Micro (1-10)"/>
    <s v="David Wilson"/>
    <d v="2024-05-13T00:00:00"/>
    <s v="SAAS"/>
    <x v="4"/>
    <x v="4"/>
    <s v="Initial contact"/>
    <n v="2"/>
    <n v="917"/>
    <n v="30"/>
    <d v="2024-07-09T00:00:00"/>
    <m/>
  </r>
  <r>
    <x v="1159"/>
    <s v="Austria"/>
    <s v="48.210033"/>
    <s v="16.363449"/>
    <s v="Agriculture &amp; Mining"/>
    <s v="Micro (1-10)"/>
    <s v="Laura Thompson"/>
    <d v="2024-05-05T00:00:00"/>
    <s v="Custom solution"/>
    <x v="4"/>
    <x v="4"/>
    <s v="Initial contact"/>
    <n v="2"/>
    <n v="981"/>
    <n v="20"/>
    <d v="2024-07-08T00:00:00"/>
    <m/>
  </r>
  <r>
    <x v="1160"/>
    <s v="Portugal"/>
    <s v="38.736946"/>
    <s v="-9.142685"/>
    <s v="Telecommunications"/>
    <s v="Micro (1-10)"/>
    <s v="Michael Brown"/>
    <d v="2024-05-25T00:00:00"/>
    <s v="Services"/>
    <x v="4"/>
    <x v="4"/>
    <s v="Initial contact"/>
    <n v="2"/>
    <n v="363"/>
    <n v="60"/>
    <d v="2024-10-13T00:00:00"/>
    <m/>
  </r>
  <r>
    <x v="1161"/>
    <s v="Austria"/>
    <s v="48.210033"/>
    <s v="16.363449"/>
    <s v="Telecommunications"/>
    <s v="Micro (1-10)"/>
    <s v="Emily Johnson"/>
    <d v="2024-01-18T00:00:00"/>
    <s v="SAAS"/>
    <x v="4"/>
    <x v="4"/>
    <s v="Initial contact"/>
    <n v="2"/>
    <n v="579"/>
    <n v="70"/>
    <d v="2024-03-15T00:00:00"/>
    <m/>
  </r>
  <r>
    <x v="1162"/>
    <s v="Switzerland"/>
    <s v="46.204391"/>
    <s v="6.143158"/>
    <s v="Transportation &amp; Logistics"/>
    <s v="Micro (1-10)"/>
    <s v="Michael Brown"/>
    <d v="2024-04-01T00:00:00"/>
    <s v="SAAS"/>
    <x v="4"/>
    <x v="4"/>
    <s v="Initial contact"/>
    <n v="2"/>
    <n v="995"/>
    <n v="60"/>
    <d v="2024-09-18T00:00:00"/>
    <m/>
  </r>
  <r>
    <x v="1163"/>
    <s v="Italy"/>
    <s v="41.902782"/>
    <s v="12.496366"/>
    <s v="Banking and Finance"/>
    <s v="Micro (1-10)"/>
    <s v="Laura Thompson"/>
    <d v="2024-02-12T00:00:00"/>
    <s v="SAAS"/>
    <x v="4"/>
    <x v="4"/>
    <s v="Initial contact"/>
    <n v="2"/>
    <n v="1078"/>
    <n v="50"/>
    <d v="2024-11-03T00:00:00"/>
    <m/>
  </r>
  <r>
    <x v="1164"/>
    <s v="Germany"/>
    <s v="52.520008"/>
    <s v="13.404954"/>
    <s v="Transportation &amp; Logistics"/>
    <s v="Micro (1-10)"/>
    <s v="David Wilson"/>
    <d v="2024-03-31T00:00:00"/>
    <s v="Custom solution"/>
    <x v="4"/>
    <x v="4"/>
    <s v="Initial contact"/>
    <n v="2"/>
    <n v="786"/>
    <n v="30"/>
    <d v="2024-09-04T00:00:00"/>
    <m/>
  </r>
  <r>
    <x v="1165"/>
    <s v="Switzerland"/>
    <s v="46.204391"/>
    <s v="6.143158"/>
    <s v="Entertainment &amp; Media &amp; Hospitality"/>
    <s v="Micro (1-10)"/>
    <s v="Laura Thompson"/>
    <d v="2024-03-09T00:00:00"/>
    <s v="Services"/>
    <x v="4"/>
    <x v="4"/>
    <s v="Initial contact"/>
    <n v="2"/>
    <n v="827"/>
    <n v="100"/>
    <d v="2025-02-12T00:00:00"/>
    <m/>
  </r>
  <r>
    <x v="1166"/>
    <s v="France"/>
    <s v="48.864716"/>
    <s v="2.349014"/>
    <s v="Banking and Finance"/>
    <s v="Micro (1-10)"/>
    <s v="Laura Thompson"/>
    <d v="2024-01-12T00:00:00"/>
    <s v="Services"/>
    <x v="4"/>
    <x v="4"/>
    <s v="Initial contact"/>
    <n v="2"/>
    <n v="741"/>
    <n v="20"/>
    <d v="2024-09-12T00:00:00"/>
    <m/>
  </r>
  <r>
    <x v="1167"/>
    <s v="Switzerland"/>
    <s v="46.204391"/>
    <s v="6.143158"/>
    <s v="Government Administration Healthcare"/>
    <s v="Micro (1-10)"/>
    <s v="John Smith"/>
    <d v="2024-04-21T00:00:00"/>
    <s v="Services"/>
    <x v="4"/>
    <x v="4"/>
    <s v="Initial contact"/>
    <n v="2"/>
    <n v="614"/>
    <n v="20"/>
    <d v="2025-01-19T00:00:00"/>
    <m/>
  </r>
  <r>
    <x v="1168"/>
    <s v="Italy"/>
    <s v="41.902782"/>
    <s v="12.496366"/>
    <s v="Manufacturing &amp; Production"/>
    <s v="Micro (1-10)"/>
    <s v="Kevin Anderson"/>
    <d v="2024-04-12T00:00:00"/>
    <s v="SAAS"/>
    <x v="4"/>
    <x v="4"/>
    <s v="Initial contact"/>
    <n v="2"/>
    <n v="907"/>
    <n v="40"/>
    <d v="2025-01-30T00:00:00"/>
    <m/>
  </r>
  <r>
    <x v="1169"/>
    <s v="Switzerland"/>
    <s v="46.204391"/>
    <s v="6.143158"/>
    <s v="Transportation &amp; Logistics"/>
    <s v="Micro (1-10)"/>
    <s v="Sarah Davis"/>
    <d v="2024-03-23T00:00:00"/>
    <s v="SAAS"/>
    <x v="4"/>
    <x v="4"/>
    <s v="Initial contact"/>
    <n v="2"/>
    <n v="646"/>
    <n v="60"/>
    <d v="2024-04-28T00:00:00"/>
    <m/>
  </r>
  <r>
    <x v="1170"/>
    <s v="Netherlands"/>
    <s v="52.370216"/>
    <s v="4.895168"/>
    <s v="Construction &amp; Engineering"/>
    <s v="Micro (1-10)"/>
    <s v="Laura Thompson"/>
    <d v="2024-05-28T00:00:00"/>
    <s v="Services"/>
    <x v="4"/>
    <x v="4"/>
    <s v="Initial contact"/>
    <n v="2"/>
    <n v="355"/>
    <n v="20"/>
    <d v="2025-03-16T00:00:00"/>
    <m/>
  </r>
  <r>
    <x v="1171"/>
    <s v="France"/>
    <s v="48.864716"/>
    <s v="2.349014"/>
    <s v="Professional Services  &amp; Consulting"/>
    <s v="Micro (1-10)"/>
    <s v="Kevin Anderson"/>
    <d v="2024-03-18T00:00:00"/>
    <s v="SAAS"/>
    <x v="4"/>
    <x v="4"/>
    <s v="Initial contact"/>
    <n v="2"/>
    <n v="1112"/>
    <n v="40"/>
    <d v="2024-11-26T00:00:00"/>
    <m/>
  </r>
  <r>
    <x v="1172"/>
    <s v="Switzerland"/>
    <s v="46.204391"/>
    <s v="6.143158"/>
    <s v="Telecommunications"/>
    <s v="Micro (1-10)"/>
    <s v="John Smith"/>
    <d v="2024-05-02T00:00:00"/>
    <s v="Services"/>
    <x v="4"/>
    <x v="4"/>
    <s v="Initial contact"/>
    <n v="2"/>
    <n v="206"/>
    <n v="10"/>
    <d v="2025-03-26T00:00:00"/>
    <m/>
  </r>
  <r>
    <x v="1173"/>
    <s v="Belgium"/>
    <s v="51.260197"/>
    <s v="4.402771"/>
    <s v="Transportation &amp; Logistics"/>
    <s v="Micro (1-10)"/>
    <s v="Laura Thompson"/>
    <d v="2024-03-23T00:00:00"/>
    <s v="Services"/>
    <x v="4"/>
    <x v="4"/>
    <s v="Initial contact"/>
    <n v="2"/>
    <n v="683"/>
    <n v="40"/>
    <d v="2024-10-24T00:00:00"/>
    <m/>
  </r>
  <r>
    <x v="1174"/>
    <s v="Spain"/>
    <s v="40.416775"/>
    <s v="-3.703790"/>
    <s v="Banking and Finance"/>
    <s v="Micro (1-10)"/>
    <s v="Sarah Davis"/>
    <d v="2024-02-04T00:00:00"/>
    <s v="SAAS"/>
    <x v="4"/>
    <x v="4"/>
    <s v="Initial contact"/>
    <n v="2"/>
    <n v="279"/>
    <n v="50"/>
    <d v="2025-01-04T00:00:00"/>
    <m/>
  </r>
  <r>
    <x v="1175"/>
    <s v="Italy"/>
    <s v="41.902782"/>
    <s v="12.496366"/>
    <s v="IT &amp; IT Services"/>
    <s v="Micro (1-10)"/>
    <s v="Laura Thompson"/>
    <d v="2024-05-19T00:00:00"/>
    <s v="SAAS"/>
    <x v="4"/>
    <x v="4"/>
    <s v="Initial contact"/>
    <n v="2"/>
    <n v="764"/>
    <n v="50"/>
    <d v="2024-09-27T00:00:00"/>
    <m/>
  </r>
  <r>
    <x v="1176"/>
    <s v="Italy"/>
    <s v="41.902782"/>
    <s v="12.496366"/>
    <s v="Manufacturing &amp; Production"/>
    <s v="Micro (1-10)"/>
    <s v="Sarah Davis"/>
    <d v="2024-01-26T00:00:00"/>
    <s v="SAAS"/>
    <x v="4"/>
    <x v="4"/>
    <s v="Initial contact"/>
    <n v="2"/>
    <n v="341"/>
    <n v="20"/>
    <d v="2024-06-04T00:00:00"/>
    <m/>
  </r>
  <r>
    <x v="1177"/>
    <s v="Spain"/>
    <s v="40.416775"/>
    <s v="-3.703790"/>
    <s v="Construction &amp; Engineering"/>
    <s v="Micro (1-10)"/>
    <s v="Jessica Martinez"/>
    <d v="2024-01-17T00:00:00"/>
    <s v="SAAS"/>
    <x v="4"/>
    <x v="4"/>
    <s v="Initial contact"/>
    <n v="2"/>
    <n v="976"/>
    <n v="30"/>
    <d v="2024-04-12T00:00:00"/>
    <m/>
  </r>
  <r>
    <x v="1178"/>
    <s v="Switzerland"/>
    <s v="46.204391"/>
    <s v="6.143158"/>
    <s v="Retail &amp; Distribution"/>
    <s v="Micro (1-10)"/>
    <s v="Michael Brown"/>
    <d v="2024-01-10T00:00:00"/>
    <s v="Services"/>
    <x v="4"/>
    <x v="4"/>
    <s v="Initial contact"/>
    <n v="2"/>
    <n v="489"/>
    <n v="60"/>
    <d v="2024-08-01T00:00:00"/>
    <m/>
  </r>
  <r>
    <x v="1179"/>
    <s v="Portugal"/>
    <s v="38.736946"/>
    <s v="-9.142685"/>
    <s v="Agriculture &amp; Mining"/>
    <s v="Micro (1-10)"/>
    <s v="Michael Brown"/>
    <d v="2024-05-27T00:00:00"/>
    <s v="Services"/>
    <x v="4"/>
    <x v="4"/>
    <s v="Initial contact"/>
    <n v="2"/>
    <n v="366"/>
    <n v="10"/>
    <d v="2025-05-26T00:00:00"/>
    <m/>
  </r>
  <r>
    <x v="1180"/>
    <s v="Italy"/>
    <s v="41.902782"/>
    <s v="12.496366"/>
    <s v="Transportation &amp; Logistics"/>
    <s v="Micro (1-10)"/>
    <s v="Michael Brown"/>
    <d v="2024-04-19T00:00:00"/>
    <s v="SAAS"/>
    <x v="4"/>
    <x v="4"/>
    <s v="Initial contact"/>
    <n v="2"/>
    <n v="274"/>
    <n v="20"/>
    <d v="2024-08-19T00:00:00"/>
    <m/>
  </r>
  <r>
    <x v="1181"/>
    <s v="Germany"/>
    <s v="52.520008"/>
    <s v="13.404954"/>
    <s v="IT &amp; IT Services"/>
    <s v="Micro (1-10)"/>
    <s v="David Wilson"/>
    <d v="2024-03-18T00:00:00"/>
    <s v="Services"/>
    <x v="4"/>
    <x v="4"/>
    <s v="Initial contact"/>
    <n v="2"/>
    <n v="544"/>
    <n v="20"/>
    <d v="2024-06-05T00:00:00"/>
    <m/>
  </r>
  <r>
    <x v="1182"/>
    <s v="Austria"/>
    <s v="48.210033"/>
    <s v="16.363449"/>
    <s v="Banking and Finance"/>
    <s v="Micro (1-10)"/>
    <s v="Laura Thompson"/>
    <d v="2024-02-27T00:00:00"/>
    <s v="SAAS"/>
    <x v="4"/>
    <x v="4"/>
    <s v="Initial contact"/>
    <n v="2"/>
    <n v="1172"/>
    <n v="40"/>
    <d v="2024-11-01T00:00:00"/>
    <m/>
  </r>
  <r>
    <x v="1183"/>
    <s v="Germany"/>
    <s v="52.520008"/>
    <s v="13.404954"/>
    <s v="Transportation &amp; Logistics"/>
    <s v="Micro (1-10)"/>
    <s v="Sarah Davis"/>
    <d v="2024-01-09T00:00:00"/>
    <s v="Services"/>
    <x v="4"/>
    <x v="4"/>
    <s v="Initial contact"/>
    <n v="2"/>
    <n v="675"/>
    <n v="60"/>
    <d v="2024-04-20T00:00:00"/>
    <m/>
  </r>
  <r>
    <x v="1184"/>
    <s v="Netherlands"/>
    <s v="52.370216"/>
    <s v="4.895168"/>
    <s v="Construction &amp; Engineering"/>
    <s v="Micro (1-10)"/>
    <s v="David Wilson"/>
    <d v="2024-01-27T00:00:00"/>
    <s v="SAAS"/>
    <x v="4"/>
    <x v="4"/>
    <s v="Initial contact"/>
    <n v="2"/>
    <n v="795"/>
    <n v="50"/>
    <d v="2024-02-16T00:00:00"/>
    <m/>
  </r>
  <r>
    <x v="1185"/>
    <s v="Germany"/>
    <s v="52.520008"/>
    <s v="13.404954"/>
    <s v="Professional Services  &amp; Consulting"/>
    <s v="Micro (1-10)"/>
    <s v="Laura Thompson"/>
    <d v="2024-02-23T00:00:00"/>
    <s v="Custom solution"/>
    <x v="4"/>
    <x v="4"/>
    <s v="Initial contact"/>
    <n v="2"/>
    <n v="510"/>
    <n v="50"/>
    <d v="2024-03-25T00:00:00"/>
    <m/>
  </r>
  <r>
    <x v="1186"/>
    <s v="Switzerland"/>
    <s v="46.204391"/>
    <s v="6.143158"/>
    <s v="Transportation &amp; Logistics"/>
    <s v="Micro (1-10)"/>
    <s v="Kevin Anderson"/>
    <d v="2024-03-22T00:00:00"/>
    <s v="Services"/>
    <x v="4"/>
    <x v="4"/>
    <s v="Initial contact"/>
    <n v="2"/>
    <n v="314"/>
    <n v="10"/>
    <d v="2024-08-24T00:00:00"/>
    <m/>
  </r>
  <r>
    <x v="1187"/>
    <s v="France"/>
    <s v="48.864716"/>
    <s v="2.349014"/>
    <s v="Banking and Finance"/>
    <s v="Micro (1-10)"/>
    <s v="Michael Brown"/>
    <d v="2024-01-06T00:00:00"/>
    <s v="SAAS"/>
    <x v="4"/>
    <x v="4"/>
    <s v="Initial contact"/>
    <n v="2"/>
    <n v="1109"/>
    <n v="30"/>
    <d v="2024-07-19T00:00:00"/>
    <m/>
  </r>
  <r>
    <x v="1188"/>
    <s v="Netherlands"/>
    <s v="52.370216"/>
    <s v="4.895168"/>
    <s v="Banking and Finance"/>
    <s v="Micro (1-10)"/>
    <s v="Jessica Martinez"/>
    <d v="2024-04-19T00:00:00"/>
    <s v="Custom solution"/>
    <x v="4"/>
    <x v="4"/>
    <s v="Initial contact"/>
    <n v="2"/>
    <n v="986"/>
    <n v="90"/>
    <d v="2025-01-19T00:00:00"/>
    <m/>
  </r>
  <r>
    <x v="1189"/>
    <s v="Switzerland"/>
    <s v="46.204391"/>
    <s v="6.143158"/>
    <s v="Government Administration Healthcare"/>
    <s v="Micro (1-10)"/>
    <s v="Sarah Davis"/>
    <d v="2024-05-06T00:00:00"/>
    <s v="Services"/>
    <x v="4"/>
    <x v="4"/>
    <s v="Initial contact"/>
    <n v="2"/>
    <n v="213"/>
    <n v="60"/>
    <d v="2024-09-05T00:00:00"/>
    <m/>
  </r>
  <r>
    <x v="1190"/>
    <s v="Netherlands"/>
    <s v="52.370216"/>
    <s v="4.895168"/>
    <s v="Professional Services  &amp; Consulting"/>
    <s v="Micro (1-10)"/>
    <s v="Jessica Martinez"/>
    <d v="2024-04-22T00:00:00"/>
    <s v="Custom solution"/>
    <x v="4"/>
    <x v="4"/>
    <s v="Initial contact"/>
    <n v="2"/>
    <n v="401"/>
    <n v="40"/>
    <d v="2025-03-14T00:00:00"/>
    <m/>
  </r>
  <r>
    <x v="1191"/>
    <s v="France"/>
    <s v="48.864716"/>
    <s v="2.349014"/>
    <s v="Government Administration Healthcare"/>
    <s v="Micro (1-10)"/>
    <s v="Michael Brown"/>
    <d v="2024-03-23T00:00:00"/>
    <s v="SAAS"/>
    <x v="4"/>
    <x v="4"/>
    <s v="Initial contact"/>
    <n v="2"/>
    <n v="994"/>
    <n v="100"/>
    <d v="2024-10-18T00:00:00"/>
    <m/>
  </r>
  <r>
    <x v="1192"/>
    <s v="Portugal"/>
    <s v="38.736946"/>
    <s v="-9.142685"/>
    <s v="Telecommunications"/>
    <s v="Micro (1-10)"/>
    <s v="Sarah Davis"/>
    <d v="2024-03-01T00:00:00"/>
    <s v="SAAS"/>
    <x v="4"/>
    <x v="4"/>
    <s v="Initial contact"/>
    <n v="2"/>
    <n v="909"/>
    <n v="20"/>
    <d v="2024-10-21T00:00:00"/>
    <m/>
  </r>
  <r>
    <x v="1193"/>
    <s v="Netherlands"/>
    <s v="52.370216"/>
    <s v="4.895168"/>
    <s v="Agriculture &amp; Mining"/>
    <s v="Medium (201-500)"/>
    <s v="Sarah Davis"/>
    <d v="2024-04-30T00:00:00"/>
    <s v="SAAS"/>
    <x v="4"/>
    <x v="4"/>
    <s v="Initial contact"/>
    <n v="2"/>
    <n v="4836"/>
    <n v="30"/>
    <d v="2024-09-25T00:00:00"/>
    <m/>
  </r>
  <r>
    <x v="1194"/>
    <s v="Italy"/>
    <s v="41.902782"/>
    <s v="12.496366"/>
    <s v="Recreation &amp; Sports"/>
    <s v="Medium (201-500)"/>
    <s v="Laura Thompson"/>
    <d v="2024-05-19T00:00:00"/>
    <s v="SAAS"/>
    <x v="4"/>
    <x v="4"/>
    <s v="Initial contact"/>
    <n v="2"/>
    <n v="358"/>
    <n v="20"/>
    <d v="2025-02-19T00:00:00"/>
    <m/>
  </r>
  <r>
    <x v="1195"/>
    <s v="Italy"/>
    <s v="41.902782"/>
    <s v="12.496366"/>
    <s v="IT &amp; IT Services"/>
    <s v="Medium (201-500)"/>
    <s v="Sarah Davis"/>
    <d v="2024-03-09T00:00:00"/>
    <s v="SAAS"/>
    <x v="4"/>
    <x v="4"/>
    <s v="Initial contact"/>
    <n v="2"/>
    <n v="7664"/>
    <n v="30"/>
    <d v="2024-08-27T00:00:00"/>
    <m/>
  </r>
  <r>
    <x v="1196"/>
    <s v="Austria"/>
    <s v="48.210033"/>
    <s v="16.363449"/>
    <s v="Banking and Finance"/>
    <s v="Medium (201-500)"/>
    <s v="Laura Thompson"/>
    <d v="2024-05-22T00:00:00"/>
    <s v="Services"/>
    <x v="4"/>
    <x v="4"/>
    <s v="Initial contact"/>
    <n v="2"/>
    <n v="7607"/>
    <n v="80"/>
    <d v="2025-01-03T00:00:00"/>
    <m/>
  </r>
  <r>
    <x v="1197"/>
    <s v="Italy"/>
    <s v="41.902782"/>
    <s v="12.496366"/>
    <s v="IT &amp; IT Services"/>
    <s v="Medium (201-500)"/>
    <s v="Laura Thompson"/>
    <d v="2024-04-19T00:00:00"/>
    <s v="Custom solution"/>
    <x v="4"/>
    <x v="4"/>
    <s v="Initial contact"/>
    <n v="2"/>
    <n v="7542"/>
    <n v="90"/>
    <d v="2025-04-08T00:00:00"/>
    <m/>
  </r>
  <r>
    <x v="1198"/>
    <s v="Germany"/>
    <s v="52.520008"/>
    <s v="13.404954"/>
    <s v="Government Administration Healthcare"/>
    <s v="Medium (201-500)"/>
    <s v="Kevin Anderson"/>
    <d v="2024-01-18T00:00:00"/>
    <s v="Services"/>
    <x v="4"/>
    <x v="4"/>
    <s v="Initial contact"/>
    <n v="2"/>
    <n v="6196"/>
    <n v="40"/>
    <d v="2024-09-07T00:00:00"/>
    <m/>
  </r>
  <r>
    <x v="1199"/>
    <s v="Italy"/>
    <s v="41.902782"/>
    <s v="12.496366"/>
    <s v="Agriculture &amp; Mining"/>
    <s v="Medium (201-500)"/>
    <s v="Jessica Martinez"/>
    <d v="2024-05-29T00:00:00"/>
    <s v="SAAS"/>
    <x v="4"/>
    <x v="4"/>
    <s v="Initial contact"/>
    <n v="2"/>
    <n v="4051"/>
    <n v="30"/>
    <d v="2024-07-16T00:00:00"/>
    <m/>
  </r>
  <r>
    <x v="1200"/>
    <s v="Switzerland"/>
    <s v="46.204391"/>
    <s v="6.143158"/>
    <s v="Telecommunications"/>
    <s v="Medium (201-500)"/>
    <s v="Laura Thompson"/>
    <d v="2024-04-06T00:00:00"/>
    <s v="Services"/>
    <x v="4"/>
    <x v="4"/>
    <s v="Initial contact"/>
    <n v="2"/>
    <n v="7588"/>
    <n v="40"/>
    <d v="2025-01-23T00:00:00"/>
    <m/>
  </r>
  <r>
    <x v="1201"/>
    <s v="Italy"/>
    <s v="41.902782"/>
    <s v="12.496366"/>
    <s v="Telecommunications"/>
    <s v="Medium (201-500)"/>
    <s v="Sarah Davis"/>
    <d v="2024-05-01T00:00:00"/>
    <s v="SAAS"/>
    <x v="4"/>
    <x v="4"/>
    <s v="Initial contact"/>
    <n v="2"/>
    <n v="409"/>
    <n v="20"/>
    <d v="2025-03-29T00:00:00"/>
    <m/>
  </r>
  <r>
    <x v="1202"/>
    <s v="Spain"/>
    <s v="40.416775"/>
    <s v="-3.703790"/>
    <s v="Retail &amp; Distribution"/>
    <s v="Medium (201-500)"/>
    <s v="Laura Thompson"/>
    <d v="2024-03-24T00:00:00"/>
    <s v="SAAS"/>
    <x v="4"/>
    <x v="4"/>
    <s v="Initial contact"/>
    <n v="2"/>
    <n v="2102"/>
    <n v="50"/>
    <d v="2024-05-15T00:00:00"/>
    <m/>
  </r>
  <r>
    <x v="1203"/>
    <s v="France"/>
    <s v="48.864716"/>
    <s v="2.349014"/>
    <s v="Retail &amp; Distribution"/>
    <s v="Medium (201-500)"/>
    <s v="Emily Johnson"/>
    <d v="2024-04-07T00:00:00"/>
    <s v="SAAS"/>
    <x v="4"/>
    <x v="4"/>
    <s v="Initial contact"/>
    <n v="2"/>
    <n v="7972"/>
    <n v="90"/>
    <d v="2024-08-23T00:00:00"/>
    <m/>
  </r>
  <r>
    <x v="1204"/>
    <s v="Italy"/>
    <s v="41.902782"/>
    <s v="12.496366"/>
    <s v="Energy &amp; Utilities"/>
    <s v="Medium (201-500)"/>
    <s v="John Smith"/>
    <d v="2024-04-22T00:00:00"/>
    <s v="Services"/>
    <x v="4"/>
    <x v="4"/>
    <s v="Initial contact"/>
    <n v="2"/>
    <n v="482"/>
    <n v="50"/>
    <d v="2024-05-29T00:00:00"/>
    <m/>
  </r>
  <r>
    <x v="1205"/>
    <s v="France"/>
    <s v="48.864716"/>
    <s v="2.349014"/>
    <s v="Retail &amp; Distribution"/>
    <s v="Medium (201-500)"/>
    <s v="Laura Thompson"/>
    <d v="2024-04-02T00:00:00"/>
    <s v="SAAS"/>
    <x v="4"/>
    <x v="4"/>
    <s v="Initial contact"/>
    <n v="2"/>
    <n v="4302"/>
    <n v="20"/>
    <d v="2025-02-16T00:00:00"/>
    <m/>
  </r>
  <r>
    <x v="1206"/>
    <s v="France"/>
    <s v="48.864716"/>
    <s v="2.349014"/>
    <s v="Telecommunications"/>
    <s v="Medium (201-500)"/>
    <s v="Laura Thompson"/>
    <d v="2024-03-07T00:00:00"/>
    <s v="Services"/>
    <x v="4"/>
    <x v="4"/>
    <s v="Initial contact"/>
    <n v="2"/>
    <n v="3625"/>
    <n v="90"/>
    <d v="2024-12-22T00:00:00"/>
    <m/>
  </r>
  <r>
    <x v="1207"/>
    <s v="Spain"/>
    <s v="40.416775"/>
    <s v="-3.703790"/>
    <s v="Banking and Finance"/>
    <s v="Medium (201-500)"/>
    <s v="Laura Thompson"/>
    <d v="2024-03-11T00:00:00"/>
    <s v="SAAS"/>
    <x v="4"/>
    <x v="4"/>
    <s v="Initial contact"/>
    <n v="2"/>
    <n v="7215"/>
    <n v="40"/>
    <d v="2025-01-11T00:00:00"/>
    <m/>
  </r>
  <r>
    <x v="1208"/>
    <s v="Italy"/>
    <s v="41.902782"/>
    <s v="12.496366"/>
    <s v="Government Administration Healthcare"/>
    <s v="Medium (201-500)"/>
    <s v="Emily Johnson"/>
    <d v="2024-04-06T00:00:00"/>
    <s v="SAAS"/>
    <x v="4"/>
    <x v="4"/>
    <s v="Initial contact"/>
    <n v="2"/>
    <n v="3724"/>
    <n v="20"/>
    <d v="2024-08-20T00:00:00"/>
    <m/>
  </r>
  <r>
    <x v="1209"/>
    <s v="France"/>
    <s v="48.864716"/>
    <s v="2.349014"/>
    <s v="Energy &amp; Utilities"/>
    <s v="Medium (201-500)"/>
    <s v="Kevin Anderson"/>
    <d v="2024-01-08T00:00:00"/>
    <s v="Custom solution"/>
    <x v="4"/>
    <x v="4"/>
    <s v="Initial contact"/>
    <n v="2"/>
    <n v="6024"/>
    <n v="50"/>
    <d v="2024-06-13T00:00:00"/>
    <m/>
  </r>
  <r>
    <x v="1210"/>
    <s v="Italy"/>
    <s v="41.902782"/>
    <s v="12.496366"/>
    <s v="Telecommunications"/>
    <s v="Medium (201-500)"/>
    <s v="Laura Thompson"/>
    <d v="2024-04-13T00:00:00"/>
    <s v="Services"/>
    <x v="4"/>
    <x v="4"/>
    <s v="Initial contact"/>
    <n v="2"/>
    <n v="5798"/>
    <n v="40"/>
    <d v="2025-02-14T00:00:00"/>
    <m/>
  </r>
  <r>
    <x v="1211"/>
    <s v="Netherlands"/>
    <s v="52.370216"/>
    <s v="4.895168"/>
    <s v="IT &amp; IT Services"/>
    <s v="Medium (201-500)"/>
    <s v="Michael Brown"/>
    <d v="2024-04-07T00:00:00"/>
    <s v="Services"/>
    <x v="4"/>
    <x v="4"/>
    <s v="Initial contact"/>
    <n v="2"/>
    <n v="1863"/>
    <n v="20"/>
    <d v="2024-12-02T00:00:00"/>
    <m/>
  </r>
  <r>
    <x v="1212"/>
    <s v="Germany"/>
    <s v="52.520008"/>
    <s v="13.404954"/>
    <s v="Professional Services  &amp; Consulting"/>
    <s v="Medium (201-500)"/>
    <s v="Laura Thompson"/>
    <d v="2024-04-28T00:00:00"/>
    <s v="SAAS"/>
    <x v="4"/>
    <x v="4"/>
    <s v="Initial contact"/>
    <n v="2"/>
    <n v="2059"/>
    <n v="40"/>
    <d v="2025-04-01T00:00:00"/>
    <m/>
  </r>
  <r>
    <x v="1213"/>
    <s v="Switzerland"/>
    <s v="46.204391"/>
    <s v="6.143158"/>
    <s v="Entertainment &amp; Media &amp; Hospitality"/>
    <s v="Medium (201-500)"/>
    <s v="Sarah Davis"/>
    <d v="2024-03-10T00:00:00"/>
    <s v="SAAS"/>
    <x v="4"/>
    <x v="4"/>
    <s v="Initial contact"/>
    <n v="2"/>
    <n v="7739"/>
    <n v="60"/>
    <d v="2024-07-23T00:00:00"/>
    <m/>
  </r>
  <r>
    <x v="1214"/>
    <s v="Austria"/>
    <s v="48.210033"/>
    <s v="16.363449"/>
    <s v="Professional Services  &amp; Consulting"/>
    <s v="Medium (201-500)"/>
    <s v="Emily Johnson"/>
    <d v="2024-04-12T00:00:00"/>
    <s v="SAAS"/>
    <x v="4"/>
    <x v="4"/>
    <s v="Initial contact"/>
    <n v="2"/>
    <n v="3809"/>
    <n v="30"/>
    <d v="2025-03-15T00:00:00"/>
    <m/>
  </r>
  <r>
    <x v="1215"/>
    <s v="Switzerland"/>
    <s v="46.204391"/>
    <s v="6.143158"/>
    <s v="Professional Services  &amp; Consulting"/>
    <s v="Medium (201-500)"/>
    <s v="Michael Brown"/>
    <d v="2024-01-25T00:00:00"/>
    <s v="Custom solution"/>
    <x v="4"/>
    <x v="4"/>
    <s v="Initial contact"/>
    <n v="2"/>
    <n v="1530"/>
    <n v="30"/>
    <d v="2024-05-27T00:00:00"/>
    <m/>
  </r>
  <r>
    <x v="1216"/>
    <s v="Switzerland"/>
    <s v="46.204391"/>
    <s v="6.143158"/>
    <s v="Transportation &amp; Logistics"/>
    <s v="Medium (201-500)"/>
    <s v="Michael Brown"/>
    <d v="2024-01-25T00:00:00"/>
    <s v="SAAS"/>
    <x v="4"/>
    <x v="4"/>
    <s v="Initial contact"/>
    <n v="2"/>
    <n v="6962"/>
    <n v="30"/>
    <d v="2024-05-05T00:00:00"/>
    <m/>
  </r>
  <r>
    <x v="1217"/>
    <s v="Portugal"/>
    <s v="38.736946"/>
    <s v="-9.142685"/>
    <s v="Professional Services  &amp; Consulting"/>
    <s v="Medium (201-500)"/>
    <s v="Jessica Martinez"/>
    <d v="2024-02-22T00:00:00"/>
    <s v="Custom solution"/>
    <x v="4"/>
    <x v="4"/>
    <s v="Initial contact"/>
    <n v="2"/>
    <n v="2172"/>
    <n v="40"/>
    <d v="2025-02-17T00:00:00"/>
    <m/>
  </r>
  <r>
    <x v="1218"/>
    <s v="Switzerland"/>
    <s v="46.204391"/>
    <s v="6.143158"/>
    <s v="Manufacturing &amp; Production"/>
    <s v="Medium (201-500)"/>
    <s v="Michael Brown"/>
    <d v="2024-03-23T00:00:00"/>
    <s v="Services"/>
    <x v="4"/>
    <x v="4"/>
    <s v="Initial contact"/>
    <n v="2"/>
    <n v="1825"/>
    <n v="60"/>
    <d v="2024-11-06T00:00:00"/>
    <m/>
  </r>
  <r>
    <x v="1219"/>
    <s v="Switzerland"/>
    <s v="46.204391"/>
    <s v="6.143158"/>
    <s v="Manufacturing &amp; Production"/>
    <s v="Medium (201-500)"/>
    <s v="Sarah Davis"/>
    <d v="2024-03-17T00:00:00"/>
    <s v="SAAS"/>
    <x v="4"/>
    <x v="4"/>
    <s v="Initial contact"/>
    <n v="2"/>
    <n v="2418"/>
    <n v="20"/>
    <d v="2024-11-15T00:00:00"/>
    <m/>
  </r>
  <r>
    <x v="1220"/>
    <s v="Austria"/>
    <s v="48.210033"/>
    <s v="16.363449"/>
    <s v="Government Administration Healthcare"/>
    <s v="Medium (201-500)"/>
    <s v="Jessica Martinez"/>
    <d v="2024-05-27T00:00:00"/>
    <s v="Services"/>
    <x v="4"/>
    <x v="4"/>
    <s v="Initial contact"/>
    <n v="2"/>
    <n v="1784"/>
    <n v="50"/>
    <d v="2024-10-20T00:00:00"/>
    <m/>
  </r>
  <r>
    <x v="1221"/>
    <s v="Switzerland"/>
    <s v="46.204391"/>
    <s v="6.143158"/>
    <s v="Banking and Finance"/>
    <s v="Medium (201-500)"/>
    <s v="Jessica Martinez"/>
    <d v="2024-01-05T00:00:00"/>
    <s v="Services"/>
    <x v="4"/>
    <x v="4"/>
    <s v="Initial contact"/>
    <n v="2"/>
    <n v="6739"/>
    <n v="20"/>
    <d v="2024-02-27T00:00:00"/>
    <m/>
  </r>
  <r>
    <x v="1222"/>
    <s v="Italy"/>
    <s v="41.902782"/>
    <s v="12.496366"/>
    <s v="Government Administration Healthcare"/>
    <s v="Medium (201-500)"/>
    <s v="Sarah Davis"/>
    <d v="2024-04-24T00:00:00"/>
    <s v="SAAS"/>
    <x v="4"/>
    <x v="4"/>
    <s v="Initial contact"/>
    <n v="2"/>
    <n v="2127"/>
    <n v="50"/>
    <d v="2025-02-02T00:00:00"/>
    <m/>
  </r>
  <r>
    <x v="1223"/>
    <s v="Netherlands"/>
    <s v="52.370216"/>
    <s v="4.895168"/>
    <s v="Transportation &amp; Logistics"/>
    <s v="Medium (201-500)"/>
    <s v="John Smith"/>
    <d v="2024-01-11T00:00:00"/>
    <s v="Services"/>
    <x v="4"/>
    <x v="4"/>
    <s v="Initial contact"/>
    <n v="2"/>
    <n v="5436"/>
    <n v="20"/>
    <d v="2024-11-17T00:00:00"/>
    <m/>
  </r>
  <r>
    <x v="1224"/>
    <s v="Portugal"/>
    <s v="38.736946"/>
    <s v="-9.142685"/>
    <s v="Professional Services  &amp; Consulting"/>
    <s v="Medium (201-500)"/>
    <s v="Jessica Martinez"/>
    <d v="2024-05-07T00:00:00"/>
    <s v="Services"/>
    <x v="4"/>
    <x v="4"/>
    <s v="Initial contact"/>
    <n v="2"/>
    <n v="1227"/>
    <n v="30"/>
    <d v="2025-04-27T00:00:00"/>
    <m/>
  </r>
  <r>
    <x v="1225"/>
    <s v="Italy"/>
    <s v="41.902782"/>
    <s v="12.496366"/>
    <s v="Transportation &amp; Logistics"/>
    <s v="Medium (201-500)"/>
    <s v="Laura Thompson"/>
    <d v="2024-04-27T00:00:00"/>
    <s v="SAAS"/>
    <x v="4"/>
    <x v="4"/>
    <s v="Initial contact"/>
    <n v="2"/>
    <n v="2746"/>
    <n v="10"/>
    <d v="2024-11-25T00:00:00"/>
    <m/>
  </r>
  <r>
    <x v="1226"/>
    <s v="Germany"/>
    <s v="52.520008"/>
    <s v="13.404954"/>
    <s v="Transportation &amp; Logistics"/>
    <s v="Medium (201-500)"/>
    <s v="David Wilson"/>
    <d v="2024-03-26T00:00:00"/>
    <s v="SAAS"/>
    <x v="4"/>
    <x v="4"/>
    <s v="Initial contact"/>
    <n v="2"/>
    <n v="4185"/>
    <n v="60"/>
    <d v="2025-01-02T00:00:00"/>
    <m/>
  </r>
  <r>
    <x v="1227"/>
    <s v="Germany"/>
    <s v="52.520008"/>
    <s v="13.404954"/>
    <s v="Transportation &amp; Logistics"/>
    <s v="Medium (201-500)"/>
    <s v="Jessica Martinez"/>
    <d v="2024-04-20T00:00:00"/>
    <s v="Services"/>
    <x v="4"/>
    <x v="4"/>
    <s v="Initial contact"/>
    <n v="2"/>
    <n v="4630"/>
    <n v="20"/>
    <d v="2025-01-21T00:00:00"/>
    <m/>
  </r>
  <r>
    <x v="1228"/>
    <s v="Austria"/>
    <s v="48.210033"/>
    <s v="16.363449"/>
    <s v="Manufacturing &amp; Production"/>
    <s v="Medium (201-500)"/>
    <s v="Jessica Martinez"/>
    <d v="2024-05-17T00:00:00"/>
    <s v="Services"/>
    <x v="4"/>
    <x v="4"/>
    <s v="Initial contact"/>
    <n v="2"/>
    <n v="5254"/>
    <n v="10"/>
    <d v="2024-11-02T00:00:00"/>
    <m/>
  </r>
  <r>
    <x v="1229"/>
    <s v="Switzerland"/>
    <s v="46.204391"/>
    <s v="6.143158"/>
    <s v="Agriculture &amp; Mining"/>
    <s v="Medium (201-500)"/>
    <s v="Michael Brown"/>
    <d v="2024-02-04T00:00:00"/>
    <s v="SAAS"/>
    <x v="4"/>
    <x v="4"/>
    <s v="Initial contact"/>
    <n v="2"/>
    <n v="2328"/>
    <n v="90"/>
    <d v="2024-04-21T00:00:00"/>
    <m/>
  </r>
  <r>
    <x v="1230"/>
    <s v="Spain"/>
    <s v="40.416775"/>
    <s v="-3.703790"/>
    <s v="Recreation &amp; Sports"/>
    <s v="Medium (201-500)"/>
    <s v="John Smith"/>
    <d v="2024-02-01T00:00:00"/>
    <s v="SAAS"/>
    <x v="4"/>
    <x v="4"/>
    <s v="Initial contact"/>
    <n v="2"/>
    <n v="755"/>
    <n v="90"/>
    <d v="2025-01-08T00:00:00"/>
    <m/>
  </r>
  <r>
    <x v="1231"/>
    <s v="Portugal"/>
    <s v="38.736946"/>
    <s v="-9.142685"/>
    <s v="Transportation &amp; Logistics"/>
    <s v="Medium (201-500)"/>
    <s v="Jessica Martinez"/>
    <d v="2024-01-02T00:00:00"/>
    <s v="SAAS"/>
    <x v="4"/>
    <x v="4"/>
    <s v="Initial contact"/>
    <n v="2"/>
    <n v="4682"/>
    <n v="20"/>
    <d v="2024-12-03T00:00:00"/>
    <m/>
  </r>
  <r>
    <x v="1232"/>
    <s v="Germany"/>
    <s v="52.520008"/>
    <s v="13.404954"/>
    <s v="Energy &amp; Utilities"/>
    <s v="Medium (201-500)"/>
    <s v="Jessica Martinez"/>
    <d v="2024-05-25T00:00:00"/>
    <s v="Services"/>
    <x v="4"/>
    <x v="4"/>
    <s v="Initial contact"/>
    <n v="2"/>
    <n v="3732"/>
    <n v="100"/>
    <d v="2025-01-23T00:00:00"/>
    <m/>
  </r>
  <r>
    <x v="1233"/>
    <s v="Spain"/>
    <s v="40.416775"/>
    <s v="-3.703790"/>
    <s v="IT &amp; IT Services"/>
    <s v="Medium (201-500)"/>
    <s v="Jessica Martinez"/>
    <d v="2024-03-07T00:00:00"/>
    <s v="Custom solution"/>
    <x v="4"/>
    <x v="4"/>
    <s v="Initial contact"/>
    <n v="2"/>
    <n v="3569"/>
    <n v="60"/>
    <d v="2024-11-14T00:00:00"/>
    <m/>
  </r>
  <r>
    <x v="1234"/>
    <s v="Italy"/>
    <s v="41.902782"/>
    <s v="12.496366"/>
    <s v="Transportation &amp; Logistics"/>
    <s v="Medium (201-500)"/>
    <s v="Sarah Davis"/>
    <d v="2024-05-15T00:00:00"/>
    <s v="Services"/>
    <x v="4"/>
    <x v="4"/>
    <s v="Initial contact"/>
    <n v="2"/>
    <n v="7885"/>
    <n v="40"/>
    <d v="2024-12-11T00:00:00"/>
    <m/>
  </r>
  <r>
    <x v="1235"/>
    <s v="Switzerland"/>
    <s v="46.204391"/>
    <s v="6.143158"/>
    <s v="Government Administration Healthcare"/>
    <s v="Medium (201-500)"/>
    <s v="Laura Thompson"/>
    <d v="2024-05-03T00:00:00"/>
    <s v="SAAS"/>
    <x v="4"/>
    <x v="4"/>
    <s v="Initial contact"/>
    <n v="2"/>
    <n v="5152"/>
    <n v="40"/>
    <d v="2025-02-12T00:00:00"/>
    <m/>
  </r>
  <r>
    <x v="1236"/>
    <s v="Spain"/>
    <s v="40.416775"/>
    <s v="-3.703790"/>
    <s v="Government Administration Healthcare"/>
    <s v="Medium (201-500)"/>
    <s v="Kevin Anderson"/>
    <d v="2024-05-15T00:00:00"/>
    <s v="Services"/>
    <x v="4"/>
    <x v="4"/>
    <s v="Initial contact"/>
    <n v="2"/>
    <n v="2691"/>
    <n v="100"/>
    <d v="2024-09-08T00:00:00"/>
    <m/>
  </r>
  <r>
    <x v="1237"/>
    <s v="Netherlands"/>
    <s v="52.370216"/>
    <s v="4.895168"/>
    <s v="Retail &amp; Distribution"/>
    <s v="Medium (201-500)"/>
    <s v="Kevin Anderson"/>
    <d v="2024-02-01T00:00:00"/>
    <s v="Custom solution"/>
    <x v="4"/>
    <x v="4"/>
    <s v="Initial contact"/>
    <n v="2"/>
    <n v="5532"/>
    <n v="10"/>
    <d v="2024-11-18T00:00:00"/>
    <m/>
  </r>
  <r>
    <x v="1238"/>
    <s v="Austria"/>
    <s v="48.210033"/>
    <s v="16.363449"/>
    <s v="Banking and Finance"/>
    <s v="Medium (201-500)"/>
    <s v="Laura Thompson"/>
    <d v="2024-01-31T00:00:00"/>
    <s v="Services"/>
    <x v="4"/>
    <x v="4"/>
    <s v="Initial contact"/>
    <n v="2"/>
    <n v="4387"/>
    <n v="90"/>
    <d v="2024-07-21T00:00:00"/>
    <m/>
  </r>
  <r>
    <x v="1239"/>
    <s v="Netherlands"/>
    <s v="52.370216"/>
    <s v="4.895168"/>
    <s v="Education &amp; Science"/>
    <s v="Medium (201-500)"/>
    <s v="David Wilson"/>
    <d v="2024-03-06T00:00:00"/>
    <s v="Services"/>
    <x v="4"/>
    <x v="4"/>
    <s v="Initial contact"/>
    <n v="2"/>
    <n v="6640"/>
    <n v="40"/>
    <d v="2024-12-23T00:00:00"/>
    <m/>
  </r>
  <r>
    <x v="1240"/>
    <s v="Portugal"/>
    <s v="38.736946"/>
    <s v="-9.142685"/>
    <s v="Professional Services  &amp; Consulting"/>
    <s v="Medium (201-500)"/>
    <s v="John Smith"/>
    <d v="2024-04-22T00:00:00"/>
    <s v="Custom solution"/>
    <x v="4"/>
    <x v="4"/>
    <s v="Initial contact"/>
    <n v="2"/>
    <n v="3640"/>
    <n v="30"/>
    <d v="2024-12-18T00:00:00"/>
    <m/>
  </r>
  <r>
    <x v="1241"/>
    <s v="Switzerland"/>
    <s v="46.204391"/>
    <s v="6.143158"/>
    <s v="Construction &amp; Engineering"/>
    <s v="Medium (201-500)"/>
    <s v="David Wilson"/>
    <d v="2024-04-07T00:00:00"/>
    <s v="SAAS"/>
    <x v="4"/>
    <x v="4"/>
    <s v="Initial contact"/>
    <n v="2"/>
    <n v="3237"/>
    <n v="30"/>
    <d v="2024-12-28T00:00:00"/>
    <m/>
  </r>
  <r>
    <x v="1242"/>
    <s v="Italy"/>
    <s v="41.902782"/>
    <s v="12.496366"/>
    <s v="Transportation &amp; Logistics"/>
    <s v="Medium (201-500)"/>
    <s v="David Wilson"/>
    <d v="2024-03-19T00:00:00"/>
    <s v="Services"/>
    <x v="4"/>
    <x v="4"/>
    <s v="Initial contact"/>
    <n v="2"/>
    <n v="3071"/>
    <n v="90"/>
    <d v="2024-08-09T00:00:00"/>
    <m/>
  </r>
  <r>
    <x v="1243"/>
    <s v="Italy"/>
    <s v="41.902782"/>
    <s v="12.496366"/>
    <s v="Transportation &amp; Logistics"/>
    <s v="Medium (201-500)"/>
    <s v="Michael Brown"/>
    <d v="2024-03-17T00:00:00"/>
    <s v="SAAS"/>
    <x v="4"/>
    <x v="4"/>
    <s v="Initial contact"/>
    <n v="2"/>
    <n v="7500"/>
    <n v="50"/>
    <d v="2024-10-10T00:00:00"/>
    <m/>
  </r>
  <r>
    <x v="1244"/>
    <s v="Germany"/>
    <s v="52.520008"/>
    <s v="13.404954"/>
    <s v="Energy &amp; Utilities"/>
    <s v="Medium (201-500)"/>
    <s v="David Wilson"/>
    <d v="2024-03-07T00:00:00"/>
    <s v="Services"/>
    <x v="4"/>
    <x v="4"/>
    <s v="Initial contact"/>
    <n v="2"/>
    <n v="5842"/>
    <n v="10"/>
    <d v="2024-05-17T00:00:00"/>
    <m/>
  </r>
  <r>
    <x v="1245"/>
    <s v="Portugal"/>
    <s v="38.736946"/>
    <s v="-9.142685"/>
    <s v="Transportation &amp; Logistics"/>
    <s v="Medium (201-500)"/>
    <s v="Michael Brown"/>
    <d v="2024-04-28T00:00:00"/>
    <s v="Services"/>
    <x v="4"/>
    <x v="4"/>
    <s v="Initial contact"/>
    <n v="2"/>
    <n v="7677"/>
    <n v="100"/>
    <d v="2024-12-27T00:00:00"/>
    <m/>
  </r>
  <r>
    <x v="1246"/>
    <s v="Germany"/>
    <s v="52.520008"/>
    <s v="13.404954"/>
    <s v="Retail &amp; Distribution"/>
    <s v="Medium (201-500)"/>
    <s v="David Wilson"/>
    <d v="2024-03-15T00:00:00"/>
    <s v="SAAS"/>
    <x v="4"/>
    <x v="4"/>
    <s v="Initial contact"/>
    <n v="2"/>
    <n v="4904"/>
    <n v="100"/>
    <d v="2024-10-22T00:00:00"/>
    <m/>
  </r>
  <r>
    <x v="1247"/>
    <s v="France"/>
    <s v="48.864716"/>
    <s v="2.349014"/>
    <s v="Telecommunications"/>
    <s v="Medium (201-500)"/>
    <s v="John Smith"/>
    <d v="2024-02-04T00:00:00"/>
    <s v="Services"/>
    <x v="4"/>
    <x v="4"/>
    <s v="Initial contact"/>
    <n v="2"/>
    <n v="1657"/>
    <n v="30"/>
    <d v="2024-09-01T00:00:00"/>
    <m/>
  </r>
  <r>
    <x v="1248"/>
    <s v="Austria"/>
    <s v="48.210033"/>
    <s v="16.363449"/>
    <s v="Recreation &amp; Sports"/>
    <s v="Medium (201-500)"/>
    <s v="Sarah Davis"/>
    <d v="2024-03-28T00:00:00"/>
    <s v="SAAS"/>
    <x v="4"/>
    <x v="4"/>
    <s v="Initial contact"/>
    <n v="2"/>
    <n v="2112"/>
    <n v="70"/>
    <d v="2025-01-29T00:00:00"/>
    <m/>
  </r>
  <r>
    <x v="1249"/>
    <s v="Italy"/>
    <s v="41.902782"/>
    <s v="12.496366"/>
    <s v="Energy &amp; Utilities"/>
    <s v="Medium (201-500)"/>
    <s v="Sarah Davis"/>
    <d v="2024-01-27T00:00:00"/>
    <s v="Services"/>
    <x v="4"/>
    <x v="4"/>
    <s v="Initial contact"/>
    <n v="2"/>
    <n v="1284"/>
    <n v="40"/>
    <d v="2024-06-13T00:00:00"/>
    <m/>
  </r>
  <r>
    <x v="1250"/>
    <s v="Germany"/>
    <s v="52.520008"/>
    <s v="13.404954"/>
    <s v="Manufacturing &amp; Production"/>
    <s v="Medium (201-500)"/>
    <s v="Emily Johnson"/>
    <d v="2024-01-13T00:00:00"/>
    <s v="SAAS"/>
    <x v="4"/>
    <x v="4"/>
    <s v="Initial contact"/>
    <n v="2"/>
    <n v="6205"/>
    <n v="30"/>
    <d v="2024-04-25T00:00:00"/>
    <m/>
  </r>
  <r>
    <x v="1251"/>
    <s v="Netherlands"/>
    <s v="52.370216"/>
    <s v="4.895168"/>
    <s v="Government Administration Healthcare"/>
    <s v="Medium (201-500)"/>
    <s v="Michael Brown"/>
    <d v="2024-01-10T00:00:00"/>
    <s v="Services"/>
    <x v="4"/>
    <x v="4"/>
    <s v="Initial contact"/>
    <n v="2"/>
    <n v="502"/>
    <n v="10"/>
    <d v="2024-12-23T00:00:00"/>
    <m/>
  </r>
  <r>
    <x v="1252"/>
    <s v="France"/>
    <s v="48.864716"/>
    <s v="2.349014"/>
    <s v="Professional Services  &amp; Consulting"/>
    <s v="Medium (201-500)"/>
    <s v="Jessica Martinez"/>
    <d v="2024-02-04T00:00:00"/>
    <s v="Services"/>
    <x v="4"/>
    <x v="4"/>
    <s v="Initial contact"/>
    <n v="2"/>
    <n v="7094"/>
    <n v="40"/>
    <d v="2024-05-28T00:00:00"/>
    <m/>
  </r>
  <r>
    <x v="1253"/>
    <s v="Switzerland"/>
    <s v="46.204391"/>
    <s v="6.143158"/>
    <s v="Professional Services  &amp; Consulting"/>
    <s v="Medium (201-500)"/>
    <s v="Jessica Martinez"/>
    <d v="2024-03-23T00:00:00"/>
    <s v="SAAS"/>
    <x v="4"/>
    <x v="4"/>
    <s v="Initial contact"/>
    <n v="2"/>
    <n v="3955"/>
    <n v="30"/>
    <d v="2025-03-22T00:00:00"/>
    <m/>
  </r>
  <r>
    <x v="1254"/>
    <s v="Italy"/>
    <s v="41.902782"/>
    <s v="12.496366"/>
    <s v="Energy &amp; Utilities"/>
    <s v="Medium (201-500)"/>
    <s v="Michael Brown"/>
    <d v="2024-04-29T00:00:00"/>
    <s v="Services"/>
    <x v="4"/>
    <x v="4"/>
    <s v="Initial contact"/>
    <n v="2"/>
    <n v="7725"/>
    <n v="20"/>
    <d v="2024-10-14T00:00:00"/>
    <m/>
  </r>
  <r>
    <x v="1255"/>
    <s v="France"/>
    <s v="48.864716"/>
    <s v="2.349014"/>
    <s v="Transportation &amp; Logistics"/>
    <s v="Medium (201-500)"/>
    <s v="Emily Johnson"/>
    <d v="2024-05-17T00:00:00"/>
    <s v="Services"/>
    <x v="4"/>
    <x v="4"/>
    <s v="Initial contact"/>
    <n v="2"/>
    <n v="5993"/>
    <n v="80"/>
    <d v="2025-02-03T00:00:00"/>
    <m/>
  </r>
  <r>
    <x v="1256"/>
    <s v="Switzerland"/>
    <s v="46.204391"/>
    <s v="6.143158"/>
    <s v="Government Administration Healthcare"/>
    <s v="Medium (201-500)"/>
    <s v="Michael Brown"/>
    <d v="2024-03-03T00:00:00"/>
    <s v="Services"/>
    <x v="4"/>
    <x v="4"/>
    <s v="Initial contact"/>
    <n v="2"/>
    <n v="4910"/>
    <n v="40"/>
    <d v="2024-09-19T00:00:00"/>
    <m/>
  </r>
  <r>
    <x v="1257"/>
    <s v="Belgium"/>
    <s v="51.260197"/>
    <s v="4.402771"/>
    <s v="Agriculture &amp; Mining"/>
    <s v="Medium (201-500)"/>
    <s v="Michael Brown"/>
    <d v="2024-01-30T00:00:00"/>
    <s v="SAAS"/>
    <x v="4"/>
    <x v="4"/>
    <s v="Initial contact"/>
    <n v="2"/>
    <n v="6186"/>
    <n v="40"/>
    <d v="2024-09-22T00:00:00"/>
    <m/>
  </r>
  <r>
    <x v="1258"/>
    <s v="Portugal"/>
    <s v="38.736946"/>
    <s v="-9.142685"/>
    <s v="Government Administration Healthcare"/>
    <s v="Medium (201-500)"/>
    <s v="Michael Brown"/>
    <d v="2024-02-26T00:00:00"/>
    <s v="Custom solution"/>
    <x v="4"/>
    <x v="4"/>
    <s v="Initial contact"/>
    <n v="2"/>
    <n v="4143"/>
    <n v="20"/>
    <d v="2024-06-23T00:00:00"/>
    <m/>
  </r>
  <r>
    <x v="1259"/>
    <s v="Germany"/>
    <s v="52.520008"/>
    <s v="13.404954"/>
    <s v="Transportation &amp; Logistics"/>
    <s v="Medium (201-500)"/>
    <s v="Laura Thompson"/>
    <d v="2024-02-08T00:00:00"/>
    <s v="Services"/>
    <x v="4"/>
    <x v="4"/>
    <s v="Initial contact"/>
    <n v="2"/>
    <n v="1932"/>
    <n v="70"/>
    <d v="2024-12-21T00:00:00"/>
    <m/>
  </r>
  <r>
    <x v="1260"/>
    <s v="Switzerland"/>
    <s v="46.204391"/>
    <s v="6.143158"/>
    <s v="Banking and Finance"/>
    <s v="Medium (201-500)"/>
    <s v="Michael Brown"/>
    <d v="2024-05-08T00:00:00"/>
    <s v="Services"/>
    <x v="4"/>
    <x v="4"/>
    <s v="Initial contact"/>
    <n v="2"/>
    <n v="5594"/>
    <n v="10"/>
    <d v="2024-07-10T00:00:00"/>
    <m/>
  </r>
  <r>
    <x v="1261"/>
    <s v="Portugal"/>
    <s v="38.736946"/>
    <s v="-9.142685"/>
    <s v="Government Administration Healthcare"/>
    <s v="Medium (201-500)"/>
    <s v="David Wilson"/>
    <d v="2024-03-08T00:00:00"/>
    <s v="Custom solution"/>
    <x v="4"/>
    <x v="4"/>
    <s v="Initial contact"/>
    <n v="2"/>
    <n v="7212"/>
    <n v="50"/>
    <d v="2024-11-19T00:00:00"/>
    <m/>
  </r>
  <r>
    <x v="1262"/>
    <s v="France"/>
    <s v="48.864716"/>
    <s v="2.349014"/>
    <s v="Professional Services  &amp; Consulting"/>
    <s v="Medium (201-500)"/>
    <s v="Sarah Davis"/>
    <d v="2024-04-21T00:00:00"/>
    <s v="SAAS"/>
    <x v="4"/>
    <x v="4"/>
    <s v="Initial contact"/>
    <n v="2"/>
    <n v="1094"/>
    <n v="50"/>
    <d v="2024-11-20T00:00:00"/>
    <m/>
  </r>
  <r>
    <x v="1263"/>
    <s v="Portugal"/>
    <s v="38.736946"/>
    <s v="-9.142685"/>
    <s v="IT &amp; IT Services"/>
    <s v="Medium (201-500)"/>
    <s v="Jessica Martinez"/>
    <d v="2024-01-23T00:00:00"/>
    <s v="SAAS"/>
    <x v="4"/>
    <x v="4"/>
    <s v="Initial contact"/>
    <n v="2"/>
    <n v="7972"/>
    <n v="30"/>
    <d v="2024-08-09T00:00:00"/>
    <m/>
  </r>
  <r>
    <x v="1264"/>
    <s v="France"/>
    <s v="48.864716"/>
    <s v="2.349014"/>
    <s v="IT &amp; IT Services"/>
    <s v="Medium (201-500)"/>
    <s v="Laura Thompson"/>
    <d v="2024-02-04T00:00:00"/>
    <s v="Services"/>
    <x v="4"/>
    <x v="4"/>
    <s v="Initial contact"/>
    <n v="2"/>
    <n v="5743"/>
    <n v="40"/>
    <d v="2024-05-28T00:00:00"/>
    <m/>
  </r>
  <r>
    <x v="1265"/>
    <s v="Germany"/>
    <s v="52.520008"/>
    <s v="13.404954"/>
    <s v="Professional Services  &amp; Consulting"/>
    <s v="Medium (201-500)"/>
    <s v="John Smith"/>
    <d v="2024-04-21T00:00:00"/>
    <s v="Services"/>
    <x v="4"/>
    <x v="4"/>
    <s v="Initial contact"/>
    <n v="2"/>
    <n v="1906"/>
    <n v="50"/>
    <d v="2025-01-03T00:00:00"/>
    <m/>
  </r>
  <r>
    <x v="1266"/>
    <s v="France"/>
    <s v="48.864716"/>
    <s v="2.349014"/>
    <s v="Recreation &amp; Sports"/>
    <s v="Medium (201-500)"/>
    <s v="Michael Brown"/>
    <d v="2024-05-10T00:00:00"/>
    <s v="SAAS"/>
    <x v="4"/>
    <x v="4"/>
    <s v="Initial contact"/>
    <n v="2"/>
    <n v="635"/>
    <n v="10"/>
    <d v="2025-03-24T00:00:00"/>
    <m/>
  </r>
  <r>
    <x v="1267"/>
    <s v="Belgium"/>
    <s v="51.260197"/>
    <s v="4.402771"/>
    <s v="Banking and Finance"/>
    <s v="Medium (201-500)"/>
    <s v="Laura Thompson"/>
    <d v="2024-02-13T00:00:00"/>
    <s v="Custom solution"/>
    <x v="4"/>
    <x v="4"/>
    <s v="Initial contact"/>
    <n v="2"/>
    <n v="1429"/>
    <n v="20"/>
    <d v="2024-07-31T00:00:00"/>
    <m/>
  </r>
  <r>
    <x v="1268"/>
    <s v="Germany"/>
    <s v="52.520008"/>
    <s v="13.404954"/>
    <s v="Recreation &amp; Sports"/>
    <s v="Medium (201-500)"/>
    <s v="David Wilson"/>
    <d v="2024-02-03T00:00:00"/>
    <s v="Services"/>
    <x v="4"/>
    <x v="4"/>
    <s v="Initial contact"/>
    <n v="2"/>
    <n v="4340"/>
    <n v="50"/>
    <d v="2024-06-24T00:00:00"/>
    <m/>
  </r>
  <r>
    <x v="1269"/>
    <s v="Italy"/>
    <s v="41.902782"/>
    <s v="12.496366"/>
    <s v="Transportation &amp; Logistics"/>
    <s v="Medium (201-500)"/>
    <s v="Laura Thompson"/>
    <d v="2024-01-18T00:00:00"/>
    <s v="Custom solution"/>
    <x v="4"/>
    <x v="4"/>
    <s v="Initial contact"/>
    <n v="2"/>
    <n v="3907"/>
    <n v="40"/>
    <d v="2024-06-30T00:00:00"/>
    <m/>
  </r>
  <r>
    <x v="1270"/>
    <s v="Netherlands"/>
    <s v="52.370216"/>
    <s v="4.895168"/>
    <s v="Government Administration Healthcare"/>
    <s v="Medium (201-500)"/>
    <s v="Sarah Davis"/>
    <d v="2024-01-03T00:00:00"/>
    <s v="SAAS"/>
    <x v="4"/>
    <x v="4"/>
    <s v="Initial contact"/>
    <n v="2"/>
    <n v="671"/>
    <n v="20"/>
    <d v="2024-02-06T00:00:00"/>
    <m/>
  </r>
  <r>
    <x v="1271"/>
    <s v="Switzerland"/>
    <s v="46.204391"/>
    <s v="6.143158"/>
    <s v="Government Administration Healthcare"/>
    <s v="Medium (201-500)"/>
    <s v="Michael Brown"/>
    <d v="2024-02-12T00:00:00"/>
    <s v="Custom solution"/>
    <x v="4"/>
    <x v="4"/>
    <s v="Initial contact"/>
    <n v="2"/>
    <n v="7563"/>
    <n v="30"/>
    <d v="2024-03-10T00:00:00"/>
    <m/>
  </r>
  <r>
    <x v="1272"/>
    <s v="Netherlands"/>
    <s v="52.370216"/>
    <s v="4.895168"/>
    <s v="Government Administration Healthcare"/>
    <s v="Medium (201-500)"/>
    <s v="Sarah Davis"/>
    <d v="2024-03-23T00:00:00"/>
    <s v="Services"/>
    <x v="4"/>
    <x v="4"/>
    <s v="Initial contact"/>
    <n v="2"/>
    <n v="1083"/>
    <n v="60"/>
    <d v="2025-02-05T00:00:00"/>
    <m/>
  </r>
  <r>
    <x v="1273"/>
    <s v="Portugal"/>
    <s v="38.736946"/>
    <s v="-9.142685"/>
    <s v="Government Administration Healthcare"/>
    <s v="Medium (201-500)"/>
    <s v="Laura Thompson"/>
    <d v="2024-01-14T00:00:00"/>
    <s v="SAAS"/>
    <x v="4"/>
    <x v="4"/>
    <s v="Initial contact"/>
    <n v="2"/>
    <n v="5813"/>
    <n v="10"/>
    <d v="2024-07-17T00:00:00"/>
    <m/>
  </r>
  <r>
    <x v="1274"/>
    <s v="Belgium"/>
    <s v="51.260197"/>
    <s v="4.402771"/>
    <s v="IT &amp; IT Services"/>
    <s v="Medium (201-500)"/>
    <s v="Sarah Davis"/>
    <d v="2024-02-06T00:00:00"/>
    <s v="Custom solution"/>
    <x v="4"/>
    <x v="4"/>
    <s v="Initial contact"/>
    <n v="2"/>
    <n v="2873"/>
    <n v="60"/>
    <d v="2024-04-02T00:00:00"/>
    <m/>
  </r>
  <r>
    <x v="1275"/>
    <s v="Spain"/>
    <s v="40.416775"/>
    <s v="-3.703790"/>
    <s v="Transportation &amp; Logistics"/>
    <s v="Medium (201-500)"/>
    <s v="Jessica Martinez"/>
    <d v="2024-04-25T00:00:00"/>
    <s v="SAAS"/>
    <x v="4"/>
    <x v="4"/>
    <s v="Initial contact"/>
    <n v="2"/>
    <n v="5053"/>
    <n v="20"/>
    <d v="2025-04-07T00:00:00"/>
    <m/>
  </r>
  <r>
    <x v="1276"/>
    <s v="Belgium"/>
    <s v="51.260197"/>
    <s v="4.402771"/>
    <s v="Education &amp; Science"/>
    <s v="Medium (201-500)"/>
    <s v="David Wilson"/>
    <d v="2024-01-31T00:00:00"/>
    <s v="SAAS"/>
    <x v="4"/>
    <x v="4"/>
    <s v="Initial contact"/>
    <n v="2"/>
    <n v="8000"/>
    <n v="40"/>
    <d v="2024-11-09T00:00:00"/>
    <m/>
  </r>
  <r>
    <x v="1277"/>
    <s v="Austria"/>
    <s v="48.210033"/>
    <s v="16.363449"/>
    <s v="IT &amp; IT Services"/>
    <s v="Medium (201-500)"/>
    <s v="Laura Thompson"/>
    <d v="2024-05-25T00:00:00"/>
    <s v="Custom solution"/>
    <x v="4"/>
    <x v="4"/>
    <s v="Initial contact"/>
    <n v="2"/>
    <n v="7020"/>
    <n v="80"/>
    <d v="2024-12-12T00:00:00"/>
    <m/>
  </r>
  <r>
    <x v="1278"/>
    <s v="Austria"/>
    <s v="48.210033"/>
    <s v="16.363449"/>
    <s v="IT &amp; IT Services"/>
    <s v="Medium (201-500)"/>
    <s v="Michael Brown"/>
    <d v="2024-03-07T00:00:00"/>
    <s v="Services"/>
    <x v="4"/>
    <x v="4"/>
    <s v="Initial contact"/>
    <n v="2"/>
    <n v="3691"/>
    <n v="30"/>
    <d v="2025-01-04T00:00:00"/>
    <m/>
  </r>
  <r>
    <x v="1279"/>
    <s v="Netherlands"/>
    <s v="52.370216"/>
    <s v="4.895168"/>
    <s v="Entertainment &amp; Media &amp; Hospitality"/>
    <s v="Medium (201-500)"/>
    <s v="Kevin Anderson"/>
    <d v="2024-02-05T00:00:00"/>
    <s v="Custom solution"/>
    <x v="4"/>
    <x v="4"/>
    <s v="Initial contact"/>
    <n v="2"/>
    <n v="7971"/>
    <n v="50"/>
    <d v="2024-04-01T00:00:00"/>
    <m/>
  </r>
  <r>
    <x v="1280"/>
    <s v="Spain"/>
    <s v="40.416775"/>
    <s v="-3.703790"/>
    <s v="Recreation &amp; Sports"/>
    <s v="Medium (201-500)"/>
    <s v="Michael Brown"/>
    <d v="2024-03-04T00:00:00"/>
    <s v="Services"/>
    <x v="4"/>
    <x v="4"/>
    <s v="Initial contact"/>
    <n v="2"/>
    <n v="2545"/>
    <n v="100"/>
    <d v="2024-08-27T00:00:00"/>
    <m/>
  </r>
  <r>
    <x v="1281"/>
    <s v="Spain"/>
    <s v="40.416775"/>
    <s v="-3.703790"/>
    <s v="Transportation &amp; Logistics"/>
    <s v="Medium (201-500)"/>
    <s v="Jessica Martinez"/>
    <d v="2024-05-15T00:00:00"/>
    <s v="Custom solution"/>
    <x v="4"/>
    <x v="4"/>
    <s v="Initial contact"/>
    <n v="2"/>
    <n v="3848"/>
    <n v="90"/>
    <d v="2025-04-04T00:00:00"/>
    <m/>
  </r>
  <r>
    <x v="1282"/>
    <s v="Belgium"/>
    <s v="51.260197"/>
    <s v="4.402771"/>
    <s v="Banking and Finance"/>
    <s v="Medium (201-500)"/>
    <s v="Sarah Davis"/>
    <d v="2024-05-23T00:00:00"/>
    <s v="Custom solution"/>
    <x v="4"/>
    <x v="4"/>
    <s v="Initial contact"/>
    <n v="2"/>
    <n v="386"/>
    <n v="50"/>
    <d v="2024-09-11T00:00:00"/>
    <m/>
  </r>
  <r>
    <x v="1283"/>
    <s v="France"/>
    <s v="48.864716"/>
    <s v="2.349014"/>
    <s v="Government Administration Healthcare"/>
    <s v="Medium (201-500)"/>
    <s v="Jessica Martinez"/>
    <d v="2024-05-20T00:00:00"/>
    <s v="SAAS"/>
    <x v="4"/>
    <x v="4"/>
    <s v="Initial contact"/>
    <n v="2"/>
    <n v="1523"/>
    <n v="30"/>
    <d v="2025-01-25T00:00:00"/>
    <m/>
  </r>
  <r>
    <x v="1284"/>
    <s v="Switzerland"/>
    <s v="46.204391"/>
    <s v="6.143158"/>
    <s v="Manufacturing &amp; Production"/>
    <s v="Medium (201-500)"/>
    <s v="Jessica Martinez"/>
    <d v="2024-04-30T00:00:00"/>
    <s v="SAAS"/>
    <x v="4"/>
    <x v="4"/>
    <s v="Initial contact"/>
    <n v="2"/>
    <n v="1672"/>
    <n v="90"/>
    <d v="2024-06-16T00:00:00"/>
    <m/>
  </r>
  <r>
    <x v="1285"/>
    <s v="Portugal"/>
    <s v="38.736946"/>
    <s v="-9.142685"/>
    <s v="Telecommunications"/>
    <s v="Medium (201-500)"/>
    <s v="Emily Johnson"/>
    <d v="2024-01-18T00:00:00"/>
    <s v="SAAS"/>
    <x v="4"/>
    <x v="4"/>
    <s v="Initial contact"/>
    <n v="2"/>
    <n v="2045"/>
    <n v="50"/>
    <d v="2024-10-02T00:00:00"/>
    <m/>
  </r>
  <r>
    <x v="1286"/>
    <s v="France"/>
    <s v="48.864716"/>
    <s v="2.349014"/>
    <s v="Manufacturing &amp; Production"/>
    <s v="Medium (201-500)"/>
    <s v="Emily Johnson"/>
    <d v="2024-04-27T00:00:00"/>
    <s v="SAAS"/>
    <x v="4"/>
    <x v="4"/>
    <s v="Initial contact"/>
    <n v="2"/>
    <n v="2968"/>
    <n v="20"/>
    <d v="2024-06-07T00:00:00"/>
    <m/>
  </r>
  <r>
    <x v="1287"/>
    <s v="Italy"/>
    <s v="41.902782"/>
    <s v="12.496366"/>
    <s v="Transportation &amp; Logistics"/>
    <s v="Medium (201-500)"/>
    <s v="John Smith"/>
    <d v="2024-03-19T00:00:00"/>
    <s v="Custom solution"/>
    <x v="4"/>
    <x v="4"/>
    <s v="Initial contact"/>
    <n v="2"/>
    <n v="1307"/>
    <n v="20"/>
    <d v="2025-01-01T00:00:00"/>
    <m/>
  </r>
  <r>
    <x v="1288"/>
    <s v="France"/>
    <s v="48.864716"/>
    <s v="2.349014"/>
    <s v="Banking and Finance"/>
    <s v="Medium (201-500)"/>
    <s v="Sarah Davis"/>
    <d v="2024-03-10T00:00:00"/>
    <s v="SAAS"/>
    <x v="4"/>
    <x v="4"/>
    <s v="Initial contact"/>
    <n v="2"/>
    <n v="3725"/>
    <n v="40"/>
    <d v="2024-12-14T00:00:00"/>
    <m/>
  </r>
  <r>
    <x v="1289"/>
    <s v="Austria"/>
    <s v="48.210033"/>
    <s v="16.363449"/>
    <s v="Energy &amp; Utilities"/>
    <s v="Medium (201-500)"/>
    <s v="Jessica Martinez"/>
    <d v="2024-04-26T00:00:00"/>
    <s v="Services"/>
    <x v="4"/>
    <x v="4"/>
    <s v="Initial contact"/>
    <n v="2"/>
    <n v="5200"/>
    <n v="40"/>
    <d v="2024-12-29T00:00:00"/>
    <m/>
  </r>
  <r>
    <x v="1290"/>
    <s v="France"/>
    <s v="48.864716"/>
    <s v="2.349014"/>
    <s v="Energy &amp; Utilities"/>
    <s v="Medium (201-500)"/>
    <s v="Jessica Martinez"/>
    <d v="2024-05-22T00:00:00"/>
    <s v="Custom solution"/>
    <x v="4"/>
    <x v="4"/>
    <s v="Initial contact"/>
    <n v="2"/>
    <n v="7311"/>
    <n v="70"/>
    <d v="2025-05-17T00:00:00"/>
    <m/>
  </r>
  <r>
    <x v="1291"/>
    <s v="Belgium"/>
    <s v="51.260197"/>
    <s v="4.402771"/>
    <s v="Professional Services  &amp; Consulting"/>
    <s v="Medium (201-500)"/>
    <s v="Laura Thompson"/>
    <d v="2024-01-28T00:00:00"/>
    <s v="Custom solution"/>
    <x v="4"/>
    <x v="4"/>
    <s v="Initial contact"/>
    <n v="2"/>
    <n v="1173"/>
    <n v="40"/>
    <d v="2024-08-04T00:00:00"/>
    <m/>
  </r>
  <r>
    <x v="1292"/>
    <s v="Portugal"/>
    <s v="38.736946"/>
    <s v="-9.142685"/>
    <s v="Retail &amp; Distribution"/>
    <s v="Medium (201-500)"/>
    <s v="David Wilson"/>
    <d v="2024-05-05T00:00:00"/>
    <s v="Custom solution"/>
    <x v="4"/>
    <x v="4"/>
    <s v="Initial contact"/>
    <n v="2"/>
    <n v="7339"/>
    <n v="70"/>
    <d v="2024-12-30T00:00:00"/>
    <m/>
  </r>
  <r>
    <x v="1293"/>
    <s v="Germany"/>
    <s v="52.520008"/>
    <s v="13.404954"/>
    <s v="Manufacturing &amp; Production"/>
    <s v="Medium (201-500)"/>
    <s v="Emily Johnson"/>
    <d v="2024-05-18T00:00:00"/>
    <s v="SAAS"/>
    <x v="4"/>
    <x v="4"/>
    <s v="Initial contact"/>
    <n v="2"/>
    <n v="5441"/>
    <n v="40"/>
    <d v="2024-07-18T00:00:00"/>
    <m/>
  </r>
  <r>
    <x v="1294"/>
    <s v="Germany"/>
    <s v="52.520008"/>
    <s v="13.404954"/>
    <s v="Entertainment &amp; Media &amp; Hospitality"/>
    <s v="Medium (201-500)"/>
    <s v="David Wilson"/>
    <d v="2024-03-04T00:00:00"/>
    <s v="SAAS"/>
    <x v="4"/>
    <x v="4"/>
    <s v="Initial contact"/>
    <n v="2"/>
    <n v="6675"/>
    <n v="20"/>
    <d v="2024-12-11T00:00:00"/>
    <m/>
  </r>
  <r>
    <x v="1295"/>
    <s v="Belgium"/>
    <s v="51.260197"/>
    <s v="4.402771"/>
    <s v="Banking and Finance"/>
    <s v="Medium (201-500)"/>
    <s v="David Wilson"/>
    <d v="2024-03-15T00:00:00"/>
    <s v="Custom solution"/>
    <x v="4"/>
    <x v="4"/>
    <s v="Initial contact"/>
    <n v="2"/>
    <n v="6553"/>
    <n v="30"/>
    <d v="2024-09-29T00:00:00"/>
    <m/>
  </r>
  <r>
    <x v="1296"/>
    <s v="Germany"/>
    <s v="52.520008"/>
    <s v="13.404954"/>
    <s v="Construction &amp; Engineering"/>
    <s v="Medium (201-500)"/>
    <s v="Emily Johnson"/>
    <d v="2024-04-20T00:00:00"/>
    <s v="Custom solution"/>
    <x v="4"/>
    <x v="4"/>
    <s v="Initial contact"/>
    <n v="2"/>
    <n v="6215"/>
    <n v="40"/>
    <d v="2024-06-30T00:00:00"/>
    <m/>
  </r>
  <r>
    <x v="1297"/>
    <s v="Germany"/>
    <s v="52.520008"/>
    <s v="13.404954"/>
    <s v="IT &amp; IT Services"/>
    <s v="Medium (201-500)"/>
    <s v="Laura Thompson"/>
    <d v="2024-03-30T00:00:00"/>
    <s v="SAAS"/>
    <x v="4"/>
    <x v="4"/>
    <s v="Initial contact"/>
    <n v="2"/>
    <n v="7596"/>
    <n v="30"/>
    <d v="2024-05-02T00:00:00"/>
    <m/>
  </r>
  <r>
    <x v="1298"/>
    <s v="Italy"/>
    <s v="41.902782"/>
    <s v="12.496366"/>
    <s v="Telecommunications"/>
    <s v="Medium (201-500)"/>
    <s v="Jessica Martinez"/>
    <d v="2024-05-26T00:00:00"/>
    <s v="SAAS"/>
    <x v="4"/>
    <x v="4"/>
    <s v="Initial contact"/>
    <n v="2"/>
    <n v="7503"/>
    <n v="50"/>
    <d v="2025-02-05T00:00:00"/>
    <m/>
  </r>
  <r>
    <x v="1299"/>
    <s v="Italy"/>
    <s v="41.902782"/>
    <s v="12.496366"/>
    <s v="IT &amp; IT Services"/>
    <s v="Medium (201-500)"/>
    <s v="Jessica Martinez"/>
    <d v="2024-03-01T00:00:00"/>
    <s v="Custom solution"/>
    <x v="4"/>
    <x v="4"/>
    <s v="Initial contact"/>
    <n v="2"/>
    <n v="3606"/>
    <n v="30"/>
    <d v="2024-09-20T00:00:00"/>
    <m/>
  </r>
  <r>
    <x v="1300"/>
    <s v="Switzerland"/>
    <s v="46.204391"/>
    <s v="6.143158"/>
    <s v="Agriculture &amp; Mining"/>
    <s v="Medium (201-500)"/>
    <s v="Laura Thompson"/>
    <d v="2024-02-03T00:00:00"/>
    <s v="SAAS"/>
    <x v="4"/>
    <x v="4"/>
    <s v="Initial contact"/>
    <n v="2"/>
    <n v="4178"/>
    <n v="60"/>
    <d v="2024-04-15T00:00:00"/>
    <m/>
  </r>
  <r>
    <x v="1301"/>
    <s v="Switzerland"/>
    <s v="46.204391"/>
    <s v="6.143158"/>
    <s v="Banking and Finance"/>
    <s v="Medium (201-500)"/>
    <s v="John Smith"/>
    <d v="2024-04-08T00:00:00"/>
    <s v="Custom solution"/>
    <x v="4"/>
    <x v="4"/>
    <s v="Initial contact"/>
    <n v="2"/>
    <n v="529"/>
    <n v="20"/>
    <d v="2024-11-23T00:00:00"/>
    <m/>
  </r>
  <r>
    <x v="1302"/>
    <s v="Italy"/>
    <s v="41.902782"/>
    <s v="12.496366"/>
    <s v="IT &amp; IT Services"/>
    <s v="Medium (201-500)"/>
    <s v="Emily Johnson"/>
    <d v="2024-03-05T00:00:00"/>
    <s v="Custom solution"/>
    <x v="4"/>
    <x v="4"/>
    <s v="Initial contact"/>
    <n v="2"/>
    <n v="6577"/>
    <n v="20"/>
    <d v="2024-11-15T00:00:00"/>
    <m/>
  </r>
  <r>
    <x v="1303"/>
    <s v="Portugal"/>
    <s v="38.736946"/>
    <s v="-9.142685"/>
    <s v="IT &amp; IT Services"/>
    <s v="Medium (201-500)"/>
    <s v="Jessica Martinez"/>
    <d v="2024-01-23T00:00:00"/>
    <s v="Services"/>
    <x v="4"/>
    <x v="4"/>
    <s v="Initial contact"/>
    <n v="2"/>
    <n v="1908"/>
    <n v="50"/>
    <d v="2025-01-20T00:00:00"/>
    <m/>
  </r>
  <r>
    <x v="1304"/>
    <s v="Germany"/>
    <s v="52.520008"/>
    <s v="13.404954"/>
    <s v="Transportation &amp; Logistics"/>
    <s v="Medium (201-500)"/>
    <s v="Jessica Martinez"/>
    <d v="2024-04-28T00:00:00"/>
    <s v="Services"/>
    <x v="4"/>
    <x v="4"/>
    <s v="Initial contact"/>
    <n v="2"/>
    <n v="360"/>
    <n v="10"/>
    <d v="2024-11-05T00:00:00"/>
    <m/>
  </r>
  <r>
    <x v="1305"/>
    <s v="Germany"/>
    <s v="52.520008"/>
    <s v="13.404954"/>
    <s v="IT &amp; IT Services"/>
    <s v="Medium (201-500)"/>
    <s v="Laura Thompson"/>
    <d v="2024-04-29T00:00:00"/>
    <s v="SAAS"/>
    <x v="4"/>
    <x v="4"/>
    <s v="Initial contact"/>
    <n v="2"/>
    <n v="7973"/>
    <n v="30"/>
    <d v="2024-09-13T00:00:00"/>
    <m/>
  </r>
  <r>
    <x v="1306"/>
    <s v="Germany"/>
    <s v="52.520008"/>
    <s v="13.404954"/>
    <s v="Construction &amp; Engineering"/>
    <s v="Medium (201-500)"/>
    <s v="Michael Brown"/>
    <d v="2024-05-18T00:00:00"/>
    <s v="Services"/>
    <x v="4"/>
    <x v="4"/>
    <s v="Initial contact"/>
    <n v="2"/>
    <n v="2029"/>
    <n v="20"/>
    <d v="2024-08-12T00:00:00"/>
    <m/>
  </r>
  <r>
    <x v="1307"/>
    <s v="Germany"/>
    <s v="52.520008"/>
    <s v="13.404954"/>
    <s v="Transportation &amp; Logistics"/>
    <s v="Medium (201-500)"/>
    <s v="Sarah Davis"/>
    <d v="2024-05-21T00:00:00"/>
    <s v="SAAS"/>
    <x v="4"/>
    <x v="4"/>
    <s v="Initial contact"/>
    <n v="2"/>
    <n v="3487"/>
    <n v="30"/>
    <d v="2025-01-08T00:00:00"/>
    <m/>
  </r>
  <r>
    <x v="1308"/>
    <s v="Netherlands"/>
    <s v="52.370216"/>
    <s v="4.895168"/>
    <s v="Government Administration Healthcare"/>
    <s v="Medium (201-500)"/>
    <s v="Laura Thompson"/>
    <d v="2024-05-26T00:00:00"/>
    <s v="Custom solution"/>
    <x v="4"/>
    <x v="4"/>
    <s v="Initial contact"/>
    <n v="2"/>
    <n v="5274"/>
    <n v="70"/>
    <d v="2024-10-23T00:00:00"/>
    <m/>
  </r>
  <r>
    <x v="1309"/>
    <s v="Austria"/>
    <s v="48.210033"/>
    <s v="16.363449"/>
    <s v="Construction &amp; Engineering"/>
    <s v="Medium (201-500)"/>
    <s v="Jessica Martinez"/>
    <d v="2024-05-26T00:00:00"/>
    <s v="Services"/>
    <x v="4"/>
    <x v="4"/>
    <s v="Initial contact"/>
    <n v="2"/>
    <n v="7451"/>
    <n v="20"/>
    <d v="2024-07-31T00:00:00"/>
    <m/>
  </r>
  <r>
    <x v="1310"/>
    <s v="France"/>
    <s v="48.864716"/>
    <s v="2.349014"/>
    <s v="Manufacturing &amp; Production"/>
    <s v="Medium (201-500)"/>
    <s v="Laura Thompson"/>
    <d v="2024-01-13T00:00:00"/>
    <s v="SAAS"/>
    <x v="4"/>
    <x v="4"/>
    <s v="Initial contact"/>
    <n v="2"/>
    <n v="4486"/>
    <n v="60"/>
    <d v="2024-12-30T00:00:00"/>
    <m/>
  </r>
  <r>
    <x v="1311"/>
    <s v="Germany"/>
    <s v="52.520008"/>
    <s v="13.404954"/>
    <s v="Government Administration Healthcare"/>
    <s v="Medium (201-500)"/>
    <s v="John Smith"/>
    <d v="2024-02-06T00:00:00"/>
    <s v="Custom solution"/>
    <x v="4"/>
    <x v="4"/>
    <s v="Initial contact"/>
    <n v="2"/>
    <n v="7066"/>
    <n v="80"/>
    <d v="2024-07-03T00:00:00"/>
    <m/>
  </r>
  <r>
    <x v="1312"/>
    <s v="Portugal"/>
    <s v="38.736946"/>
    <s v="-9.142685"/>
    <s v="IT &amp; IT Services"/>
    <s v="Medium (201-500)"/>
    <s v="John Smith"/>
    <d v="2024-05-23T00:00:00"/>
    <s v="SAAS"/>
    <x v="4"/>
    <x v="4"/>
    <s v="Initial contact"/>
    <n v="2"/>
    <n v="1015"/>
    <n v="20"/>
    <d v="2024-11-28T00:00:00"/>
    <m/>
  </r>
  <r>
    <x v="1313"/>
    <s v="France"/>
    <s v="48.864716"/>
    <s v="2.349014"/>
    <s v="Manufacturing &amp; Production"/>
    <s v="Medium (201-500)"/>
    <s v="Laura Thompson"/>
    <d v="2024-05-21T00:00:00"/>
    <s v="Custom solution"/>
    <x v="4"/>
    <x v="4"/>
    <s v="Initial contact"/>
    <n v="2"/>
    <n v="6185"/>
    <n v="70"/>
    <d v="2024-08-26T00:00:00"/>
    <m/>
  </r>
  <r>
    <x v="1314"/>
    <s v="Italy"/>
    <s v="41.902782"/>
    <s v="12.496366"/>
    <s v="Transportation &amp; Logistics"/>
    <s v="Medium (201-500)"/>
    <s v="Jessica Martinez"/>
    <d v="2024-04-13T00:00:00"/>
    <s v="Services"/>
    <x v="4"/>
    <x v="4"/>
    <s v="Initial contact"/>
    <n v="2"/>
    <n v="4202"/>
    <n v="40"/>
    <d v="2024-11-03T00:00:00"/>
    <m/>
  </r>
  <r>
    <x v="1315"/>
    <s v="Germany"/>
    <s v="52.520008"/>
    <s v="13.404954"/>
    <s v="Banking and Finance"/>
    <s v="Medium (201-500)"/>
    <s v="Michael Brown"/>
    <d v="2024-03-05T00:00:00"/>
    <s v="Custom solution"/>
    <x v="4"/>
    <x v="4"/>
    <s v="Initial contact"/>
    <n v="2"/>
    <n v="4592"/>
    <n v="20"/>
    <d v="2024-09-26T00:00:00"/>
    <m/>
  </r>
  <r>
    <x v="1316"/>
    <s v="Netherlands"/>
    <s v="52.370216"/>
    <s v="4.895168"/>
    <s v="IT &amp; IT Services"/>
    <s v="Medium (201-500)"/>
    <s v="Laura Thompson"/>
    <d v="2024-03-23T00:00:00"/>
    <s v="Services"/>
    <x v="4"/>
    <x v="4"/>
    <s v="Initial contact"/>
    <n v="2"/>
    <n v="5567"/>
    <n v="30"/>
    <d v="2024-08-12T00:00:00"/>
    <m/>
  </r>
  <r>
    <x v="1317"/>
    <s v="Portugal"/>
    <s v="38.736946"/>
    <s v="-9.142685"/>
    <s v="Entertainment &amp; Media &amp; Hospitality"/>
    <s v="Medium (201-500)"/>
    <s v="Jessica Martinez"/>
    <d v="2024-04-11T00:00:00"/>
    <s v="SAAS"/>
    <x v="4"/>
    <x v="4"/>
    <s v="Initial contact"/>
    <n v="2"/>
    <n v="7438"/>
    <n v="60"/>
    <d v="2024-08-12T00:00:00"/>
    <m/>
  </r>
  <r>
    <x v="1318"/>
    <s v="Italy"/>
    <s v="41.902782"/>
    <s v="12.496366"/>
    <s v="Entertainment &amp; Media &amp; Hospitality"/>
    <s v="Medium (201-500)"/>
    <s v="Laura Thompson"/>
    <d v="2024-02-26T00:00:00"/>
    <s v="SAAS"/>
    <x v="4"/>
    <x v="4"/>
    <s v="Initial contact"/>
    <n v="2"/>
    <n v="7116"/>
    <n v="20"/>
    <d v="2024-07-23T00:00:00"/>
    <m/>
  </r>
  <r>
    <x v="1319"/>
    <s v="Italy"/>
    <s v="41.902782"/>
    <s v="12.496366"/>
    <s v="Banking and Finance"/>
    <s v="Medium (201-500)"/>
    <s v="Kevin Anderson"/>
    <d v="2024-05-09T00:00:00"/>
    <s v="SAAS"/>
    <x v="4"/>
    <x v="4"/>
    <s v="Initial contact"/>
    <n v="2"/>
    <n v="3763"/>
    <n v="60"/>
    <d v="2025-01-20T00:00:00"/>
    <m/>
  </r>
  <r>
    <x v="1320"/>
    <s v="Austria"/>
    <s v="48.210033"/>
    <s v="16.363449"/>
    <s v="Education &amp; Science"/>
    <s v="Medium (201-500)"/>
    <s v="Laura Thompson"/>
    <d v="2024-05-15T00:00:00"/>
    <s v="SAAS"/>
    <x v="4"/>
    <x v="4"/>
    <s v="Initial contact"/>
    <n v="2"/>
    <n v="520"/>
    <n v="30"/>
    <d v="2024-12-21T00:00:00"/>
    <m/>
  </r>
  <r>
    <x v="1321"/>
    <s v="Germany"/>
    <s v="52.520008"/>
    <s v="13.404954"/>
    <s v="Transportation &amp; Logistics"/>
    <s v="Medium (201-500)"/>
    <s v="Laura Thompson"/>
    <d v="2024-02-02T00:00:00"/>
    <s v="Services"/>
    <x v="4"/>
    <x v="4"/>
    <s v="Initial contact"/>
    <n v="2"/>
    <n v="7236"/>
    <n v="70"/>
    <d v="2024-05-09T00:00:00"/>
    <m/>
  </r>
  <r>
    <x v="1322"/>
    <s v="France"/>
    <s v="48.864716"/>
    <s v="2.349014"/>
    <s v="Manufacturing &amp; Production"/>
    <s v="Medium (201-500)"/>
    <s v="Jessica Martinez"/>
    <d v="2024-03-07T00:00:00"/>
    <s v="Services"/>
    <x v="4"/>
    <x v="4"/>
    <s v="Initial contact"/>
    <n v="2"/>
    <n v="7972"/>
    <n v="30"/>
    <d v="2024-04-17T00:00:00"/>
    <m/>
  </r>
  <r>
    <x v="1323"/>
    <s v="Portugal"/>
    <s v="38.736946"/>
    <s v="-9.142685"/>
    <s v="Retail &amp; Distribution"/>
    <s v="Medium (201-500)"/>
    <s v="Michael Brown"/>
    <d v="2024-01-03T00:00:00"/>
    <s v="Services"/>
    <x v="4"/>
    <x v="4"/>
    <s v="Initial contact"/>
    <n v="2"/>
    <n v="5674"/>
    <n v="50"/>
    <d v="2024-03-16T00:00:00"/>
    <m/>
  </r>
  <r>
    <x v="1324"/>
    <s v="Spain"/>
    <s v="40.416775"/>
    <s v="-3.703790"/>
    <s v="Transportation &amp; Logistics"/>
    <s v="Large (501-1000)"/>
    <s v="Kevin Anderson"/>
    <d v="2024-01-13T00:00:00"/>
    <s v="Services"/>
    <x v="4"/>
    <x v="4"/>
    <s v="Initial contact"/>
    <n v="2"/>
    <n v="3461"/>
    <n v="30"/>
    <d v="2024-07-21T00:00:00"/>
    <m/>
  </r>
  <r>
    <x v="1325"/>
    <s v="Germany"/>
    <s v="52.520008"/>
    <s v="13.404954"/>
    <s v="IT &amp; IT Services"/>
    <s v="Large (501-1000)"/>
    <s v="Emily Johnson"/>
    <d v="2024-02-17T00:00:00"/>
    <s v="Services"/>
    <x v="4"/>
    <x v="4"/>
    <s v="Initial contact"/>
    <n v="2"/>
    <n v="2425"/>
    <n v="20"/>
    <d v="2024-11-02T00:00:00"/>
    <m/>
  </r>
  <r>
    <x v="1326"/>
    <s v="Italy"/>
    <s v="41.902782"/>
    <s v="12.496366"/>
    <s v="Banking and Finance"/>
    <s v="Large (501-1000)"/>
    <s v="John Smith"/>
    <d v="2024-04-01T00:00:00"/>
    <s v="SAAS"/>
    <x v="4"/>
    <x v="4"/>
    <s v="Initial contact"/>
    <n v="2"/>
    <n v="19997"/>
    <n v="100"/>
    <d v="2024-07-25T00:00:00"/>
    <m/>
  </r>
  <r>
    <x v="1327"/>
    <s v="Italy"/>
    <s v="41.902782"/>
    <s v="12.496366"/>
    <s v="Manufacturing &amp; Production"/>
    <s v="Large (501-1000)"/>
    <s v="Michael Brown"/>
    <d v="2024-04-29T00:00:00"/>
    <s v="Services"/>
    <x v="4"/>
    <x v="4"/>
    <s v="Initial contact"/>
    <n v="2"/>
    <n v="3823"/>
    <n v="50"/>
    <d v="2024-12-10T00:00:00"/>
    <m/>
  </r>
  <r>
    <x v="1328"/>
    <s v="Switzerland"/>
    <s v="46.204391"/>
    <s v="6.143158"/>
    <s v="Manufacturing &amp; Production"/>
    <s v="Large (501-1000)"/>
    <s v="John Smith"/>
    <d v="2024-04-06T00:00:00"/>
    <s v="Custom solution"/>
    <x v="4"/>
    <x v="4"/>
    <s v="Initial contact"/>
    <n v="2"/>
    <n v="9441"/>
    <n v="50"/>
    <d v="2024-10-23T00:00:00"/>
    <m/>
  </r>
  <r>
    <x v="1329"/>
    <s v="Portugal"/>
    <s v="38.736946"/>
    <s v="-9.142685"/>
    <s v="Banking and Finance"/>
    <s v="Large (501-1000)"/>
    <s v="Laura Thompson"/>
    <d v="2024-04-26T00:00:00"/>
    <s v="Services"/>
    <x v="4"/>
    <x v="4"/>
    <s v="Initial contact"/>
    <n v="2"/>
    <n v="16217"/>
    <n v="40"/>
    <d v="2025-02-27T00:00:00"/>
    <m/>
  </r>
  <r>
    <x v="1330"/>
    <s v="Spain"/>
    <s v="40.416775"/>
    <s v="-3.703790"/>
    <s v="Government Administration Healthcare"/>
    <s v="Large (501-1000)"/>
    <s v="Jessica Martinez"/>
    <d v="2024-04-15T00:00:00"/>
    <s v="SAAS"/>
    <x v="4"/>
    <x v="4"/>
    <s v="Initial contact"/>
    <n v="2"/>
    <n v="15769"/>
    <n v="50"/>
    <d v="2024-09-19T00:00:00"/>
    <m/>
  </r>
  <r>
    <x v="1331"/>
    <s v="Germany"/>
    <s v="52.520008"/>
    <s v="13.404954"/>
    <s v="Banking and Finance"/>
    <s v="Large (501-1000)"/>
    <s v="David Wilson"/>
    <d v="2024-02-28T00:00:00"/>
    <s v="Custom solution"/>
    <x v="4"/>
    <x v="4"/>
    <s v="Initial contact"/>
    <n v="2"/>
    <n v="8716"/>
    <n v="30"/>
    <d v="2024-09-18T00:00:00"/>
    <m/>
  </r>
  <r>
    <x v="1332"/>
    <s v="Germany"/>
    <s v="52.520008"/>
    <s v="13.404954"/>
    <s v="Transportation &amp; Logistics"/>
    <s v="Large (501-1000)"/>
    <s v="Jessica Martinez"/>
    <d v="2024-03-22T00:00:00"/>
    <s v="Custom solution"/>
    <x v="4"/>
    <x v="4"/>
    <s v="Initial contact"/>
    <n v="2"/>
    <n v="11913"/>
    <n v="50"/>
    <d v="2024-12-10T00:00:00"/>
    <m/>
  </r>
  <r>
    <x v="1333"/>
    <s v="France"/>
    <s v="48.864716"/>
    <s v="2.349014"/>
    <s v="Recreation &amp; Sports"/>
    <s v="Enterprise (1001+)"/>
    <s v="Jessica Martinez"/>
    <d v="2024-05-25T00:00:00"/>
    <s v="Services"/>
    <x v="4"/>
    <x v="4"/>
    <s v="Initial contact"/>
    <n v="2"/>
    <n v="17606"/>
    <n v="20"/>
    <d v="2024-06-29T00:00:00"/>
    <m/>
  </r>
  <r>
    <x v="1334"/>
    <s v="Belgium"/>
    <s v="51.260197"/>
    <s v="4.402771"/>
    <s v="Agriculture &amp; Mining"/>
    <s v="Enterprise (1001+)"/>
    <s v="Laura Thompson"/>
    <d v="2024-05-10T00:00:00"/>
    <s v="SAAS"/>
    <x v="4"/>
    <x v="4"/>
    <s v="Initial contact"/>
    <n v="2"/>
    <n v="17361"/>
    <n v="30"/>
    <d v="2024-11-24T00:00:00"/>
    <m/>
  </r>
  <r>
    <x v="1335"/>
    <s v="France"/>
    <s v="48.864716"/>
    <s v="2.349014"/>
    <s v="Manufacturing &amp; Production"/>
    <s v="Enterprise (1001+)"/>
    <s v="Laura Thompson"/>
    <d v="2024-05-10T00:00:00"/>
    <s v="Custom solution"/>
    <x v="4"/>
    <x v="4"/>
    <s v="Initial contact"/>
    <n v="2"/>
    <n v="15588"/>
    <n v="40"/>
    <d v="2025-02-26T00:00:00"/>
    <m/>
  </r>
  <r>
    <x v="1336"/>
    <s v="Portugal"/>
    <s v="38.736946"/>
    <s v="-9.142685"/>
    <s v="Government Administration Healthcare"/>
    <s v="Small (11-200)"/>
    <s v="Michael Brown"/>
    <d v="2024-01-28T00:00:00"/>
    <s v="SAAS"/>
    <x v="4"/>
    <x v="4"/>
    <s v="Lost"/>
    <n v="6"/>
    <n v="1615"/>
    <n v="30"/>
    <d v="2024-07-13T00:00:00"/>
    <m/>
  </r>
  <r>
    <x v="1337"/>
    <s v="Germany"/>
    <s v="52.520008"/>
    <s v="13.404954"/>
    <s v="IT &amp; IT Services"/>
    <s v="Small (11-200)"/>
    <s v="Laura Thompson"/>
    <d v="2024-02-27T00:00:00"/>
    <s v="Services"/>
    <x v="4"/>
    <x v="4"/>
    <s v="Lost"/>
    <n v="6"/>
    <n v="1317"/>
    <n v="20"/>
    <d v="2024-12-26T00:00:00"/>
    <m/>
  </r>
  <r>
    <x v="1338"/>
    <s v="Italy"/>
    <s v="41.902782"/>
    <s v="12.496366"/>
    <s v="IT &amp; IT Services"/>
    <s v="Small (11-200)"/>
    <s v="Sarah Davis"/>
    <d v="2024-04-09T00:00:00"/>
    <s v="SAAS"/>
    <x v="4"/>
    <x v="4"/>
    <s v="Lost"/>
    <n v="6"/>
    <n v="1152"/>
    <n v="50"/>
    <d v="2024-10-22T00:00:00"/>
    <m/>
  </r>
  <r>
    <x v="1339"/>
    <s v="France"/>
    <s v="48.864716"/>
    <s v="2.349014"/>
    <s v="Agriculture &amp; Mining"/>
    <s v="Small (11-200)"/>
    <s v="David Wilson"/>
    <d v="2024-04-10T00:00:00"/>
    <s v="SAAS"/>
    <x v="4"/>
    <x v="4"/>
    <s v="Lost"/>
    <n v="6"/>
    <n v="1158"/>
    <n v="30"/>
    <d v="2024-11-22T00:00:00"/>
    <m/>
  </r>
  <r>
    <x v="1340"/>
    <s v="Belgium"/>
    <s v="51.260197"/>
    <s v="4.402771"/>
    <s v="Transportation &amp; Logistics"/>
    <s v="Small (11-200)"/>
    <s v="Laura Thompson"/>
    <d v="2024-04-26T00:00:00"/>
    <s v="Custom solution"/>
    <x v="4"/>
    <x v="4"/>
    <s v="Lost"/>
    <n v="6"/>
    <n v="1306"/>
    <n v="50"/>
    <d v="2025-03-24T00:00:00"/>
    <m/>
  </r>
  <r>
    <x v="1341"/>
    <s v="Germany"/>
    <s v="52.520008"/>
    <s v="13.404954"/>
    <s v="Recreation &amp; Sports"/>
    <s v="Small (11-200)"/>
    <s v="John Smith"/>
    <d v="2024-01-13T00:00:00"/>
    <s v="Services"/>
    <x v="4"/>
    <x v="4"/>
    <s v="Lost"/>
    <n v="6"/>
    <n v="1170"/>
    <n v="20"/>
    <d v="2024-04-15T00:00:00"/>
    <m/>
  </r>
  <r>
    <x v="1342"/>
    <s v="Germany"/>
    <s v="52.520008"/>
    <s v="13.404954"/>
    <s v="Agriculture &amp; Mining"/>
    <s v="Small (11-200)"/>
    <s v="Emily Johnson"/>
    <d v="2024-01-13T00:00:00"/>
    <s v="Custom solution"/>
    <x v="4"/>
    <x v="4"/>
    <s v="Lost"/>
    <n v="6"/>
    <n v="1791"/>
    <n v="30"/>
    <d v="2024-08-29T00:00:00"/>
    <m/>
  </r>
  <r>
    <x v="1343"/>
    <s v="Germany"/>
    <s v="52.520008"/>
    <s v="13.404954"/>
    <s v="Recreation &amp; Sports"/>
    <s v="Small (11-200)"/>
    <s v="Emily Johnson"/>
    <d v="2024-02-07T00:00:00"/>
    <s v="SAAS"/>
    <x v="4"/>
    <x v="4"/>
    <s v="Lost"/>
    <n v="6"/>
    <n v="632"/>
    <n v="50"/>
    <d v="2024-09-30T00:00:00"/>
    <m/>
  </r>
  <r>
    <x v="1344"/>
    <s v="Belgium"/>
    <s v="51.260197"/>
    <s v="4.402771"/>
    <s v="Manufacturing &amp; Production"/>
    <s v="Small (11-200)"/>
    <s v="Michael Brown"/>
    <d v="2024-05-11T00:00:00"/>
    <s v="Custom solution"/>
    <x v="4"/>
    <x v="4"/>
    <s v="Lost"/>
    <n v="6"/>
    <n v="644"/>
    <n v="20"/>
    <d v="2025-01-10T00:00:00"/>
    <m/>
  </r>
  <r>
    <x v="1345"/>
    <s v="France"/>
    <s v="48.864716"/>
    <s v="2.349014"/>
    <s v="Transportation &amp; Logistics"/>
    <s v="Small (11-200)"/>
    <s v="David Wilson"/>
    <d v="2024-03-30T00:00:00"/>
    <s v="SAAS"/>
    <x v="4"/>
    <x v="4"/>
    <s v="Lost"/>
    <n v="6"/>
    <n v="229"/>
    <n v="20"/>
    <d v="2025-03-23T00:00:00"/>
    <m/>
  </r>
  <r>
    <x v="1346"/>
    <s v="Switzerland"/>
    <s v="46.204391"/>
    <s v="6.143158"/>
    <s v="Professional Services  &amp; Consulting"/>
    <s v="Small (11-200)"/>
    <s v="Kevin Anderson"/>
    <d v="2024-05-02T00:00:00"/>
    <s v="Custom solution"/>
    <x v="4"/>
    <x v="4"/>
    <s v="Lost"/>
    <n v="6"/>
    <n v="1767"/>
    <n v="40"/>
    <d v="2024-10-24T00:00:00"/>
    <m/>
  </r>
  <r>
    <x v="1347"/>
    <s v="Germany"/>
    <s v="52.520008"/>
    <s v="13.404954"/>
    <s v="Energy &amp; Utilities"/>
    <s v="Small (11-200)"/>
    <s v="Emily Johnson"/>
    <d v="2024-04-07T00:00:00"/>
    <s v="SAAS"/>
    <x v="4"/>
    <x v="4"/>
    <s v="Lost"/>
    <n v="6"/>
    <n v="1844"/>
    <n v="20"/>
    <d v="2025-01-21T00:00:00"/>
    <m/>
  </r>
  <r>
    <x v="1348"/>
    <s v="Italy"/>
    <s v="41.902782"/>
    <s v="12.496366"/>
    <s v="Agriculture &amp; Mining"/>
    <s v="Small (11-200)"/>
    <s v="Michael Brown"/>
    <d v="2024-01-21T00:00:00"/>
    <s v="Custom solution"/>
    <x v="4"/>
    <x v="4"/>
    <s v="Lost"/>
    <n v="6"/>
    <n v="1361"/>
    <n v="40"/>
    <d v="2024-06-22T00:00:00"/>
    <m/>
  </r>
  <r>
    <x v="1349"/>
    <s v="Italy"/>
    <s v="41.902782"/>
    <s v="12.496366"/>
    <s v="Transportation &amp; Logistics"/>
    <s v="Small (11-200)"/>
    <s v="John Smith"/>
    <d v="2024-04-19T00:00:00"/>
    <s v="Services"/>
    <x v="4"/>
    <x v="4"/>
    <s v="Lost"/>
    <n v="6"/>
    <n v="1548"/>
    <n v="20"/>
    <d v="2024-08-10T00:00:00"/>
    <m/>
  </r>
  <r>
    <x v="1350"/>
    <s v="Netherlands"/>
    <s v="52.370216"/>
    <s v="4.895168"/>
    <s v="Banking and Finance"/>
    <s v="Small (11-200)"/>
    <s v="David Wilson"/>
    <d v="2024-01-06T00:00:00"/>
    <s v="Services"/>
    <x v="4"/>
    <x v="4"/>
    <s v="Lost"/>
    <n v="6"/>
    <n v="1976"/>
    <n v="40"/>
    <d v="2024-12-05T00:00:00"/>
    <m/>
  </r>
  <r>
    <x v="1351"/>
    <s v="Germany"/>
    <s v="52.520008"/>
    <s v="13.404954"/>
    <s v="Recreation &amp; Sports"/>
    <s v="Small (11-200)"/>
    <s v="Michael Brown"/>
    <d v="2024-03-12T00:00:00"/>
    <s v="SAAS"/>
    <x v="4"/>
    <x v="4"/>
    <s v="Lost"/>
    <n v="6"/>
    <n v="741"/>
    <n v="30"/>
    <d v="2024-04-02T00:00:00"/>
    <m/>
  </r>
  <r>
    <x v="1352"/>
    <s v="Italy"/>
    <s v="41.902782"/>
    <s v="12.496366"/>
    <s v="Entertainment &amp; Media &amp; Hospitality"/>
    <s v="Small (11-200)"/>
    <s v="David Wilson"/>
    <d v="2024-04-20T00:00:00"/>
    <s v="Services"/>
    <x v="4"/>
    <x v="4"/>
    <s v="Lost"/>
    <n v="6"/>
    <n v="1006"/>
    <n v="50"/>
    <d v="2025-04-12T00:00:00"/>
    <m/>
  </r>
  <r>
    <x v="1353"/>
    <s v="France"/>
    <s v="48.864716"/>
    <s v="2.349014"/>
    <s v="Transportation &amp; Logistics"/>
    <s v="Small (11-200)"/>
    <s v="John Smith"/>
    <d v="2024-05-07T00:00:00"/>
    <s v="Services"/>
    <x v="4"/>
    <x v="4"/>
    <s v="Lost"/>
    <n v="6"/>
    <n v="1764"/>
    <n v="40"/>
    <d v="2025-01-15T00:00:00"/>
    <m/>
  </r>
  <r>
    <x v="1354"/>
    <s v="Netherlands"/>
    <s v="52.370216"/>
    <s v="4.895168"/>
    <s v="Banking and Finance"/>
    <s v="Small (11-200)"/>
    <s v="Michael Brown"/>
    <d v="2024-01-14T00:00:00"/>
    <s v="SAAS"/>
    <x v="4"/>
    <x v="4"/>
    <s v="Lost"/>
    <n v="6"/>
    <n v="1271"/>
    <n v="40"/>
    <d v="2024-11-29T00:00:00"/>
    <m/>
  </r>
  <r>
    <x v="1355"/>
    <s v="Germany"/>
    <s v="52.520008"/>
    <s v="13.404954"/>
    <s v="Transportation &amp; Logistics"/>
    <s v="Small (11-200)"/>
    <s v="Sarah Davis"/>
    <d v="2024-05-25T00:00:00"/>
    <s v="Services"/>
    <x v="4"/>
    <x v="4"/>
    <s v="Lost"/>
    <n v="6"/>
    <n v="1011"/>
    <n v="40"/>
    <d v="2025-04-04T00:00:00"/>
    <m/>
  </r>
  <r>
    <x v="1356"/>
    <s v="Italy"/>
    <s v="41.902782"/>
    <s v="12.496366"/>
    <s v="Government Administration Healthcare"/>
    <s v="Micro (1-10)"/>
    <s v="Michael Brown"/>
    <d v="2024-03-09T00:00:00"/>
    <s v="Services"/>
    <x v="4"/>
    <x v="4"/>
    <s v="Lost"/>
    <n v="6"/>
    <n v="902"/>
    <n v="40"/>
    <d v="2024-12-19T00:00:00"/>
    <m/>
  </r>
  <r>
    <x v="1357"/>
    <s v="Switzerland"/>
    <s v="46.204391"/>
    <s v="6.143158"/>
    <s v="Entertainment &amp; Media &amp; Hospitality"/>
    <s v="Micro (1-10)"/>
    <s v="Kevin Anderson"/>
    <d v="2024-02-11T00:00:00"/>
    <s v="Services"/>
    <x v="4"/>
    <x v="4"/>
    <s v="Lost"/>
    <n v="6"/>
    <n v="381"/>
    <n v="40"/>
    <d v="2024-09-23T00:00:00"/>
    <m/>
  </r>
  <r>
    <x v="1358"/>
    <s v="Spain"/>
    <s v="40.416775"/>
    <s v="-3.703790"/>
    <s v="Entertainment &amp; Media &amp; Hospitality"/>
    <s v="Micro (1-10)"/>
    <s v="Emily Johnson"/>
    <d v="2024-03-24T00:00:00"/>
    <s v="Custom solution"/>
    <x v="4"/>
    <x v="4"/>
    <s v="Lost"/>
    <n v="6"/>
    <n v="274"/>
    <n v="20"/>
    <d v="2025-03-04T00:00:00"/>
    <m/>
  </r>
  <r>
    <x v="1359"/>
    <s v="France"/>
    <s v="48.864716"/>
    <s v="2.349014"/>
    <s v="Agriculture &amp; Mining"/>
    <s v="Micro (1-10)"/>
    <s v="John Smith"/>
    <d v="2024-03-09T00:00:00"/>
    <s v="Services"/>
    <x v="4"/>
    <x v="4"/>
    <s v="Lost"/>
    <n v="6"/>
    <n v="444"/>
    <n v="70"/>
    <d v="2025-01-29T00:00:00"/>
    <m/>
  </r>
  <r>
    <x v="1360"/>
    <s v="Portugal"/>
    <s v="38.736946"/>
    <s v="-9.142685"/>
    <s v="Government Administration Healthcare"/>
    <s v="Micro (1-10)"/>
    <s v="Laura Thompson"/>
    <d v="2024-01-31T00:00:00"/>
    <s v="SAAS"/>
    <x v="4"/>
    <x v="4"/>
    <s v="Lost"/>
    <n v="6"/>
    <n v="1041"/>
    <n v="60"/>
    <d v="2024-03-25T00:00:00"/>
    <m/>
  </r>
  <r>
    <x v="1361"/>
    <s v="Switzerland"/>
    <s v="46.204391"/>
    <s v="6.143158"/>
    <s v="IT &amp; IT Services"/>
    <s v="Micro (1-10)"/>
    <s v="Jessica Martinez"/>
    <d v="2024-04-01T00:00:00"/>
    <s v="Custom solution"/>
    <x v="4"/>
    <x v="4"/>
    <s v="Lost"/>
    <n v="6"/>
    <n v="891"/>
    <n v="30"/>
    <d v="2024-12-04T00:00:00"/>
    <m/>
  </r>
  <r>
    <x v="1362"/>
    <s v="France"/>
    <s v="48.864716"/>
    <s v="2.349014"/>
    <s v="Agriculture &amp; Mining"/>
    <s v="Micro (1-10)"/>
    <s v="David Wilson"/>
    <d v="2024-04-24T00:00:00"/>
    <s v="Services"/>
    <x v="4"/>
    <x v="4"/>
    <s v="Lost"/>
    <n v="6"/>
    <n v="273"/>
    <n v="90"/>
    <d v="2024-09-25T00:00:00"/>
    <m/>
  </r>
  <r>
    <x v="1363"/>
    <s v="Austria"/>
    <s v="48.210033"/>
    <s v="16.363449"/>
    <s v="Transportation &amp; Logistics"/>
    <s v="Micro (1-10)"/>
    <s v="Laura Thompson"/>
    <d v="2024-04-26T00:00:00"/>
    <s v="SAAS"/>
    <x v="4"/>
    <x v="4"/>
    <s v="Lost"/>
    <n v="6"/>
    <n v="602"/>
    <n v="60"/>
    <d v="2025-04-06T00:00:00"/>
    <m/>
  </r>
  <r>
    <x v="1364"/>
    <s v="Italy"/>
    <s v="41.902782"/>
    <s v="12.496366"/>
    <s v="Government Administration Healthcare"/>
    <s v="Micro (1-10)"/>
    <s v="Emily Johnson"/>
    <d v="2024-02-02T00:00:00"/>
    <s v="SAAS"/>
    <x v="4"/>
    <x v="4"/>
    <s v="Lost"/>
    <n v="6"/>
    <n v="419"/>
    <n v="70"/>
    <d v="2024-09-30T00:00:00"/>
    <m/>
  </r>
  <r>
    <x v="1365"/>
    <s v="Portugal"/>
    <s v="38.736946"/>
    <s v="-9.142685"/>
    <s v="Transportation &amp; Logistics"/>
    <s v="Micro (1-10)"/>
    <s v="Michael Brown"/>
    <d v="2024-02-14T00:00:00"/>
    <s v="SAAS"/>
    <x v="4"/>
    <x v="4"/>
    <s v="Lost"/>
    <n v="6"/>
    <n v="301"/>
    <n v="40"/>
    <d v="2025-01-31T00:00:00"/>
    <m/>
  </r>
  <r>
    <x v="1366"/>
    <s v="Portugal"/>
    <s v="38.736946"/>
    <s v="-9.142685"/>
    <s v="Construction &amp; Engineering"/>
    <s v="Micro (1-10)"/>
    <s v="John Smith"/>
    <d v="2024-03-10T00:00:00"/>
    <s v="Services"/>
    <x v="4"/>
    <x v="4"/>
    <s v="Lost"/>
    <n v="6"/>
    <n v="673"/>
    <n v="50"/>
    <d v="2024-11-30T00:00:00"/>
    <m/>
  </r>
  <r>
    <x v="1367"/>
    <s v="Italy"/>
    <s v="41.902782"/>
    <s v="12.496366"/>
    <s v="Telecommunications"/>
    <s v="Micro (1-10)"/>
    <s v="Laura Thompson"/>
    <d v="2024-03-26T00:00:00"/>
    <s v="Custom solution"/>
    <x v="4"/>
    <x v="4"/>
    <s v="Lost"/>
    <n v="6"/>
    <n v="458"/>
    <n v="20"/>
    <d v="2024-08-29T00:00:00"/>
    <m/>
  </r>
  <r>
    <x v="1368"/>
    <s v="Germany"/>
    <s v="52.520008"/>
    <s v="13.404954"/>
    <s v="Energy &amp; Utilities"/>
    <s v="Medium (201-500)"/>
    <s v="Michael Brown"/>
    <d v="2024-05-08T00:00:00"/>
    <s v="SAAS"/>
    <x v="4"/>
    <x v="4"/>
    <s v="Lost"/>
    <n v="6"/>
    <n v="6177"/>
    <n v="50"/>
    <d v="2024-08-14T00:00:00"/>
    <m/>
  </r>
  <r>
    <x v="1369"/>
    <s v="France"/>
    <s v="48.864716"/>
    <s v="2.349014"/>
    <s v="Agriculture &amp; Mining"/>
    <s v="Medium (201-500)"/>
    <s v="Laura Thompson"/>
    <d v="2024-01-10T00:00:00"/>
    <s v="SAAS"/>
    <x v="4"/>
    <x v="4"/>
    <s v="Lost"/>
    <n v="6"/>
    <n v="2950"/>
    <n v="20"/>
    <d v="2024-06-27T00:00:00"/>
    <m/>
  </r>
  <r>
    <x v="1370"/>
    <s v="Italy"/>
    <s v="41.902782"/>
    <s v="12.496366"/>
    <s v="Banking and Finance"/>
    <s v="Medium (201-500)"/>
    <s v="Laura Thompson"/>
    <d v="2024-01-22T00:00:00"/>
    <s v="SAAS"/>
    <x v="4"/>
    <x v="4"/>
    <s v="Lost"/>
    <n v="6"/>
    <n v="5423"/>
    <n v="40"/>
    <d v="2025-01-01T00:00:00"/>
    <m/>
  </r>
  <r>
    <x v="1371"/>
    <s v="Italy"/>
    <s v="41.902782"/>
    <s v="12.496366"/>
    <s v="Recreation &amp; Sports"/>
    <s v="Medium (201-500)"/>
    <s v="Jessica Martinez"/>
    <d v="2024-01-20T00:00:00"/>
    <s v="SAAS"/>
    <x v="4"/>
    <x v="4"/>
    <s v="Lost"/>
    <n v="6"/>
    <n v="7277"/>
    <n v="50"/>
    <d v="2024-10-14T00:00:00"/>
    <m/>
  </r>
  <r>
    <x v="1372"/>
    <s v="Italy"/>
    <s v="41.902782"/>
    <s v="12.496366"/>
    <s v="Energy &amp; Utilities"/>
    <s v="Medium (201-500)"/>
    <s v="David Wilson"/>
    <d v="2024-01-07T00:00:00"/>
    <s v="Services"/>
    <x v="4"/>
    <x v="4"/>
    <s v="Lost"/>
    <n v="6"/>
    <n v="1133"/>
    <n v="50"/>
    <d v="2024-12-01T00:00:00"/>
    <m/>
  </r>
  <r>
    <x v="1373"/>
    <s v="Switzerland"/>
    <s v="46.204391"/>
    <s v="6.143158"/>
    <s v="Energy &amp; Utilities"/>
    <s v="Medium (201-500)"/>
    <s v="David Wilson"/>
    <d v="2024-01-02T00:00:00"/>
    <s v="SAAS"/>
    <x v="4"/>
    <x v="4"/>
    <s v="Lost"/>
    <n v="6"/>
    <n v="6015"/>
    <n v="40"/>
    <d v="2024-12-09T00:00:00"/>
    <m/>
  </r>
  <r>
    <x v="1374"/>
    <s v="Netherlands"/>
    <s v="52.370216"/>
    <s v="4.895168"/>
    <s v="Agriculture &amp; Mining"/>
    <s v="Medium (201-500)"/>
    <s v="Jessica Martinez"/>
    <d v="2024-05-23T00:00:00"/>
    <s v="Services"/>
    <x v="4"/>
    <x v="4"/>
    <s v="Lost"/>
    <n v="6"/>
    <n v="3264"/>
    <n v="100"/>
    <d v="2025-02-01T00:00:00"/>
    <m/>
  </r>
  <r>
    <x v="1375"/>
    <s v="Austria"/>
    <s v="48.210033"/>
    <s v="16.363449"/>
    <s v="Retail &amp; Distribution"/>
    <s v="Medium (201-500)"/>
    <s v="Jessica Martinez"/>
    <d v="2024-04-15T00:00:00"/>
    <s v="Services"/>
    <x v="4"/>
    <x v="4"/>
    <s v="Lost"/>
    <n v="6"/>
    <n v="2913"/>
    <n v="40"/>
    <d v="2024-10-04T00:00:00"/>
    <m/>
  </r>
  <r>
    <x v="1376"/>
    <s v="Italy"/>
    <s v="41.902782"/>
    <s v="12.496366"/>
    <s v="Retail &amp; Distribution"/>
    <s v="Medium (201-500)"/>
    <s v="Jessica Martinez"/>
    <d v="2024-02-02T00:00:00"/>
    <s v="SAAS"/>
    <x v="4"/>
    <x v="4"/>
    <s v="Lost"/>
    <n v="6"/>
    <n v="3059"/>
    <n v="70"/>
    <d v="2024-09-07T00:00:00"/>
    <m/>
  </r>
  <r>
    <x v="1377"/>
    <s v="Portugal"/>
    <s v="38.736946"/>
    <s v="-9.142685"/>
    <s v="Government Administration Healthcare"/>
    <s v="Medium (201-500)"/>
    <s v="Laura Thompson"/>
    <d v="2024-05-21T00:00:00"/>
    <s v="SAAS"/>
    <x v="4"/>
    <x v="4"/>
    <s v="Lost"/>
    <n v="6"/>
    <n v="7763"/>
    <n v="30"/>
    <d v="2024-10-22T00:00:00"/>
    <m/>
  </r>
  <r>
    <x v="1378"/>
    <s v="Portugal"/>
    <s v="38.736946"/>
    <s v="-9.142685"/>
    <s v="Banking and Finance"/>
    <s v="Medium (201-500)"/>
    <s v="Laura Thompson"/>
    <d v="2024-02-06T00:00:00"/>
    <s v="SAAS"/>
    <x v="4"/>
    <x v="4"/>
    <s v="Lost"/>
    <n v="6"/>
    <n v="4052"/>
    <n v="70"/>
    <d v="2024-11-25T00:00:00"/>
    <m/>
  </r>
  <r>
    <x v="1379"/>
    <s v="Italy"/>
    <s v="41.902782"/>
    <s v="12.496366"/>
    <s v="Entertainment &amp; Media &amp; Hospitality"/>
    <s v="Medium (201-500)"/>
    <s v="Laura Thompson"/>
    <d v="2024-02-23T00:00:00"/>
    <s v="SAAS"/>
    <x v="4"/>
    <x v="4"/>
    <s v="Lost"/>
    <n v="6"/>
    <n v="1430"/>
    <n v="30"/>
    <d v="2024-10-25T00:00:00"/>
    <m/>
  </r>
  <r>
    <x v="1380"/>
    <s v="Switzerland"/>
    <s v="46.204391"/>
    <s v="6.143158"/>
    <s v="Government Administration Healthcare"/>
    <s v="Medium (201-500)"/>
    <s v="John Smith"/>
    <d v="2024-01-20T00:00:00"/>
    <s v="SAAS"/>
    <x v="4"/>
    <x v="4"/>
    <s v="Lost"/>
    <n v="6"/>
    <n v="7438"/>
    <n v="90"/>
    <d v="2024-03-28T00:00:00"/>
    <m/>
  </r>
  <r>
    <x v="1381"/>
    <s v="France"/>
    <s v="48.864716"/>
    <s v="2.349014"/>
    <s v="Banking and Finance"/>
    <s v="Medium (201-500)"/>
    <s v="Laura Thompson"/>
    <d v="2024-04-03T00:00:00"/>
    <s v="Services"/>
    <x v="4"/>
    <x v="4"/>
    <s v="Lost"/>
    <n v="6"/>
    <n v="1882"/>
    <n v="30"/>
    <d v="2024-07-24T00:00:00"/>
    <m/>
  </r>
  <r>
    <x v="1382"/>
    <s v="Spain"/>
    <s v="40.416775"/>
    <s v="-3.703790"/>
    <s v="Transportation &amp; Logistics"/>
    <s v="Medium (201-500)"/>
    <s v="Michael Brown"/>
    <d v="2024-05-18T00:00:00"/>
    <s v="Services"/>
    <x v="4"/>
    <x v="4"/>
    <s v="Lost"/>
    <n v="6"/>
    <n v="2633"/>
    <n v="40"/>
    <d v="2024-06-11T00:00:00"/>
    <m/>
  </r>
  <r>
    <x v="1383"/>
    <s v="Switzerland"/>
    <s v="46.204391"/>
    <s v="6.143158"/>
    <s v="Professional Services  &amp; Consulting"/>
    <s v="Medium (201-500)"/>
    <s v="Kevin Anderson"/>
    <d v="2024-04-28T00:00:00"/>
    <s v="Services"/>
    <x v="4"/>
    <x v="4"/>
    <s v="Lost"/>
    <n v="6"/>
    <n v="7268"/>
    <n v="70"/>
    <d v="2025-02-09T00:00:00"/>
    <m/>
  </r>
  <r>
    <x v="1384"/>
    <s v="Belgium"/>
    <s v="51.260197"/>
    <s v="4.402771"/>
    <s v="Entertainment &amp; Media &amp; Hospitality"/>
    <s v="Medium (201-500)"/>
    <s v="Laura Thompson"/>
    <d v="2024-04-04T00:00:00"/>
    <s v="SAAS"/>
    <x v="4"/>
    <x v="4"/>
    <s v="Lost"/>
    <n v="6"/>
    <n v="7312"/>
    <n v="80"/>
    <d v="2024-09-20T00:00:00"/>
    <m/>
  </r>
  <r>
    <x v="1385"/>
    <s v="Italy"/>
    <s v="41.902782"/>
    <s v="12.496366"/>
    <s v="Government Administration Healthcare"/>
    <s v="Medium (201-500)"/>
    <s v="David Wilson"/>
    <d v="2024-04-22T00:00:00"/>
    <s v="SAAS"/>
    <x v="4"/>
    <x v="4"/>
    <s v="Lost"/>
    <n v="6"/>
    <n v="5619"/>
    <n v="10"/>
    <d v="2025-02-01T00:00:00"/>
    <m/>
  </r>
  <r>
    <x v="1386"/>
    <s v="Germany"/>
    <s v="52.520008"/>
    <s v="13.404954"/>
    <s v="Banking and Finance"/>
    <s v="Medium (201-500)"/>
    <s v="Kevin Anderson"/>
    <d v="2024-01-18T00:00:00"/>
    <s v="SAAS"/>
    <x v="4"/>
    <x v="4"/>
    <s v="Lost"/>
    <n v="6"/>
    <n v="6395"/>
    <n v="20"/>
    <d v="2024-11-14T00:00:00"/>
    <m/>
  </r>
  <r>
    <x v="1387"/>
    <s v="Austria"/>
    <s v="48.210033"/>
    <s v="16.363449"/>
    <s v="Transportation &amp; Logistics"/>
    <s v="Medium (201-500)"/>
    <s v="Jessica Martinez"/>
    <d v="2024-03-29T00:00:00"/>
    <s v="Services"/>
    <x v="4"/>
    <x v="4"/>
    <s v="Lost"/>
    <n v="6"/>
    <n v="7392"/>
    <n v="30"/>
    <d v="2025-02-01T00:00:00"/>
    <m/>
  </r>
  <r>
    <x v="1388"/>
    <s v="Belgium"/>
    <s v="51.260197"/>
    <s v="4.402771"/>
    <s v="Professional Services  &amp; Consulting"/>
    <s v="Medium (201-500)"/>
    <s v="Sarah Davis"/>
    <d v="2024-04-15T00:00:00"/>
    <s v="Custom solution"/>
    <x v="4"/>
    <x v="4"/>
    <s v="Lost"/>
    <n v="6"/>
    <n v="3692"/>
    <n v="20"/>
    <d v="2025-03-27T00:00:00"/>
    <m/>
  </r>
  <r>
    <x v="1389"/>
    <s v="France"/>
    <s v="48.864716"/>
    <s v="2.349014"/>
    <s v="Government Administration Healthcare"/>
    <s v="Medium (201-500)"/>
    <s v="Laura Thompson"/>
    <d v="2024-05-29T00:00:00"/>
    <s v="SAAS"/>
    <x v="4"/>
    <x v="4"/>
    <s v="Lost"/>
    <n v="6"/>
    <n v="6882"/>
    <n v="30"/>
    <d v="2025-05-27T00:00:00"/>
    <m/>
  </r>
  <r>
    <x v="1390"/>
    <s v="Italy"/>
    <s v="41.902782"/>
    <s v="12.496366"/>
    <s v="Construction &amp; Engineering"/>
    <s v="Medium (201-500)"/>
    <s v="Michael Brown"/>
    <d v="2024-03-28T00:00:00"/>
    <s v="Services"/>
    <x v="4"/>
    <x v="4"/>
    <s v="Lost"/>
    <n v="6"/>
    <n v="7069"/>
    <n v="30"/>
    <d v="2024-08-05T00:00:00"/>
    <m/>
  </r>
  <r>
    <x v="1391"/>
    <s v="Portugal"/>
    <s v="38.736946"/>
    <s v="-9.142685"/>
    <s v="Retail &amp; Distribution"/>
    <s v="Medium (201-500)"/>
    <s v="John Smith"/>
    <d v="2024-02-11T00:00:00"/>
    <s v="SAAS"/>
    <x v="4"/>
    <x v="4"/>
    <s v="Lost"/>
    <n v="6"/>
    <n v="5658"/>
    <n v="60"/>
    <d v="2025-01-26T00:00:00"/>
    <m/>
  </r>
  <r>
    <x v="1392"/>
    <s v="Portugal"/>
    <s v="38.736946"/>
    <s v="-9.142685"/>
    <s v="Professional Services  &amp; Consulting"/>
    <s v="Medium (201-500)"/>
    <s v="Jessica Martinez"/>
    <d v="2024-03-11T00:00:00"/>
    <s v="Services"/>
    <x v="4"/>
    <x v="4"/>
    <s v="Lost"/>
    <n v="6"/>
    <n v="6364"/>
    <n v="20"/>
    <d v="2025-03-10T00:00:00"/>
    <m/>
  </r>
  <r>
    <x v="1393"/>
    <s v="Italy"/>
    <s v="41.902782"/>
    <s v="12.496366"/>
    <s v="Transportation &amp; Logistics"/>
    <s v="Medium (201-500)"/>
    <s v="Laura Thompson"/>
    <d v="2024-04-14T00:00:00"/>
    <s v="Custom solution"/>
    <x v="4"/>
    <x v="4"/>
    <s v="Lost"/>
    <n v="6"/>
    <n v="4017"/>
    <n v="10"/>
    <d v="2024-09-29T00:00:00"/>
    <m/>
  </r>
  <r>
    <x v="1394"/>
    <s v="Germany"/>
    <s v="52.520008"/>
    <s v="13.404954"/>
    <s v="Transportation &amp; Logistics"/>
    <s v="Large (501-1000)"/>
    <s v="Laura Thompson"/>
    <d v="2024-04-11T00:00:00"/>
    <s v="Custom solution"/>
    <x v="4"/>
    <x v="4"/>
    <s v="Lost"/>
    <n v="6"/>
    <n v="14173"/>
    <n v="50"/>
    <d v="2025-02-15T00:00:00"/>
    <m/>
  </r>
  <r>
    <x v="1395"/>
    <s v="France"/>
    <s v="48.864716"/>
    <s v="2.349014"/>
    <s v="Professional Services  &amp; Consulting"/>
    <s v="Enterprise (1001+)"/>
    <s v="Jessica Martinez"/>
    <d v="2024-03-29T00:00:00"/>
    <s v="Services"/>
    <x v="4"/>
    <x v="4"/>
    <s v="Lost"/>
    <n v="6"/>
    <n v="4825"/>
    <n v="90"/>
    <d v="2024-07-17T00:00:00"/>
    <m/>
  </r>
  <r>
    <x v="1396"/>
    <s v="Portugal"/>
    <s v="38.736946"/>
    <s v="-9.142685"/>
    <s v="IT &amp; IT Services"/>
    <s v="Enterprise (1001+)"/>
    <s v="Laura Thompson"/>
    <d v="2024-04-17T00:00:00"/>
    <s v="Services"/>
    <x v="4"/>
    <x v="4"/>
    <s v="Lost"/>
    <n v="6"/>
    <n v="18078"/>
    <n v="40"/>
    <d v="2025-01-02T00:00:00"/>
    <m/>
  </r>
  <r>
    <x v="1397"/>
    <s v="Austria"/>
    <s v="48.210033"/>
    <s v="16.363449"/>
    <s v="Agriculture &amp; Mining"/>
    <s v="Small (11-200)"/>
    <s v="Laura Thompson"/>
    <d v="2024-05-17T00:00:00"/>
    <s v="Custom solution"/>
    <x v="4"/>
    <x v="4"/>
    <s v="Nurturing"/>
    <n v="3"/>
    <n v="454"/>
    <n v="50"/>
    <d v="2024-09-21T00:00:00"/>
    <m/>
  </r>
  <r>
    <x v="1398"/>
    <s v="Portugal"/>
    <s v="38.736946"/>
    <s v="-9.142685"/>
    <s v="IT &amp; IT Services"/>
    <s v="Small (11-200)"/>
    <s v="Jessica Martinez"/>
    <d v="2024-03-14T00:00:00"/>
    <s v="SAAS"/>
    <x v="4"/>
    <x v="4"/>
    <s v="Nurturing"/>
    <n v="3"/>
    <n v="1138"/>
    <n v="30"/>
    <d v="2025-01-27T00:00:00"/>
    <m/>
  </r>
  <r>
    <x v="1399"/>
    <s v="France"/>
    <s v="48.864716"/>
    <s v="2.349014"/>
    <s v="Banking and Finance"/>
    <s v="Small (11-200)"/>
    <s v="Sarah Davis"/>
    <d v="2024-03-19T00:00:00"/>
    <s v="Services"/>
    <x v="4"/>
    <x v="4"/>
    <s v="Nurturing"/>
    <n v="3"/>
    <n v="1648"/>
    <n v="30"/>
    <d v="2024-06-04T00:00:00"/>
    <m/>
  </r>
  <r>
    <x v="1400"/>
    <s v="Italy"/>
    <s v="41.902782"/>
    <s v="12.496366"/>
    <s v="IT &amp; IT Services"/>
    <s v="Small (11-200)"/>
    <s v="David Wilson"/>
    <d v="2024-03-30T00:00:00"/>
    <s v="SAAS"/>
    <x v="4"/>
    <x v="4"/>
    <s v="Nurturing"/>
    <n v="3"/>
    <n v="804"/>
    <n v="40"/>
    <d v="2024-11-22T00:00:00"/>
    <m/>
  </r>
  <r>
    <x v="1401"/>
    <s v="France"/>
    <s v="48.864716"/>
    <s v="2.349014"/>
    <s v="Construction &amp; Engineering"/>
    <s v="Small (11-200)"/>
    <s v="Laura Thompson"/>
    <d v="2024-05-30T00:00:00"/>
    <s v="SAAS"/>
    <x v="4"/>
    <x v="4"/>
    <s v="Nurturing"/>
    <n v="3"/>
    <n v="1056"/>
    <n v="40"/>
    <d v="2024-07-27T00:00:00"/>
    <m/>
  </r>
  <r>
    <x v="1402"/>
    <s v="Germany"/>
    <s v="52.520008"/>
    <s v="13.404954"/>
    <s v="IT &amp; IT Services"/>
    <s v="Small (11-200)"/>
    <s v="John Smith"/>
    <d v="2024-05-10T00:00:00"/>
    <s v="Services"/>
    <x v="4"/>
    <x v="4"/>
    <s v="Nurturing"/>
    <n v="3"/>
    <n v="1440"/>
    <n v="10"/>
    <d v="2024-06-17T00:00:00"/>
    <m/>
  </r>
  <r>
    <x v="1403"/>
    <s v="Italy"/>
    <s v="41.902782"/>
    <s v="12.496366"/>
    <s v="Government Administration Healthcare"/>
    <s v="Small (11-200)"/>
    <s v="David Wilson"/>
    <d v="2024-02-14T00:00:00"/>
    <s v="SAAS"/>
    <x v="4"/>
    <x v="4"/>
    <s v="Nurturing"/>
    <n v="3"/>
    <n v="1572"/>
    <n v="40"/>
    <d v="2024-08-02T00:00:00"/>
    <m/>
  </r>
  <r>
    <x v="1404"/>
    <s v="Germany"/>
    <s v="52.520008"/>
    <s v="13.404954"/>
    <s v="Professional Services  &amp; Consulting"/>
    <s v="Small (11-200)"/>
    <s v="Michael Brown"/>
    <d v="2024-03-20T00:00:00"/>
    <s v="SAAS"/>
    <x v="4"/>
    <x v="4"/>
    <s v="Nurturing"/>
    <n v="3"/>
    <n v="1604"/>
    <n v="50"/>
    <d v="2024-11-14T00:00:00"/>
    <m/>
  </r>
  <r>
    <x v="1405"/>
    <s v="Italy"/>
    <s v="41.902782"/>
    <s v="12.496366"/>
    <s v="Transportation &amp; Logistics"/>
    <s v="Small (11-200)"/>
    <s v="Laura Thompson"/>
    <d v="2024-03-19T00:00:00"/>
    <s v="SAAS"/>
    <x v="4"/>
    <x v="4"/>
    <s v="Nurturing"/>
    <n v="3"/>
    <n v="687"/>
    <n v="20"/>
    <d v="2025-02-21T00:00:00"/>
    <m/>
  </r>
  <r>
    <x v="1406"/>
    <s v="Spain"/>
    <s v="40.416775"/>
    <s v="-3.703790"/>
    <s v="IT &amp; IT Services"/>
    <s v="Small (11-200)"/>
    <s v="Michael Brown"/>
    <d v="2024-05-13T00:00:00"/>
    <s v="SAAS"/>
    <x v="4"/>
    <x v="4"/>
    <s v="Nurturing"/>
    <n v="3"/>
    <n v="1322"/>
    <n v="20"/>
    <d v="2024-12-28T00:00:00"/>
    <m/>
  </r>
  <r>
    <x v="1407"/>
    <s v="Portugal"/>
    <s v="38.736946"/>
    <s v="-9.142685"/>
    <s v="Agriculture &amp; Mining"/>
    <s v="Small (11-200)"/>
    <s v="John Smith"/>
    <d v="2024-03-26T00:00:00"/>
    <s v="Services"/>
    <x v="4"/>
    <x v="4"/>
    <s v="Nurturing"/>
    <n v="3"/>
    <n v="399"/>
    <n v="40"/>
    <d v="2024-09-28T00:00:00"/>
    <m/>
  </r>
  <r>
    <x v="1408"/>
    <s v="Switzerland"/>
    <s v="46.204391"/>
    <s v="6.143158"/>
    <s v="IT &amp; IT Services"/>
    <s v="Small (11-200)"/>
    <s v="Emily Johnson"/>
    <d v="2024-04-29T00:00:00"/>
    <s v="SAAS"/>
    <x v="4"/>
    <x v="4"/>
    <s v="Nurturing"/>
    <n v="3"/>
    <n v="904"/>
    <n v="30"/>
    <d v="2024-05-25T00:00:00"/>
    <m/>
  </r>
  <r>
    <x v="1409"/>
    <s v="Portugal"/>
    <s v="38.736946"/>
    <s v="-9.142685"/>
    <s v="Banking and Finance"/>
    <s v="Small (11-200)"/>
    <s v="David Wilson"/>
    <d v="2024-04-23T00:00:00"/>
    <s v="SAAS"/>
    <x v="4"/>
    <x v="4"/>
    <s v="Nurturing"/>
    <n v="3"/>
    <n v="334"/>
    <n v="40"/>
    <d v="2024-07-21T00:00:00"/>
    <m/>
  </r>
  <r>
    <x v="1410"/>
    <s v="Italy"/>
    <s v="41.902782"/>
    <s v="12.496366"/>
    <s v="Transportation &amp; Logistics"/>
    <s v="Small (11-200)"/>
    <s v="Laura Thompson"/>
    <d v="2024-03-17T00:00:00"/>
    <s v="SAAS"/>
    <x v="4"/>
    <x v="4"/>
    <s v="Nurturing"/>
    <n v="3"/>
    <n v="730"/>
    <n v="70"/>
    <d v="2024-09-04T00:00:00"/>
    <m/>
  </r>
  <r>
    <x v="1411"/>
    <s v="Belgium"/>
    <s v="51.260197"/>
    <s v="4.402771"/>
    <s v="Transportation &amp; Logistics"/>
    <s v="Small (11-200)"/>
    <s v="Laura Thompson"/>
    <d v="2024-05-26T00:00:00"/>
    <s v="SAAS"/>
    <x v="4"/>
    <x v="4"/>
    <s v="Nurturing"/>
    <n v="3"/>
    <n v="861"/>
    <n v="30"/>
    <d v="2024-09-27T00:00:00"/>
    <m/>
  </r>
  <r>
    <x v="1412"/>
    <s v="France"/>
    <s v="48.864716"/>
    <s v="2.349014"/>
    <s v="Telecommunications"/>
    <s v="Small (11-200)"/>
    <s v="Jessica Martinez"/>
    <d v="2024-02-16T00:00:00"/>
    <s v="Custom solution"/>
    <x v="4"/>
    <x v="4"/>
    <s v="Nurturing"/>
    <n v="3"/>
    <n v="540"/>
    <n v="50"/>
    <d v="2024-05-28T00:00:00"/>
    <m/>
  </r>
  <r>
    <x v="1413"/>
    <s v="Italy"/>
    <s v="41.902782"/>
    <s v="12.496366"/>
    <s v="Retail &amp; Distribution"/>
    <s v="Small (11-200)"/>
    <s v="Laura Thompson"/>
    <d v="2024-01-09T00:00:00"/>
    <s v="Services"/>
    <x v="4"/>
    <x v="4"/>
    <s v="Nurturing"/>
    <n v="3"/>
    <n v="1776"/>
    <n v="40"/>
    <d v="2024-06-12T00:00:00"/>
    <m/>
  </r>
  <r>
    <x v="1414"/>
    <s v="Portugal"/>
    <s v="38.736946"/>
    <s v="-9.142685"/>
    <s v="IT &amp; IT Services"/>
    <s v="Small (11-200)"/>
    <s v="Laura Thompson"/>
    <d v="2024-05-04T00:00:00"/>
    <s v="SAAS"/>
    <x v="4"/>
    <x v="4"/>
    <s v="Nurturing"/>
    <n v="3"/>
    <n v="498"/>
    <n v="80"/>
    <d v="2024-11-04T00:00:00"/>
    <m/>
  </r>
  <r>
    <x v="1415"/>
    <s v="Italy"/>
    <s v="41.902782"/>
    <s v="12.496366"/>
    <s v="Banking and Finance"/>
    <s v="Small (11-200)"/>
    <s v="Sarah Davis"/>
    <d v="2024-05-19T00:00:00"/>
    <s v="Services"/>
    <x v="4"/>
    <x v="4"/>
    <s v="Nurturing"/>
    <n v="3"/>
    <n v="1992"/>
    <n v="90"/>
    <d v="2024-08-06T00:00:00"/>
    <m/>
  </r>
  <r>
    <x v="1416"/>
    <s v="Portugal"/>
    <s v="38.736946"/>
    <s v="-9.142685"/>
    <s v="Energy &amp; Utilities"/>
    <s v="Small (11-200)"/>
    <s v="Sarah Davis"/>
    <d v="2024-02-11T00:00:00"/>
    <s v="SAAS"/>
    <x v="4"/>
    <x v="4"/>
    <s v="Nurturing"/>
    <n v="3"/>
    <n v="1156"/>
    <n v="40"/>
    <d v="2024-07-27T00:00:00"/>
    <m/>
  </r>
  <r>
    <x v="1417"/>
    <s v="Italy"/>
    <s v="41.902782"/>
    <s v="12.496366"/>
    <s v="Government Administration Healthcare"/>
    <s v="Small (11-200)"/>
    <s v="John Smith"/>
    <d v="2024-01-15T00:00:00"/>
    <s v="Custom solution"/>
    <x v="4"/>
    <x v="4"/>
    <s v="Nurturing"/>
    <n v="3"/>
    <n v="404"/>
    <n v="50"/>
    <d v="2024-04-05T00:00:00"/>
    <m/>
  </r>
  <r>
    <x v="1418"/>
    <s v="France"/>
    <s v="48.864716"/>
    <s v="2.349014"/>
    <s v="Government Administration Healthcare"/>
    <s v="Small (11-200)"/>
    <s v="Kevin Anderson"/>
    <d v="2024-02-15T00:00:00"/>
    <s v="Services"/>
    <x v="4"/>
    <x v="4"/>
    <s v="Nurturing"/>
    <n v="3"/>
    <n v="1883"/>
    <n v="60"/>
    <d v="2024-04-24T00:00:00"/>
    <m/>
  </r>
  <r>
    <x v="1419"/>
    <s v="Italy"/>
    <s v="41.902782"/>
    <s v="12.496366"/>
    <s v="Professional Services  &amp; Consulting"/>
    <s v="Small (11-200)"/>
    <s v="Jessica Martinez"/>
    <d v="2024-05-03T00:00:00"/>
    <s v="Custom solution"/>
    <x v="4"/>
    <x v="4"/>
    <s v="Nurturing"/>
    <n v="3"/>
    <n v="1101"/>
    <n v="10"/>
    <d v="2024-10-13T00:00:00"/>
    <m/>
  </r>
  <r>
    <x v="1420"/>
    <s v="Switzerland"/>
    <s v="46.204391"/>
    <s v="6.143158"/>
    <s v="Transportation &amp; Logistics"/>
    <s v="Small (11-200)"/>
    <s v="Jessica Martinez"/>
    <d v="2024-02-02T00:00:00"/>
    <s v="Services"/>
    <x v="4"/>
    <x v="4"/>
    <s v="Nurturing"/>
    <n v="3"/>
    <n v="299"/>
    <n v="30"/>
    <d v="2024-05-04T00:00:00"/>
    <m/>
  </r>
  <r>
    <x v="1421"/>
    <s v="Belgium"/>
    <s v="51.260197"/>
    <s v="4.402771"/>
    <s v="Agriculture &amp; Mining"/>
    <s v="Small (11-200)"/>
    <s v="John Smith"/>
    <d v="2024-05-21T00:00:00"/>
    <s v="Services"/>
    <x v="4"/>
    <x v="4"/>
    <s v="Nurturing"/>
    <n v="3"/>
    <n v="1722"/>
    <n v="40"/>
    <d v="2024-09-04T00:00:00"/>
    <m/>
  </r>
  <r>
    <x v="1422"/>
    <s v="Germany"/>
    <s v="52.520008"/>
    <s v="13.404954"/>
    <s v="Retail &amp; Distribution"/>
    <s v="Small (11-200)"/>
    <s v="Laura Thompson"/>
    <d v="2024-03-01T00:00:00"/>
    <s v="Custom solution"/>
    <x v="4"/>
    <x v="4"/>
    <s v="Nurturing"/>
    <n v="3"/>
    <n v="330"/>
    <n v="30"/>
    <d v="2024-08-29T00:00:00"/>
    <m/>
  </r>
  <r>
    <x v="1423"/>
    <s v="Switzerland"/>
    <s v="46.204391"/>
    <s v="6.143158"/>
    <s v="Transportation &amp; Logistics"/>
    <s v="Small (11-200)"/>
    <s v="David Wilson"/>
    <d v="2024-02-03T00:00:00"/>
    <s v="Custom solution"/>
    <x v="4"/>
    <x v="4"/>
    <s v="Nurturing"/>
    <n v="3"/>
    <n v="994"/>
    <n v="20"/>
    <d v="2024-06-22T00:00:00"/>
    <m/>
  </r>
  <r>
    <x v="1424"/>
    <s v="Switzerland"/>
    <s v="46.204391"/>
    <s v="6.143158"/>
    <s v="Retail &amp; Distribution"/>
    <s v="Small (11-200)"/>
    <s v="David Wilson"/>
    <d v="2024-03-30T00:00:00"/>
    <s v="Services"/>
    <x v="4"/>
    <x v="4"/>
    <s v="Nurturing"/>
    <n v="3"/>
    <n v="927"/>
    <n v="80"/>
    <d v="2024-12-24T00:00:00"/>
    <m/>
  </r>
  <r>
    <x v="1425"/>
    <s v="Germany"/>
    <s v="52.520008"/>
    <s v="13.404954"/>
    <s v="IT &amp; IT Services"/>
    <s v="Small (11-200)"/>
    <s v="Laura Thompson"/>
    <d v="2024-05-15T00:00:00"/>
    <s v="SAAS"/>
    <x v="4"/>
    <x v="4"/>
    <s v="Nurturing"/>
    <n v="3"/>
    <n v="1155"/>
    <n v="50"/>
    <d v="2025-03-24T00:00:00"/>
    <m/>
  </r>
  <r>
    <x v="1426"/>
    <s v="Germany"/>
    <s v="52.520008"/>
    <s v="13.404954"/>
    <s v="Education &amp; Science"/>
    <s v="Small (11-200)"/>
    <s v="Sarah Davis"/>
    <d v="2024-02-17T00:00:00"/>
    <s v="SAAS"/>
    <x v="4"/>
    <x v="4"/>
    <s v="Nurturing"/>
    <n v="3"/>
    <n v="735"/>
    <n v="50"/>
    <d v="2024-04-07T00:00:00"/>
    <m/>
  </r>
  <r>
    <x v="1427"/>
    <s v="Switzerland"/>
    <s v="46.204391"/>
    <s v="6.143158"/>
    <s v="Recreation &amp; Sports"/>
    <s v="Small (11-200)"/>
    <s v="Michael Brown"/>
    <d v="2024-01-24T00:00:00"/>
    <s v="Custom solution"/>
    <x v="4"/>
    <x v="4"/>
    <s v="Nurturing"/>
    <n v="3"/>
    <n v="459"/>
    <n v="90"/>
    <d v="2024-03-28T00:00:00"/>
    <m/>
  </r>
  <r>
    <x v="1428"/>
    <s v="Italy"/>
    <s v="41.902782"/>
    <s v="12.496366"/>
    <s v="Government Administration Healthcare"/>
    <s v="Small (11-200)"/>
    <s v="Jessica Martinez"/>
    <d v="2024-05-13T00:00:00"/>
    <s v="SAAS"/>
    <x v="4"/>
    <x v="4"/>
    <s v="Nurturing"/>
    <n v="3"/>
    <n v="492"/>
    <n v="60"/>
    <d v="2024-11-27T00:00:00"/>
    <m/>
  </r>
  <r>
    <x v="1429"/>
    <s v="Switzerland"/>
    <s v="46.204391"/>
    <s v="6.143158"/>
    <s v="Professional Services  &amp; Consulting"/>
    <s v="Small (11-200)"/>
    <s v="Laura Thompson"/>
    <d v="2024-03-11T00:00:00"/>
    <s v="Custom solution"/>
    <x v="4"/>
    <x v="4"/>
    <s v="Nurturing"/>
    <n v="3"/>
    <n v="1115"/>
    <n v="10"/>
    <d v="2024-08-22T00:00:00"/>
    <m/>
  </r>
  <r>
    <x v="1430"/>
    <s v="Portugal"/>
    <s v="38.736946"/>
    <s v="-9.142685"/>
    <s v="Education &amp; Science"/>
    <s v="Small (11-200)"/>
    <s v="Emily Johnson"/>
    <d v="2024-04-02T00:00:00"/>
    <s v="SAAS"/>
    <x v="4"/>
    <x v="4"/>
    <s v="Nurturing"/>
    <n v="3"/>
    <n v="935"/>
    <n v="30"/>
    <d v="2024-12-31T00:00:00"/>
    <m/>
  </r>
  <r>
    <x v="1431"/>
    <s v="Spain"/>
    <s v="40.416775"/>
    <s v="-3.703790"/>
    <s v="Professional Services  &amp; Consulting"/>
    <s v="Small (11-200)"/>
    <s v="Laura Thompson"/>
    <d v="2024-01-29T00:00:00"/>
    <s v="SAAS"/>
    <x v="4"/>
    <x v="4"/>
    <s v="Nurturing"/>
    <n v="3"/>
    <n v="847"/>
    <n v="30"/>
    <d v="2024-05-05T00:00:00"/>
    <m/>
  </r>
  <r>
    <x v="1432"/>
    <s v="Austria"/>
    <s v="48.210033"/>
    <s v="16.363449"/>
    <s v="Transportation &amp; Logistics"/>
    <s v="Small (11-200)"/>
    <s v="David Wilson"/>
    <d v="2024-01-06T00:00:00"/>
    <s v="Services"/>
    <x v="4"/>
    <x v="4"/>
    <s v="Nurturing"/>
    <n v="3"/>
    <n v="1738"/>
    <n v="50"/>
    <d v="2024-07-13T00:00:00"/>
    <m/>
  </r>
  <r>
    <x v="1433"/>
    <s v="Italy"/>
    <s v="41.902782"/>
    <s v="12.496366"/>
    <s v="Entertainment &amp; Media &amp; Hospitality"/>
    <s v="Small (11-200)"/>
    <s v="John Smith"/>
    <d v="2024-01-11T00:00:00"/>
    <s v="SAAS"/>
    <x v="4"/>
    <x v="4"/>
    <s v="Nurturing"/>
    <n v="3"/>
    <n v="784"/>
    <n v="50"/>
    <d v="2024-03-23T00:00:00"/>
    <m/>
  </r>
  <r>
    <x v="1434"/>
    <s v="France"/>
    <s v="48.864716"/>
    <s v="2.349014"/>
    <s v="Retail &amp; Distribution"/>
    <s v="Small (11-200)"/>
    <s v="Laura Thompson"/>
    <d v="2024-01-02T00:00:00"/>
    <s v="Custom solution"/>
    <x v="4"/>
    <x v="4"/>
    <s v="Nurturing"/>
    <n v="3"/>
    <n v="832"/>
    <n v="20"/>
    <d v="2024-12-25T00:00:00"/>
    <m/>
  </r>
  <r>
    <x v="1435"/>
    <s v="Switzerland"/>
    <s v="46.204391"/>
    <s v="6.143158"/>
    <s v="Banking and Finance"/>
    <s v="Small (11-200)"/>
    <s v="Laura Thompson"/>
    <d v="2024-05-13T00:00:00"/>
    <s v="Services"/>
    <x v="4"/>
    <x v="4"/>
    <s v="Nurturing"/>
    <n v="3"/>
    <n v="327"/>
    <n v="90"/>
    <d v="2025-03-20T00:00:00"/>
    <m/>
  </r>
  <r>
    <x v="1436"/>
    <s v="Netherlands"/>
    <s v="52.370216"/>
    <s v="4.895168"/>
    <s v="Banking and Finance"/>
    <s v="Small (11-200)"/>
    <s v="Laura Thompson"/>
    <d v="2024-03-03T00:00:00"/>
    <s v="Services"/>
    <x v="4"/>
    <x v="4"/>
    <s v="Nurturing"/>
    <n v="3"/>
    <n v="778"/>
    <n v="40"/>
    <d v="2025-02-12T00:00:00"/>
    <m/>
  </r>
  <r>
    <x v="1437"/>
    <s v="Germany"/>
    <s v="52.520008"/>
    <s v="13.404954"/>
    <s v="Banking and Finance"/>
    <s v="Small (11-200)"/>
    <s v="Michael Brown"/>
    <d v="2024-01-27T00:00:00"/>
    <s v="SAAS"/>
    <x v="4"/>
    <x v="4"/>
    <s v="Nurturing"/>
    <n v="3"/>
    <n v="934"/>
    <n v="20"/>
    <d v="2024-05-16T00:00:00"/>
    <m/>
  </r>
  <r>
    <x v="1438"/>
    <s v="France"/>
    <s v="48.864716"/>
    <s v="2.349014"/>
    <s v="Government Administration Healthcare"/>
    <s v="Small (11-200)"/>
    <s v="Laura Thompson"/>
    <d v="2024-03-10T00:00:00"/>
    <s v="SAAS"/>
    <x v="4"/>
    <x v="4"/>
    <s v="Nurturing"/>
    <n v="3"/>
    <n v="858"/>
    <n v="40"/>
    <d v="2024-06-09T00:00:00"/>
    <m/>
  </r>
  <r>
    <x v="1439"/>
    <s v="Spain"/>
    <s v="40.416775"/>
    <s v="-3.703790"/>
    <s v="Transportation &amp; Logistics"/>
    <s v="Small (11-200)"/>
    <s v="Laura Thompson"/>
    <d v="2024-05-14T00:00:00"/>
    <s v="SAAS"/>
    <x v="4"/>
    <x v="4"/>
    <s v="Nurturing"/>
    <n v="3"/>
    <n v="857"/>
    <n v="50"/>
    <d v="2025-03-07T00:00:00"/>
    <m/>
  </r>
  <r>
    <x v="1440"/>
    <s v="Portugal"/>
    <s v="38.736946"/>
    <s v="-9.142685"/>
    <s v="Transportation &amp; Logistics"/>
    <s v="Small (11-200)"/>
    <s v="David Wilson"/>
    <d v="2024-04-26T00:00:00"/>
    <s v="SAAS"/>
    <x v="4"/>
    <x v="4"/>
    <s v="Nurturing"/>
    <n v="3"/>
    <n v="995"/>
    <n v="80"/>
    <d v="2025-03-27T00:00:00"/>
    <m/>
  </r>
  <r>
    <x v="1441"/>
    <s v="Italy"/>
    <s v="41.902782"/>
    <s v="12.496366"/>
    <s v="Energy &amp; Utilities"/>
    <s v="Small (11-200)"/>
    <s v="John Smith"/>
    <d v="2024-05-17T00:00:00"/>
    <s v="Services"/>
    <x v="4"/>
    <x v="4"/>
    <s v="Nurturing"/>
    <n v="3"/>
    <n v="1245"/>
    <n v="20"/>
    <d v="2024-11-03T00:00:00"/>
    <m/>
  </r>
  <r>
    <x v="1442"/>
    <s v="Spain"/>
    <s v="40.416775"/>
    <s v="-3.703790"/>
    <s v="Government Administration Healthcare"/>
    <s v="Small (11-200)"/>
    <s v="Laura Thompson"/>
    <d v="2024-01-07T00:00:00"/>
    <s v="Services"/>
    <x v="4"/>
    <x v="4"/>
    <s v="Nurturing"/>
    <n v="3"/>
    <n v="1970"/>
    <n v="40"/>
    <d v="2024-11-11T00:00:00"/>
    <m/>
  </r>
  <r>
    <x v="1443"/>
    <s v="Germany"/>
    <s v="52.520008"/>
    <s v="13.404954"/>
    <s v="Professional Services  &amp; Consulting"/>
    <s v="Small (11-200)"/>
    <s v="Laura Thompson"/>
    <d v="2024-03-28T00:00:00"/>
    <s v="Custom solution"/>
    <x v="4"/>
    <x v="4"/>
    <s v="Nurturing"/>
    <n v="3"/>
    <n v="1458"/>
    <n v="40"/>
    <d v="2024-12-31T00:00:00"/>
    <m/>
  </r>
  <r>
    <x v="1444"/>
    <s v="Italy"/>
    <s v="41.902782"/>
    <s v="12.496366"/>
    <s v="Education &amp; Science"/>
    <s v="Small (11-200)"/>
    <s v="Laura Thompson"/>
    <d v="2024-04-04T00:00:00"/>
    <s v="Services"/>
    <x v="4"/>
    <x v="4"/>
    <s v="Nurturing"/>
    <n v="3"/>
    <n v="513"/>
    <n v="50"/>
    <d v="2024-08-24T00:00:00"/>
    <m/>
  </r>
  <r>
    <x v="1445"/>
    <s v="France"/>
    <s v="48.864716"/>
    <s v="2.349014"/>
    <s v="Banking and Finance"/>
    <s v="Small (11-200)"/>
    <s v="Sarah Davis"/>
    <d v="2024-05-23T00:00:00"/>
    <s v="SAAS"/>
    <x v="4"/>
    <x v="4"/>
    <s v="Nurturing"/>
    <n v="3"/>
    <n v="677"/>
    <n v="30"/>
    <d v="2025-01-26T00:00:00"/>
    <m/>
  </r>
  <r>
    <x v="1446"/>
    <s v="Portugal"/>
    <s v="38.736946"/>
    <s v="-9.142685"/>
    <s v="Government Administration Healthcare"/>
    <s v="Small (11-200)"/>
    <s v="Kevin Anderson"/>
    <d v="2024-03-28T00:00:00"/>
    <s v="Custom solution"/>
    <x v="4"/>
    <x v="4"/>
    <s v="Nurturing"/>
    <n v="3"/>
    <n v="485"/>
    <n v="30"/>
    <d v="2024-07-20T00:00:00"/>
    <m/>
  </r>
  <r>
    <x v="1447"/>
    <s v="France"/>
    <s v="48.864716"/>
    <s v="2.349014"/>
    <s v="Education &amp; Science"/>
    <s v="Small (11-200)"/>
    <s v="Kevin Anderson"/>
    <d v="2024-03-22T00:00:00"/>
    <s v="Services"/>
    <x v="4"/>
    <x v="4"/>
    <s v="Nurturing"/>
    <n v="3"/>
    <n v="429"/>
    <n v="20"/>
    <d v="2024-05-22T00:00:00"/>
    <m/>
  </r>
  <r>
    <x v="1448"/>
    <s v="Belgium"/>
    <s v="51.260197"/>
    <s v="4.402771"/>
    <s v="Manufacturing &amp; Production"/>
    <s v="Small (11-200)"/>
    <s v="Jessica Martinez"/>
    <d v="2024-01-22T00:00:00"/>
    <s v="Custom solution"/>
    <x v="4"/>
    <x v="4"/>
    <s v="Nurturing"/>
    <n v="3"/>
    <n v="1347"/>
    <n v="40"/>
    <d v="2024-12-26T00:00:00"/>
    <m/>
  </r>
  <r>
    <x v="1449"/>
    <s v="France"/>
    <s v="48.864716"/>
    <s v="2.349014"/>
    <s v="Transportation &amp; Logistics"/>
    <s v="Small (11-200)"/>
    <s v="Jessica Martinez"/>
    <d v="2024-05-28T00:00:00"/>
    <s v="SAAS"/>
    <x v="4"/>
    <x v="4"/>
    <s v="Nurturing"/>
    <n v="3"/>
    <n v="1029"/>
    <n v="20"/>
    <d v="2024-07-04T00:00:00"/>
    <m/>
  </r>
  <r>
    <x v="1450"/>
    <s v="Portugal"/>
    <s v="38.736946"/>
    <s v="-9.142685"/>
    <s v="Retail &amp; Distribution"/>
    <s v="Small (11-200)"/>
    <s v="Laura Thompson"/>
    <d v="2024-02-27T00:00:00"/>
    <s v="Services"/>
    <x v="4"/>
    <x v="4"/>
    <s v="Nurturing"/>
    <n v="3"/>
    <n v="1989"/>
    <n v="60"/>
    <d v="2024-04-21T00:00:00"/>
    <m/>
  </r>
  <r>
    <x v="1451"/>
    <s v="Germany"/>
    <s v="52.520008"/>
    <s v="13.404954"/>
    <s v="Recreation &amp; Sports"/>
    <s v="Small (11-200)"/>
    <s v="John Smith"/>
    <d v="2024-03-15T00:00:00"/>
    <s v="SAAS"/>
    <x v="4"/>
    <x v="4"/>
    <s v="Nurturing"/>
    <n v="3"/>
    <n v="292"/>
    <n v="30"/>
    <d v="2024-04-09T00:00:00"/>
    <m/>
  </r>
  <r>
    <x v="1452"/>
    <s v="Austria"/>
    <s v="48.210033"/>
    <s v="16.363449"/>
    <s v="Entertainment &amp; Media &amp; Hospitality"/>
    <s v="Small (11-200)"/>
    <s v="Michael Brown"/>
    <d v="2024-05-31T00:00:00"/>
    <s v="SAAS"/>
    <x v="4"/>
    <x v="4"/>
    <s v="Nurturing"/>
    <n v="3"/>
    <n v="1476"/>
    <n v="100"/>
    <d v="2024-11-20T00:00:00"/>
    <m/>
  </r>
  <r>
    <x v="1453"/>
    <s v="Germany"/>
    <s v="52.520008"/>
    <s v="13.404954"/>
    <s v="Banking and Finance"/>
    <s v="Small (11-200)"/>
    <s v="John Smith"/>
    <d v="2024-05-17T00:00:00"/>
    <s v="Services"/>
    <x v="4"/>
    <x v="4"/>
    <s v="Nurturing"/>
    <n v="3"/>
    <n v="384"/>
    <n v="90"/>
    <d v="2024-12-18T00:00:00"/>
    <m/>
  </r>
  <r>
    <x v="1454"/>
    <s v="France"/>
    <s v="48.864716"/>
    <s v="2.349014"/>
    <s v="Telecommunications"/>
    <s v="Small (11-200)"/>
    <s v="David Wilson"/>
    <d v="2024-02-09T00:00:00"/>
    <s v="Custom solution"/>
    <x v="4"/>
    <x v="4"/>
    <s v="Nurturing"/>
    <n v="3"/>
    <n v="1199"/>
    <n v="10"/>
    <d v="2024-07-13T00:00:00"/>
    <m/>
  </r>
  <r>
    <x v="1455"/>
    <s v="France"/>
    <s v="48.864716"/>
    <s v="2.349014"/>
    <s v="Transportation &amp; Logistics"/>
    <s v="Small (11-200)"/>
    <s v="David Wilson"/>
    <d v="2024-02-02T00:00:00"/>
    <s v="SAAS"/>
    <x v="4"/>
    <x v="4"/>
    <s v="Nurturing"/>
    <n v="3"/>
    <n v="1984"/>
    <n v="20"/>
    <d v="2024-09-09T00:00:00"/>
    <m/>
  </r>
  <r>
    <x v="1456"/>
    <s v="France"/>
    <s v="48.864716"/>
    <s v="2.349014"/>
    <s v="Construction &amp; Engineering"/>
    <s v="Small (11-200)"/>
    <s v="Laura Thompson"/>
    <d v="2024-05-14T00:00:00"/>
    <s v="SAAS"/>
    <x v="4"/>
    <x v="4"/>
    <s v="Nurturing"/>
    <n v="3"/>
    <n v="207"/>
    <n v="20"/>
    <d v="2024-08-22T00:00:00"/>
    <m/>
  </r>
  <r>
    <x v="1457"/>
    <s v="Italy"/>
    <s v="41.902782"/>
    <s v="12.496366"/>
    <s v="Retail &amp; Distribution"/>
    <s v="Small (11-200)"/>
    <s v="John Smith"/>
    <d v="2024-02-22T00:00:00"/>
    <s v="SAAS"/>
    <x v="4"/>
    <x v="4"/>
    <s v="Nurturing"/>
    <n v="3"/>
    <n v="691"/>
    <n v="30"/>
    <d v="2024-11-25T00:00:00"/>
    <m/>
  </r>
  <r>
    <x v="1458"/>
    <s v="Switzerland"/>
    <s v="46.204391"/>
    <s v="6.143158"/>
    <s v="Manufacturing &amp; Production"/>
    <s v="Small (11-200)"/>
    <s v="Jessica Martinez"/>
    <d v="2024-03-26T00:00:00"/>
    <s v="Services"/>
    <x v="4"/>
    <x v="4"/>
    <s v="Nurturing"/>
    <n v="3"/>
    <n v="1155"/>
    <n v="50"/>
    <d v="2024-04-17T00:00:00"/>
    <m/>
  </r>
  <r>
    <x v="1459"/>
    <s v="Austria"/>
    <s v="48.210033"/>
    <s v="16.363449"/>
    <s v="Education &amp; Science"/>
    <s v="Small (11-200)"/>
    <s v="Jessica Martinez"/>
    <d v="2024-04-26T00:00:00"/>
    <s v="SAAS"/>
    <x v="4"/>
    <x v="4"/>
    <s v="Nurturing"/>
    <n v="3"/>
    <n v="361"/>
    <n v="20"/>
    <d v="2024-05-29T00:00:00"/>
    <m/>
  </r>
  <r>
    <x v="1460"/>
    <s v="Germany"/>
    <s v="52.520008"/>
    <s v="13.404954"/>
    <s v="Retail &amp; Distribution"/>
    <s v="Small (11-200)"/>
    <s v="Laura Thompson"/>
    <d v="2024-02-04T00:00:00"/>
    <s v="Custom solution"/>
    <x v="4"/>
    <x v="4"/>
    <s v="Nurturing"/>
    <n v="3"/>
    <n v="1522"/>
    <n v="20"/>
    <d v="2024-12-06T00:00:00"/>
    <m/>
  </r>
  <r>
    <x v="1461"/>
    <s v="Netherlands"/>
    <s v="52.370216"/>
    <s v="4.895168"/>
    <s v="Telecommunications"/>
    <s v="Small (11-200)"/>
    <s v="Jessica Martinez"/>
    <d v="2024-04-07T00:00:00"/>
    <s v="SAAS"/>
    <x v="4"/>
    <x v="4"/>
    <s v="Nurturing"/>
    <n v="3"/>
    <n v="545"/>
    <n v="60"/>
    <d v="2024-09-05T00:00:00"/>
    <m/>
  </r>
  <r>
    <x v="1462"/>
    <s v="Switzerland"/>
    <s v="46.204391"/>
    <s v="6.143158"/>
    <s v="Banking and Finance"/>
    <s v="Small (11-200)"/>
    <s v="Laura Thompson"/>
    <d v="2024-05-11T00:00:00"/>
    <s v="SAAS"/>
    <x v="4"/>
    <x v="4"/>
    <s v="Nurturing"/>
    <n v="3"/>
    <n v="1246"/>
    <n v="80"/>
    <d v="2024-11-02T00:00:00"/>
    <m/>
  </r>
  <r>
    <x v="1463"/>
    <s v="Portugal"/>
    <s v="38.736946"/>
    <s v="-9.142685"/>
    <s v="Agriculture &amp; Mining"/>
    <s v="Small (11-200)"/>
    <s v="Laura Thompson"/>
    <d v="2024-01-28T00:00:00"/>
    <s v="SAAS"/>
    <x v="4"/>
    <x v="4"/>
    <s v="Nurturing"/>
    <n v="3"/>
    <n v="1123"/>
    <n v="30"/>
    <d v="2024-04-10T00:00:00"/>
    <m/>
  </r>
  <r>
    <x v="1464"/>
    <s v="Netherlands"/>
    <s v="52.370216"/>
    <s v="4.895168"/>
    <s v="Manufacturing &amp; Production"/>
    <s v="Small (11-200)"/>
    <s v="Michael Brown"/>
    <d v="2024-04-20T00:00:00"/>
    <s v="SAAS"/>
    <x v="4"/>
    <x v="4"/>
    <s v="Nurturing"/>
    <n v="3"/>
    <n v="1527"/>
    <n v="60"/>
    <d v="2024-07-21T00:00:00"/>
    <m/>
  </r>
  <r>
    <x v="1465"/>
    <s v="Germany"/>
    <s v="52.520008"/>
    <s v="13.404954"/>
    <s v="IT &amp; IT Services"/>
    <s v="Small (11-200)"/>
    <s v="Kevin Anderson"/>
    <d v="2024-02-22T00:00:00"/>
    <s v="Services"/>
    <x v="4"/>
    <x v="4"/>
    <s v="Nurturing"/>
    <n v="3"/>
    <n v="974"/>
    <n v="50"/>
    <d v="2024-12-12T00:00:00"/>
    <m/>
  </r>
  <r>
    <x v="1466"/>
    <s v="Italy"/>
    <s v="41.902782"/>
    <s v="12.496366"/>
    <s v="Government Administration Healthcare"/>
    <s v="Small (11-200)"/>
    <s v="Jessica Martinez"/>
    <d v="2024-03-26T00:00:00"/>
    <s v="Services"/>
    <x v="4"/>
    <x v="4"/>
    <s v="Nurturing"/>
    <n v="3"/>
    <n v="1840"/>
    <n v="70"/>
    <d v="2024-06-18T00:00:00"/>
    <m/>
  </r>
  <r>
    <x v="1467"/>
    <s v="Germany"/>
    <s v="52.520008"/>
    <s v="13.404954"/>
    <s v="Energy &amp; Utilities"/>
    <s v="Small (11-200)"/>
    <s v="John Smith"/>
    <d v="2024-03-28T00:00:00"/>
    <s v="Services"/>
    <x v="4"/>
    <x v="4"/>
    <s v="Nurturing"/>
    <n v="3"/>
    <n v="1970"/>
    <n v="50"/>
    <d v="2024-11-11T00:00:00"/>
    <m/>
  </r>
  <r>
    <x v="1468"/>
    <s v="Switzerland"/>
    <s v="46.204391"/>
    <s v="6.143158"/>
    <s v="Transportation &amp; Logistics"/>
    <s v="Small (11-200)"/>
    <s v="Laura Thompson"/>
    <d v="2024-04-12T00:00:00"/>
    <s v="Services"/>
    <x v="4"/>
    <x v="4"/>
    <s v="Nurturing"/>
    <n v="3"/>
    <n v="1803"/>
    <n v="20"/>
    <d v="2024-06-25T00:00:00"/>
    <m/>
  </r>
  <r>
    <x v="1469"/>
    <s v="Switzerland"/>
    <s v="46.204391"/>
    <s v="6.143158"/>
    <s v="Government Administration Healthcare"/>
    <s v="Small (11-200)"/>
    <s v="Michael Brown"/>
    <d v="2024-01-05T00:00:00"/>
    <s v="Services"/>
    <x v="4"/>
    <x v="4"/>
    <s v="Nurturing"/>
    <n v="3"/>
    <n v="1086"/>
    <n v="80"/>
    <d v="2024-09-28T00:00:00"/>
    <m/>
  </r>
  <r>
    <x v="1470"/>
    <s v="Netherlands"/>
    <s v="52.370216"/>
    <s v="4.895168"/>
    <s v="Banking and Finance"/>
    <s v="Micro (1-10)"/>
    <s v="Michael Brown"/>
    <d v="2024-01-15T00:00:00"/>
    <s v="Services"/>
    <x v="4"/>
    <x v="4"/>
    <s v="Nurturing"/>
    <n v="3"/>
    <n v="904"/>
    <n v="50"/>
    <d v="2024-04-28T00:00:00"/>
    <m/>
  </r>
  <r>
    <x v="1471"/>
    <s v="Italy"/>
    <s v="41.902782"/>
    <s v="12.496366"/>
    <s v="Professional Services  &amp; Consulting"/>
    <s v="Micro (1-10)"/>
    <s v="Kevin Anderson"/>
    <d v="2024-03-31T00:00:00"/>
    <s v="Custom solution"/>
    <x v="4"/>
    <x v="4"/>
    <s v="Nurturing"/>
    <n v="3"/>
    <n v="357"/>
    <n v="40"/>
    <d v="2024-10-12T00:00:00"/>
    <m/>
  </r>
  <r>
    <x v="1472"/>
    <s v="Italy"/>
    <s v="41.902782"/>
    <s v="12.496366"/>
    <s v="Entertainment &amp; Media &amp; Hospitality"/>
    <s v="Micro (1-10)"/>
    <s v="David Wilson"/>
    <d v="2024-01-22T00:00:00"/>
    <s v="Services"/>
    <x v="4"/>
    <x v="4"/>
    <s v="Nurturing"/>
    <n v="3"/>
    <n v="1158"/>
    <n v="40"/>
    <d v="2024-06-19T00:00:00"/>
    <m/>
  </r>
  <r>
    <x v="1473"/>
    <s v="Spain"/>
    <s v="40.416775"/>
    <s v="-3.703790"/>
    <s v="Recreation &amp; Sports"/>
    <s v="Micro (1-10)"/>
    <s v="Kevin Anderson"/>
    <d v="2024-05-01T00:00:00"/>
    <s v="Services"/>
    <x v="4"/>
    <x v="4"/>
    <s v="Nurturing"/>
    <n v="3"/>
    <n v="830"/>
    <n v="100"/>
    <d v="2024-07-25T00:00:00"/>
    <m/>
  </r>
  <r>
    <x v="1474"/>
    <s v="Austria"/>
    <s v="48.210033"/>
    <s v="16.363449"/>
    <s v="IT &amp; IT Services"/>
    <s v="Micro (1-10)"/>
    <s v="Laura Thompson"/>
    <d v="2024-01-25T00:00:00"/>
    <s v="SAAS"/>
    <x v="4"/>
    <x v="4"/>
    <s v="Nurturing"/>
    <n v="3"/>
    <n v="1055"/>
    <n v="30"/>
    <d v="2024-08-26T00:00:00"/>
    <m/>
  </r>
  <r>
    <x v="1475"/>
    <s v="Belgium"/>
    <s v="51.260197"/>
    <s v="4.402771"/>
    <s v="Government Administration Healthcare"/>
    <s v="Micro (1-10)"/>
    <s v="Jessica Martinez"/>
    <d v="2024-05-31T00:00:00"/>
    <s v="SAAS"/>
    <x v="4"/>
    <x v="4"/>
    <s v="Nurturing"/>
    <n v="3"/>
    <n v="1128"/>
    <n v="90"/>
    <d v="2025-02-26T00:00:00"/>
    <m/>
  </r>
  <r>
    <x v="1476"/>
    <s v="Spain"/>
    <s v="40.416775"/>
    <s v="-3.703790"/>
    <s v="IT &amp; IT Services"/>
    <s v="Micro (1-10)"/>
    <s v="John Smith"/>
    <d v="2024-03-14T00:00:00"/>
    <s v="SAAS"/>
    <x v="4"/>
    <x v="4"/>
    <s v="Nurturing"/>
    <n v="3"/>
    <n v="649"/>
    <n v="20"/>
    <d v="2024-10-26T00:00:00"/>
    <m/>
  </r>
  <r>
    <x v="1477"/>
    <s v="Belgium"/>
    <s v="51.260197"/>
    <s v="4.402771"/>
    <s v="Banking and Finance"/>
    <s v="Micro (1-10)"/>
    <s v="Laura Thompson"/>
    <d v="2024-02-15T00:00:00"/>
    <s v="SAAS"/>
    <x v="4"/>
    <x v="4"/>
    <s v="Nurturing"/>
    <n v="3"/>
    <n v="240"/>
    <n v="40"/>
    <d v="2025-01-30T00:00:00"/>
    <m/>
  </r>
  <r>
    <x v="1478"/>
    <s v="Switzerland"/>
    <s v="46.204391"/>
    <s v="6.143158"/>
    <s v="Transportation &amp; Logistics"/>
    <s v="Micro (1-10)"/>
    <s v="Laura Thompson"/>
    <d v="2024-02-15T00:00:00"/>
    <s v="Services"/>
    <x v="4"/>
    <x v="4"/>
    <s v="Nurturing"/>
    <n v="3"/>
    <n v="639"/>
    <n v="20"/>
    <d v="2024-11-19T00:00:00"/>
    <m/>
  </r>
  <r>
    <x v="1479"/>
    <s v="Portugal"/>
    <s v="38.736946"/>
    <s v="-9.142685"/>
    <s v="Government Administration Healthcare"/>
    <s v="Micro (1-10)"/>
    <s v="Emily Johnson"/>
    <d v="2024-04-02T00:00:00"/>
    <s v="SAAS"/>
    <x v="4"/>
    <x v="4"/>
    <s v="Nurturing"/>
    <n v="3"/>
    <n v="895"/>
    <n v="50"/>
    <d v="2024-11-13T00:00:00"/>
    <m/>
  </r>
  <r>
    <x v="1480"/>
    <s v="Switzerland"/>
    <s v="46.204391"/>
    <s v="6.143158"/>
    <s v="IT &amp; IT Services"/>
    <s v="Micro (1-10)"/>
    <s v="Michael Brown"/>
    <d v="2024-04-25T00:00:00"/>
    <s v="SAAS"/>
    <x v="4"/>
    <x v="4"/>
    <s v="Nurturing"/>
    <n v="3"/>
    <n v="617"/>
    <n v="20"/>
    <d v="2024-11-30T00:00:00"/>
    <m/>
  </r>
  <r>
    <x v="1481"/>
    <s v="Portugal"/>
    <s v="38.736946"/>
    <s v="-9.142685"/>
    <s v="Transportation &amp; Logistics"/>
    <s v="Micro (1-10)"/>
    <s v="Kevin Anderson"/>
    <d v="2024-03-09T00:00:00"/>
    <s v="Services"/>
    <x v="4"/>
    <x v="4"/>
    <s v="Nurturing"/>
    <n v="3"/>
    <n v="805"/>
    <n v="40"/>
    <d v="2024-08-18T00:00:00"/>
    <m/>
  </r>
  <r>
    <x v="1482"/>
    <s v="Portugal"/>
    <s v="38.736946"/>
    <s v="-9.142685"/>
    <s v="Transportation &amp; Logistics"/>
    <s v="Micro (1-10)"/>
    <s v="Jessica Martinez"/>
    <d v="2024-03-18T00:00:00"/>
    <s v="SAAS"/>
    <x v="4"/>
    <x v="4"/>
    <s v="Nurturing"/>
    <n v="3"/>
    <n v="870"/>
    <n v="10"/>
    <d v="2025-02-06T00:00:00"/>
    <m/>
  </r>
  <r>
    <x v="1483"/>
    <s v="Italy"/>
    <s v="41.902782"/>
    <s v="12.496366"/>
    <s v="Entertainment &amp; Media &amp; Hospitality"/>
    <s v="Micro (1-10)"/>
    <s v="Michael Brown"/>
    <d v="2024-02-13T00:00:00"/>
    <s v="Custom solution"/>
    <x v="4"/>
    <x v="4"/>
    <s v="Nurturing"/>
    <n v="3"/>
    <n v="1026"/>
    <n v="90"/>
    <d v="2024-03-08T00:00:00"/>
    <m/>
  </r>
  <r>
    <x v="1484"/>
    <s v="Portugal"/>
    <s v="38.736946"/>
    <s v="-9.142685"/>
    <s v="Transportation &amp; Logistics"/>
    <s v="Micro (1-10)"/>
    <s v="John Smith"/>
    <d v="2024-03-21T00:00:00"/>
    <s v="Services"/>
    <x v="4"/>
    <x v="4"/>
    <s v="Nurturing"/>
    <n v="3"/>
    <n v="1149"/>
    <n v="20"/>
    <d v="2024-07-04T00:00:00"/>
    <m/>
  </r>
  <r>
    <x v="1485"/>
    <s v="France"/>
    <s v="48.864716"/>
    <s v="2.349014"/>
    <s v="Construction &amp; Engineering"/>
    <s v="Micro (1-10)"/>
    <s v="Emily Johnson"/>
    <d v="2024-05-20T00:00:00"/>
    <s v="SAAS"/>
    <x v="4"/>
    <x v="4"/>
    <s v="Nurturing"/>
    <n v="3"/>
    <n v="568"/>
    <n v="90"/>
    <d v="2025-03-13T00:00:00"/>
    <m/>
  </r>
  <r>
    <x v="1486"/>
    <s v="Germany"/>
    <s v="52.520008"/>
    <s v="13.404954"/>
    <s v="Transportation &amp; Logistics"/>
    <s v="Micro (1-10)"/>
    <s v="John Smith"/>
    <d v="2024-02-25T00:00:00"/>
    <s v="SAAS"/>
    <x v="4"/>
    <x v="4"/>
    <s v="Nurturing"/>
    <n v="3"/>
    <n v="1110"/>
    <n v="60"/>
    <d v="2024-04-07T00:00:00"/>
    <m/>
  </r>
  <r>
    <x v="1487"/>
    <s v="Germany"/>
    <s v="52.520008"/>
    <s v="13.404954"/>
    <s v="Transportation &amp; Logistics"/>
    <s v="Micro (1-10)"/>
    <s v="Jessica Martinez"/>
    <d v="2024-02-10T00:00:00"/>
    <s v="SAAS"/>
    <x v="4"/>
    <x v="4"/>
    <s v="Nurturing"/>
    <n v="3"/>
    <n v="350"/>
    <n v="20"/>
    <d v="2024-08-20T00:00:00"/>
    <m/>
  </r>
  <r>
    <x v="1488"/>
    <s v="France"/>
    <s v="48.864716"/>
    <s v="2.349014"/>
    <s v="Recreation &amp; Sports"/>
    <s v="Micro (1-10)"/>
    <s v="Laura Thompson"/>
    <d v="2024-03-29T00:00:00"/>
    <s v="SAAS"/>
    <x v="4"/>
    <x v="4"/>
    <s v="Nurturing"/>
    <n v="3"/>
    <n v="551"/>
    <n v="100"/>
    <d v="2024-12-26T00:00:00"/>
    <m/>
  </r>
  <r>
    <x v="1489"/>
    <s v="Portugal"/>
    <s v="38.736946"/>
    <s v="-9.142685"/>
    <s v="Education &amp; Science"/>
    <s v="Micro (1-10)"/>
    <s v="Laura Thompson"/>
    <d v="2024-01-22T00:00:00"/>
    <s v="Services"/>
    <x v="4"/>
    <x v="4"/>
    <s v="Nurturing"/>
    <n v="3"/>
    <n v="900"/>
    <n v="30"/>
    <d v="2024-06-10T00:00:00"/>
    <m/>
  </r>
  <r>
    <x v="1490"/>
    <s v="Spain"/>
    <s v="40.416775"/>
    <s v="-3.703790"/>
    <s v="Energy &amp; Utilities"/>
    <s v="Micro (1-10)"/>
    <s v="Laura Thompson"/>
    <d v="2024-03-19T00:00:00"/>
    <s v="Services"/>
    <x v="4"/>
    <x v="4"/>
    <s v="Nurturing"/>
    <n v="3"/>
    <n v="885"/>
    <n v="30"/>
    <d v="2024-12-19T00:00:00"/>
    <m/>
  </r>
  <r>
    <x v="1491"/>
    <s v="Italy"/>
    <s v="41.902782"/>
    <s v="12.496366"/>
    <s v="Entertainment &amp; Media &amp; Hospitality"/>
    <s v="Micro (1-10)"/>
    <s v="Laura Thompson"/>
    <d v="2024-04-10T00:00:00"/>
    <s v="Services"/>
    <x v="4"/>
    <x v="4"/>
    <s v="Nurturing"/>
    <n v="3"/>
    <n v="585"/>
    <n v="40"/>
    <d v="2025-01-07T00:00:00"/>
    <m/>
  </r>
  <r>
    <x v="1492"/>
    <s v="Italy"/>
    <s v="41.902782"/>
    <s v="12.496366"/>
    <s v="Professional Services  &amp; Consulting"/>
    <s v="Micro (1-10)"/>
    <s v="John Smith"/>
    <d v="2024-05-13T00:00:00"/>
    <s v="SAAS"/>
    <x v="4"/>
    <x v="4"/>
    <s v="Nurturing"/>
    <n v="3"/>
    <n v="694"/>
    <n v="10"/>
    <d v="2025-03-29T00:00:00"/>
    <m/>
  </r>
  <r>
    <x v="1493"/>
    <s v="Germany"/>
    <s v="52.520008"/>
    <s v="13.404954"/>
    <s v="Professional Services  &amp; Consulting"/>
    <s v="Micro (1-10)"/>
    <s v="Emily Johnson"/>
    <d v="2024-03-20T00:00:00"/>
    <s v="Custom solution"/>
    <x v="4"/>
    <x v="4"/>
    <s v="Nurturing"/>
    <n v="3"/>
    <n v="1061"/>
    <n v="80"/>
    <d v="2025-02-01T00:00:00"/>
    <m/>
  </r>
  <r>
    <x v="1494"/>
    <s v="Austria"/>
    <s v="48.210033"/>
    <s v="16.363449"/>
    <s v="Agriculture &amp; Mining"/>
    <s v="Micro (1-10)"/>
    <s v="David Wilson"/>
    <d v="2024-01-17T00:00:00"/>
    <s v="SAAS"/>
    <x v="4"/>
    <x v="4"/>
    <s v="Nurturing"/>
    <n v="3"/>
    <n v="664"/>
    <n v="10"/>
    <d v="2024-03-21T00:00:00"/>
    <m/>
  </r>
  <r>
    <x v="1495"/>
    <s v="Portugal"/>
    <s v="38.736946"/>
    <s v="-9.142685"/>
    <s v="Banking and Finance"/>
    <s v="Micro (1-10)"/>
    <s v="Jessica Martinez"/>
    <d v="2024-03-09T00:00:00"/>
    <s v="SAAS"/>
    <x v="4"/>
    <x v="4"/>
    <s v="Nurturing"/>
    <n v="3"/>
    <n v="990"/>
    <n v="80"/>
    <d v="2024-03-29T00:00:00"/>
    <m/>
  </r>
  <r>
    <x v="1496"/>
    <s v="Germany"/>
    <s v="52.520008"/>
    <s v="13.404954"/>
    <s v="Transportation &amp; Logistics"/>
    <s v="Micro (1-10)"/>
    <s v="Jessica Martinez"/>
    <d v="2024-01-03T00:00:00"/>
    <s v="SAAS"/>
    <x v="4"/>
    <x v="4"/>
    <s v="Nurturing"/>
    <n v="3"/>
    <n v="1074"/>
    <n v="60"/>
    <d v="2024-03-27T00:00:00"/>
    <m/>
  </r>
  <r>
    <x v="1497"/>
    <s v="Italy"/>
    <s v="41.902782"/>
    <s v="12.496366"/>
    <s v="Transportation &amp; Logistics"/>
    <s v="Micro (1-10)"/>
    <s v="Laura Thompson"/>
    <d v="2024-01-16T00:00:00"/>
    <s v="SAAS"/>
    <x v="4"/>
    <x v="4"/>
    <s v="Nurturing"/>
    <n v="3"/>
    <n v="496"/>
    <n v="10"/>
    <d v="2024-06-19T00:00:00"/>
    <m/>
  </r>
  <r>
    <x v="1498"/>
    <s v="Switzerland"/>
    <s v="46.204391"/>
    <s v="6.143158"/>
    <s v="Professional Services  &amp; Consulting"/>
    <s v="Micro (1-10)"/>
    <s v="Laura Thompson"/>
    <d v="2024-04-04T00:00:00"/>
    <s v="SAAS"/>
    <x v="4"/>
    <x v="4"/>
    <s v="Nurturing"/>
    <n v="3"/>
    <n v="715"/>
    <n v="20"/>
    <d v="2024-05-26T00:00:00"/>
    <m/>
  </r>
  <r>
    <x v="1499"/>
    <s v="Switzerland"/>
    <s v="46.204391"/>
    <s v="6.143158"/>
    <s v="Government Administration Healthcare"/>
    <s v="Micro (1-10)"/>
    <s v="Jessica Martinez"/>
    <d v="2024-05-18T00:00:00"/>
    <s v="Services"/>
    <x v="4"/>
    <x v="4"/>
    <s v="Nurturing"/>
    <n v="3"/>
    <n v="475"/>
    <n v="50"/>
    <d v="2024-09-27T00:00:00"/>
    <m/>
  </r>
  <r>
    <x v="1500"/>
    <s v="France"/>
    <s v="48.864716"/>
    <s v="2.349014"/>
    <s v="Telecommunications"/>
    <s v="Micro (1-10)"/>
    <s v="Laura Thompson"/>
    <d v="2024-03-01T00:00:00"/>
    <s v="Services"/>
    <x v="4"/>
    <x v="4"/>
    <s v="Nurturing"/>
    <n v="3"/>
    <n v="530"/>
    <n v="60"/>
    <d v="2025-02-21T00:00:00"/>
    <m/>
  </r>
  <r>
    <x v="1501"/>
    <s v="Switzerland"/>
    <s v="46.204391"/>
    <s v="6.143158"/>
    <s v="Transportation &amp; Logistics"/>
    <s v="Micro (1-10)"/>
    <s v="Michael Brown"/>
    <d v="2024-03-19T00:00:00"/>
    <s v="Custom solution"/>
    <x v="4"/>
    <x v="4"/>
    <s v="Nurturing"/>
    <n v="3"/>
    <n v="984"/>
    <n v="30"/>
    <d v="2024-10-13T00:00:00"/>
    <m/>
  </r>
  <r>
    <x v="1502"/>
    <s v="Germany"/>
    <s v="52.520008"/>
    <s v="13.404954"/>
    <s v="Education &amp; Science"/>
    <s v="Micro (1-10)"/>
    <s v="Jessica Martinez"/>
    <d v="2024-01-25T00:00:00"/>
    <s v="Services"/>
    <x v="4"/>
    <x v="4"/>
    <s v="Nurturing"/>
    <n v="3"/>
    <n v="550"/>
    <n v="60"/>
    <d v="2024-07-09T00:00:00"/>
    <m/>
  </r>
  <r>
    <x v="1503"/>
    <s v="Germany"/>
    <s v="52.520008"/>
    <s v="13.404954"/>
    <s v="Banking and Finance"/>
    <s v="Micro (1-10)"/>
    <s v="Laura Thompson"/>
    <d v="2024-05-27T00:00:00"/>
    <s v="SAAS"/>
    <x v="4"/>
    <x v="4"/>
    <s v="Nurturing"/>
    <n v="3"/>
    <n v="849"/>
    <n v="30"/>
    <d v="2024-08-27T00:00:00"/>
    <m/>
  </r>
  <r>
    <x v="1504"/>
    <s v="Italy"/>
    <s v="41.902782"/>
    <s v="12.496366"/>
    <s v="Recreation &amp; Sports"/>
    <s v="Micro (1-10)"/>
    <s v="John Smith"/>
    <d v="2024-03-15T00:00:00"/>
    <s v="Services"/>
    <x v="4"/>
    <x v="4"/>
    <s v="Nurturing"/>
    <n v="3"/>
    <n v="933"/>
    <n v="60"/>
    <d v="2024-04-18T00:00:00"/>
    <m/>
  </r>
  <r>
    <x v="1505"/>
    <s v="Germany"/>
    <s v="52.520008"/>
    <s v="13.404954"/>
    <s v="Professional Services  &amp; Consulting"/>
    <s v="Micro (1-10)"/>
    <s v="Emily Johnson"/>
    <d v="2024-05-21T00:00:00"/>
    <s v="SAAS"/>
    <x v="4"/>
    <x v="4"/>
    <s v="Nurturing"/>
    <n v="3"/>
    <n v="550"/>
    <n v="50"/>
    <d v="2024-08-15T00:00:00"/>
    <m/>
  </r>
  <r>
    <x v="1506"/>
    <s v="Spain"/>
    <s v="40.416775"/>
    <s v="-3.703790"/>
    <s v="Transportation &amp; Logistics"/>
    <s v="Micro (1-10)"/>
    <s v="Laura Thompson"/>
    <d v="2024-03-18T00:00:00"/>
    <s v="Services"/>
    <x v="4"/>
    <x v="4"/>
    <s v="Nurturing"/>
    <n v="3"/>
    <n v="540"/>
    <n v="20"/>
    <d v="2024-09-16T00:00:00"/>
    <m/>
  </r>
  <r>
    <x v="1507"/>
    <s v="Austria"/>
    <s v="48.210033"/>
    <s v="16.363449"/>
    <s v="Transportation &amp; Logistics"/>
    <s v="Micro (1-10)"/>
    <s v="Laura Thompson"/>
    <d v="2024-01-16T00:00:00"/>
    <s v="Services"/>
    <x v="4"/>
    <x v="4"/>
    <s v="Nurturing"/>
    <n v="3"/>
    <n v="537"/>
    <n v="50"/>
    <d v="2024-04-09T00:00:00"/>
    <m/>
  </r>
  <r>
    <x v="1508"/>
    <s v="Portugal"/>
    <s v="38.736946"/>
    <s v="-9.142685"/>
    <s v="Banking and Finance"/>
    <s v="Micro (1-10)"/>
    <s v="Sarah Davis"/>
    <d v="2024-03-21T00:00:00"/>
    <s v="Services"/>
    <x v="4"/>
    <x v="4"/>
    <s v="Nurturing"/>
    <n v="3"/>
    <n v="210"/>
    <n v="20"/>
    <d v="2024-12-30T00:00:00"/>
    <m/>
  </r>
  <r>
    <x v="1509"/>
    <s v="Austria"/>
    <s v="48.210033"/>
    <s v="16.363449"/>
    <s v="Manufacturing &amp; Production"/>
    <s v="Micro (1-10)"/>
    <s v="Jessica Martinez"/>
    <d v="2024-03-20T00:00:00"/>
    <s v="SAAS"/>
    <x v="4"/>
    <x v="4"/>
    <s v="Nurturing"/>
    <n v="3"/>
    <n v="404"/>
    <n v="80"/>
    <d v="2024-12-02T00:00:00"/>
    <m/>
  </r>
  <r>
    <x v="1510"/>
    <s v="France"/>
    <s v="48.864716"/>
    <s v="2.349014"/>
    <s v="Retail &amp; Distribution"/>
    <s v="Micro (1-10)"/>
    <s v="Sarah Davis"/>
    <d v="2024-03-21T00:00:00"/>
    <s v="SAAS"/>
    <x v="4"/>
    <x v="4"/>
    <s v="Nurturing"/>
    <n v="3"/>
    <n v="894"/>
    <n v="50"/>
    <d v="2024-07-24T00:00:00"/>
    <m/>
  </r>
  <r>
    <x v="1511"/>
    <s v="Italy"/>
    <s v="41.902782"/>
    <s v="12.496366"/>
    <s v="IT &amp; IT Services"/>
    <s v="Micro (1-10)"/>
    <s v="Laura Thompson"/>
    <d v="2024-01-09T00:00:00"/>
    <s v="Custom solution"/>
    <x v="4"/>
    <x v="4"/>
    <s v="Nurturing"/>
    <n v="3"/>
    <n v="823"/>
    <n v="50"/>
    <d v="2024-04-22T00:00:00"/>
    <m/>
  </r>
  <r>
    <x v="1512"/>
    <s v="Netherlands"/>
    <s v="52.370216"/>
    <s v="4.895168"/>
    <s v="Telecommunications"/>
    <s v="Micro (1-10)"/>
    <s v="Jessica Martinez"/>
    <d v="2024-05-25T00:00:00"/>
    <s v="Custom solution"/>
    <x v="4"/>
    <x v="4"/>
    <s v="Nurturing"/>
    <n v="3"/>
    <n v="1159"/>
    <n v="30"/>
    <d v="2024-08-16T00:00:00"/>
    <m/>
  </r>
  <r>
    <x v="1513"/>
    <s v="Portugal"/>
    <s v="38.736946"/>
    <s v="-9.142685"/>
    <s v="Government Administration Healthcare"/>
    <s v="Micro (1-10)"/>
    <s v="David Wilson"/>
    <d v="2024-01-21T00:00:00"/>
    <s v="Custom solution"/>
    <x v="4"/>
    <x v="4"/>
    <s v="Nurturing"/>
    <n v="3"/>
    <n v="903"/>
    <n v="60"/>
    <d v="2024-06-24T00:00:00"/>
    <m/>
  </r>
  <r>
    <x v="1514"/>
    <s v="Austria"/>
    <s v="48.210033"/>
    <s v="16.363449"/>
    <s v="IT &amp; IT Services"/>
    <s v="Micro (1-10)"/>
    <s v="Laura Thompson"/>
    <d v="2024-03-22T00:00:00"/>
    <s v="Services"/>
    <x v="4"/>
    <x v="4"/>
    <s v="Nurturing"/>
    <n v="3"/>
    <n v="365"/>
    <n v="90"/>
    <d v="2024-05-01T00:00:00"/>
    <m/>
  </r>
  <r>
    <x v="1515"/>
    <s v="Switzerland"/>
    <s v="46.204391"/>
    <s v="6.143158"/>
    <s v="Transportation &amp; Logistics"/>
    <s v="Micro (1-10)"/>
    <s v="Laura Thompson"/>
    <d v="2024-05-19T00:00:00"/>
    <s v="SAAS"/>
    <x v="4"/>
    <x v="4"/>
    <s v="Nurturing"/>
    <n v="3"/>
    <n v="865"/>
    <n v="30"/>
    <d v="2025-03-23T00:00:00"/>
    <m/>
  </r>
  <r>
    <x v="1516"/>
    <s v="Belgium"/>
    <s v="51.260197"/>
    <s v="4.402771"/>
    <s v="IT &amp; IT Services"/>
    <s v="Micro (1-10)"/>
    <s v="Michael Brown"/>
    <d v="2024-02-20T00:00:00"/>
    <s v="Custom solution"/>
    <x v="4"/>
    <x v="4"/>
    <s v="Nurturing"/>
    <n v="3"/>
    <n v="315"/>
    <n v="30"/>
    <d v="2024-08-21T00:00:00"/>
    <m/>
  </r>
  <r>
    <x v="1517"/>
    <s v="Italy"/>
    <s v="41.902782"/>
    <s v="12.496366"/>
    <s v="Banking and Finance"/>
    <s v="Micro (1-10)"/>
    <s v="David Wilson"/>
    <d v="2024-01-04T00:00:00"/>
    <s v="SAAS"/>
    <x v="4"/>
    <x v="4"/>
    <s v="Nurturing"/>
    <n v="3"/>
    <n v="747"/>
    <n v="60"/>
    <d v="2024-07-19T00:00:00"/>
    <m/>
  </r>
  <r>
    <x v="1518"/>
    <s v="Italy"/>
    <s v="41.902782"/>
    <s v="12.496366"/>
    <s v="Education &amp; Science"/>
    <s v="Micro (1-10)"/>
    <s v="Jessica Martinez"/>
    <d v="2024-03-10T00:00:00"/>
    <s v="Custom solution"/>
    <x v="4"/>
    <x v="4"/>
    <s v="Nurturing"/>
    <n v="3"/>
    <n v="368"/>
    <n v="50"/>
    <d v="2024-04-11T00:00:00"/>
    <m/>
  </r>
  <r>
    <x v="1519"/>
    <s v="Switzerland"/>
    <s v="46.204391"/>
    <s v="6.143158"/>
    <s v="Transportation &amp; Logistics"/>
    <s v="Micro (1-10)"/>
    <s v="Kevin Anderson"/>
    <d v="2024-03-24T00:00:00"/>
    <s v="SAAS"/>
    <x v="4"/>
    <x v="4"/>
    <s v="Nurturing"/>
    <n v="3"/>
    <n v="1005"/>
    <n v="30"/>
    <d v="2024-10-08T00:00:00"/>
    <m/>
  </r>
  <r>
    <x v="1520"/>
    <s v="Austria"/>
    <s v="48.210033"/>
    <s v="16.363449"/>
    <s v="Transportation &amp; Logistics"/>
    <s v="Micro (1-10)"/>
    <s v="Michael Brown"/>
    <d v="2024-01-24T00:00:00"/>
    <s v="SAAS"/>
    <x v="4"/>
    <x v="4"/>
    <s v="Nurturing"/>
    <n v="3"/>
    <n v="454"/>
    <n v="100"/>
    <d v="2024-12-19T00:00:00"/>
    <m/>
  </r>
  <r>
    <x v="1521"/>
    <s v="France"/>
    <s v="48.864716"/>
    <s v="2.349014"/>
    <s v="Retail &amp; Distribution"/>
    <s v="Micro (1-10)"/>
    <s v="Emily Johnson"/>
    <d v="2024-05-15T00:00:00"/>
    <s v="SAAS"/>
    <x v="4"/>
    <x v="4"/>
    <s v="Nurturing"/>
    <n v="3"/>
    <n v="495"/>
    <n v="40"/>
    <d v="2024-11-15T00:00:00"/>
    <m/>
  </r>
  <r>
    <x v="1522"/>
    <s v="France"/>
    <s v="48.864716"/>
    <s v="2.349014"/>
    <s v="Banking and Finance"/>
    <s v="Medium (201-500)"/>
    <s v="Michael Brown"/>
    <d v="2024-03-31T00:00:00"/>
    <s v="Services"/>
    <x v="4"/>
    <x v="4"/>
    <s v="Nurturing"/>
    <n v="3"/>
    <n v="4935"/>
    <n v="50"/>
    <d v="2025-01-31T00:00:00"/>
    <m/>
  </r>
  <r>
    <x v="1523"/>
    <s v="Austria"/>
    <s v="48.210033"/>
    <s v="16.363449"/>
    <s v="Transportation &amp; Logistics"/>
    <s v="Medium (201-500)"/>
    <s v="Laura Thompson"/>
    <d v="2024-05-05T00:00:00"/>
    <s v="Services"/>
    <x v="4"/>
    <x v="4"/>
    <s v="Nurturing"/>
    <n v="3"/>
    <n v="4189"/>
    <n v="80"/>
    <d v="2024-12-24T00:00:00"/>
    <m/>
  </r>
  <r>
    <x v="1524"/>
    <s v="Belgium"/>
    <s v="51.260197"/>
    <s v="4.402771"/>
    <s v="Transportation &amp; Logistics"/>
    <s v="Medium (201-500)"/>
    <s v="Jessica Martinez"/>
    <d v="2024-01-09T00:00:00"/>
    <s v="SAAS"/>
    <x v="4"/>
    <x v="4"/>
    <s v="Nurturing"/>
    <n v="3"/>
    <n v="2434"/>
    <n v="50"/>
    <d v="2024-02-08T00:00:00"/>
    <m/>
  </r>
  <r>
    <x v="1525"/>
    <s v="Belgium"/>
    <s v="51.260197"/>
    <s v="4.402771"/>
    <s v="Construction &amp; Engineering"/>
    <s v="Medium (201-500)"/>
    <s v="Jessica Martinez"/>
    <d v="2024-03-07T00:00:00"/>
    <s v="Services"/>
    <x v="4"/>
    <x v="4"/>
    <s v="Nurturing"/>
    <n v="3"/>
    <n v="4418"/>
    <n v="100"/>
    <d v="2024-06-22T00:00:00"/>
    <m/>
  </r>
  <r>
    <x v="1526"/>
    <s v="Spain"/>
    <s v="40.416775"/>
    <s v="-3.703790"/>
    <s v="Transportation &amp; Logistics"/>
    <s v="Medium (201-500)"/>
    <s v="Emily Johnson"/>
    <d v="2024-04-17T00:00:00"/>
    <s v="Custom solution"/>
    <x v="4"/>
    <x v="4"/>
    <s v="Nurturing"/>
    <n v="3"/>
    <n v="3012"/>
    <n v="60"/>
    <d v="2025-03-10T00:00:00"/>
    <m/>
  </r>
  <r>
    <x v="1527"/>
    <s v="Belgium"/>
    <s v="51.260197"/>
    <s v="4.402771"/>
    <s v="Government Administration Healthcare"/>
    <s v="Medium (201-500)"/>
    <s v="Michael Brown"/>
    <d v="2024-03-27T00:00:00"/>
    <s v="Services"/>
    <x v="4"/>
    <x v="4"/>
    <s v="Nurturing"/>
    <n v="3"/>
    <n v="3207"/>
    <n v="10"/>
    <d v="2025-02-09T00:00:00"/>
    <m/>
  </r>
  <r>
    <x v="1528"/>
    <s v="Portugal"/>
    <s v="38.736946"/>
    <s v="-9.142685"/>
    <s v="Transportation &amp; Logistics"/>
    <s v="Medium (201-500)"/>
    <s v="John Smith"/>
    <d v="2024-05-09T00:00:00"/>
    <s v="Services"/>
    <x v="4"/>
    <x v="4"/>
    <s v="Nurturing"/>
    <n v="3"/>
    <n v="7583"/>
    <n v="60"/>
    <d v="2025-01-10T00:00:00"/>
    <m/>
  </r>
  <r>
    <x v="1529"/>
    <s v="Italy"/>
    <s v="41.902782"/>
    <s v="12.496366"/>
    <s v="Banking and Finance"/>
    <s v="Medium (201-500)"/>
    <s v="David Wilson"/>
    <d v="2024-05-27T00:00:00"/>
    <s v="Services"/>
    <x v="4"/>
    <x v="4"/>
    <s v="Nurturing"/>
    <n v="3"/>
    <n v="318"/>
    <n v="80"/>
    <d v="2024-10-12T00:00:00"/>
    <m/>
  </r>
  <r>
    <x v="1530"/>
    <s v="Germany"/>
    <s v="52.520008"/>
    <s v="13.404954"/>
    <s v="IT &amp; IT Services"/>
    <s v="Medium (201-500)"/>
    <s v="Kevin Anderson"/>
    <d v="2024-05-01T00:00:00"/>
    <s v="Services"/>
    <x v="4"/>
    <x v="4"/>
    <s v="Nurturing"/>
    <n v="3"/>
    <n v="7472"/>
    <n v="60"/>
    <d v="2024-12-27T00:00:00"/>
    <m/>
  </r>
  <r>
    <x v="1531"/>
    <s v="Italy"/>
    <s v="41.902782"/>
    <s v="12.496366"/>
    <s v="Transportation &amp; Logistics"/>
    <s v="Medium (201-500)"/>
    <s v="Michael Brown"/>
    <d v="2024-02-25T00:00:00"/>
    <s v="Custom solution"/>
    <x v="4"/>
    <x v="4"/>
    <s v="Nurturing"/>
    <n v="3"/>
    <n v="6543"/>
    <n v="40"/>
    <d v="2025-01-28T00:00:00"/>
    <m/>
  </r>
  <r>
    <x v="1532"/>
    <s v="Germany"/>
    <s v="52.520008"/>
    <s v="13.404954"/>
    <s v="Entertainment &amp; Media &amp; Hospitality"/>
    <s v="Medium (201-500)"/>
    <s v="Kevin Anderson"/>
    <d v="2024-04-10T00:00:00"/>
    <s v="Custom solution"/>
    <x v="4"/>
    <x v="4"/>
    <s v="Nurturing"/>
    <n v="3"/>
    <n v="4577"/>
    <n v="20"/>
    <d v="2024-07-27T00:00:00"/>
    <m/>
  </r>
  <r>
    <x v="1533"/>
    <s v="Austria"/>
    <s v="48.210033"/>
    <s v="16.363449"/>
    <s v="Government Administration Healthcare"/>
    <s v="Medium (201-500)"/>
    <s v="David Wilson"/>
    <d v="2024-03-04T00:00:00"/>
    <s v="Services"/>
    <x v="4"/>
    <x v="4"/>
    <s v="Nurturing"/>
    <n v="3"/>
    <n v="2169"/>
    <n v="70"/>
    <d v="2025-01-31T00:00:00"/>
    <m/>
  </r>
  <r>
    <x v="1534"/>
    <s v="Austria"/>
    <s v="48.210033"/>
    <s v="16.363449"/>
    <s v="IT &amp; IT Services"/>
    <s v="Medium (201-500)"/>
    <s v="Kevin Anderson"/>
    <d v="2024-05-21T00:00:00"/>
    <s v="SAAS"/>
    <x v="4"/>
    <x v="4"/>
    <s v="Nurturing"/>
    <n v="3"/>
    <n v="5718"/>
    <n v="40"/>
    <d v="2024-08-11T00:00:00"/>
    <m/>
  </r>
  <r>
    <x v="1535"/>
    <s v="Belgium"/>
    <s v="51.260197"/>
    <s v="4.402771"/>
    <s v="Government Administration Healthcare"/>
    <s v="Medium (201-500)"/>
    <s v="Michael Brown"/>
    <d v="2024-05-21T00:00:00"/>
    <s v="SAAS"/>
    <x v="4"/>
    <x v="4"/>
    <s v="Nurturing"/>
    <n v="3"/>
    <n v="4346"/>
    <n v="50"/>
    <d v="2024-07-27T00:00:00"/>
    <m/>
  </r>
  <r>
    <x v="1536"/>
    <s v="Portugal"/>
    <s v="38.736946"/>
    <s v="-9.142685"/>
    <s v="Energy &amp; Utilities"/>
    <s v="Medium (201-500)"/>
    <s v="Laura Thompson"/>
    <d v="2024-02-13T00:00:00"/>
    <s v="SAAS"/>
    <x v="4"/>
    <x v="4"/>
    <s v="Nurturing"/>
    <n v="3"/>
    <n v="4200"/>
    <n v="100"/>
    <d v="2024-06-04T00:00:00"/>
    <m/>
  </r>
  <r>
    <x v="1537"/>
    <s v="Netherlands"/>
    <s v="52.370216"/>
    <s v="4.895168"/>
    <s v="Manufacturing &amp; Production"/>
    <s v="Medium (201-500)"/>
    <s v="Laura Thompson"/>
    <d v="2024-01-14T00:00:00"/>
    <s v="SAAS"/>
    <x v="4"/>
    <x v="4"/>
    <s v="Nurturing"/>
    <n v="3"/>
    <n v="7387"/>
    <n v="100"/>
    <d v="2024-11-16T00:00:00"/>
    <m/>
  </r>
  <r>
    <x v="1538"/>
    <s v="Italy"/>
    <s v="41.902782"/>
    <s v="12.496366"/>
    <s v="Banking and Finance"/>
    <s v="Medium (201-500)"/>
    <s v="Laura Thompson"/>
    <d v="2024-03-28T00:00:00"/>
    <s v="Services"/>
    <x v="4"/>
    <x v="4"/>
    <s v="Nurturing"/>
    <n v="3"/>
    <n v="3777"/>
    <n v="20"/>
    <d v="2024-10-30T00:00:00"/>
    <m/>
  </r>
  <r>
    <x v="1539"/>
    <s v="France"/>
    <s v="48.864716"/>
    <s v="2.349014"/>
    <s v="Transportation &amp; Logistics"/>
    <s v="Medium (201-500)"/>
    <s v="Sarah Davis"/>
    <d v="2024-05-16T00:00:00"/>
    <s v="Custom solution"/>
    <x v="4"/>
    <x v="4"/>
    <s v="Nurturing"/>
    <n v="3"/>
    <n v="5951"/>
    <n v="20"/>
    <d v="2025-05-07T00:00:00"/>
    <m/>
  </r>
  <r>
    <x v="1540"/>
    <s v="Italy"/>
    <s v="41.902782"/>
    <s v="12.496366"/>
    <s v="Professional Services  &amp; Consulting"/>
    <s v="Medium (201-500)"/>
    <s v="Kevin Anderson"/>
    <d v="2024-04-09T00:00:00"/>
    <s v="SAAS"/>
    <x v="4"/>
    <x v="4"/>
    <s v="Nurturing"/>
    <n v="3"/>
    <n v="7344"/>
    <n v="60"/>
    <d v="2025-02-11T00:00:00"/>
    <m/>
  </r>
  <r>
    <x v="1541"/>
    <s v="Netherlands"/>
    <s v="52.370216"/>
    <s v="4.895168"/>
    <s v="Energy &amp; Utilities"/>
    <s v="Medium (201-500)"/>
    <s v="John Smith"/>
    <d v="2024-01-30T00:00:00"/>
    <s v="SAAS"/>
    <x v="4"/>
    <x v="4"/>
    <s v="Nurturing"/>
    <n v="3"/>
    <n v="732"/>
    <n v="10"/>
    <d v="2024-06-13T00:00:00"/>
    <m/>
  </r>
  <r>
    <x v="1542"/>
    <s v="Switzerland"/>
    <s v="46.204391"/>
    <s v="6.143158"/>
    <s v="IT &amp; IT Services"/>
    <s v="Medium (201-500)"/>
    <s v="John Smith"/>
    <d v="2024-01-29T00:00:00"/>
    <s v="Custom solution"/>
    <x v="4"/>
    <x v="4"/>
    <s v="Nurturing"/>
    <n v="3"/>
    <n v="3550"/>
    <n v="70"/>
    <d v="2024-04-25T00:00:00"/>
    <m/>
  </r>
  <r>
    <x v="1543"/>
    <s v="France"/>
    <s v="48.864716"/>
    <s v="2.349014"/>
    <s v="Retail &amp; Distribution"/>
    <s v="Medium (201-500)"/>
    <s v="Jessica Martinez"/>
    <d v="2024-04-22T00:00:00"/>
    <s v="SAAS"/>
    <x v="4"/>
    <x v="4"/>
    <s v="Nurturing"/>
    <n v="3"/>
    <n v="4610"/>
    <n v="20"/>
    <d v="2025-04-08T00:00:00"/>
    <m/>
  </r>
  <r>
    <x v="1544"/>
    <s v="Switzerland"/>
    <s v="46.204391"/>
    <s v="6.143158"/>
    <s v="Retail &amp; Distribution"/>
    <s v="Medium (201-500)"/>
    <s v="Jessica Martinez"/>
    <d v="2024-02-28T00:00:00"/>
    <s v="SAAS"/>
    <x v="4"/>
    <x v="4"/>
    <s v="Nurturing"/>
    <n v="3"/>
    <n v="2071"/>
    <n v="70"/>
    <d v="2024-06-08T00:00:00"/>
    <m/>
  </r>
  <r>
    <x v="1545"/>
    <s v="France"/>
    <s v="48.864716"/>
    <s v="2.349014"/>
    <s v="Professional Services  &amp; Consulting"/>
    <s v="Medium (201-500)"/>
    <s v="Sarah Davis"/>
    <d v="2024-01-02T00:00:00"/>
    <s v="Services"/>
    <x v="4"/>
    <x v="4"/>
    <s v="Nurturing"/>
    <n v="3"/>
    <n v="911"/>
    <n v="40"/>
    <d v="2024-11-11T00:00:00"/>
    <m/>
  </r>
  <r>
    <x v="1546"/>
    <s v="Portugal"/>
    <s v="38.736946"/>
    <s v="-9.142685"/>
    <s v="Agriculture &amp; Mining"/>
    <s v="Medium (201-500)"/>
    <s v="John Smith"/>
    <d v="2024-02-04T00:00:00"/>
    <s v="SAAS"/>
    <x v="4"/>
    <x v="4"/>
    <s v="Nurturing"/>
    <n v="3"/>
    <n v="7703"/>
    <n v="40"/>
    <d v="2024-05-27T00:00:00"/>
    <m/>
  </r>
  <r>
    <x v="1547"/>
    <s v="Italy"/>
    <s v="41.902782"/>
    <s v="12.496366"/>
    <s v="Telecommunications"/>
    <s v="Medium (201-500)"/>
    <s v="David Wilson"/>
    <d v="2024-01-31T00:00:00"/>
    <s v="Services"/>
    <x v="4"/>
    <x v="4"/>
    <s v="Nurturing"/>
    <n v="3"/>
    <n v="7134"/>
    <n v="30"/>
    <d v="2024-11-29T00:00:00"/>
    <m/>
  </r>
  <r>
    <x v="1548"/>
    <s v="Germany"/>
    <s v="52.520008"/>
    <s v="13.404954"/>
    <s v="Banking and Finance"/>
    <s v="Medium (201-500)"/>
    <s v="Laura Thompson"/>
    <d v="2024-02-20T00:00:00"/>
    <s v="Custom solution"/>
    <x v="4"/>
    <x v="4"/>
    <s v="Nurturing"/>
    <n v="3"/>
    <n v="1184"/>
    <n v="50"/>
    <d v="2025-01-26T00:00:00"/>
    <m/>
  </r>
  <r>
    <x v="1549"/>
    <s v="Switzerland"/>
    <s v="46.204391"/>
    <s v="6.143158"/>
    <s v="Retail &amp; Distribution"/>
    <s v="Medium (201-500)"/>
    <s v="John Smith"/>
    <d v="2024-03-07T00:00:00"/>
    <s v="Custom solution"/>
    <x v="4"/>
    <x v="4"/>
    <s v="Nurturing"/>
    <n v="3"/>
    <n v="767"/>
    <n v="70"/>
    <d v="2024-06-02T00:00:00"/>
    <m/>
  </r>
  <r>
    <x v="1550"/>
    <s v="Austria"/>
    <s v="48.210033"/>
    <s v="16.363449"/>
    <s v="Banking and Finance"/>
    <s v="Medium (201-500)"/>
    <s v="Jessica Martinez"/>
    <d v="2024-05-09T00:00:00"/>
    <s v="SAAS"/>
    <x v="4"/>
    <x v="4"/>
    <s v="Nurturing"/>
    <n v="3"/>
    <n v="4296"/>
    <n v="50"/>
    <d v="2025-05-07T00:00:00"/>
    <m/>
  </r>
  <r>
    <x v="1551"/>
    <s v="Germany"/>
    <s v="52.520008"/>
    <s v="13.404954"/>
    <s v="IT &amp; IT Services"/>
    <s v="Medium (201-500)"/>
    <s v="Michael Brown"/>
    <d v="2024-01-29T00:00:00"/>
    <s v="Services"/>
    <x v="4"/>
    <x v="4"/>
    <s v="Nurturing"/>
    <n v="3"/>
    <n v="1395"/>
    <n v="30"/>
    <d v="2024-06-17T00:00:00"/>
    <m/>
  </r>
  <r>
    <x v="1552"/>
    <s v="Spain"/>
    <s v="40.416775"/>
    <s v="-3.703790"/>
    <s v="Telecommunications"/>
    <s v="Medium (201-500)"/>
    <s v="Sarah Davis"/>
    <d v="2024-05-29T00:00:00"/>
    <s v="Services"/>
    <x v="4"/>
    <x v="4"/>
    <s v="Nurturing"/>
    <n v="3"/>
    <n v="1440"/>
    <n v="40"/>
    <d v="2024-10-02T00:00:00"/>
    <m/>
  </r>
  <r>
    <x v="1553"/>
    <s v="France"/>
    <s v="48.864716"/>
    <s v="2.349014"/>
    <s v="Entertainment &amp; Media &amp; Hospitality"/>
    <s v="Medium (201-500)"/>
    <s v="Kevin Anderson"/>
    <d v="2024-03-19T00:00:00"/>
    <s v="SAAS"/>
    <x v="4"/>
    <x v="4"/>
    <s v="Nurturing"/>
    <n v="3"/>
    <n v="3831"/>
    <n v="40"/>
    <d v="2024-05-16T00:00:00"/>
    <m/>
  </r>
  <r>
    <x v="1554"/>
    <s v="Germany"/>
    <s v="52.520008"/>
    <s v="13.404954"/>
    <s v="IT &amp; IT Services"/>
    <s v="Medium (201-500)"/>
    <s v="Kevin Anderson"/>
    <d v="2024-05-21T00:00:00"/>
    <s v="SAAS"/>
    <x v="4"/>
    <x v="4"/>
    <s v="Nurturing"/>
    <n v="3"/>
    <n v="678"/>
    <n v="40"/>
    <d v="2025-02-19T00:00:00"/>
    <m/>
  </r>
  <r>
    <x v="1555"/>
    <s v="Switzerland"/>
    <s v="46.204391"/>
    <s v="6.143158"/>
    <s v="Retail &amp; Distribution"/>
    <s v="Medium (201-500)"/>
    <s v="Laura Thompson"/>
    <d v="2024-05-29T00:00:00"/>
    <s v="SAAS"/>
    <x v="4"/>
    <x v="4"/>
    <s v="Nurturing"/>
    <n v="3"/>
    <n v="535"/>
    <n v="40"/>
    <d v="2024-07-23T00:00:00"/>
    <m/>
  </r>
  <r>
    <x v="1556"/>
    <s v="Switzerland"/>
    <s v="46.204391"/>
    <s v="6.143158"/>
    <s v="Transportation &amp; Logistics"/>
    <s v="Medium (201-500)"/>
    <s v="Jessica Martinez"/>
    <d v="2024-04-27T00:00:00"/>
    <s v="SAAS"/>
    <x v="4"/>
    <x v="4"/>
    <s v="Nurturing"/>
    <n v="3"/>
    <n v="6841"/>
    <n v="40"/>
    <d v="2024-12-05T00:00:00"/>
    <m/>
  </r>
  <r>
    <x v="1557"/>
    <s v="Spain"/>
    <s v="40.416775"/>
    <s v="-3.703790"/>
    <s v="Manufacturing &amp; Production"/>
    <s v="Medium (201-500)"/>
    <s v="Emily Johnson"/>
    <d v="2024-03-03T00:00:00"/>
    <s v="Custom solution"/>
    <x v="4"/>
    <x v="4"/>
    <s v="Nurturing"/>
    <n v="3"/>
    <n v="5122"/>
    <n v="40"/>
    <d v="2024-03-25T00:00:00"/>
    <m/>
  </r>
  <r>
    <x v="1558"/>
    <s v="Portugal"/>
    <s v="38.736946"/>
    <s v="-9.142685"/>
    <s v="Agriculture &amp; Mining"/>
    <s v="Medium (201-500)"/>
    <s v="Kevin Anderson"/>
    <d v="2024-03-08T00:00:00"/>
    <s v="Services"/>
    <x v="4"/>
    <x v="4"/>
    <s v="Nurturing"/>
    <n v="3"/>
    <n v="3449"/>
    <n v="50"/>
    <d v="2024-09-18T00:00:00"/>
    <m/>
  </r>
  <r>
    <x v="1559"/>
    <s v="Switzerland"/>
    <s v="46.204391"/>
    <s v="6.143158"/>
    <s v="Education &amp; Science"/>
    <s v="Medium (201-500)"/>
    <s v="Laura Thompson"/>
    <d v="2024-01-10T00:00:00"/>
    <s v="Custom solution"/>
    <x v="4"/>
    <x v="4"/>
    <s v="Nurturing"/>
    <n v="3"/>
    <n v="1989"/>
    <n v="30"/>
    <d v="2024-06-02T00:00:00"/>
    <m/>
  </r>
  <r>
    <x v="1560"/>
    <s v="France"/>
    <s v="48.864716"/>
    <s v="2.349014"/>
    <s v="IT &amp; IT Services"/>
    <s v="Medium (201-500)"/>
    <s v="Jessica Martinez"/>
    <d v="2024-01-28T00:00:00"/>
    <s v="Services"/>
    <x v="4"/>
    <x v="4"/>
    <s v="Nurturing"/>
    <n v="3"/>
    <n v="7029"/>
    <n v="50"/>
    <d v="2024-12-22T00:00:00"/>
    <m/>
  </r>
  <r>
    <x v="1561"/>
    <s v="Germany"/>
    <s v="52.520008"/>
    <s v="13.404954"/>
    <s v="Professional Services  &amp; Consulting"/>
    <s v="Medium (201-500)"/>
    <s v="Sarah Davis"/>
    <d v="2024-01-08T00:00:00"/>
    <s v="SAAS"/>
    <x v="4"/>
    <x v="4"/>
    <s v="Nurturing"/>
    <n v="3"/>
    <n v="431"/>
    <n v="60"/>
    <d v="2024-07-06T00:00:00"/>
    <m/>
  </r>
  <r>
    <x v="1562"/>
    <s v="Belgium"/>
    <s v="51.260197"/>
    <s v="4.402771"/>
    <s v="Transportation &amp; Logistics"/>
    <s v="Medium (201-500)"/>
    <s v="Laura Thompson"/>
    <d v="2024-01-08T00:00:00"/>
    <s v="Services"/>
    <x v="4"/>
    <x v="4"/>
    <s v="Nurturing"/>
    <n v="3"/>
    <n v="3731"/>
    <n v="50"/>
    <d v="2024-07-29T00:00:00"/>
    <m/>
  </r>
  <r>
    <x v="1563"/>
    <s v="Netherlands"/>
    <s v="52.370216"/>
    <s v="4.895168"/>
    <s v="Entertainment &amp; Media &amp; Hospitality"/>
    <s v="Medium (201-500)"/>
    <s v="Michael Brown"/>
    <d v="2024-05-15T00:00:00"/>
    <s v="SAAS"/>
    <x v="4"/>
    <x v="4"/>
    <s v="Nurturing"/>
    <n v="3"/>
    <n v="3030"/>
    <n v="20"/>
    <d v="2024-06-11T00:00:00"/>
    <m/>
  </r>
  <r>
    <x v="1564"/>
    <s v="Germany"/>
    <s v="52.520008"/>
    <s v="13.404954"/>
    <s v="Recreation &amp; Sports"/>
    <s v="Medium (201-500)"/>
    <s v="David Wilson"/>
    <d v="2024-04-30T00:00:00"/>
    <s v="Services"/>
    <x v="4"/>
    <x v="4"/>
    <s v="Nurturing"/>
    <n v="3"/>
    <n v="7169"/>
    <n v="20"/>
    <d v="2024-10-06T00:00:00"/>
    <m/>
  </r>
  <r>
    <x v="1565"/>
    <s v="Italy"/>
    <s v="41.902782"/>
    <s v="12.496366"/>
    <s v="Banking and Finance"/>
    <s v="Medium (201-500)"/>
    <s v="Sarah Davis"/>
    <d v="2024-01-05T00:00:00"/>
    <s v="Services"/>
    <x v="4"/>
    <x v="4"/>
    <s v="Nurturing"/>
    <n v="3"/>
    <n v="5386"/>
    <n v="40"/>
    <d v="2024-06-11T00:00:00"/>
    <m/>
  </r>
  <r>
    <x v="1566"/>
    <s v="Netherlands"/>
    <s v="52.370216"/>
    <s v="4.895168"/>
    <s v="Professional Services  &amp; Consulting"/>
    <s v="Medium (201-500)"/>
    <s v="Kevin Anderson"/>
    <d v="2024-04-09T00:00:00"/>
    <s v="SAAS"/>
    <x v="4"/>
    <x v="4"/>
    <s v="Nurturing"/>
    <n v="3"/>
    <n v="1299"/>
    <n v="50"/>
    <d v="2024-08-30T00:00:00"/>
    <m/>
  </r>
  <r>
    <x v="1567"/>
    <s v="Portugal"/>
    <s v="38.736946"/>
    <s v="-9.142685"/>
    <s v="Transportation &amp; Logistics"/>
    <s v="Medium (201-500)"/>
    <s v="Laura Thompson"/>
    <d v="2024-03-12T00:00:00"/>
    <s v="Services"/>
    <x v="4"/>
    <x v="4"/>
    <s v="Nurturing"/>
    <n v="3"/>
    <n v="534"/>
    <n v="50"/>
    <d v="2025-02-07T00:00:00"/>
    <m/>
  </r>
  <r>
    <x v="1568"/>
    <s v="Belgium"/>
    <s v="51.260197"/>
    <s v="4.402771"/>
    <s v="Education &amp; Science"/>
    <s v="Medium (201-500)"/>
    <s v="Michael Brown"/>
    <d v="2024-04-01T00:00:00"/>
    <s v="SAAS"/>
    <x v="4"/>
    <x v="4"/>
    <s v="Nurturing"/>
    <n v="3"/>
    <n v="1785"/>
    <n v="20"/>
    <d v="2024-07-06T00:00:00"/>
    <m/>
  </r>
  <r>
    <x v="1569"/>
    <s v="Italy"/>
    <s v="41.902782"/>
    <s v="12.496366"/>
    <s v="Retail &amp; Distribution"/>
    <s v="Medium (201-500)"/>
    <s v="Jessica Martinez"/>
    <d v="2024-04-22T00:00:00"/>
    <s v="SAAS"/>
    <x v="4"/>
    <x v="4"/>
    <s v="Nurturing"/>
    <n v="3"/>
    <n v="7551"/>
    <n v="20"/>
    <d v="2024-10-16T00:00:00"/>
    <m/>
  </r>
  <r>
    <x v="1570"/>
    <s v="Italy"/>
    <s v="41.902782"/>
    <s v="12.496366"/>
    <s v="Professional Services  &amp; Consulting"/>
    <s v="Medium (201-500)"/>
    <s v="Michael Brown"/>
    <d v="2024-05-08T00:00:00"/>
    <s v="SAAS"/>
    <x v="4"/>
    <x v="4"/>
    <s v="Nurturing"/>
    <n v="3"/>
    <n v="5017"/>
    <n v="60"/>
    <d v="2025-03-23T00:00:00"/>
    <m/>
  </r>
  <r>
    <x v="1571"/>
    <s v="France"/>
    <s v="48.864716"/>
    <s v="2.349014"/>
    <s v="Telecommunications"/>
    <s v="Medium (201-500)"/>
    <s v="David Wilson"/>
    <d v="2024-04-30T00:00:00"/>
    <s v="SAAS"/>
    <x v="4"/>
    <x v="4"/>
    <s v="Nurturing"/>
    <n v="3"/>
    <n v="7055"/>
    <n v="70"/>
    <d v="2025-02-19T00:00:00"/>
    <m/>
  </r>
  <r>
    <x v="1572"/>
    <s v="Switzerland"/>
    <s v="46.204391"/>
    <s v="6.143158"/>
    <s v="Transportation &amp; Logistics"/>
    <s v="Medium (201-500)"/>
    <s v="Sarah Davis"/>
    <d v="2024-03-26T00:00:00"/>
    <s v="Custom solution"/>
    <x v="4"/>
    <x v="4"/>
    <s v="Nurturing"/>
    <n v="3"/>
    <n v="2713"/>
    <n v="50"/>
    <d v="2025-02-21T00:00:00"/>
    <m/>
  </r>
  <r>
    <x v="1573"/>
    <s v="France"/>
    <s v="48.864716"/>
    <s v="2.349014"/>
    <s v="Telecommunications"/>
    <s v="Medium (201-500)"/>
    <s v="Laura Thompson"/>
    <d v="2024-03-22T00:00:00"/>
    <s v="Custom solution"/>
    <x v="4"/>
    <x v="4"/>
    <s v="Nurturing"/>
    <n v="3"/>
    <n v="3423"/>
    <n v="60"/>
    <d v="2024-12-22T00:00:00"/>
    <m/>
  </r>
  <r>
    <x v="1574"/>
    <s v="Portugal"/>
    <s v="38.736946"/>
    <s v="-9.142685"/>
    <s v="Government Administration Healthcare"/>
    <s v="Medium (201-500)"/>
    <s v="Jessica Martinez"/>
    <d v="2024-05-14T00:00:00"/>
    <s v="SAAS"/>
    <x v="4"/>
    <x v="4"/>
    <s v="Nurturing"/>
    <n v="3"/>
    <n v="7899"/>
    <n v="50"/>
    <d v="2024-08-11T00:00:00"/>
    <m/>
  </r>
  <r>
    <x v="1575"/>
    <s v="Netherlands"/>
    <s v="52.370216"/>
    <s v="4.895168"/>
    <s v="Government Administration Healthcare"/>
    <s v="Medium (201-500)"/>
    <s v="Laura Thompson"/>
    <d v="2024-03-12T00:00:00"/>
    <s v="Services"/>
    <x v="4"/>
    <x v="4"/>
    <s v="Nurturing"/>
    <n v="3"/>
    <n v="5182"/>
    <n v="70"/>
    <d v="2025-01-28T00:00:00"/>
    <m/>
  </r>
  <r>
    <x v="1576"/>
    <s v="Germany"/>
    <s v="52.520008"/>
    <s v="13.404954"/>
    <s v="IT &amp; IT Services"/>
    <s v="Medium (201-500)"/>
    <s v="John Smith"/>
    <d v="2024-02-29T00:00:00"/>
    <s v="SAAS"/>
    <x v="4"/>
    <x v="4"/>
    <s v="Nurturing"/>
    <n v="3"/>
    <n v="4640"/>
    <n v="50"/>
    <d v="2024-07-22T00:00:00"/>
    <m/>
  </r>
  <r>
    <x v="1577"/>
    <s v="Switzerland"/>
    <s v="46.204391"/>
    <s v="6.143158"/>
    <s v="Transportation &amp; Logistics"/>
    <s v="Medium (201-500)"/>
    <s v="Jessica Martinez"/>
    <d v="2024-01-03T00:00:00"/>
    <s v="Custom solution"/>
    <x v="4"/>
    <x v="4"/>
    <s v="Nurturing"/>
    <n v="3"/>
    <n v="1778"/>
    <n v="60"/>
    <d v="2024-11-27T00:00:00"/>
    <m/>
  </r>
  <r>
    <x v="1578"/>
    <s v="Italy"/>
    <s v="41.902782"/>
    <s v="12.496366"/>
    <s v="Retail &amp; Distribution"/>
    <s v="Medium (201-500)"/>
    <s v="Emily Johnson"/>
    <d v="2024-01-13T00:00:00"/>
    <s v="Services"/>
    <x v="4"/>
    <x v="4"/>
    <s v="Nurturing"/>
    <n v="3"/>
    <n v="2485"/>
    <n v="10"/>
    <d v="2024-09-28T00:00:00"/>
    <m/>
  </r>
  <r>
    <x v="1579"/>
    <s v="France"/>
    <s v="48.864716"/>
    <s v="2.349014"/>
    <s v="Telecommunications"/>
    <s v="Medium (201-500)"/>
    <s v="David Wilson"/>
    <d v="2024-04-04T00:00:00"/>
    <s v="Services"/>
    <x v="4"/>
    <x v="4"/>
    <s v="Nurturing"/>
    <n v="3"/>
    <n v="805"/>
    <n v="30"/>
    <d v="2025-03-06T00:00:00"/>
    <m/>
  </r>
  <r>
    <x v="1580"/>
    <s v="Netherlands"/>
    <s v="52.370216"/>
    <s v="4.895168"/>
    <s v="Government Administration Healthcare"/>
    <s v="Medium (201-500)"/>
    <s v="Laura Thompson"/>
    <d v="2024-02-06T00:00:00"/>
    <s v="Services"/>
    <x v="4"/>
    <x v="4"/>
    <s v="Nurturing"/>
    <n v="3"/>
    <n v="4919"/>
    <n v="20"/>
    <d v="2024-09-25T00:00:00"/>
    <m/>
  </r>
  <r>
    <x v="1581"/>
    <s v="Portugal"/>
    <s v="38.736946"/>
    <s v="-9.142685"/>
    <s v="Construction &amp; Engineering"/>
    <s v="Medium (201-500)"/>
    <s v="Jessica Martinez"/>
    <d v="2024-01-03T00:00:00"/>
    <s v="Services"/>
    <x v="4"/>
    <x v="4"/>
    <s v="Nurturing"/>
    <n v="3"/>
    <n v="1009"/>
    <n v="30"/>
    <d v="2024-08-28T00:00:00"/>
    <m/>
  </r>
  <r>
    <x v="1582"/>
    <s v="Portugal"/>
    <s v="38.736946"/>
    <s v="-9.142685"/>
    <s v="Transportation &amp; Logistics"/>
    <s v="Medium (201-500)"/>
    <s v="Laura Thompson"/>
    <d v="2024-03-04T00:00:00"/>
    <s v="Custom solution"/>
    <x v="4"/>
    <x v="4"/>
    <s v="Nurturing"/>
    <n v="3"/>
    <n v="4587"/>
    <n v="60"/>
    <d v="2024-05-29T00:00:00"/>
    <m/>
  </r>
  <r>
    <x v="1583"/>
    <s v="France"/>
    <s v="48.864716"/>
    <s v="2.349014"/>
    <s v="IT &amp; IT Services"/>
    <s v="Medium (201-500)"/>
    <s v="Laura Thompson"/>
    <d v="2024-01-11T00:00:00"/>
    <s v="SAAS"/>
    <x v="4"/>
    <x v="4"/>
    <s v="Nurturing"/>
    <n v="3"/>
    <n v="728"/>
    <n v="80"/>
    <d v="2024-11-20T00:00:00"/>
    <m/>
  </r>
  <r>
    <x v="1584"/>
    <s v="Germany"/>
    <s v="52.520008"/>
    <s v="13.404954"/>
    <s v="Banking and Finance"/>
    <s v="Medium (201-500)"/>
    <s v="Laura Thompson"/>
    <d v="2024-05-13T00:00:00"/>
    <s v="SAAS"/>
    <x v="4"/>
    <x v="4"/>
    <s v="Nurturing"/>
    <n v="3"/>
    <n v="2331"/>
    <n v="40"/>
    <d v="2024-06-29T00:00:00"/>
    <m/>
  </r>
  <r>
    <x v="1585"/>
    <s v="Germany"/>
    <s v="52.520008"/>
    <s v="13.404954"/>
    <s v="Transportation &amp; Logistics"/>
    <s v="Medium (201-500)"/>
    <s v="Emily Johnson"/>
    <d v="2024-03-24T00:00:00"/>
    <s v="Services"/>
    <x v="4"/>
    <x v="4"/>
    <s v="Nurturing"/>
    <n v="3"/>
    <n v="4073"/>
    <n v="30"/>
    <d v="2024-10-19T00:00:00"/>
    <m/>
  </r>
  <r>
    <x v="1586"/>
    <s v="Italy"/>
    <s v="41.902782"/>
    <s v="12.496366"/>
    <s v="Professional Services  &amp; Consulting"/>
    <s v="Medium (201-500)"/>
    <s v="Michael Brown"/>
    <d v="2024-02-28T00:00:00"/>
    <s v="Services"/>
    <x v="4"/>
    <x v="4"/>
    <s v="Nurturing"/>
    <n v="3"/>
    <n v="5905"/>
    <n v="10"/>
    <d v="2024-04-15T00:00:00"/>
    <m/>
  </r>
  <r>
    <x v="1587"/>
    <s v="Germany"/>
    <s v="52.520008"/>
    <s v="13.404954"/>
    <s v="IT &amp; IT Services"/>
    <s v="Medium (201-500)"/>
    <s v="John Smith"/>
    <d v="2024-05-06T00:00:00"/>
    <s v="SAAS"/>
    <x v="4"/>
    <x v="4"/>
    <s v="Nurturing"/>
    <n v="3"/>
    <n v="2950"/>
    <n v="100"/>
    <d v="2024-06-20T00:00:00"/>
    <m/>
  </r>
  <r>
    <x v="1588"/>
    <s v="Portugal"/>
    <s v="38.736946"/>
    <s v="-9.142685"/>
    <s v="Government Administration Healthcare"/>
    <s v="Medium (201-500)"/>
    <s v="Laura Thompson"/>
    <d v="2024-02-28T00:00:00"/>
    <s v="SAAS"/>
    <x v="4"/>
    <x v="4"/>
    <s v="Nurturing"/>
    <n v="3"/>
    <n v="6122"/>
    <n v="10"/>
    <d v="2024-06-04T00:00:00"/>
    <m/>
  </r>
  <r>
    <x v="1589"/>
    <s v="Italy"/>
    <s v="41.902782"/>
    <s v="12.496366"/>
    <s v="Banking and Finance"/>
    <s v="Medium (201-500)"/>
    <s v="Emily Johnson"/>
    <d v="2024-02-26T00:00:00"/>
    <s v="Services"/>
    <x v="4"/>
    <x v="4"/>
    <s v="Nurturing"/>
    <n v="3"/>
    <n v="7780"/>
    <n v="80"/>
    <d v="2024-12-14T00:00:00"/>
    <m/>
  </r>
  <r>
    <x v="1590"/>
    <s v="Belgium"/>
    <s v="51.260197"/>
    <s v="4.402771"/>
    <s v="Professional Services  &amp; Consulting"/>
    <s v="Medium (201-500)"/>
    <s v="Emily Johnson"/>
    <d v="2024-02-21T00:00:00"/>
    <s v="SAAS"/>
    <x v="4"/>
    <x v="4"/>
    <s v="Nurturing"/>
    <n v="3"/>
    <n v="3253"/>
    <n v="40"/>
    <d v="2024-10-25T00:00:00"/>
    <m/>
  </r>
  <r>
    <x v="1591"/>
    <s v="Spain"/>
    <s v="40.416775"/>
    <s v="-3.703790"/>
    <s v="Telecommunications"/>
    <s v="Medium (201-500)"/>
    <s v="Sarah Davis"/>
    <d v="2024-04-06T00:00:00"/>
    <s v="Services"/>
    <x v="4"/>
    <x v="4"/>
    <s v="Nurturing"/>
    <n v="3"/>
    <n v="4301"/>
    <n v="60"/>
    <d v="2025-02-07T00:00:00"/>
    <m/>
  </r>
  <r>
    <x v="1592"/>
    <s v="Belgium"/>
    <s v="51.260197"/>
    <s v="4.402771"/>
    <s v="Construction &amp; Engineering"/>
    <s v="Medium (201-500)"/>
    <s v="John Smith"/>
    <d v="2024-05-04T00:00:00"/>
    <s v="SAAS"/>
    <x v="4"/>
    <x v="4"/>
    <s v="Nurturing"/>
    <n v="3"/>
    <n v="6505"/>
    <n v="80"/>
    <d v="2024-11-18T00:00:00"/>
    <m/>
  </r>
  <r>
    <x v="1593"/>
    <s v="Portugal"/>
    <s v="38.736946"/>
    <s v="-9.142685"/>
    <s v="IT &amp; IT Services"/>
    <s v="Medium (201-500)"/>
    <s v="John Smith"/>
    <d v="2024-02-25T00:00:00"/>
    <s v="Custom solution"/>
    <x v="4"/>
    <x v="4"/>
    <s v="Nurturing"/>
    <n v="3"/>
    <n v="5576"/>
    <n v="10"/>
    <d v="2025-02-14T00:00:00"/>
    <m/>
  </r>
  <r>
    <x v="1594"/>
    <s v="Switzerland"/>
    <s v="46.204391"/>
    <s v="6.143158"/>
    <s v="Manufacturing &amp; Production"/>
    <s v="Medium (201-500)"/>
    <s v="Laura Thompson"/>
    <d v="2024-04-04T00:00:00"/>
    <s v="Services"/>
    <x v="4"/>
    <x v="4"/>
    <s v="Nurturing"/>
    <n v="3"/>
    <n v="1462"/>
    <n v="60"/>
    <d v="2024-11-02T00:00:00"/>
    <m/>
  </r>
  <r>
    <x v="1595"/>
    <s v="Italy"/>
    <s v="41.902782"/>
    <s v="12.496366"/>
    <s v="Government Administration Healthcare"/>
    <s v="Medium (201-500)"/>
    <s v="Michael Brown"/>
    <d v="2024-02-18T00:00:00"/>
    <s v="Services"/>
    <x v="4"/>
    <x v="4"/>
    <s v="Nurturing"/>
    <n v="3"/>
    <n v="2795"/>
    <n v="70"/>
    <d v="2024-08-01T00:00:00"/>
    <m/>
  </r>
  <r>
    <x v="1596"/>
    <s v="France"/>
    <s v="48.864716"/>
    <s v="2.349014"/>
    <s v="Entertainment &amp; Media &amp; Hospitality"/>
    <s v="Medium (201-500)"/>
    <s v="Michael Brown"/>
    <d v="2024-03-11T00:00:00"/>
    <s v="SAAS"/>
    <x v="4"/>
    <x v="4"/>
    <s v="Nurturing"/>
    <n v="3"/>
    <n v="1713"/>
    <n v="40"/>
    <d v="2024-04-27T00:00:00"/>
    <m/>
  </r>
  <r>
    <x v="1597"/>
    <s v="Italy"/>
    <s v="41.902782"/>
    <s v="12.496366"/>
    <s v="Transportation &amp; Logistics"/>
    <s v="Medium (201-500)"/>
    <s v="Sarah Davis"/>
    <d v="2024-01-23T00:00:00"/>
    <s v="Custom solution"/>
    <x v="4"/>
    <x v="4"/>
    <s v="Nurturing"/>
    <n v="3"/>
    <n v="1681"/>
    <n v="50"/>
    <d v="2024-03-24T00:00:00"/>
    <m/>
  </r>
  <r>
    <x v="1598"/>
    <s v="France"/>
    <s v="48.864716"/>
    <s v="2.349014"/>
    <s v="Banking and Finance"/>
    <s v="Medium (201-500)"/>
    <s v="Emily Johnson"/>
    <d v="2024-01-30T00:00:00"/>
    <s v="SAAS"/>
    <x v="4"/>
    <x v="4"/>
    <s v="Nurturing"/>
    <n v="3"/>
    <n v="5011"/>
    <n v="10"/>
    <d v="2024-09-07T00:00:00"/>
    <m/>
  </r>
  <r>
    <x v="1599"/>
    <s v="Italy"/>
    <s v="41.902782"/>
    <s v="12.496366"/>
    <s v="Transportation &amp; Logistics"/>
    <s v="Medium (201-500)"/>
    <s v="David Wilson"/>
    <d v="2024-04-16T00:00:00"/>
    <s v="Custom solution"/>
    <x v="4"/>
    <x v="4"/>
    <s v="Nurturing"/>
    <n v="3"/>
    <n v="5828"/>
    <n v="20"/>
    <d v="2024-06-28T00:00:00"/>
    <m/>
  </r>
  <r>
    <x v="1600"/>
    <s v="Germany"/>
    <s v="52.520008"/>
    <s v="13.404954"/>
    <s v="Government Administration Healthcare"/>
    <s v="Medium (201-500)"/>
    <s v="Jessica Martinez"/>
    <d v="2024-01-29T00:00:00"/>
    <s v="SAAS"/>
    <x v="4"/>
    <x v="4"/>
    <s v="Nurturing"/>
    <n v="3"/>
    <n v="5159"/>
    <n v="40"/>
    <d v="2025-01-01T00:00:00"/>
    <m/>
  </r>
  <r>
    <x v="1601"/>
    <s v="Portugal"/>
    <s v="38.736946"/>
    <s v="-9.142685"/>
    <s v="Transportation &amp; Logistics"/>
    <s v="Medium (201-500)"/>
    <s v="Sarah Davis"/>
    <d v="2024-05-29T00:00:00"/>
    <s v="Services"/>
    <x v="4"/>
    <x v="4"/>
    <s v="Nurturing"/>
    <n v="3"/>
    <n v="3808"/>
    <n v="40"/>
    <d v="2024-07-14T00:00:00"/>
    <m/>
  </r>
  <r>
    <x v="1602"/>
    <s v="Italy"/>
    <s v="41.902782"/>
    <s v="12.496366"/>
    <s v="Retail &amp; Distribution"/>
    <s v="Medium (201-500)"/>
    <s v="Jessica Martinez"/>
    <d v="2024-05-03T00:00:00"/>
    <s v="Custom solution"/>
    <x v="4"/>
    <x v="4"/>
    <s v="Nurturing"/>
    <n v="3"/>
    <n v="4480"/>
    <n v="50"/>
    <d v="2024-06-18T00:00:00"/>
    <m/>
  </r>
  <r>
    <x v="1603"/>
    <s v="Belgium"/>
    <s v="51.260197"/>
    <s v="4.402771"/>
    <s v="Government Administration Healthcare"/>
    <s v="Medium (201-500)"/>
    <s v="Sarah Davis"/>
    <d v="2024-01-26T00:00:00"/>
    <s v="SAAS"/>
    <x v="4"/>
    <x v="4"/>
    <s v="Nurturing"/>
    <n v="3"/>
    <n v="710"/>
    <n v="40"/>
    <d v="2024-05-16T00:00:00"/>
    <m/>
  </r>
  <r>
    <x v="1604"/>
    <s v="France"/>
    <s v="48.864716"/>
    <s v="2.349014"/>
    <s v="Transportation &amp; Logistics"/>
    <s v="Medium (201-500)"/>
    <s v="John Smith"/>
    <d v="2024-03-08T00:00:00"/>
    <s v="Services"/>
    <x v="4"/>
    <x v="4"/>
    <s v="Nurturing"/>
    <n v="3"/>
    <n v="7963"/>
    <n v="20"/>
    <d v="2024-05-10T00:00:00"/>
    <m/>
  </r>
  <r>
    <x v="1605"/>
    <s v="Italy"/>
    <s v="41.902782"/>
    <s v="12.496366"/>
    <s v="Agriculture &amp; Mining"/>
    <s v="Medium (201-500)"/>
    <s v="Michael Brown"/>
    <d v="2024-04-12T00:00:00"/>
    <s v="SAAS"/>
    <x v="4"/>
    <x v="4"/>
    <s v="Nurturing"/>
    <n v="3"/>
    <n v="5180"/>
    <n v="70"/>
    <d v="2024-11-23T00:00:00"/>
    <m/>
  </r>
  <r>
    <x v="1606"/>
    <s v="Switzerland"/>
    <s v="46.204391"/>
    <s v="6.143158"/>
    <s v="Retail &amp; Distribution"/>
    <s v="Medium (201-500)"/>
    <s v="Kevin Anderson"/>
    <d v="2024-03-26T00:00:00"/>
    <s v="SAAS"/>
    <x v="4"/>
    <x v="4"/>
    <s v="Nurturing"/>
    <n v="3"/>
    <n v="1016"/>
    <n v="20"/>
    <d v="2024-04-26T00:00:00"/>
    <m/>
  </r>
  <r>
    <x v="1607"/>
    <s v="Portugal"/>
    <s v="38.736946"/>
    <s v="-9.142685"/>
    <s v="Telecommunications"/>
    <s v="Medium (201-500)"/>
    <s v="Michael Brown"/>
    <d v="2024-02-04T00:00:00"/>
    <s v="SAAS"/>
    <x v="4"/>
    <x v="4"/>
    <s v="Nurturing"/>
    <n v="3"/>
    <n v="3851"/>
    <n v="30"/>
    <d v="2024-10-10T00:00:00"/>
    <m/>
  </r>
  <r>
    <x v="1608"/>
    <s v="France"/>
    <s v="48.864716"/>
    <s v="2.349014"/>
    <s v="Retail &amp; Distribution"/>
    <s v="Medium (201-500)"/>
    <s v="Kevin Anderson"/>
    <d v="2024-05-13T00:00:00"/>
    <s v="SAAS"/>
    <x v="4"/>
    <x v="4"/>
    <s v="Nurturing"/>
    <n v="3"/>
    <n v="1140"/>
    <n v="90"/>
    <d v="2024-12-25T00:00:00"/>
    <m/>
  </r>
  <r>
    <x v="1609"/>
    <s v="Switzerland"/>
    <s v="46.204391"/>
    <s v="6.143158"/>
    <s v="Construction &amp; Engineering"/>
    <s v="Large (501-1000)"/>
    <s v="John Smith"/>
    <d v="2024-03-23T00:00:00"/>
    <s v="Custom solution"/>
    <x v="4"/>
    <x v="4"/>
    <s v="Nurturing"/>
    <n v="3"/>
    <n v="14552"/>
    <n v="60"/>
    <d v="2024-08-22T00:00:00"/>
    <m/>
  </r>
  <r>
    <x v="1610"/>
    <s v="Portugal"/>
    <s v="38.736946"/>
    <s v="-9.142685"/>
    <s v="IT &amp; IT Services"/>
    <s v="Large (501-1000)"/>
    <s v="Jessica Martinez"/>
    <d v="2024-02-12T00:00:00"/>
    <s v="SAAS"/>
    <x v="4"/>
    <x v="4"/>
    <s v="Nurturing"/>
    <n v="3"/>
    <n v="5806"/>
    <n v="10"/>
    <d v="2024-04-08T00:00:00"/>
    <m/>
  </r>
  <r>
    <x v="1611"/>
    <s v="France"/>
    <s v="48.864716"/>
    <s v="2.349014"/>
    <s v="Telecommunications"/>
    <s v="Large (501-1000)"/>
    <s v="Jessica Martinez"/>
    <d v="2024-03-12T00:00:00"/>
    <s v="SAAS"/>
    <x v="4"/>
    <x v="4"/>
    <s v="Nurturing"/>
    <n v="3"/>
    <n v="8727"/>
    <n v="100"/>
    <d v="2024-11-19T00:00:00"/>
    <m/>
  </r>
  <r>
    <x v="1612"/>
    <s v="Switzerland"/>
    <s v="46.204391"/>
    <s v="6.143158"/>
    <s v="Professional Services  &amp; Consulting"/>
    <s v="Large (501-1000)"/>
    <s v="David Wilson"/>
    <d v="2024-04-02T00:00:00"/>
    <s v="Services"/>
    <x v="4"/>
    <x v="4"/>
    <s v="Nurturing"/>
    <n v="3"/>
    <n v="9186"/>
    <n v="60"/>
    <d v="2024-10-21T00:00:00"/>
    <m/>
  </r>
  <r>
    <x v="1613"/>
    <s v="France"/>
    <s v="48.864716"/>
    <s v="2.349014"/>
    <s v="Transportation &amp; Logistics"/>
    <s v="Large (501-1000)"/>
    <s v="Kevin Anderson"/>
    <d v="2024-02-27T00:00:00"/>
    <s v="SAAS"/>
    <x v="4"/>
    <x v="4"/>
    <s v="Nurturing"/>
    <n v="3"/>
    <n v="9819"/>
    <n v="50"/>
    <d v="2024-07-16T00:00:00"/>
    <m/>
  </r>
  <r>
    <x v="1614"/>
    <s v="Switzerland"/>
    <s v="46.204391"/>
    <s v="6.143158"/>
    <s v="Construction &amp; Engineering"/>
    <s v="Large (501-1000)"/>
    <s v="Laura Thompson"/>
    <d v="2024-02-06T00:00:00"/>
    <s v="SAAS"/>
    <x v="4"/>
    <x v="4"/>
    <s v="Nurturing"/>
    <n v="3"/>
    <n v="16771"/>
    <n v="40"/>
    <d v="2024-03-30T00:00:00"/>
    <m/>
  </r>
  <r>
    <x v="1615"/>
    <s v="Switzerland"/>
    <s v="46.204391"/>
    <s v="6.143158"/>
    <s v="Transportation &amp; Logistics"/>
    <s v="Enterprise (1001+)"/>
    <s v="David Wilson"/>
    <d v="2024-03-28T00:00:00"/>
    <s v="Custom solution"/>
    <x v="4"/>
    <x v="4"/>
    <s v="Nurturing"/>
    <n v="3"/>
    <n v="19226"/>
    <n v="20"/>
    <d v="2024-06-22T00:00:00"/>
    <m/>
  </r>
  <r>
    <x v="1616"/>
    <s v="Germany"/>
    <s v="52.520008"/>
    <s v="13.404954"/>
    <s v="Manufacturing &amp; Production"/>
    <s v="Enterprise (1001+)"/>
    <s v="Jessica Martinez"/>
    <d v="2024-02-24T00:00:00"/>
    <s v="Services"/>
    <x v="4"/>
    <x v="4"/>
    <s v="Nurturing"/>
    <n v="3"/>
    <n v="3087"/>
    <n v="40"/>
    <d v="2024-11-13T00:00:00"/>
    <m/>
  </r>
  <r>
    <x v="1617"/>
    <s v="Spain"/>
    <s v="40.416775"/>
    <s v="-3.703790"/>
    <s v="IT &amp; IT Services"/>
    <s v="Small (11-200)"/>
    <s v="Michael Brown"/>
    <d v="2024-05-11T00:00:00"/>
    <s v="SAAS"/>
    <x v="4"/>
    <x v="4"/>
    <s v="Opened"/>
    <n v="1"/>
    <n v="391"/>
    <n v="100"/>
    <d v="2025-04-05T00:00:00"/>
    <m/>
  </r>
  <r>
    <x v="1618"/>
    <s v="Germany"/>
    <s v="52.520008"/>
    <s v="13.404954"/>
    <s v="IT &amp; IT Services"/>
    <s v="Small (11-200)"/>
    <s v="Jessica Martinez"/>
    <d v="2024-01-16T00:00:00"/>
    <s v="Services"/>
    <x v="4"/>
    <x v="4"/>
    <s v="Opened"/>
    <n v="1"/>
    <n v="314"/>
    <n v="10"/>
    <d v="2024-06-05T00:00:00"/>
    <m/>
  </r>
  <r>
    <x v="1619"/>
    <s v="Italy"/>
    <s v="41.902782"/>
    <s v="12.496366"/>
    <s v="Transportation &amp; Logistics"/>
    <s v="Small (11-200)"/>
    <s v="David Wilson"/>
    <d v="2024-04-17T00:00:00"/>
    <s v="Services"/>
    <x v="4"/>
    <x v="4"/>
    <s v="Opened"/>
    <n v="1"/>
    <n v="1628"/>
    <n v="30"/>
    <d v="2025-03-09T00:00:00"/>
    <m/>
  </r>
  <r>
    <x v="1620"/>
    <s v="Italy"/>
    <s v="41.902782"/>
    <s v="12.496366"/>
    <s v="Energy &amp; Utilities"/>
    <s v="Small (11-200)"/>
    <s v="Laura Thompson"/>
    <d v="2024-05-06T00:00:00"/>
    <s v="SAAS"/>
    <x v="4"/>
    <x v="4"/>
    <s v="Opened"/>
    <n v="1"/>
    <n v="1546"/>
    <n v="60"/>
    <d v="2025-04-22T00:00:00"/>
    <m/>
  </r>
  <r>
    <x v="1621"/>
    <s v="Netherlands"/>
    <s v="52.370216"/>
    <s v="4.895168"/>
    <s v="Retail &amp; Distribution"/>
    <s v="Small (11-200)"/>
    <s v="Kevin Anderson"/>
    <d v="2024-03-11T00:00:00"/>
    <s v="SAAS"/>
    <x v="4"/>
    <x v="4"/>
    <s v="Opened"/>
    <n v="1"/>
    <n v="1925"/>
    <n v="50"/>
    <d v="2025-03-03T00:00:00"/>
    <m/>
  </r>
  <r>
    <x v="1622"/>
    <s v="Switzerland"/>
    <s v="46.204391"/>
    <s v="6.143158"/>
    <s v="Transportation &amp; Logistics"/>
    <s v="Small (11-200)"/>
    <s v="Kevin Anderson"/>
    <d v="2024-05-21T00:00:00"/>
    <s v="SAAS"/>
    <x v="4"/>
    <x v="4"/>
    <s v="Opened"/>
    <n v="1"/>
    <n v="469"/>
    <n v="50"/>
    <d v="2025-03-09T00:00:00"/>
    <m/>
  </r>
  <r>
    <x v="1623"/>
    <s v="Portugal"/>
    <s v="38.736946"/>
    <s v="-9.142685"/>
    <s v="Banking and Finance"/>
    <s v="Small (11-200)"/>
    <s v="Laura Thompson"/>
    <d v="2024-03-30T00:00:00"/>
    <s v="SAAS"/>
    <x v="4"/>
    <x v="4"/>
    <s v="Opened"/>
    <n v="1"/>
    <n v="234"/>
    <n v="40"/>
    <d v="2024-10-02T00:00:00"/>
    <m/>
  </r>
  <r>
    <x v="1624"/>
    <s v="France"/>
    <s v="48.864716"/>
    <s v="2.349014"/>
    <s v="Energy &amp; Utilities"/>
    <s v="Small (11-200)"/>
    <s v="Michael Brown"/>
    <d v="2024-04-06T00:00:00"/>
    <s v="Services"/>
    <x v="4"/>
    <x v="4"/>
    <s v="Opened"/>
    <n v="1"/>
    <n v="1890"/>
    <n v="100"/>
    <d v="2024-11-29T00:00:00"/>
    <m/>
  </r>
  <r>
    <x v="1625"/>
    <s v="Belgium"/>
    <s v="51.260197"/>
    <s v="4.402771"/>
    <s v="Entertainment &amp; Media &amp; Hospitality"/>
    <s v="Small (11-200)"/>
    <s v="Laura Thompson"/>
    <d v="2024-04-07T00:00:00"/>
    <s v="Services"/>
    <x v="4"/>
    <x v="4"/>
    <s v="Opened"/>
    <n v="1"/>
    <n v="536"/>
    <n v="20"/>
    <d v="2024-07-21T00:00:00"/>
    <m/>
  </r>
  <r>
    <x v="1626"/>
    <s v="Belgium"/>
    <s v="51.260197"/>
    <s v="4.402771"/>
    <s v="Banking and Finance"/>
    <s v="Small (11-200)"/>
    <s v="Jessica Martinez"/>
    <d v="2024-05-23T00:00:00"/>
    <s v="SAAS"/>
    <x v="4"/>
    <x v="4"/>
    <s v="Opened"/>
    <n v="1"/>
    <n v="1982"/>
    <n v="30"/>
    <d v="2024-09-19T00:00:00"/>
    <m/>
  </r>
  <r>
    <x v="1627"/>
    <s v="Italy"/>
    <s v="41.902782"/>
    <s v="12.496366"/>
    <s v="Banking and Finance"/>
    <s v="Small (11-200)"/>
    <s v="Jessica Martinez"/>
    <d v="2024-05-27T00:00:00"/>
    <s v="SAAS"/>
    <x v="4"/>
    <x v="4"/>
    <s v="Opened"/>
    <n v="1"/>
    <n v="769"/>
    <n v="60"/>
    <d v="2024-10-23T00:00:00"/>
    <m/>
  </r>
  <r>
    <x v="1628"/>
    <s v="Switzerland"/>
    <s v="46.204391"/>
    <s v="6.143158"/>
    <s v="Banking and Finance"/>
    <s v="Small (11-200)"/>
    <s v="David Wilson"/>
    <d v="2024-03-16T00:00:00"/>
    <s v="Services"/>
    <x v="4"/>
    <x v="4"/>
    <s v="Opened"/>
    <n v="1"/>
    <n v="1700"/>
    <n v="20"/>
    <d v="2025-01-10T00:00:00"/>
    <m/>
  </r>
  <r>
    <x v="1629"/>
    <s v="Austria"/>
    <s v="48.210033"/>
    <s v="16.363449"/>
    <s v="Agriculture &amp; Mining"/>
    <s v="Small (11-200)"/>
    <s v="Laura Thompson"/>
    <d v="2024-02-11T00:00:00"/>
    <s v="Services"/>
    <x v="4"/>
    <x v="4"/>
    <s v="Opened"/>
    <n v="1"/>
    <n v="1573"/>
    <n v="30"/>
    <d v="2024-11-17T00:00:00"/>
    <m/>
  </r>
  <r>
    <x v="1630"/>
    <s v="Netherlands"/>
    <s v="52.370216"/>
    <s v="4.895168"/>
    <s v="Manufacturing &amp; Production"/>
    <s v="Small (11-200)"/>
    <s v="Sarah Davis"/>
    <d v="2024-03-01T00:00:00"/>
    <s v="Custom solution"/>
    <x v="4"/>
    <x v="4"/>
    <s v="Opened"/>
    <n v="1"/>
    <n v="1399"/>
    <n v="30"/>
    <d v="2024-11-04T00:00:00"/>
    <m/>
  </r>
  <r>
    <x v="1631"/>
    <s v="Italy"/>
    <s v="41.902782"/>
    <s v="12.496366"/>
    <s v="Education &amp; Science"/>
    <s v="Small (11-200)"/>
    <s v="Michael Brown"/>
    <d v="2024-01-24T00:00:00"/>
    <s v="SAAS"/>
    <x v="4"/>
    <x v="4"/>
    <s v="Opened"/>
    <n v="1"/>
    <n v="1567"/>
    <n v="70"/>
    <d v="2024-06-08T00:00:00"/>
    <m/>
  </r>
  <r>
    <x v="1632"/>
    <s v="Switzerland"/>
    <s v="46.204391"/>
    <s v="6.143158"/>
    <s v="Education &amp; Science"/>
    <s v="Small (11-200)"/>
    <s v="Jessica Martinez"/>
    <d v="2024-01-13T00:00:00"/>
    <s v="SAAS"/>
    <x v="4"/>
    <x v="4"/>
    <s v="Opened"/>
    <n v="1"/>
    <n v="1456"/>
    <n v="20"/>
    <d v="2024-11-10T00:00:00"/>
    <m/>
  </r>
  <r>
    <x v="1633"/>
    <s v="Italy"/>
    <s v="41.902782"/>
    <s v="12.496366"/>
    <s v="IT &amp; IT Services"/>
    <s v="Small (11-200)"/>
    <s v="Jessica Martinez"/>
    <d v="2024-04-28T00:00:00"/>
    <s v="SAAS"/>
    <x v="4"/>
    <x v="4"/>
    <s v="Opened"/>
    <n v="1"/>
    <n v="1134"/>
    <n v="40"/>
    <d v="2024-10-02T00:00:00"/>
    <m/>
  </r>
  <r>
    <x v="1634"/>
    <s v="Switzerland"/>
    <s v="46.204391"/>
    <s v="6.143158"/>
    <s v="Banking and Finance"/>
    <s v="Small (11-200)"/>
    <s v="John Smith"/>
    <d v="2024-01-14T00:00:00"/>
    <s v="SAAS"/>
    <x v="4"/>
    <x v="4"/>
    <s v="Opened"/>
    <n v="1"/>
    <n v="1418"/>
    <n v="100"/>
    <d v="2024-11-13T00:00:00"/>
    <m/>
  </r>
  <r>
    <x v="1635"/>
    <s v="Austria"/>
    <s v="48.210033"/>
    <s v="16.363449"/>
    <s v="Recreation &amp; Sports"/>
    <s v="Small (11-200)"/>
    <s v="Laura Thompson"/>
    <d v="2024-01-22T00:00:00"/>
    <s v="Services"/>
    <x v="4"/>
    <x v="4"/>
    <s v="Opened"/>
    <n v="1"/>
    <n v="1994"/>
    <n v="70"/>
    <d v="2024-09-22T00:00:00"/>
    <m/>
  </r>
  <r>
    <x v="1636"/>
    <s v="Austria"/>
    <s v="48.210033"/>
    <s v="16.363449"/>
    <s v="Professional Services  &amp; Consulting"/>
    <s v="Small (11-200)"/>
    <s v="Sarah Davis"/>
    <d v="2024-03-10T00:00:00"/>
    <s v="SAAS"/>
    <x v="4"/>
    <x v="4"/>
    <s v="Opened"/>
    <n v="1"/>
    <n v="597"/>
    <n v="40"/>
    <d v="2024-04-05T00:00:00"/>
    <m/>
  </r>
  <r>
    <x v="1637"/>
    <s v="Germany"/>
    <s v="52.520008"/>
    <s v="13.404954"/>
    <s v="Professional Services  &amp; Consulting"/>
    <s v="Small (11-200)"/>
    <s v="Jessica Martinez"/>
    <d v="2024-05-01T00:00:00"/>
    <s v="Services"/>
    <x v="4"/>
    <x v="4"/>
    <s v="Opened"/>
    <n v="1"/>
    <n v="1332"/>
    <n v="90"/>
    <d v="2024-11-03T00:00:00"/>
    <m/>
  </r>
  <r>
    <x v="1638"/>
    <s v="Germany"/>
    <s v="52.520008"/>
    <s v="13.404954"/>
    <s v="IT &amp; IT Services"/>
    <s v="Small (11-200)"/>
    <s v="Laura Thompson"/>
    <d v="2024-04-11T00:00:00"/>
    <s v="Custom solution"/>
    <x v="4"/>
    <x v="4"/>
    <s v="Opened"/>
    <n v="1"/>
    <n v="1600"/>
    <n v="40"/>
    <d v="2024-09-09T00:00:00"/>
    <m/>
  </r>
  <r>
    <x v="1639"/>
    <s v="Germany"/>
    <s v="52.520008"/>
    <s v="13.404954"/>
    <s v="Energy &amp; Utilities"/>
    <s v="Small (11-200)"/>
    <s v="Kevin Anderson"/>
    <d v="2024-04-03T00:00:00"/>
    <s v="Services"/>
    <x v="4"/>
    <x v="4"/>
    <s v="Opened"/>
    <n v="1"/>
    <n v="462"/>
    <n v="90"/>
    <d v="2025-04-01T00:00:00"/>
    <m/>
  </r>
  <r>
    <x v="1640"/>
    <s v="Germany"/>
    <s v="52.520008"/>
    <s v="13.404954"/>
    <s v="Transportation &amp; Logistics"/>
    <s v="Small (11-200)"/>
    <s v="Laura Thompson"/>
    <d v="2024-01-13T00:00:00"/>
    <s v="SAAS"/>
    <x v="4"/>
    <x v="4"/>
    <s v="Opened"/>
    <n v="1"/>
    <n v="404"/>
    <n v="40"/>
    <d v="2024-02-14T00:00:00"/>
    <m/>
  </r>
  <r>
    <x v="1641"/>
    <s v="Portugal"/>
    <s v="38.736946"/>
    <s v="-9.142685"/>
    <s v="Telecommunications"/>
    <s v="Micro (1-10)"/>
    <s v="Jessica Martinez"/>
    <d v="2024-04-30T00:00:00"/>
    <s v="Custom solution"/>
    <x v="4"/>
    <x v="4"/>
    <s v="Opened"/>
    <n v="1"/>
    <n v="1000"/>
    <n v="20"/>
    <d v="2024-05-23T00:00:00"/>
    <m/>
  </r>
  <r>
    <x v="1642"/>
    <s v="Belgium"/>
    <s v="51.260197"/>
    <s v="4.402771"/>
    <s v="Construction &amp; Engineering"/>
    <s v="Micro (1-10)"/>
    <s v="John Smith"/>
    <d v="2024-04-01T00:00:00"/>
    <s v="Custom solution"/>
    <x v="4"/>
    <x v="4"/>
    <s v="Opened"/>
    <n v="1"/>
    <n v="1153"/>
    <n v="10"/>
    <d v="2024-12-24T00:00:00"/>
    <m/>
  </r>
  <r>
    <x v="1643"/>
    <s v="Germany"/>
    <s v="52.520008"/>
    <s v="13.404954"/>
    <s v="Professional Services  &amp; Consulting"/>
    <s v="Micro (1-10)"/>
    <s v="Jessica Martinez"/>
    <d v="2024-05-01T00:00:00"/>
    <s v="Services"/>
    <x v="4"/>
    <x v="4"/>
    <s v="Opened"/>
    <n v="1"/>
    <n v="207"/>
    <n v="10"/>
    <d v="2025-02-12T00:00:00"/>
    <m/>
  </r>
  <r>
    <x v="1644"/>
    <s v="Belgium"/>
    <s v="51.260197"/>
    <s v="4.402771"/>
    <s v="Transportation &amp; Logistics"/>
    <s v="Micro (1-10)"/>
    <s v="Emily Johnson"/>
    <d v="2024-04-09T00:00:00"/>
    <s v="Services"/>
    <x v="4"/>
    <x v="4"/>
    <s v="Opened"/>
    <n v="1"/>
    <n v="389"/>
    <n v="50"/>
    <d v="2024-06-04T00:00:00"/>
    <m/>
  </r>
  <r>
    <x v="1645"/>
    <s v="Italy"/>
    <s v="41.902782"/>
    <s v="12.496366"/>
    <s v="Banking and Finance"/>
    <s v="Micro (1-10)"/>
    <s v="Sarah Davis"/>
    <d v="2024-05-08T00:00:00"/>
    <s v="SAAS"/>
    <x v="4"/>
    <x v="4"/>
    <s v="Opened"/>
    <n v="1"/>
    <n v="893"/>
    <n v="30"/>
    <d v="2024-12-23T00:00:00"/>
    <m/>
  </r>
  <r>
    <x v="1646"/>
    <s v="Italy"/>
    <s v="41.902782"/>
    <s v="12.496366"/>
    <s v="Entertainment &amp; Media &amp; Hospitality"/>
    <s v="Micro (1-10)"/>
    <s v="John Smith"/>
    <d v="2024-02-07T00:00:00"/>
    <s v="SAAS"/>
    <x v="4"/>
    <x v="4"/>
    <s v="Opened"/>
    <n v="1"/>
    <n v="1147"/>
    <n v="30"/>
    <d v="2024-08-24T00:00:00"/>
    <m/>
  </r>
  <r>
    <x v="1647"/>
    <s v="Belgium"/>
    <s v="51.260197"/>
    <s v="4.402771"/>
    <s v="Recreation &amp; Sports"/>
    <s v="Micro (1-10)"/>
    <s v="Jessica Martinez"/>
    <d v="2024-04-12T00:00:00"/>
    <s v="SAAS"/>
    <x v="4"/>
    <x v="4"/>
    <s v="Opened"/>
    <n v="1"/>
    <n v="1042"/>
    <n v="60"/>
    <d v="2024-11-06T00:00:00"/>
    <m/>
  </r>
  <r>
    <x v="1648"/>
    <s v="Netherlands"/>
    <s v="52.370216"/>
    <s v="4.895168"/>
    <s v="Retail &amp; Distribution"/>
    <s v="Micro (1-10)"/>
    <s v="Jessica Martinez"/>
    <d v="2024-01-31T00:00:00"/>
    <s v="SAAS"/>
    <x v="4"/>
    <x v="4"/>
    <s v="Opened"/>
    <n v="1"/>
    <n v="1021"/>
    <n v="30"/>
    <d v="2024-10-23T00:00:00"/>
    <m/>
  </r>
  <r>
    <x v="1649"/>
    <s v="Spain"/>
    <s v="40.416775"/>
    <s v="-3.703790"/>
    <s v="Banking and Finance"/>
    <s v="Micro (1-10)"/>
    <s v="Michael Brown"/>
    <d v="2024-04-10T00:00:00"/>
    <s v="SAAS"/>
    <x v="4"/>
    <x v="4"/>
    <s v="Opened"/>
    <n v="1"/>
    <n v="729"/>
    <n v="100"/>
    <d v="2024-11-15T00:00:00"/>
    <m/>
  </r>
  <r>
    <x v="1650"/>
    <s v="Italy"/>
    <s v="41.902782"/>
    <s v="12.496366"/>
    <s v="Retail &amp; Distribution"/>
    <s v="Micro (1-10)"/>
    <s v="Jessica Martinez"/>
    <d v="2024-03-07T00:00:00"/>
    <s v="Services"/>
    <x v="4"/>
    <x v="4"/>
    <s v="Opened"/>
    <n v="1"/>
    <n v="271"/>
    <n v="20"/>
    <d v="2024-07-01T00:00:00"/>
    <m/>
  </r>
  <r>
    <x v="1651"/>
    <s v="Switzerland"/>
    <s v="46.204391"/>
    <s v="6.143158"/>
    <s v="Professional Services  &amp; Consulting"/>
    <s v="Micro (1-10)"/>
    <s v="Jessica Martinez"/>
    <d v="2024-01-11T00:00:00"/>
    <s v="SAAS"/>
    <x v="4"/>
    <x v="4"/>
    <s v="Opened"/>
    <n v="1"/>
    <n v="386"/>
    <n v="40"/>
    <d v="2024-05-02T00:00:00"/>
    <m/>
  </r>
  <r>
    <x v="1652"/>
    <s v="Austria"/>
    <s v="48.210033"/>
    <s v="16.363449"/>
    <s v="Education &amp; Science"/>
    <s v="Micro (1-10)"/>
    <s v="Laura Thompson"/>
    <d v="2024-01-28T00:00:00"/>
    <s v="SAAS"/>
    <x v="4"/>
    <x v="4"/>
    <s v="Opened"/>
    <n v="1"/>
    <n v="746"/>
    <n v="30"/>
    <d v="2024-07-25T00:00:00"/>
    <m/>
  </r>
  <r>
    <x v="1653"/>
    <s v="Austria"/>
    <s v="48.210033"/>
    <s v="16.363449"/>
    <s v="Professional Services  &amp; Consulting"/>
    <s v="Micro (1-10)"/>
    <s v="Michael Brown"/>
    <d v="2024-01-05T00:00:00"/>
    <s v="Custom solution"/>
    <x v="4"/>
    <x v="4"/>
    <s v="Opened"/>
    <n v="1"/>
    <n v="1083"/>
    <n v="20"/>
    <d v="2024-07-08T00:00:00"/>
    <m/>
  </r>
  <r>
    <x v="1654"/>
    <s v="Italy"/>
    <s v="41.902782"/>
    <s v="12.496366"/>
    <s v="Retail &amp; Distribution"/>
    <s v="Micro (1-10)"/>
    <s v="Jessica Martinez"/>
    <d v="2024-04-06T00:00:00"/>
    <s v="Services"/>
    <x v="4"/>
    <x v="4"/>
    <s v="Opened"/>
    <n v="1"/>
    <n v="717"/>
    <n v="50"/>
    <d v="2024-08-11T00:00:00"/>
    <m/>
  </r>
  <r>
    <x v="1655"/>
    <s v="France"/>
    <s v="48.864716"/>
    <s v="2.349014"/>
    <s v="IT &amp; IT Services"/>
    <s v="Micro (1-10)"/>
    <s v="Michael Brown"/>
    <d v="2024-04-12T00:00:00"/>
    <s v="SAAS"/>
    <x v="4"/>
    <x v="4"/>
    <s v="Opened"/>
    <n v="1"/>
    <n v="385"/>
    <n v="60"/>
    <d v="2025-01-13T00:00:00"/>
    <m/>
  </r>
  <r>
    <x v="1656"/>
    <s v="Portugal"/>
    <s v="38.736946"/>
    <s v="-9.142685"/>
    <s v="Manufacturing &amp; Production"/>
    <s v="Micro (1-10)"/>
    <s v="Laura Thompson"/>
    <d v="2024-01-13T00:00:00"/>
    <s v="SAAS"/>
    <x v="4"/>
    <x v="4"/>
    <s v="Opened"/>
    <n v="1"/>
    <n v="532"/>
    <n v="100"/>
    <d v="2024-05-07T00:00:00"/>
    <m/>
  </r>
  <r>
    <x v="1657"/>
    <s v="Italy"/>
    <s v="41.902782"/>
    <s v="12.496366"/>
    <s v="IT &amp; IT Services"/>
    <s v="Micro (1-10)"/>
    <s v="Jessica Martinez"/>
    <d v="2024-03-10T00:00:00"/>
    <s v="Custom solution"/>
    <x v="4"/>
    <x v="4"/>
    <s v="Opened"/>
    <n v="1"/>
    <n v="615"/>
    <n v="60"/>
    <d v="2024-12-03T00:00:00"/>
    <m/>
  </r>
  <r>
    <x v="1658"/>
    <s v="Portugal"/>
    <s v="38.736946"/>
    <s v="-9.142685"/>
    <s v="Recreation &amp; Sports"/>
    <s v="Medium (201-500)"/>
    <s v="David Wilson"/>
    <d v="2024-03-21T00:00:00"/>
    <s v="Custom solution"/>
    <x v="4"/>
    <x v="4"/>
    <s v="Opened"/>
    <n v="1"/>
    <n v="1042"/>
    <n v="60"/>
    <d v="2024-12-20T00:00:00"/>
    <m/>
  </r>
  <r>
    <x v="1659"/>
    <s v="Switzerland"/>
    <s v="46.204391"/>
    <s v="6.143158"/>
    <s v="Construction &amp; Engineering"/>
    <s v="Medium (201-500)"/>
    <s v="Michael Brown"/>
    <d v="2024-02-09T00:00:00"/>
    <s v="Custom solution"/>
    <x v="4"/>
    <x v="4"/>
    <s v="Opened"/>
    <n v="1"/>
    <n v="7375"/>
    <n v="30"/>
    <d v="2025-01-19T00:00:00"/>
    <m/>
  </r>
  <r>
    <x v="1660"/>
    <s v="Germany"/>
    <s v="52.520008"/>
    <s v="13.404954"/>
    <s v="Energy &amp; Utilities"/>
    <s v="Medium (201-500)"/>
    <s v="Michael Brown"/>
    <d v="2024-03-25T00:00:00"/>
    <s v="Services"/>
    <x v="4"/>
    <x v="4"/>
    <s v="Opened"/>
    <n v="1"/>
    <n v="2976"/>
    <n v="30"/>
    <d v="2024-06-01T00:00:00"/>
    <m/>
  </r>
  <r>
    <x v="1661"/>
    <s v="Belgium"/>
    <s v="51.260197"/>
    <s v="4.402771"/>
    <s v="Banking and Finance"/>
    <s v="Medium (201-500)"/>
    <s v="Kevin Anderson"/>
    <d v="2024-01-04T00:00:00"/>
    <s v="Services"/>
    <x v="4"/>
    <x v="4"/>
    <s v="Opened"/>
    <n v="1"/>
    <n v="1111"/>
    <n v="20"/>
    <d v="2024-08-28T00:00:00"/>
    <m/>
  </r>
  <r>
    <x v="1662"/>
    <s v="Spain"/>
    <s v="40.416775"/>
    <s v="-3.703790"/>
    <s v="Construction &amp; Engineering"/>
    <s v="Medium (201-500)"/>
    <s v="Laura Thompson"/>
    <d v="2024-05-11T00:00:00"/>
    <s v="SAAS"/>
    <x v="4"/>
    <x v="4"/>
    <s v="Opened"/>
    <n v="1"/>
    <n v="1978"/>
    <n v="20"/>
    <d v="2024-10-28T00:00:00"/>
    <m/>
  </r>
  <r>
    <x v="1663"/>
    <s v="Italy"/>
    <s v="41.902782"/>
    <s v="12.496366"/>
    <s v="Transportation &amp; Logistics"/>
    <s v="Medium (201-500)"/>
    <s v="Laura Thompson"/>
    <d v="2024-04-12T00:00:00"/>
    <s v="SAAS"/>
    <x v="4"/>
    <x v="4"/>
    <s v="Opened"/>
    <n v="1"/>
    <n v="2355"/>
    <n v="20"/>
    <d v="2024-09-26T00:00:00"/>
    <m/>
  </r>
  <r>
    <x v="1664"/>
    <s v="Netherlands"/>
    <s v="52.370216"/>
    <s v="4.895168"/>
    <s v="Government Administration Healthcare"/>
    <s v="Medium (201-500)"/>
    <s v="Sarah Davis"/>
    <d v="2024-03-31T00:00:00"/>
    <s v="Services"/>
    <x v="4"/>
    <x v="4"/>
    <s v="Opened"/>
    <n v="1"/>
    <n v="1935"/>
    <n v="20"/>
    <d v="2024-11-01T00:00:00"/>
    <m/>
  </r>
  <r>
    <x v="1665"/>
    <s v="France"/>
    <s v="48.864716"/>
    <s v="2.349014"/>
    <s v="Banking and Finance"/>
    <s v="Medium (201-500)"/>
    <s v="Emily Johnson"/>
    <d v="2024-04-09T00:00:00"/>
    <s v="SAAS"/>
    <x v="4"/>
    <x v="4"/>
    <s v="Opened"/>
    <n v="1"/>
    <n v="837"/>
    <n v="80"/>
    <d v="2025-03-04T00:00:00"/>
    <m/>
  </r>
  <r>
    <x v="1666"/>
    <s v="Germany"/>
    <s v="52.520008"/>
    <s v="13.404954"/>
    <s v="Transportation &amp; Logistics"/>
    <s v="Medium (201-500)"/>
    <s v="Laura Thompson"/>
    <d v="2024-03-18T00:00:00"/>
    <s v="SAAS"/>
    <x v="4"/>
    <x v="4"/>
    <s v="Opened"/>
    <n v="1"/>
    <n v="1774"/>
    <n v="50"/>
    <d v="2024-05-08T00:00:00"/>
    <m/>
  </r>
  <r>
    <x v="1667"/>
    <s v="France"/>
    <s v="48.864716"/>
    <s v="2.349014"/>
    <s v="Transportation &amp; Logistics"/>
    <s v="Medium (201-500)"/>
    <s v="Laura Thompson"/>
    <d v="2024-02-25T00:00:00"/>
    <s v="SAAS"/>
    <x v="4"/>
    <x v="4"/>
    <s v="Opened"/>
    <n v="1"/>
    <n v="1964"/>
    <n v="60"/>
    <d v="2025-02-20T00:00:00"/>
    <m/>
  </r>
  <r>
    <x v="1668"/>
    <s v="Italy"/>
    <s v="41.902782"/>
    <s v="12.496366"/>
    <s v="Transportation &amp; Logistics"/>
    <s v="Medium (201-500)"/>
    <s v="Kevin Anderson"/>
    <d v="2024-05-15T00:00:00"/>
    <s v="Services"/>
    <x v="4"/>
    <x v="4"/>
    <s v="Opened"/>
    <n v="1"/>
    <n v="3157"/>
    <n v="100"/>
    <d v="2024-10-15T00:00:00"/>
    <m/>
  </r>
  <r>
    <x v="1669"/>
    <s v="Italy"/>
    <s v="41.902782"/>
    <s v="12.496366"/>
    <s v="Transportation &amp; Logistics"/>
    <s v="Medium (201-500)"/>
    <s v="John Smith"/>
    <d v="2024-04-18T00:00:00"/>
    <s v="Custom solution"/>
    <x v="4"/>
    <x v="4"/>
    <s v="Opened"/>
    <n v="1"/>
    <n v="6618"/>
    <n v="10"/>
    <d v="2025-01-31T00:00:00"/>
    <m/>
  </r>
  <r>
    <x v="1670"/>
    <s v="Belgium"/>
    <s v="51.260197"/>
    <s v="4.402771"/>
    <s v="Banking and Finance"/>
    <s v="Medium (201-500)"/>
    <s v="Laura Thompson"/>
    <d v="2024-03-23T00:00:00"/>
    <s v="Services"/>
    <x v="4"/>
    <x v="4"/>
    <s v="Opened"/>
    <n v="1"/>
    <n v="7091"/>
    <n v="50"/>
    <d v="2024-09-05T00:00:00"/>
    <m/>
  </r>
  <r>
    <x v="1671"/>
    <s v="Belgium"/>
    <s v="51.260197"/>
    <s v="4.402771"/>
    <s v="Manufacturing &amp; Production"/>
    <s v="Medium (201-500)"/>
    <s v="Kevin Anderson"/>
    <d v="2024-02-29T00:00:00"/>
    <s v="SAAS"/>
    <x v="4"/>
    <x v="4"/>
    <s v="Opened"/>
    <n v="1"/>
    <n v="1898"/>
    <n v="40"/>
    <d v="2025-02-08T00:00:00"/>
    <m/>
  </r>
  <r>
    <x v="1672"/>
    <s v="Portugal"/>
    <s v="38.736946"/>
    <s v="-9.142685"/>
    <s v="Entertainment &amp; Media &amp; Hospitality"/>
    <s v="Medium (201-500)"/>
    <s v="Michael Brown"/>
    <d v="2024-03-05T00:00:00"/>
    <s v="Custom solution"/>
    <x v="4"/>
    <x v="4"/>
    <s v="Opened"/>
    <n v="1"/>
    <n v="3098"/>
    <n v="20"/>
    <d v="2024-05-20T00:00:00"/>
    <m/>
  </r>
  <r>
    <x v="1673"/>
    <s v="Portugal"/>
    <s v="38.736946"/>
    <s v="-9.142685"/>
    <s v="Construction &amp; Engineering"/>
    <s v="Medium (201-500)"/>
    <s v="John Smith"/>
    <d v="2024-03-02T00:00:00"/>
    <s v="SAAS"/>
    <x v="4"/>
    <x v="4"/>
    <s v="Opened"/>
    <n v="1"/>
    <n v="2741"/>
    <n v="30"/>
    <d v="2024-12-05T00:00:00"/>
    <m/>
  </r>
  <r>
    <x v="1674"/>
    <s v="Italy"/>
    <s v="41.902782"/>
    <s v="12.496366"/>
    <s v="Transportation &amp; Logistics"/>
    <s v="Medium (201-500)"/>
    <s v="Michael Brown"/>
    <d v="2024-01-14T00:00:00"/>
    <s v="Custom solution"/>
    <x v="4"/>
    <x v="4"/>
    <s v="Opened"/>
    <n v="1"/>
    <n v="4042"/>
    <n v="30"/>
    <d v="2024-11-19T00:00:00"/>
    <m/>
  </r>
  <r>
    <x v="1675"/>
    <s v="Netherlands"/>
    <s v="52.370216"/>
    <s v="4.895168"/>
    <s v="Transportation &amp; Logistics"/>
    <s v="Medium (201-500)"/>
    <s v="Jessica Martinez"/>
    <d v="2024-02-25T00:00:00"/>
    <s v="Services"/>
    <x v="4"/>
    <x v="4"/>
    <s v="Opened"/>
    <n v="1"/>
    <n v="3123"/>
    <n v="40"/>
    <d v="2024-07-30T00:00:00"/>
    <m/>
  </r>
  <r>
    <x v="1676"/>
    <s v="France"/>
    <s v="48.864716"/>
    <s v="2.349014"/>
    <s v="Banking and Finance"/>
    <s v="Medium (201-500)"/>
    <s v="Kevin Anderson"/>
    <d v="2024-04-14T00:00:00"/>
    <s v="Services"/>
    <x v="4"/>
    <x v="4"/>
    <s v="Opened"/>
    <n v="1"/>
    <n v="5056"/>
    <n v="80"/>
    <d v="2024-05-04T00:00:00"/>
    <m/>
  </r>
  <r>
    <x v="1677"/>
    <s v="Germany"/>
    <s v="52.520008"/>
    <s v="13.404954"/>
    <s v="Transportation &amp; Logistics"/>
    <s v="Medium (201-500)"/>
    <s v="Jessica Martinez"/>
    <d v="2024-05-18T00:00:00"/>
    <s v="SAAS"/>
    <x v="4"/>
    <x v="4"/>
    <s v="Opened"/>
    <n v="1"/>
    <n v="1422"/>
    <n v="30"/>
    <d v="2024-06-30T00:00:00"/>
    <m/>
  </r>
  <r>
    <x v="1678"/>
    <s v="Spain"/>
    <s v="40.416775"/>
    <s v="-3.703790"/>
    <s v="Agriculture &amp; Mining"/>
    <s v="Medium (201-500)"/>
    <s v="Kevin Anderson"/>
    <d v="2024-05-10T00:00:00"/>
    <s v="Services"/>
    <x v="4"/>
    <x v="4"/>
    <s v="Opened"/>
    <n v="1"/>
    <n v="1671"/>
    <n v="100"/>
    <d v="2024-10-02T00:00:00"/>
    <m/>
  </r>
  <r>
    <x v="1679"/>
    <s v="France"/>
    <s v="48.864716"/>
    <s v="2.349014"/>
    <s v="Education &amp; Science"/>
    <s v="Large (501-1000)"/>
    <s v="Laura Thompson"/>
    <d v="2024-05-21T00:00:00"/>
    <s v="SAAS"/>
    <x v="4"/>
    <x v="4"/>
    <s v="Opened"/>
    <n v="1"/>
    <n v="13700"/>
    <n v="50"/>
    <d v="2025-01-20T00:00:00"/>
    <m/>
  </r>
  <r>
    <x v="1680"/>
    <s v="France"/>
    <s v="48.864716"/>
    <s v="2.349014"/>
    <s v="Professional Services  &amp; Consulting"/>
    <s v="Enterprise (1001+)"/>
    <s v="Kevin Anderson"/>
    <d v="2024-02-10T00:00:00"/>
    <s v="SAAS"/>
    <x v="4"/>
    <x v="4"/>
    <s v="Opened"/>
    <n v="1"/>
    <n v="13263"/>
    <n v="50"/>
    <d v="2025-01-01T00:00:00"/>
    <m/>
  </r>
  <r>
    <x v="1681"/>
    <s v="Belgium"/>
    <s v="51.260197"/>
    <s v="4.402771"/>
    <s v="Telecommunications"/>
    <s v="Enterprise (1001+)"/>
    <s v="Sarah Davis"/>
    <d v="2024-01-07T00:00:00"/>
    <s v="SAAS"/>
    <x v="4"/>
    <x v="4"/>
    <s v="Opened"/>
    <n v="1"/>
    <n v="5197"/>
    <n v="40"/>
    <d v="2024-06-08T00:00:00"/>
    <m/>
  </r>
  <r>
    <x v="1682"/>
    <s v="France"/>
    <s v="48.864716"/>
    <s v="2.349014"/>
    <s v="Professional Services  &amp; Consulting"/>
    <s v="Small (11-200)"/>
    <s v="John Smith"/>
    <d v="2024-02-14T00:00:00"/>
    <s v="Services"/>
    <x v="4"/>
    <x v="4"/>
    <s v="Proposal sent"/>
    <n v="4"/>
    <n v="1527"/>
    <n v="40"/>
    <d v="2024-03-07T00:00:00"/>
    <m/>
  </r>
  <r>
    <x v="1683"/>
    <s v="Spain"/>
    <s v="40.416775"/>
    <s v="-3.703790"/>
    <s v="Manufacturing &amp; Production"/>
    <s v="Small (11-200)"/>
    <s v="Kevin Anderson"/>
    <d v="2024-03-29T00:00:00"/>
    <s v="Services"/>
    <x v="4"/>
    <x v="4"/>
    <s v="Proposal sent"/>
    <n v="4"/>
    <n v="720"/>
    <n v="100"/>
    <d v="2024-07-24T00:00:00"/>
    <m/>
  </r>
  <r>
    <x v="1684"/>
    <s v="France"/>
    <s v="48.864716"/>
    <s v="2.349014"/>
    <s v="Transportation &amp; Logistics"/>
    <s v="Small (11-200)"/>
    <s v="Emily Johnson"/>
    <d v="2024-02-19T00:00:00"/>
    <s v="Custom solution"/>
    <x v="4"/>
    <x v="4"/>
    <s v="Proposal sent"/>
    <n v="4"/>
    <n v="1310"/>
    <n v="20"/>
    <d v="2025-01-13T00:00:00"/>
    <m/>
  </r>
  <r>
    <x v="1685"/>
    <s v="Netherlands"/>
    <s v="52.370216"/>
    <s v="4.895168"/>
    <s v="Entertainment &amp; Media &amp; Hospitality"/>
    <s v="Small (11-200)"/>
    <s v="Jessica Martinez"/>
    <d v="2024-03-14T00:00:00"/>
    <s v="Custom solution"/>
    <x v="4"/>
    <x v="4"/>
    <s v="Proposal sent"/>
    <n v="4"/>
    <n v="1605"/>
    <n v="40"/>
    <d v="2025-01-29T00:00:00"/>
    <m/>
  </r>
  <r>
    <x v="1686"/>
    <s v="France"/>
    <s v="48.864716"/>
    <s v="2.349014"/>
    <s v="Banking and Finance"/>
    <s v="Small (11-200)"/>
    <s v="Emily Johnson"/>
    <d v="2024-03-09T00:00:00"/>
    <s v="Services"/>
    <x v="4"/>
    <x v="4"/>
    <s v="Proposal sent"/>
    <n v="4"/>
    <n v="838"/>
    <n v="100"/>
    <d v="2024-12-26T00:00:00"/>
    <m/>
  </r>
  <r>
    <x v="1687"/>
    <s v="Germany"/>
    <s v="52.520008"/>
    <s v="13.404954"/>
    <s v="Professional Services  &amp; Consulting"/>
    <s v="Small (11-200)"/>
    <s v="Michael Brown"/>
    <d v="2024-03-09T00:00:00"/>
    <s v="Services"/>
    <x v="4"/>
    <x v="4"/>
    <s v="Proposal sent"/>
    <n v="4"/>
    <n v="708"/>
    <n v="40"/>
    <d v="2025-01-18T00:00:00"/>
    <m/>
  </r>
  <r>
    <x v="1688"/>
    <s v="Switzerland"/>
    <s v="46.204391"/>
    <s v="6.143158"/>
    <s v="Entertainment &amp; Media &amp; Hospitality"/>
    <s v="Small (11-200)"/>
    <s v="Michael Brown"/>
    <d v="2024-01-03T00:00:00"/>
    <s v="Services"/>
    <x v="4"/>
    <x v="4"/>
    <s v="Proposal sent"/>
    <n v="4"/>
    <n v="1391"/>
    <n v="60"/>
    <d v="2024-07-08T00:00:00"/>
    <m/>
  </r>
  <r>
    <x v="1689"/>
    <s v="Germany"/>
    <s v="52.520008"/>
    <s v="13.404954"/>
    <s v="Professional Services  &amp; Consulting"/>
    <s v="Small (11-200)"/>
    <s v="Jessica Martinez"/>
    <d v="2024-04-23T00:00:00"/>
    <s v="SAAS"/>
    <x v="4"/>
    <x v="4"/>
    <s v="Proposal sent"/>
    <n v="4"/>
    <n v="826"/>
    <n v="60"/>
    <d v="2024-07-23T00:00:00"/>
    <m/>
  </r>
  <r>
    <x v="1690"/>
    <s v="Netherlands"/>
    <s v="52.370216"/>
    <s v="4.895168"/>
    <s v="Education &amp; Science"/>
    <s v="Small (11-200)"/>
    <s v="Jessica Martinez"/>
    <d v="2024-01-16T00:00:00"/>
    <s v="SAAS"/>
    <x v="4"/>
    <x v="4"/>
    <s v="Proposal sent"/>
    <n v="4"/>
    <n v="1174"/>
    <n v="40"/>
    <d v="2024-06-16T00:00:00"/>
    <m/>
  </r>
  <r>
    <x v="1691"/>
    <s v="Spain"/>
    <s v="40.416775"/>
    <s v="-3.703790"/>
    <s v="Energy &amp; Utilities"/>
    <s v="Small (11-200)"/>
    <s v="Laura Thompson"/>
    <d v="2024-03-05T00:00:00"/>
    <s v="Services"/>
    <x v="4"/>
    <x v="4"/>
    <s v="Proposal sent"/>
    <n v="4"/>
    <n v="1245"/>
    <n v="20"/>
    <d v="2024-11-06T00:00:00"/>
    <m/>
  </r>
  <r>
    <x v="1692"/>
    <s v="Austria"/>
    <s v="48.210033"/>
    <s v="16.363449"/>
    <s v="Banking and Finance"/>
    <s v="Small (11-200)"/>
    <s v="Michael Brown"/>
    <d v="2024-02-02T00:00:00"/>
    <s v="SAAS"/>
    <x v="4"/>
    <x v="4"/>
    <s v="Proposal sent"/>
    <n v="4"/>
    <n v="1215"/>
    <n v="30"/>
    <d v="2024-07-16T00:00:00"/>
    <m/>
  </r>
  <r>
    <x v="1693"/>
    <s v="Switzerland"/>
    <s v="46.204391"/>
    <s v="6.143158"/>
    <s v="Banking and Finance"/>
    <s v="Small (11-200)"/>
    <s v="Laura Thompson"/>
    <d v="2024-03-19T00:00:00"/>
    <s v="Custom solution"/>
    <x v="4"/>
    <x v="4"/>
    <s v="Proposal sent"/>
    <n v="4"/>
    <n v="1203"/>
    <n v="40"/>
    <d v="2024-12-04T00:00:00"/>
    <m/>
  </r>
  <r>
    <x v="1694"/>
    <s v="Spain"/>
    <s v="40.416775"/>
    <s v="-3.703790"/>
    <s v="Manufacturing &amp; Production"/>
    <s v="Small (11-200)"/>
    <s v="Laura Thompson"/>
    <d v="2024-02-10T00:00:00"/>
    <s v="Custom solution"/>
    <x v="4"/>
    <x v="4"/>
    <s v="Proposal sent"/>
    <n v="4"/>
    <n v="1325"/>
    <n v="50"/>
    <d v="2024-03-04T00:00:00"/>
    <m/>
  </r>
  <r>
    <x v="1695"/>
    <s v="Switzerland"/>
    <s v="46.204391"/>
    <s v="6.143158"/>
    <s v="IT &amp; IT Services"/>
    <s v="Small (11-200)"/>
    <s v="Laura Thompson"/>
    <d v="2024-04-27T00:00:00"/>
    <s v="SAAS"/>
    <x v="4"/>
    <x v="4"/>
    <s v="Proposal sent"/>
    <n v="4"/>
    <n v="1856"/>
    <n v="20"/>
    <d v="2025-04-14T00:00:00"/>
    <m/>
  </r>
  <r>
    <x v="1696"/>
    <s v="Italy"/>
    <s v="41.902782"/>
    <s v="12.496366"/>
    <s v="Transportation &amp; Logistics"/>
    <s v="Small (11-200)"/>
    <s v="Jessica Martinez"/>
    <d v="2024-03-16T00:00:00"/>
    <s v="Custom solution"/>
    <x v="4"/>
    <x v="4"/>
    <s v="Proposal sent"/>
    <n v="4"/>
    <n v="663"/>
    <n v="50"/>
    <d v="2024-10-20T00:00:00"/>
    <m/>
  </r>
  <r>
    <x v="1697"/>
    <s v="Netherlands"/>
    <s v="52.370216"/>
    <s v="4.895168"/>
    <s v="IT &amp; IT Services"/>
    <s v="Small (11-200)"/>
    <s v="Jessica Martinez"/>
    <d v="2024-02-29T00:00:00"/>
    <s v="SAAS"/>
    <x v="4"/>
    <x v="4"/>
    <s v="Proposal sent"/>
    <n v="4"/>
    <n v="1589"/>
    <n v="30"/>
    <d v="2024-10-25T00:00:00"/>
    <m/>
  </r>
  <r>
    <x v="1698"/>
    <s v="Portugal"/>
    <s v="38.736946"/>
    <s v="-9.142685"/>
    <s v="Agriculture &amp; Mining"/>
    <s v="Small (11-200)"/>
    <s v="Jessica Martinez"/>
    <d v="2024-03-14T00:00:00"/>
    <s v="Services"/>
    <x v="4"/>
    <x v="4"/>
    <s v="Proposal sent"/>
    <n v="4"/>
    <n v="1153"/>
    <n v="20"/>
    <d v="2025-02-15T00:00:00"/>
    <m/>
  </r>
  <r>
    <x v="1699"/>
    <s v="Portugal"/>
    <s v="38.736946"/>
    <s v="-9.142685"/>
    <s v="Recreation &amp; Sports"/>
    <s v="Small (11-200)"/>
    <s v="Jessica Martinez"/>
    <d v="2024-03-13T00:00:00"/>
    <s v="SAAS"/>
    <x v="4"/>
    <x v="4"/>
    <s v="Proposal sent"/>
    <n v="4"/>
    <n v="1084"/>
    <n v="50"/>
    <d v="2024-11-13T00:00:00"/>
    <m/>
  </r>
  <r>
    <x v="1700"/>
    <s v="Italy"/>
    <s v="41.902782"/>
    <s v="12.496366"/>
    <s v="Transportation &amp; Logistics"/>
    <s v="Small (11-200)"/>
    <s v="Michael Brown"/>
    <d v="2024-02-23T00:00:00"/>
    <s v="SAAS"/>
    <x v="4"/>
    <x v="4"/>
    <s v="Proposal sent"/>
    <n v="4"/>
    <n v="541"/>
    <n v="80"/>
    <d v="2024-05-04T00:00:00"/>
    <m/>
  </r>
  <r>
    <x v="1701"/>
    <s v="France"/>
    <s v="48.864716"/>
    <s v="2.349014"/>
    <s v="Transportation &amp; Logistics"/>
    <s v="Small (11-200)"/>
    <s v="Jessica Martinez"/>
    <d v="2024-02-27T00:00:00"/>
    <s v="SAAS"/>
    <x v="4"/>
    <x v="4"/>
    <s v="Proposal sent"/>
    <n v="4"/>
    <n v="694"/>
    <n v="40"/>
    <d v="2024-12-26T00:00:00"/>
    <m/>
  </r>
  <r>
    <x v="1702"/>
    <s v="Austria"/>
    <s v="48.210033"/>
    <s v="16.363449"/>
    <s v="Professional Services  &amp; Consulting"/>
    <s v="Small (11-200)"/>
    <s v="Laura Thompson"/>
    <d v="2024-03-06T00:00:00"/>
    <s v="SAAS"/>
    <x v="4"/>
    <x v="4"/>
    <s v="Proposal sent"/>
    <n v="4"/>
    <n v="416"/>
    <n v="20"/>
    <d v="2024-11-04T00:00:00"/>
    <m/>
  </r>
  <r>
    <x v="1703"/>
    <s v="Austria"/>
    <s v="48.210033"/>
    <s v="16.363449"/>
    <s v="Construction &amp; Engineering"/>
    <s v="Small (11-200)"/>
    <s v="Michael Brown"/>
    <d v="2024-01-20T00:00:00"/>
    <s v="SAAS"/>
    <x v="4"/>
    <x v="4"/>
    <s v="Proposal sent"/>
    <n v="4"/>
    <n v="1693"/>
    <n v="10"/>
    <d v="2024-09-28T00:00:00"/>
    <m/>
  </r>
  <r>
    <x v="1704"/>
    <s v="Netherlands"/>
    <s v="52.370216"/>
    <s v="4.895168"/>
    <s v="Banking and Finance"/>
    <s v="Small (11-200)"/>
    <s v="Laura Thompson"/>
    <d v="2024-05-06T00:00:00"/>
    <s v="Services"/>
    <x v="4"/>
    <x v="4"/>
    <s v="Proposal sent"/>
    <n v="4"/>
    <n v="1516"/>
    <n v="20"/>
    <d v="2024-07-14T00:00:00"/>
    <m/>
  </r>
  <r>
    <x v="1705"/>
    <s v="Switzerland"/>
    <s v="46.204391"/>
    <s v="6.143158"/>
    <s v="Banking and Finance"/>
    <s v="Small (11-200)"/>
    <s v="Laura Thompson"/>
    <d v="2024-05-21T00:00:00"/>
    <s v="SAAS"/>
    <x v="4"/>
    <x v="4"/>
    <s v="Proposal sent"/>
    <n v="4"/>
    <n v="1172"/>
    <n v="60"/>
    <d v="2025-04-24T00:00:00"/>
    <m/>
  </r>
  <r>
    <x v="1706"/>
    <s v="Portugal"/>
    <s v="38.736946"/>
    <s v="-9.142685"/>
    <s v="Entertainment &amp; Media &amp; Hospitality"/>
    <s v="Small (11-200)"/>
    <s v="Jessica Martinez"/>
    <d v="2024-03-23T00:00:00"/>
    <s v="Services"/>
    <x v="4"/>
    <x v="4"/>
    <s v="Proposal sent"/>
    <n v="4"/>
    <n v="1829"/>
    <n v="30"/>
    <d v="2024-04-26T00:00:00"/>
    <m/>
  </r>
  <r>
    <x v="1707"/>
    <s v="Germany"/>
    <s v="52.520008"/>
    <s v="13.404954"/>
    <s v="Telecommunications"/>
    <s v="Small (11-200)"/>
    <s v="Jessica Martinez"/>
    <d v="2024-02-19T00:00:00"/>
    <s v="SAAS"/>
    <x v="4"/>
    <x v="4"/>
    <s v="Proposal sent"/>
    <n v="4"/>
    <n v="785"/>
    <n v="30"/>
    <d v="2024-06-14T00:00:00"/>
    <m/>
  </r>
  <r>
    <x v="1708"/>
    <s v="Italy"/>
    <s v="41.902782"/>
    <s v="12.496366"/>
    <s v="IT &amp; IT Services"/>
    <s v="Small (11-200)"/>
    <s v="Michael Brown"/>
    <d v="2024-03-23T00:00:00"/>
    <s v="SAAS"/>
    <x v="4"/>
    <x v="4"/>
    <s v="Proposal sent"/>
    <n v="4"/>
    <n v="1699"/>
    <n v="30"/>
    <d v="2025-03-07T00:00:00"/>
    <m/>
  </r>
  <r>
    <x v="1709"/>
    <s v="Portugal"/>
    <s v="38.736946"/>
    <s v="-9.142685"/>
    <s v="Agriculture &amp; Mining"/>
    <s v="Small (11-200)"/>
    <s v="David Wilson"/>
    <d v="2024-02-01T00:00:00"/>
    <s v="SAAS"/>
    <x v="4"/>
    <x v="4"/>
    <s v="Proposal sent"/>
    <n v="4"/>
    <n v="697"/>
    <n v="70"/>
    <d v="2024-03-29T00:00:00"/>
    <m/>
  </r>
  <r>
    <x v="1710"/>
    <s v="Switzerland"/>
    <s v="46.204391"/>
    <s v="6.143158"/>
    <s v="Manufacturing &amp; Production"/>
    <s v="Small (11-200)"/>
    <s v="Laura Thompson"/>
    <d v="2024-03-24T00:00:00"/>
    <s v="Custom solution"/>
    <x v="4"/>
    <x v="4"/>
    <s v="Proposal sent"/>
    <n v="4"/>
    <n v="1971"/>
    <n v="40"/>
    <d v="2024-08-20T00:00:00"/>
    <m/>
  </r>
  <r>
    <x v="1711"/>
    <s v="Netherlands"/>
    <s v="52.370216"/>
    <s v="4.895168"/>
    <s v="Professional Services  &amp; Consulting"/>
    <s v="Small (11-200)"/>
    <s v="David Wilson"/>
    <d v="2024-05-12T00:00:00"/>
    <s v="SAAS"/>
    <x v="4"/>
    <x v="4"/>
    <s v="Proposal sent"/>
    <n v="4"/>
    <n v="1835"/>
    <n v="30"/>
    <d v="2025-02-02T00:00:00"/>
    <m/>
  </r>
  <r>
    <x v="1712"/>
    <s v="Portugal"/>
    <s v="38.736946"/>
    <s v="-9.142685"/>
    <s v="Recreation &amp; Sports"/>
    <s v="Small (11-200)"/>
    <s v="Laura Thompson"/>
    <d v="2024-01-19T00:00:00"/>
    <s v="Custom solution"/>
    <x v="4"/>
    <x v="4"/>
    <s v="Proposal sent"/>
    <n v="4"/>
    <n v="402"/>
    <n v="10"/>
    <d v="2024-06-19T00:00:00"/>
    <m/>
  </r>
  <r>
    <x v="1713"/>
    <s v="Italy"/>
    <s v="41.902782"/>
    <s v="12.496366"/>
    <s v="Banking and Finance"/>
    <s v="Small (11-200)"/>
    <s v="Emily Johnson"/>
    <d v="2024-02-22T00:00:00"/>
    <s v="SAAS"/>
    <x v="4"/>
    <x v="4"/>
    <s v="Proposal sent"/>
    <n v="4"/>
    <n v="280"/>
    <n v="30"/>
    <d v="2024-07-18T00:00:00"/>
    <m/>
  </r>
  <r>
    <x v="1714"/>
    <s v="Austria"/>
    <s v="48.210033"/>
    <s v="16.363449"/>
    <s v="Transportation &amp; Logistics"/>
    <s v="Small (11-200)"/>
    <s v="Emily Johnson"/>
    <d v="2024-04-16T00:00:00"/>
    <s v="SAAS"/>
    <x v="4"/>
    <x v="4"/>
    <s v="Proposal sent"/>
    <n v="4"/>
    <n v="1312"/>
    <n v="40"/>
    <d v="2025-04-16T00:00:00"/>
    <m/>
  </r>
  <r>
    <x v="1715"/>
    <s v="Italy"/>
    <s v="41.902782"/>
    <s v="12.496366"/>
    <s v="Construction &amp; Engineering"/>
    <s v="Small (11-200)"/>
    <s v="Kevin Anderson"/>
    <d v="2024-05-05T00:00:00"/>
    <s v="Custom solution"/>
    <x v="4"/>
    <x v="4"/>
    <s v="Proposal sent"/>
    <n v="4"/>
    <n v="1424"/>
    <n v="30"/>
    <d v="2025-01-22T00:00:00"/>
    <m/>
  </r>
  <r>
    <x v="1716"/>
    <s v="Switzerland"/>
    <s v="46.204391"/>
    <s v="6.143158"/>
    <s v="Agriculture &amp; Mining"/>
    <s v="Small (11-200)"/>
    <s v="Jessica Martinez"/>
    <d v="2024-02-07T00:00:00"/>
    <s v="Services"/>
    <x v="4"/>
    <x v="4"/>
    <s v="Proposal sent"/>
    <n v="4"/>
    <n v="801"/>
    <n v="50"/>
    <d v="2025-01-10T00:00:00"/>
    <m/>
  </r>
  <r>
    <x v="1717"/>
    <s v="France"/>
    <s v="48.864716"/>
    <s v="2.349014"/>
    <s v="Telecommunications"/>
    <s v="Small (11-200)"/>
    <s v="Laura Thompson"/>
    <d v="2024-05-09T00:00:00"/>
    <s v="SAAS"/>
    <x v="4"/>
    <x v="4"/>
    <s v="Proposal sent"/>
    <n v="4"/>
    <n v="287"/>
    <n v="60"/>
    <d v="2025-01-16T00:00:00"/>
    <m/>
  </r>
  <r>
    <x v="1718"/>
    <s v="Italy"/>
    <s v="41.902782"/>
    <s v="12.496366"/>
    <s v="Entertainment &amp; Media &amp; Hospitality"/>
    <s v="Micro (1-10)"/>
    <s v="Laura Thompson"/>
    <d v="2024-01-13T00:00:00"/>
    <s v="SAAS"/>
    <x v="4"/>
    <x v="4"/>
    <s v="Proposal sent"/>
    <n v="4"/>
    <n v="726"/>
    <n v="90"/>
    <d v="2024-12-13T00:00:00"/>
    <m/>
  </r>
  <r>
    <x v="1719"/>
    <s v="Italy"/>
    <s v="41.902782"/>
    <s v="12.496366"/>
    <s v="Professional Services  &amp; Consulting"/>
    <s v="Micro (1-10)"/>
    <s v="Kevin Anderson"/>
    <d v="2024-01-19T00:00:00"/>
    <s v="Services"/>
    <x v="4"/>
    <x v="4"/>
    <s v="Proposal sent"/>
    <n v="4"/>
    <n v="648"/>
    <n v="60"/>
    <d v="2024-09-15T00:00:00"/>
    <m/>
  </r>
  <r>
    <x v="1720"/>
    <s v="Portugal"/>
    <s v="38.736946"/>
    <s v="-9.142685"/>
    <s v="Retail &amp; Distribution"/>
    <s v="Micro (1-10)"/>
    <s v="Michael Brown"/>
    <d v="2024-04-29T00:00:00"/>
    <s v="Custom solution"/>
    <x v="4"/>
    <x v="4"/>
    <s v="Proposal sent"/>
    <n v="4"/>
    <n v="379"/>
    <n v="20"/>
    <d v="2025-02-03T00:00:00"/>
    <m/>
  </r>
  <r>
    <x v="1721"/>
    <s v="Germany"/>
    <s v="52.520008"/>
    <s v="13.404954"/>
    <s v="Banking and Finance"/>
    <s v="Micro (1-10)"/>
    <s v="Laura Thompson"/>
    <d v="2024-04-16T00:00:00"/>
    <s v="Services"/>
    <x v="4"/>
    <x v="4"/>
    <s v="Proposal sent"/>
    <n v="4"/>
    <n v="428"/>
    <n v="50"/>
    <d v="2024-11-20T00:00:00"/>
    <m/>
  </r>
  <r>
    <x v="1722"/>
    <s v="Netherlands"/>
    <s v="52.370216"/>
    <s v="4.895168"/>
    <s v="IT &amp; IT Services"/>
    <s v="Micro (1-10)"/>
    <s v="Michael Brown"/>
    <d v="2024-04-17T00:00:00"/>
    <s v="SAAS"/>
    <x v="4"/>
    <x v="4"/>
    <s v="Proposal sent"/>
    <n v="4"/>
    <n v="238"/>
    <n v="10"/>
    <d v="2025-01-29T00:00:00"/>
    <m/>
  </r>
  <r>
    <x v="1723"/>
    <s v="Belgium"/>
    <s v="51.260197"/>
    <s v="4.402771"/>
    <s v="Energy &amp; Utilities"/>
    <s v="Micro (1-10)"/>
    <s v="Jessica Martinez"/>
    <d v="2024-03-17T00:00:00"/>
    <s v="Services"/>
    <x v="4"/>
    <x v="4"/>
    <s v="Proposal sent"/>
    <n v="4"/>
    <n v="396"/>
    <n v="30"/>
    <d v="2024-10-03T00:00:00"/>
    <m/>
  </r>
  <r>
    <x v="1724"/>
    <s v="France"/>
    <s v="48.864716"/>
    <s v="2.349014"/>
    <s v="Professional Services  &amp; Consulting"/>
    <s v="Micro (1-10)"/>
    <s v="John Smith"/>
    <d v="2024-04-21T00:00:00"/>
    <s v="SAAS"/>
    <x v="4"/>
    <x v="4"/>
    <s v="Proposal sent"/>
    <n v="4"/>
    <n v="559"/>
    <n v="90"/>
    <d v="2024-05-13T00:00:00"/>
    <m/>
  </r>
  <r>
    <x v="1725"/>
    <s v="Italy"/>
    <s v="41.902782"/>
    <s v="12.496366"/>
    <s v="Recreation &amp; Sports"/>
    <s v="Micro (1-10)"/>
    <s v="Michael Brown"/>
    <d v="2024-04-13T00:00:00"/>
    <s v="SAAS"/>
    <x v="4"/>
    <x v="4"/>
    <s v="Proposal sent"/>
    <n v="4"/>
    <n v="845"/>
    <n v="40"/>
    <d v="2024-11-01T00:00:00"/>
    <m/>
  </r>
  <r>
    <x v="1726"/>
    <s v="Portugal"/>
    <s v="38.736946"/>
    <s v="-9.142685"/>
    <s v="Recreation &amp; Sports"/>
    <s v="Micro (1-10)"/>
    <s v="Laura Thompson"/>
    <d v="2024-02-29T00:00:00"/>
    <s v="Services"/>
    <x v="4"/>
    <x v="4"/>
    <s v="Proposal sent"/>
    <n v="4"/>
    <n v="776"/>
    <n v="40"/>
    <d v="2024-09-01T00:00:00"/>
    <m/>
  </r>
  <r>
    <x v="1727"/>
    <s v="France"/>
    <s v="48.864716"/>
    <s v="2.349014"/>
    <s v="Transportation &amp; Logistics"/>
    <s v="Micro (1-10)"/>
    <s v="Emily Johnson"/>
    <d v="2024-04-27T00:00:00"/>
    <s v="SAAS"/>
    <x v="4"/>
    <x v="4"/>
    <s v="Proposal sent"/>
    <n v="4"/>
    <n v="1100"/>
    <n v="40"/>
    <d v="2024-10-11T00:00:00"/>
    <m/>
  </r>
  <r>
    <x v="1728"/>
    <s v="Netherlands"/>
    <s v="52.370216"/>
    <s v="4.895168"/>
    <s v="Transportation &amp; Logistics"/>
    <s v="Micro (1-10)"/>
    <s v="Michael Brown"/>
    <d v="2024-03-06T00:00:00"/>
    <s v="Services"/>
    <x v="4"/>
    <x v="4"/>
    <s v="Proposal sent"/>
    <n v="4"/>
    <n v="398"/>
    <n v="10"/>
    <d v="2024-05-19T00:00:00"/>
    <m/>
  </r>
  <r>
    <x v="1729"/>
    <s v="Germany"/>
    <s v="52.520008"/>
    <s v="13.404954"/>
    <s v="Professional Services  &amp; Consulting"/>
    <s v="Micro (1-10)"/>
    <s v="Jessica Martinez"/>
    <d v="2024-01-15T00:00:00"/>
    <s v="Services"/>
    <x v="4"/>
    <x v="4"/>
    <s v="Proposal sent"/>
    <n v="4"/>
    <n v="779"/>
    <n v="40"/>
    <d v="2024-03-11T00:00:00"/>
    <m/>
  </r>
  <r>
    <x v="1730"/>
    <s v="Netherlands"/>
    <s v="52.370216"/>
    <s v="4.895168"/>
    <s v="Government Administration Healthcare"/>
    <s v="Micro (1-10)"/>
    <s v="Jessica Martinez"/>
    <d v="2024-03-13T00:00:00"/>
    <s v="Services"/>
    <x v="4"/>
    <x v="4"/>
    <s v="Proposal sent"/>
    <n v="4"/>
    <n v="742"/>
    <n v="60"/>
    <d v="2024-07-13T00:00:00"/>
    <m/>
  </r>
  <r>
    <x v="1731"/>
    <s v="Italy"/>
    <s v="41.902782"/>
    <s v="12.496366"/>
    <s v="IT &amp; IT Services"/>
    <s v="Micro (1-10)"/>
    <s v="Laura Thompson"/>
    <d v="2024-04-03T00:00:00"/>
    <s v="SAAS"/>
    <x v="4"/>
    <x v="4"/>
    <s v="Proposal sent"/>
    <n v="4"/>
    <n v="396"/>
    <n v="60"/>
    <d v="2024-11-25T00:00:00"/>
    <m/>
  </r>
  <r>
    <x v="1732"/>
    <s v="Italy"/>
    <s v="41.902782"/>
    <s v="12.496366"/>
    <s v="Telecommunications"/>
    <s v="Micro (1-10)"/>
    <s v="Kevin Anderson"/>
    <d v="2024-04-06T00:00:00"/>
    <s v="SAAS"/>
    <x v="4"/>
    <x v="4"/>
    <s v="Proposal sent"/>
    <n v="4"/>
    <n v="1128"/>
    <n v="60"/>
    <d v="2025-03-17T00:00:00"/>
    <m/>
  </r>
  <r>
    <x v="1733"/>
    <s v="Germany"/>
    <s v="52.520008"/>
    <s v="13.404954"/>
    <s v="Transportation &amp; Logistics"/>
    <s v="Micro (1-10)"/>
    <s v="Kevin Anderson"/>
    <d v="2024-01-25T00:00:00"/>
    <s v="Services"/>
    <x v="4"/>
    <x v="4"/>
    <s v="Proposal sent"/>
    <n v="4"/>
    <n v="525"/>
    <n v="20"/>
    <d v="2024-05-13T00:00:00"/>
    <m/>
  </r>
  <r>
    <x v="1734"/>
    <s v="France"/>
    <s v="48.864716"/>
    <s v="2.349014"/>
    <s v="Professional Services  &amp; Consulting"/>
    <s v="Micro (1-10)"/>
    <s v="Laura Thompson"/>
    <d v="2024-02-18T00:00:00"/>
    <s v="SAAS"/>
    <x v="4"/>
    <x v="4"/>
    <s v="Proposal sent"/>
    <n v="4"/>
    <n v="1157"/>
    <n v="100"/>
    <d v="2024-09-05T00:00:00"/>
    <m/>
  </r>
  <r>
    <x v="1735"/>
    <s v="Germany"/>
    <s v="52.520008"/>
    <s v="13.404954"/>
    <s v="Agriculture &amp; Mining"/>
    <s v="Micro (1-10)"/>
    <s v="Michael Brown"/>
    <d v="2024-05-06T00:00:00"/>
    <s v="Services"/>
    <x v="4"/>
    <x v="4"/>
    <s v="Proposal sent"/>
    <n v="4"/>
    <n v="1102"/>
    <n v="50"/>
    <d v="2024-07-05T00:00:00"/>
    <m/>
  </r>
  <r>
    <x v="1736"/>
    <s v="Portugal"/>
    <s v="38.736946"/>
    <s v="-9.142685"/>
    <s v="Transportation &amp; Logistics"/>
    <s v="Micro (1-10)"/>
    <s v="Emily Johnson"/>
    <d v="2024-05-05T00:00:00"/>
    <s v="SAAS"/>
    <x v="4"/>
    <x v="4"/>
    <s v="Proposal sent"/>
    <n v="4"/>
    <n v="1057"/>
    <n v="20"/>
    <d v="2024-08-08T00:00:00"/>
    <m/>
  </r>
  <r>
    <x v="1737"/>
    <s v="Italy"/>
    <s v="41.902782"/>
    <s v="12.496366"/>
    <s v="Transportation &amp; Logistics"/>
    <s v="Micro (1-10)"/>
    <s v="Sarah Davis"/>
    <d v="2024-04-23T00:00:00"/>
    <s v="SAAS"/>
    <x v="4"/>
    <x v="4"/>
    <s v="Proposal sent"/>
    <n v="4"/>
    <n v="595"/>
    <n v="60"/>
    <d v="2025-03-17T00:00:00"/>
    <m/>
  </r>
  <r>
    <x v="1738"/>
    <s v="Portugal"/>
    <s v="38.736946"/>
    <s v="-9.142685"/>
    <s v="Education &amp; Science"/>
    <s v="Micro (1-10)"/>
    <s v="Michael Brown"/>
    <d v="2024-04-24T00:00:00"/>
    <s v="SAAS"/>
    <x v="4"/>
    <x v="4"/>
    <s v="Proposal sent"/>
    <n v="4"/>
    <n v="690"/>
    <n v="10"/>
    <d v="2024-09-14T00:00:00"/>
    <m/>
  </r>
  <r>
    <x v="1739"/>
    <s v="Italy"/>
    <s v="41.902782"/>
    <s v="12.496366"/>
    <s v="IT &amp; IT Services"/>
    <s v="Micro (1-10)"/>
    <s v="John Smith"/>
    <d v="2024-05-05T00:00:00"/>
    <s v="SAAS"/>
    <x v="4"/>
    <x v="4"/>
    <s v="Proposal sent"/>
    <n v="4"/>
    <n v="1133"/>
    <n v="20"/>
    <d v="2025-01-24T00:00:00"/>
    <m/>
  </r>
  <r>
    <x v="1740"/>
    <s v="Germany"/>
    <s v="52.520008"/>
    <s v="13.404954"/>
    <s v="Education &amp; Science"/>
    <s v="Micro (1-10)"/>
    <s v="Laura Thompson"/>
    <d v="2024-01-30T00:00:00"/>
    <s v="Custom solution"/>
    <x v="4"/>
    <x v="4"/>
    <s v="Proposal sent"/>
    <n v="4"/>
    <n v="507"/>
    <n v="40"/>
    <d v="2024-12-20T00:00:00"/>
    <m/>
  </r>
  <r>
    <x v="1741"/>
    <s v="Italy"/>
    <s v="41.902782"/>
    <s v="12.496366"/>
    <s v="Energy &amp; Utilities"/>
    <s v="Micro (1-10)"/>
    <s v="Laura Thompson"/>
    <d v="2024-05-14T00:00:00"/>
    <s v="SAAS"/>
    <x v="4"/>
    <x v="4"/>
    <s v="Proposal sent"/>
    <n v="4"/>
    <n v="1059"/>
    <n v="100"/>
    <d v="2025-03-31T00:00:00"/>
    <m/>
  </r>
  <r>
    <x v="1742"/>
    <s v="Belgium"/>
    <s v="51.260197"/>
    <s v="4.402771"/>
    <s v="IT &amp; IT Services"/>
    <s v="Micro (1-10)"/>
    <s v="Michael Brown"/>
    <d v="2024-02-19T00:00:00"/>
    <s v="Services"/>
    <x v="4"/>
    <x v="4"/>
    <s v="Proposal sent"/>
    <n v="4"/>
    <n v="288"/>
    <n v="30"/>
    <d v="2024-12-12T00:00:00"/>
    <m/>
  </r>
  <r>
    <x v="1743"/>
    <s v="Netherlands"/>
    <s v="52.370216"/>
    <s v="4.895168"/>
    <s v="Government Administration Healthcare"/>
    <s v="Micro (1-10)"/>
    <s v="Laura Thompson"/>
    <d v="2024-05-12T00:00:00"/>
    <s v="Services"/>
    <x v="4"/>
    <x v="4"/>
    <s v="Proposal sent"/>
    <n v="4"/>
    <n v="595"/>
    <n v="60"/>
    <d v="2024-09-08T00:00:00"/>
    <m/>
  </r>
  <r>
    <x v="1744"/>
    <s v="Netherlands"/>
    <s v="52.370216"/>
    <s v="4.895168"/>
    <s v="Government Administration Healthcare"/>
    <s v="Micro (1-10)"/>
    <s v="Sarah Davis"/>
    <d v="2024-05-31T00:00:00"/>
    <s v="Custom solution"/>
    <x v="4"/>
    <x v="4"/>
    <s v="Proposal sent"/>
    <n v="4"/>
    <n v="335"/>
    <n v="40"/>
    <d v="2025-02-08T00:00:00"/>
    <m/>
  </r>
  <r>
    <x v="1745"/>
    <s v="Italy"/>
    <s v="41.902782"/>
    <s v="12.496366"/>
    <s v="Telecommunications"/>
    <s v="Micro (1-10)"/>
    <s v="Sarah Davis"/>
    <d v="2024-05-02T00:00:00"/>
    <s v="Services"/>
    <x v="4"/>
    <x v="4"/>
    <s v="Proposal sent"/>
    <n v="4"/>
    <n v="314"/>
    <n v="80"/>
    <d v="2024-08-19T00:00:00"/>
    <m/>
  </r>
  <r>
    <x v="1746"/>
    <s v="France"/>
    <s v="48.864716"/>
    <s v="2.349014"/>
    <s v="Transportation &amp; Logistics"/>
    <s v="Micro (1-10)"/>
    <s v="Laura Thompson"/>
    <d v="2024-01-22T00:00:00"/>
    <s v="SAAS"/>
    <x v="4"/>
    <x v="4"/>
    <s v="Proposal sent"/>
    <n v="4"/>
    <n v="1031"/>
    <n v="30"/>
    <d v="2024-03-27T00:00:00"/>
    <m/>
  </r>
  <r>
    <x v="1747"/>
    <s v="Netherlands"/>
    <s v="52.370216"/>
    <s v="4.895168"/>
    <s v="IT &amp; IT Services"/>
    <s v="Micro (1-10)"/>
    <s v="Laura Thompson"/>
    <d v="2024-03-12T00:00:00"/>
    <s v="Services"/>
    <x v="4"/>
    <x v="4"/>
    <s v="Proposal sent"/>
    <n v="4"/>
    <n v="219"/>
    <n v="40"/>
    <d v="2024-08-05T00:00:00"/>
    <m/>
  </r>
  <r>
    <x v="1748"/>
    <s v="Austria"/>
    <s v="48.210033"/>
    <s v="16.363449"/>
    <s v="Transportation &amp; Logistics"/>
    <s v="Micro (1-10)"/>
    <s v="Kevin Anderson"/>
    <d v="2024-02-24T00:00:00"/>
    <s v="Services"/>
    <x v="4"/>
    <x v="4"/>
    <s v="Proposal sent"/>
    <n v="4"/>
    <n v="878"/>
    <n v="40"/>
    <d v="2025-02-15T00:00:00"/>
    <m/>
  </r>
  <r>
    <x v="1749"/>
    <s v="Italy"/>
    <s v="41.902782"/>
    <s v="12.496366"/>
    <s v="Banking and Finance"/>
    <s v="Micro (1-10)"/>
    <s v="Laura Thompson"/>
    <d v="2024-04-10T00:00:00"/>
    <s v="SAAS"/>
    <x v="4"/>
    <x v="4"/>
    <s v="Proposal sent"/>
    <n v="4"/>
    <n v="646"/>
    <n v="40"/>
    <d v="2024-10-01T00:00:00"/>
    <m/>
  </r>
  <r>
    <x v="1750"/>
    <s v="France"/>
    <s v="48.864716"/>
    <s v="2.349014"/>
    <s v="Retail &amp; Distribution"/>
    <s v="Micro (1-10)"/>
    <s v="Michael Brown"/>
    <d v="2024-04-05T00:00:00"/>
    <s v="SAAS"/>
    <x v="4"/>
    <x v="4"/>
    <s v="Proposal sent"/>
    <n v="4"/>
    <n v="1132"/>
    <n v="50"/>
    <d v="2024-12-10T00:00:00"/>
    <m/>
  </r>
  <r>
    <x v="1751"/>
    <s v="Netherlands"/>
    <s v="52.370216"/>
    <s v="4.895168"/>
    <s v="Transportation &amp; Logistics"/>
    <s v="Micro (1-10)"/>
    <s v="Sarah Davis"/>
    <d v="2024-02-22T00:00:00"/>
    <s v="Services"/>
    <x v="4"/>
    <x v="4"/>
    <s v="Proposal sent"/>
    <n v="4"/>
    <n v="970"/>
    <n v="20"/>
    <d v="2024-08-22T00:00:00"/>
    <m/>
  </r>
  <r>
    <x v="1752"/>
    <s v="Portugal"/>
    <s v="38.736946"/>
    <s v="-9.142685"/>
    <s v="Transportation &amp; Logistics"/>
    <s v="Micro (1-10)"/>
    <s v="Michael Brown"/>
    <d v="2024-05-25T00:00:00"/>
    <s v="Services"/>
    <x v="4"/>
    <x v="4"/>
    <s v="Proposal sent"/>
    <n v="4"/>
    <n v="721"/>
    <n v="90"/>
    <d v="2024-08-16T00:00:00"/>
    <m/>
  </r>
  <r>
    <x v="1753"/>
    <s v="Portugal"/>
    <s v="38.736946"/>
    <s v="-9.142685"/>
    <s v="IT &amp; IT Services"/>
    <s v="Micro (1-10)"/>
    <s v="Laura Thompson"/>
    <d v="2024-02-22T00:00:00"/>
    <s v="SAAS"/>
    <x v="4"/>
    <x v="4"/>
    <s v="Proposal sent"/>
    <n v="4"/>
    <n v="788"/>
    <n v="100"/>
    <d v="2024-06-13T00:00:00"/>
    <m/>
  </r>
  <r>
    <x v="1754"/>
    <s v="Spain"/>
    <s v="40.416775"/>
    <s v="-3.703790"/>
    <s v="Transportation &amp; Logistics"/>
    <s v="Medium (201-500)"/>
    <s v="Kevin Anderson"/>
    <d v="2024-05-30T00:00:00"/>
    <s v="Services"/>
    <x v="4"/>
    <x v="4"/>
    <s v="Proposal sent"/>
    <n v="4"/>
    <n v="7039"/>
    <n v="50"/>
    <d v="2024-07-07T00:00:00"/>
    <m/>
  </r>
  <r>
    <x v="1755"/>
    <s v="Germany"/>
    <s v="52.520008"/>
    <s v="13.404954"/>
    <s v="Telecommunications"/>
    <s v="Medium (201-500)"/>
    <s v="Laura Thompson"/>
    <d v="2024-05-08T00:00:00"/>
    <s v="Services"/>
    <x v="4"/>
    <x v="4"/>
    <s v="Proposal sent"/>
    <n v="4"/>
    <n v="771"/>
    <n v="30"/>
    <d v="2025-02-03T00:00:00"/>
    <m/>
  </r>
  <r>
    <x v="1756"/>
    <s v="Germany"/>
    <s v="52.520008"/>
    <s v="13.404954"/>
    <s v="Agriculture &amp; Mining"/>
    <s v="Medium (201-500)"/>
    <s v="Sarah Davis"/>
    <d v="2024-04-04T00:00:00"/>
    <s v="Services"/>
    <x v="4"/>
    <x v="4"/>
    <s v="Proposal sent"/>
    <n v="4"/>
    <n v="5565"/>
    <n v="30"/>
    <d v="2024-10-12T00:00:00"/>
    <m/>
  </r>
  <r>
    <x v="1757"/>
    <s v="Austria"/>
    <s v="48.210033"/>
    <s v="16.363449"/>
    <s v="Manufacturing &amp; Production"/>
    <s v="Medium (201-500)"/>
    <s v="Kevin Anderson"/>
    <d v="2024-01-09T00:00:00"/>
    <s v="Custom solution"/>
    <x v="4"/>
    <x v="4"/>
    <s v="Proposal sent"/>
    <n v="4"/>
    <n v="5451"/>
    <n v="90"/>
    <d v="2024-04-27T00:00:00"/>
    <m/>
  </r>
  <r>
    <x v="1758"/>
    <s v="France"/>
    <s v="48.864716"/>
    <s v="2.349014"/>
    <s v="Energy &amp; Utilities"/>
    <s v="Medium (201-500)"/>
    <s v="Emily Johnson"/>
    <d v="2024-02-03T00:00:00"/>
    <s v="Custom solution"/>
    <x v="4"/>
    <x v="4"/>
    <s v="Proposal sent"/>
    <n v="4"/>
    <n v="1667"/>
    <n v="30"/>
    <d v="2024-04-19T00:00:00"/>
    <m/>
  </r>
  <r>
    <x v="1759"/>
    <s v="Spain"/>
    <s v="40.416775"/>
    <s v="-3.703790"/>
    <s v="Government Administration Healthcare"/>
    <s v="Medium (201-500)"/>
    <s v="David Wilson"/>
    <d v="2024-03-23T00:00:00"/>
    <s v="Custom solution"/>
    <x v="4"/>
    <x v="4"/>
    <s v="Proposal sent"/>
    <n v="4"/>
    <n v="2685"/>
    <n v="60"/>
    <d v="2024-08-07T00:00:00"/>
    <m/>
  </r>
  <r>
    <x v="1760"/>
    <s v="Italy"/>
    <s v="41.902782"/>
    <s v="12.496366"/>
    <s v="Banking and Finance"/>
    <s v="Medium (201-500)"/>
    <s v="Michael Brown"/>
    <d v="2024-02-08T00:00:00"/>
    <s v="Services"/>
    <x v="4"/>
    <x v="4"/>
    <s v="Proposal sent"/>
    <n v="4"/>
    <n v="6080"/>
    <n v="100"/>
    <d v="2024-05-10T00:00:00"/>
    <m/>
  </r>
  <r>
    <x v="1761"/>
    <s v="Spain"/>
    <s v="40.416775"/>
    <s v="-3.703790"/>
    <s v="Manufacturing &amp; Production"/>
    <s v="Medium (201-500)"/>
    <s v="Laura Thompson"/>
    <d v="2024-04-12T00:00:00"/>
    <s v="SAAS"/>
    <x v="4"/>
    <x v="4"/>
    <s v="Proposal sent"/>
    <n v="4"/>
    <n v="1099"/>
    <n v="60"/>
    <d v="2024-11-28T00:00:00"/>
    <m/>
  </r>
  <r>
    <x v="1762"/>
    <s v="Switzerland"/>
    <s v="46.204391"/>
    <s v="6.143158"/>
    <s v="Education &amp; Science"/>
    <s v="Medium (201-500)"/>
    <s v="Jessica Martinez"/>
    <d v="2024-01-27T00:00:00"/>
    <s v="SAAS"/>
    <x v="4"/>
    <x v="4"/>
    <s v="Proposal sent"/>
    <n v="4"/>
    <n v="7919"/>
    <n v="30"/>
    <d v="2024-04-14T00:00:00"/>
    <m/>
  </r>
  <r>
    <x v="1763"/>
    <s v="Italy"/>
    <s v="41.902782"/>
    <s v="12.496366"/>
    <s v="Professional Services  &amp; Consulting"/>
    <s v="Medium (201-500)"/>
    <s v="Laura Thompson"/>
    <d v="2024-05-26T00:00:00"/>
    <s v="Services"/>
    <x v="4"/>
    <x v="4"/>
    <s v="Proposal sent"/>
    <n v="4"/>
    <n v="5268"/>
    <n v="90"/>
    <d v="2025-05-10T00:00:00"/>
    <m/>
  </r>
  <r>
    <x v="1764"/>
    <s v="Italy"/>
    <s v="41.902782"/>
    <s v="12.496366"/>
    <s v="IT &amp; IT Services"/>
    <s v="Medium (201-500)"/>
    <s v="Laura Thompson"/>
    <d v="2024-02-17T00:00:00"/>
    <s v="Custom solution"/>
    <x v="4"/>
    <x v="4"/>
    <s v="Proposal sent"/>
    <n v="4"/>
    <n v="5597"/>
    <n v="50"/>
    <d v="2024-05-05T00:00:00"/>
    <m/>
  </r>
  <r>
    <x v="1765"/>
    <s v="Portugal"/>
    <s v="38.736946"/>
    <s v="-9.142685"/>
    <s v="Entertainment &amp; Media &amp; Hospitality"/>
    <s v="Medium (201-500)"/>
    <s v="David Wilson"/>
    <d v="2024-03-15T00:00:00"/>
    <s v="SAAS"/>
    <x v="4"/>
    <x v="4"/>
    <s v="Proposal sent"/>
    <n v="4"/>
    <n v="6927"/>
    <n v="20"/>
    <d v="2024-11-28T00:00:00"/>
    <m/>
  </r>
  <r>
    <x v="1766"/>
    <s v="Austria"/>
    <s v="48.210033"/>
    <s v="16.363449"/>
    <s v="Transportation &amp; Logistics"/>
    <s v="Medium (201-500)"/>
    <s v="Laura Thompson"/>
    <d v="2024-05-26T00:00:00"/>
    <s v="Services"/>
    <x v="4"/>
    <x v="4"/>
    <s v="Proposal sent"/>
    <n v="4"/>
    <n v="7711"/>
    <n v="20"/>
    <d v="2024-10-03T00:00:00"/>
    <m/>
  </r>
  <r>
    <x v="1767"/>
    <s v="Belgium"/>
    <s v="51.260197"/>
    <s v="4.402771"/>
    <s v="Banking and Finance"/>
    <s v="Medium (201-500)"/>
    <s v="Jessica Martinez"/>
    <d v="2024-05-13T00:00:00"/>
    <s v="SAAS"/>
    <x v="4"/>
    <x v="4"/>
    <s v="Proposal sent"/>
    <n v="4"/>
    <n v="5878"/>
    <n v="30"/>
    <d v="2025-03-01T00:00:00"/>
    <m/>
  </r>
  <r>
    <x v="1768"/>
    <s v="Italy"/>
    <s v="41.902782"/>
    <s v="12.496366"/>
    <s v="Telecommunications"/>
    <s v="Medium (201-500)"/>
    <s v="Kevin Anderson"/>
    <d v="2024-05-24T00:00:00"/>
    <s v="Services"/>
    <x v="4"/>
    <x v="4"/>
    <s v="Proposal sent"/>
    <n v="4"/>
    <n v="7387"/>
    <n v="60"/>
    <d v="2025-05-22T00:00:00"/>
    <m/>
  </r>
  <r>
    <x v="1769"/>
    <s v="Germany"/>
    <s v="52.520008"/>
    <s v="13.404954"/>
    <s v="Entertainment &amp; Media &amp; Hospitality"/>
    <s v="Medium (201-500)"/>
    <s v="David Wilson"/>
    <d v="2024-05-26T00:00:00"/>
    <s v="SAAS"/>
    <x v="4"/>
    <x v="4"/>
    <s v="Proposal sent"/>
    <n v="4"/>
    <n v="3342"/>
    <n v="40"/>
    <d v="2024-06-27T00:00:00"/>
    <m/>
  </r>
  <r>
    <x v="1770"/>
    <s v="Portugal"/>
    <s v="38.736946"/>
    <s v="-9.142685"/>
    <s v="Manufacturing &amp; Production"/>
    <s v="Medium (201-500)"/>
    <s v="Sarah Davis"/>
    <d v="2024-02-13T00:00:00"/>
    <s v="SAAS"/>
    <x v="4"/>
    <x v="4"/>
    <s v="Proposal sent"/>
    <n v="4"/>
    <n v="771"/>
    <n v="20"/>
    <d v="2024-10-11T00:00:00"/>
    <m/>
  </r>
  <r>
    <x v="1771"/>
    <s v="Spain"/>
    <s v="40.416775"/>
    <s v="-3.703790"/>
    <s v="IT &amp; IT Services"/>
    <s v="Medium (201-500)"/>
    <s v="Sarah Davis"/>
    <d v="2024-04-03T00:00:00"/>
    <s v="Services"/>
    <x v="4"/>
    <x v="4"/>
    <s v="Proposal sent"/>
    <n v="4"/>
    <n v="6323"/>
    <n v="40"/>
    <d v="2024-06-11T00:00:00"/>
    <m/>
  </r>
  <r>
    <x v="1772"/>
    <s v="France"/>
    <s v="48.864716"/>
    <s v="2.349014"/>
    <s v="Manufacturing &amp; Production"/>
    <s v="Medium (201-500)"/>
    <s v="John Smith"/>
    <d v="2024-02-19T00:00:00"/>
    <s v="SAAS"/>
    <x v="4"/>
    <x v="4"/>
    <s v="Proposal sent"/>
    <n v="4"/>
    <n v="2662"/>
    <n v="40"/>
    <d v="2024-10-06T00:00:00"/>
    <m/>
  </r>
  <r>
    <x v="1773"/>
    <s v="France"/>
    <s v="48.864716"/>
    <s v="2.349014"/>
    <s v="Retail &amp; Distribution"/>
    <s v="Medium (201-500)"/>
    <s v="Laura Thompson"/>
    <d v="2024-04-12T00:00:00"/>
    <s v="Services"/>
    <x v="4"/>
    <x v="4"/>
    <s v="Proposal sent"/>
    <n v="4"/>
    <n v="2879"/>
    <n v="30"/>
    <d v="2025-04-02T00:00:00"/>
    <m/>
  </r>
  <r>
    <x v="1774"/>
    <s v="Italy"/>
    <s v="41.902782"/>
    <s v="12.496366"/>
    <s v="Manufacturing &amp; Production"/>
    <s v="Medium (201-500)"/>
    <s v="Jessica Martinez"/>
    <d v="2024-03-31T00:00:00"/>
    <s v="SAAS"/>
    <x v="4"/>
    <x v="4"/>
    <s v="Proposal sent"/>
    <n v="4"/>
    <n v="1235"/>
    <n v="100"/>
    <d v="2025-03-04T00:00:00"/>
    <m/>
  </r>
  <r>
    <x v="1775"/>
    <s v="France"/>
    <s v="48.864716"/>
    <s v="2.349014"/>
    <s v="Entertainment &amp; Media &amp; Hospitality"/>
    <s v="Medium (201-500)"/>
    <s v="John Smith"/>
    <d v="2024-04-10T00:00:00"/>
    <s v="Services"/>
    <x v="4"/>
    <x v="4"/>
    <s v="Proposal sent"/>
    <n v="4"/>
    <n v="7496"/>
    <n v="30"/>
    <d v="2025-01-29T00:00:00"/>
    <m/>
  </r>
  <r>
    <x v="1776"/>
    <s v="France"/>
    <s v="48.864716"/>
    <s v="2.349014"/>
    <s v="Banking and Finance"/>
    <s v="Medium (201-500)"/>
    <s v="Michael Brown"/>
    <d v="2024-01-09T00:00:00"/>
    <s v="Services"/>
    <x v="4"/>
    <x v="4"/>
    <s v="Proposal sent"/>
    <n v="4"/>
    <n v="7008"/>
    <n v="30"/>
    <d v="2024-08-13T00:00:00"/>
    <m/>
  </r>
  <r>
    <x v="1777"/>
    <s v="Italy"/>
    <s v="41.902782"/>
    <s v="12.496366"/>
    <s v="Transportation &amp; Logistics"/>
    <s v="Medium (201-500)"/>
    <s v="John Smith"/>
    <d v="2024-02-27T00:00:00"/>
    <s v="Services"/>
    <x v="4"/>
    <x v="4"/>
    <s v="Proposal sent"/>
    <n v="4"/>
    <n v="613"/>
    <n v="30"/>
    <d v="2024-07-31T00:00:00"/>
    <m/>
  </r>
  <r>
    <x v="1778"/>
    <s v="Italy"/>
    <s v="41.902782"/>
    <s v="12.496366"/>
    <s v="Retail &amp; Distribution"/>
    <s v="Medium (201-500)"/>
    <s v="Emily Johnson"/>
    <d v="2024-05-31T00:00:00"/>
    <s v="SAAS"/>
    <x v="4"/>
    <x v="4"/>
    <s v="Proposal sent"/>
    <n v="4"/>
    <n v="5859"/>
    <n v="30"/>
    <d v="2024-12-16T00:00:00"/>
    <m/>
  </r>
  <r>
    <x v="1779"/>
    <s v="France"/>
    <s v="48.864716"/>
    <s v="2.349014"/>
    <s v="Retail &amp; Distribution"/>
    <s v="Medium (201-500)"/>
    <s v="Jessica Martinez"/>
    <d v="2024-03-22T00:00:00"/>
    <s v="Services"/>
    <x v="4"/>
    <x v="4"/>
    <s v="Proposal sent"/>
    <n v="4"/>
    <n v="5386"/>
    <n v="40"/>
    <d v="2025-01-09T00:00:00"/>
    <m/>
  </r>
  <r>
    <x v="1780"/>
    <s v="Austria"/>
    <s v="48.210033"/>
    <s v="16.363449"/>
    <s v="Education &amp; Science"/>
    <s v="Medium (201-500)"/>
    <s v="Laura Thompson"/>
    <d v="2024-04-06T00:00:00"/>
    <s v="Services"/>
    <x v="4"/>
    <x v="4"/>
    <s v="Proposal sent"/>
    <n v="4"/>
    <n v="5955"/>
    <n v="20"/>
    <d v="2024-05-11T00:00:00"/>
    <m/>
  </r>
  <r>
    <x v="1781"/>
    <s v="Spain"/>
    <s v="40.416775"/>
    <s v="-3.703790"/>
    <s v="Entertainment &amp; Media &amp; Hospitality"/>
    <s v="Medium (201-500)"/>
    <s v="Jessica Martinez"/>
    <d v="2024-04-07T00:00:00"/>
    <s v="Services"/>
    <x v="4"/>
    <x v="4"/>
    <s v="Proposal sent"/>
    <n v="4"/>
    <n v="4031"/>
    <n v="20"/>
    <d v="2025-01-17T00:00:00"/>
    <m/>
  </r>
  <r>
    <x v="1782"/>
    <s v="Italy"/>
    <s v="41.902782"/>
    <s v="12.496366"/>
    <s v="Manufacturing &amp; Production"/>
    <s v="Medium (201-500)"/>
    <s v="Jessica Martinez"/>
    <d v="2024-02-28T00:00:00"/>
    <s v="SAAS"/>
    <x v="4"/>
    <x v="4"/>
    <s v="Proposal sent"/>
    <n v="4"/>
    <n v="7020"/>
    <n v="40"/>
    <d v="2024-05-11T00:00:00"/>
    <m/>
  </r>
  <r>
    <x v="1783"/>
    <s v="Italy"/>
    <s v="41.902782"/>
    <s v="12.496366"/>
    <s v="Manufacturing &amp; Production"/>
    <s v="Medium (201-500)"/>
    <s v="Jessica Martinez"/>
    <d v="2024-02-29T00:00:00"/>
    <s v="SAAS"/>
    <x v="4"/>
    <x v="4"/>
    <s v="Proposal sent"/>
    <n v="4"/>
    <n v="5759"/>
    <n v="40"/>
    <d v="2025-02-08T00:00:00"/>
    <m/>
  </r>
  <r>
    <x v="1784"/>
    <s v="Portugal"/>
    <s v="38.736946"/>
    <s v="-9.142685"/>
    <s v="Manufacturing &amp; Production"/>
    <s v="Medium (201-500)"/>
    <s v="Michael Brown"/>
    <d v="2024-02-15T00:00:00"/>
    <s v="SAAS"/>
    <x v="4"/>
    <x v="4"/>
    <s v="Proposal sent"/>
    <n v="4"/>
    <n v="5029"/>
    <n v="40"/>
    <d v="2024-08-09T00:00:00"/>
    <m/>
  </r>
  <r>
    <x v="1785"/>
    <s v="Italy"/>
    <s v="41.902782"/>
    <s v="12.496366"/>
    <s v="Government Administration Healthcare"/>
    <s v="Medium (201-500)"/>
    <s v="Laura Thompson"/>
    <d v="2024-05-11T00:00:00"/>
    <s v="Custom solution"/>
    <x v="4"/>
    <x v="4"/>
    <s v="Proposal sent"/>
    <n v="4"/>
    <n v="1737"/>
    <n v="80"/>
    <d v="2024-06-22T00:00:00"/>
    <m/>
  </r>
  <r>
    <x v="1786"/>
    <s v="France"/>
    <s v="48.864716"/>
    <s v="2.349014"/>
    <s v="Transportation &amp; Logistics"/>
    <s v="Medium (201-500)"/>
    <s v="David Wilson"/>
    <d v="2024-05-29T00:00:00"/>
    <s v="Services"/>
    <x v="4"/>
    <x v="4"/>
    <s v="Proposal sent"/>
    <n v="4"/>
    <n v="5878"/>
    <n v="100"/>
    <d v="2025-05-04T00:00:00"/>
    <m/>
  </r>
  <r>
    <x v="1787"/>
    <s v="Portugal"/>
    <s v="38.736946"/>
    <s v="-9.142685"/>
    <s v="Transportation &amp; Logistics"/>
    <s v="Medium (201-500)"/>
    <s v="Sarah Davis"/>
    <d v="2024-03-12T00:00:00"/>
    <s v="SAAS"/>
    <x v="4"/>
    <x v="4"/>
    <s v="Proposal sent"/>
    <n v="4"/>
    <n v="467"/>
    <n v="40"/>
    <d v="2024-08-27T00:00:00"/>
    <m/>
  </r>
  <r>
    <x v="1788"/>
    <s v="Italy"/>
    <s v="41.902782"/>
    <s v="12.496366"/>
    <s v="Manufacturing &amp; Production"/>
    <s v="Medium (201-500)"/>
    <s v="John Smith"/>
    <d v="2024-04-25T00:00:00"/>
    <s v="Custom solution"/>
    <x v="4"/>
    <x v="4"/>
    <s v="Proposal sent"/>
    <n v="4"/>
    <n v="1148"/>
    <n v="60"/>
    <d v="2025-02-24T00:00:00"/>
    <m/>
  </r>
  <r>
    <x v="1789"/>
    <s v="Switzerland"/>
    <s v="46.204391"/>
    <s v="6.143158"/>
    <s v="Banking and Finance"/>
    <s v="Medium (201-500)"/>
    <s v="Jessica Martinez"/>
    <d v="2024-02-29T00:00:00"/>
    <s v="SAAS"/>
    <x v="4"/>
    <x v="4"/>
    <s v="Proposal sent"/>
    <n v="4"/>
    <n v="6322"/>
    <n v="50"/>
    <d v="2024-08-10T00:00:00"/>
    <m/>
  </r>
  <r>
    <x v="1790"/>
    <s v="Germany"/>
    <s v="52.520008"/>
    <s v="13.404954"/>
    <s v="Government Administration Healthcare"/>
    <s v="Medium (201-500)"/>
    <s v="Jessica Martinez"/>
    <d v="2024-04-08T00:00:00"/>
    <s v="SAAS"/>
    <x v="4"/>
    <x v="4"/>
    <s v="Proposal sent"/>
    <n v="4"/>
    <n v="7667"/>
    <n v="80"/>
    <d v="2024-06-01T00:00:00"/>
    <m/>
  </r>
  <r>
    <x v="1791"/>
    <s v="Switzerland"/>
    <s v="46.204391"/>
    <s v="6.143158"/>
    <s v="Professional Services  &amp; Consulting"/>
    <s v="Medium (201-500)"/>
    <s v="Jessica Martinez"/>
    <d v="2024-04-05T00:00:00"/>
    <s v="SAAS"/>
    <x v="4"/>
    <x v="4"/>
    <s v="Proposal sent"/>
    <n v="4"/>
    <n v="4290"/>
    <n v="30"/>
    <d v="2024-07-06T00:00:00"/>
    <m/>
  </r>
  <r>
    <x v="1792"/>
    <s v="France"/>
    <s v="48.864716"/>
    <s v="2.349014"/>
    <s v="Banking and Finance"/>
    <s v="Medium (201-500)"/>
    <s v="Laura Thompson"/>
    <d v="2024-04-04T00:00:00"/>
    <s v="Services"/>
    <x v="4"/>
    <x v="4"/>
    <s v="Proposal sent"/>
    <n v="4"/>
    <n v="4707"/>
    <n v="70"/>
    <d v="2024-12-02T00:00:00"/>
    <m/>
  </r>
  <r>
    <x v="1793"/>
    <s v="Austria"/>
    <s v="48.210033"/>
    <s v="16.363449"/>
    <s v="Banking and Finance"/>
    <s v="Medium (201-500)"/>
    <s v="David Wilson"/>
    <d v="2024-03-10T00:00:00"/>
    <s v="SAAS"/>
    <x v="4"/>
    <x v="4"/>
    <s v="Proposal sent"/>
    <n v="4"/>
    <n v="459"/>
    <n v="60"/>
    <d v="2024-07-29T00:00:00"/>
    <m/>
  </r>
  <r>
    <x v="1794"/>
    <s v="Germany"/>
    <s v="52.520008"/>
    <s v="13.404954"/>
    <s v="Construction &amp; Engineering"/>
    <s v="Medium (201-500)"/>
    <s v="Jessica Martinez"/>
    <d v="2024-02-21T00:00:00"/>
    <s v="SAAS"/>
    <x v="4"/>
    <x v="4"/>
    <s v="Proposal sent"/>
    <n v="4"/>
    <n v="220"/>
    <n v="40"/>
    <d v="2024-08-15T00:00:00"/>
    <m/>
  </r>
  <r>
    <x v="1795"/>
    <s v="Italy"/>
    <s v="41.902782"/>
    <s v="12.496366"/>
    <s v="IT &amp; IT Services"/>
    <s v="Medium (201-500)"/>
    <s v="Jessica Martinez"/>
    <d v="2024-03-23T00:00:00"/>
    <s v="SAAS"/>
    <x v="4"/>
    <x v="4"/>
    <s v="Proposal sent"/>
    <n v="4"/>
    <n v="4663"/>
    <n v="20"/>
    <d v="2024-07-30T00:00:00"/>
    <m/>
  </r>
  <r>
    <x v="1796"/>
    <s v="Italy"/>
    <s v="41.902782"/>
    <s v="12.496366"/>
    <s v="IT &amp; IT Services"/>
    <s v="Medium (201-500)"/>
    <s v="Michael Brown"/>
    <d v="2024-05-22T00:00:00"/>
    <s v="Custom solution"/>
    <x v="4"/>
    <x v="4"/>
    <s v="Proposal sent"/>
    <n v="4"/>
    <n v="7228"/>
    <n v="50"/>
    <d v="2024-06-23T00:00:00"/>
    <m/>
  </r>
  <r>
    <x v="1797"/>
    <s v="Italy"/>
    <s v="41.902782"/>
    <s v="12.496366"/>
    <s v="Retail &amp; Distribution"/>
    <s v="Medium (201-500)"/>
    <s v="David Wilson"/>
    <d v="2024-04-26T00:00:00"/>
    <s v="SAAS"/>
    <x v="4"/>
    <x v="4"/>
    <s v="Proposal sent"/>
    <n v="4"/>
    <n v="1156"/>
    <n v="20"/>
    <d v="2024-07-05T00:00:00"/>
    <m/>
  </r>
  <r>
    <x v="1798"/>
    <s v="Italy"/>
    <s v="41.902782"/>
    <s v="12.496366"/>
    <s v="Transportation &amp; Logistics"/>
    <s v="Medium (201-500)"/>
    <s v="Sarah Davis"/>
    <d v="2024-03-21T00:00:00"/>
    <s v="Services"/>
    <x v="4"/>
    <x v="4"/>
    <s v="Proposal sent"/>
    <n v="4"/>
    <n v="4305"/>
    <n v="90"/>
    <d v="2024-08-31T00:00:00"/>
    <m/>
  </r>
  <r>
    <x v="1799"/>
    <s v="Italy"/>
    <s v="41.902782"/>
    <s v="12.496366"/>
    <s v="Entertainment &amp; Media &amp; Hospitality"/>
    <s v="Medium (201-500)"/>
    <s v="Sarah Davis"/>
    <d v="2024-03-06T00:00:00"/>
    <s v="SAAS"/>
    <x v="4"/>
    <x v="4"/>
    <s v="Proposal sent"/>
    <n v="4"/>
    <n v="3479"/>
    <n v="10"/>
    <d v="2025-02-02T00:00:00"/>
    <m/>
  </r>
  <r>
    <x v="1800"/>
    <s v="Portugal"/>
    <s v="38.736946"/>
    <s v="-9.142685"/>
    <s v="Government Administration Healthcare"/>
    <s v="Medium (201-500)"/>
    <s v="Emily Johnson"/>
    <d v="2024-03-05T00:00:00"/>
    <s v="Services"/>
    <x v="4"/>
    <x v="4"/>
    <s v="Proposal sent"/>
    <n v="4"/>
    <n v="3733"/>
    <n v="40"/>
    <d v="2024-07-27T00:00:00"/>
    <m/>
  </r>
  <r>
    <x v="1801"/>
    <s v="Belgium"/>
    <s v="51.260197"/>
    <s v="4.402771"/>
    <s v="Transportation &amp; Logistics"/>
    <s v="Medium (201-500)"/>
    <s v="Laura Thompson"/>
    <d v="2024-02-18T00:00:00"/>
    <s v="Custom solution"/>
    <x v="4"/>
    <x v="4"/>
    <s v="Proposal sent"/>
    <n v="4"/>
    <n v="2926"/>
    <n v="20"/>
    <d v="2025-01-23T00:00:00"/>
    <m/>
  </r>
  <r>
    <x v="1802"/>
    <s v="Germany"/>
    <s v="52.520008"/>
    <s v="13.404954"/>
    <s v="Energy &amp; Utilities"/>
    <s v="Medium (201-500)"/>
    <s v="Emily Johnson"/>
    <d v="2024-04-10T00:00:00"/>
    <s v="Services"/>
    <x v="4"/>
    <x v="4"/>
    <s v="Proposal sent"/>
    <n v="4"/>
    <n v="6552"/>
    <n v="40"/>
    <d v="2024-08-06T00:00:00"/>
    <m/>
  </r>
  <r>
    <x v="1803"/>
    <s v="France"/>
    <s v="48.864716"/>
    <s v="2.349014"/>
    <s v="Education &amp; Science"/>
    <s v="Medium (201-500)"/>
    <s v="Laura Thompson"/>
    <d v="2024-02-15T00:00:00"/>
    <s v="SAAS"/>
    <x v="4"/>
    <x v="4"/>
    <s v="Proposal sent"/>
    <n v="4"/>
    <n v="2036"/>
    <n v="80"/>
    <d v="2024-10-06T00:00:00"/>
    <m/>
  </r>
  <r>
    <x v="1804"/>
    <s v="Portugal"/>
    <s v="38.736946"/>
    <s v="-9.142685"/>
    <s v="Government Administration Healthcare"/>
    <s v="Medium (201-500)"/>
    <s v="Jessica Martinez"/>
    <d v="2024-03-30T00:00:00"/>
    <s v="Services"/>
    <x v="4"/>
    <x v="4"/>
    <s v="Proposal sent"/>
    <n v="4"/>
    <n v="4525"/>
    <n v="30"/>
    <d v="2024-06-20T00:00:00"/>
    <m/>
  </r>
  <r>
    <x v="1805"/>
    <s v="Austria"/>
    <s v="48.210033"/>
    <s v="16.363449"/>
    <s v="Construction &amp; Engineering"/>
    <s v="Medium (201-500)"/>
    <s v="Michael Brown"/>
    <d v="2024-04-27T00:00:00"/>
    <s v="Services"/>
    <x v="4"/>
    <x v="4"/>
    <s v="Proposal sent"/>
    <n v="4"/>
    <n v="3490"/>
    <n v="40"/>
    <d v="2024-11-24T00:00:00"/>
    <m/>
  </r>
  <r>
    <x v="1806"/>
    <s v="Italy"/>
    <s v="41.902782"/>
    <s v="12.496366"/>
    <s v="Education &amp; Science"/>
    <s v="Medium (201-500)"/>
    <s v="Kevin Anderson"/>
    <d v="2024-03-06T00:00:00"/>
    <s v="Custom solution"/>
    <x v="4"/>
    <x v="4"/>
    <s v="Proposal sent"/>
    <n v="4"/>
    <n v="2425"/>
    <n v="70"/>
    <d v="2024-08-01T00:00:00"/>
    <m/>
  </r>
  <r>
    <x v="1807"/>
    <s v="Germany"/>
    <s v="52.520008"/>
    <s v="13.404954"/>
    <s v="Education &amp; Science"/>
    <s v="Medium (201-500)"/>
    <s v="Laura Thompson"/>
    <d v="2024-05-27T00:00:00"/>
    <s v="SAAS"/>
    <x v="4"/>
    <x v="4"/>
    <s v="Proposal sent"/>
    <n v="4"/>
    <n v="4625"/>
    <n v="40"/>
    <d v="2024-07-27T00:00:00"/>
    <m/>
  </r>
  <r>
    <x v="1808"/>
    <s v="Belgium"/>
    <s v="51.260197"/>
    <s v="4.402771"/>
    <s v="Education &amp; Science"/>
    <s v="Medium (201-500)"/>
    <s v="Michael Brown"/>
    <d v="2024-02-20T00:00:00"/>
    <s v="Services"/>
    <x v="4"/>
    <x v="4"/>
    <s v="Proposal sent"/>
    <n v="4"/>
    <n v="1138"/>
    <n v="20"/>
    <d v="2024-10-25T00:00:00"/>
    <m/>
  </r>
  <r>
    <x v="1809"/>
    <s v="Belgium"/>
    <s v="51.260197"/>
    <s v="4.402771"/>
    <s v="Construction &amp; Engineering"/>
    <s v="Medium (201-500)"/>
    <s v="David Wilson"/>
    <d v="2024-04-02T00:00:00"/>
    <s v="Custom solution"/>
    <x v="4"/>
    <x v="4"/>
    <s v="Proposal sent"/>
    <n v="4"/>
    <n v="3276"/>
    <n v="100"/>
    <d v="2024-08-08T00:00:00"/>
    <m/>
  </r>
  <r>
    <x v="1810"/>
    <s v="Italy"/>
    <s v="41.902782"/>
    <s v="12.496366"/>
    <s v="Transportation &amp; Logistics"/>
    <s v="Medium (201-500)"/>
    <s v="Jessica Martinez"/>
    <d v="2024-03-25T00:00:00"/>
    <s v="SAAS"/>
    <x v="4"/>
    <x v="4"/>
    <s v="Proposal sent"/>
    <n v="4"/>
    <n v="7195"/>
    <n v="100"/>
    <d v="2024-06-09T00:00:00"/>
    <m/>
  </r>
  <r>
    <x v="1811"/>
    <s v="Switzerland"/>
    <s v="46.204391"/>
    <s v="6.143158"/>
    <s v="Transportation &amp; Logistics"/>
    <s v="Medium (201-500)"/>
    <s v="Laura Thompson"/>
    <d v="2024-05-25T00:00:00"/>
    <s v="Services"/>
    <x v="4"/>
    <x v="4"/>
    <s v="Proposal sent"/>
    <n v="4"/>
    <n v="4718"/>
    <n v="50"/>
    <d v="2025-02-25T00:00:00"/>
    <m/>
  </r>
  <r>
    <x v="1812"/>
    <s v="Italy"/>
    <s v="41.902782"/>
    <s v="12.496366"/>
    <s v="Agriculture &amp; Mining"/>
    <s v="Medium (201-500)"/>
    <s v="Laura Thompson"/>
    <d v="2024-01-25T00:00:00"/>
    <s v="Services"/>
    <x v="4"/>
    <x v="4"/>
    <s v="Proposal sent"/>
    <n v="4"/>
    <n v="729"/>
    <n v="20"/>
    <d v="2024-09-29T00:00:00"/>
    <m/>
  </r>
  <r>
    <x v="1813"/>
    <s v="Germany"/>
    <s v="52.520008"/>
    <s v="13.404954"/>
    <s v="IT &amp; IT Services"/>
    <s v="Medium (201-500)"/>
    <s v="Laura Thompson"/>
    <d v="2024-01-31T00:00:00"/>
    <s v="Services"/>
    <x v="4"/>
    <x v="4"/>
    <s v="Proposal sent"/>
    <n v="4"/>
    <n v="7735"/>
    <n v="80"/>
    <d v="2024-03-16T00:00:00"/>
    <m/>
  </r>
  <r>
    <x v="1814"/>
    <s v="Switzerland"/>
    <s v="46.204391"/>
    <s v="6.143158"/>
    <s v="IT &amp; IT Services"/>
    <s v="Medium (201-500)"/>
    <s v="Jessica Martinez"/>
    <d v="2024-01-13T00:00:00"/>
    <s v="Custom solution"/>
    <x v="4"/>
    <x v="4"/>
    <s v="Proposal sent"/>
    <n v="4"/>
    <n v="3872"/>
    <n v="30"/>
    <d v="2024-10-03T00:00:00"/>
    <m/>
  </r>
  <r>
    <x v="1815"/>
    <s v="Italy"/>
    <s v="41.902782"/>
    <s v="12.496366"/>
    <s v="IT &amp; IT Services"/>
    <s v="Large (501-1000)"/>
    <s v="John Smith"/>
    <d v="2024-04-13T00:00:00"/>
    <s v="Custom solution"/>
    <x v="4"/>
    <x v="4"/>
    <s v="Proposal sent"/>
    <n v="4"/>
    <n v="9742"/>
    <n v="40"/>
    <d v="2024-10-25T00:00:00"/>
    <m/>
  </r>
  <r>
    <x v="1816"/>
    <s v="Portugal"/>
    <s v="38.736946"/>
    <s v="-9.142685"/>
    <s v="Government Administration Healthcare"/>
    <s v="Large (501-1000)"/>
    <s v="Laura Thompson"/>
    <d v="2024-04-08T00:00:00"/>
    <s v="Custom solution"/>
    <x v="4"/>
    <x v="4"/>
    <s v="Proposal sent"/>
    <n v="4"/>
    <n v="3294"/>
    <n v="50"/>
    <d v="2024-11-30T00:00:00"/>
    <m/>
  </r>
  <r>
    <x v="1817"/>
    <s v="Spain"/>
    <s v="40.416775"/>
    <s v="-3.703790"/>
    <s v="Professional Services  &amp; Consulting"/>
    <s v="Large (501-1000)"/>
    <s v="Laura Thompson"/>
    <d v="2024-03-25T00:00:00"/>
    <s v="SAAS"/>
    <x v="4"/>
    <x v="4"/>
    <s v="Proposal sent"/>
    <n v="4"/>
    <n v="5135"/>
    <n v="40"/>
    <d v="2024-12-26T00:00:00"/>
    <m/>
  </r>
  <r>
    <x v="1818"/>
    <s v="Switzerland"/>
    <s v="46.204391"/>
    <s v="6.143158"/>
    <s v="Agriculture &amp; Mining"/>
    <s v="Large (501-1000)"/>
    <s v="Kevin Anderson"/>
    <d v="2024-03-31T00:00:00"/>
    <s v="Services"/>
    <x v="4"/>
    <x v="4"/>
    <s v="Proposal sent"/>
    <n v="4"/>
    <n v="5645"/>
    <n v="20"/>
    <d v="2024-06-24T00:00:00"/>
    <m/>
  </r>
  <r>
    <x v="1819"/>
    <s v="Switzerland"/>
    <s v="46.204391"/>
    <s v="6.143158"/>
    <s v="Energy &amp; Utilities"/>
    <s v="Enterprise (1001+)"/>
    <s v="Michael Brown"/>
    <d v="2024-03-30T00:00:00"/>
    <s v="SAAS"/>
    <x v="4"/>
    <x v="4"/>
    <s v="Proposal sent"/>
    <n v="4"/>
    <n v="4228"/>
    <n v="60"/>
    <d v="2024-07-24T00:00:00"/>
    <m/>
  </r>
  <r>
    <x v="1820"/>
    <s v="Belgium"/>
    <s v="51.260197"/>
    <s v="4.402771"/>
    <s v="Transportation &amp; Logistics"/>
    <s v="Enterprise (1001+)"/>
    <s v="Emily Johnson"/>
    <d v="2024-02-21T00:00:00"/>
    <s v="Custom solution"/>
    <x v="4"/>
    <x v="4"/>
    <s v="Proposal sent"/>
    <n v="4"/>
    <n v="2633"/>
    <n v="40"/>
    <d v="2024-12-02T00:00:00"/>
    <m/>
  </r>
  <r>
    <x v="1821"/>
    <s v="Spain"/>
    <s v="40.416775"/>
    <s v="-3.703790"/>
    <s v="Government Administration Healthcare"/>
    <s v="Enterprise (1001+)"/>
    <s v="Kevin Anderson"/>
    <d v="2024-04-02T00:00:00"/>
    <s v="Services"/>
    <x v="4"/>
    <x v="4"/>
    <s v="Proposal sent"/>
    <n v="4"/>
    <n v="19246"/>
    <n v="40"/>
    <d v="2024-10-12T00:00:00"/>
    <m/>
  </r>
  <r>
    <x v="1822"/>
    <s v="France"/>
    <s v="48.864716"/>
    <s v="2.349014"/>
    <s v="IT &amp; IT Services"/>
    <s v="Small (11-200)"/>
    <s v="Laura Thompson"/>
    <d v="2024-01-05T00:00:00"/>
    <s v="Services"/>
    <x v="4"/>
    <x v="4"/>
    <s v="Won"/>
    <n v="5"/>
    <n v="1226"/>
    <n v="20"/>
    <d v="2024-02-25T00:00:00"/>
    <m/>
  </r>
  <r>
    <x v="1823"/>
    <s v="Spain"/>
    <s v="40.416775"/>
    <s v="-3.703790"/>
    <s v="Construction &amp; Engineering"/>
    <s v="Small (11-200)"/>
    <s v="Kevin Anderson"/>
    <d v="2024-03-18T00:00:00"/>
    <s v="SAAS"/>
    <x v="4"/>
    <x v="4"/>
    <s v="Won"/>
    <n v="5"/>
    <n v="1744"/>
    <n v="20"/>
    <d v="2024-08-21T00:00:00"/>
    <m/>
  </r>
  <r>
    <x v="1824"/>
    <s v="Spain"/>
    <s v="40.416775"/>
    <s v="-3.703790"/>
    <s v="IT &amp; IT Services"/>
    <s v="Small (11-200)"/>
    <s v="John Smith"/>
    <d v="2024-01-08T00:00:00"/>
    <s v="Services"/>
    <x v="4"/>
    <x v="4"/>
    <s v="Won"/>
    <n v="5"/>
    <n v="287"/>
    <n v="20"/>
    <d v="2024-02-12T00:00:00"/>
    <m/>
  </r>
  <r>
    <x v="1825"/>
    <s v="Portugal"/>
    <s v="38.736946"/>
    <s v="-9.142685"/>
    <s v="Transportation &amp; Logistics"/>
    <s v="Small (11-200)"/>
    <s v="Laura Thompson"/>
    <d v="2024-05-14T00:00:00"/>
    <s v="Custom solution"/>
    <x v="4"/>
    <x v="4"/>
    <s v="Won"/>
    <n v="5"/>
    <n v="1501"/>
    <n v="40"/>
    <d v="2024-12-10T00:00:00"/>
    <m/>
  </r>
  <r>
    <x v="1826"/>
    <s v="France"/>
    <s v="48.864716"/>
    <s v="2.349014"/>
    <s v="Agriculture &amp; Mining"/>
    <s v="Small (11-200)"/>
    <s v="Michael Brown"/>
    <d v="2024-02-19T00:00:00"/>
    <s v="SAAS"/>
    <x v="4"/>
    <x v="4"/>
    <s v="Won"/>
    <n v="5"/>
    <n v="1440"/>
    <n v="10"/>
    <d v="2024-12-17T00:00:00"/>
    <m/>
  </r>
  <r>
    <x v="1827"/>
    <s v="Switzerland"/>
    <s v="46.204391"/>
    <s v="6.143158"/>
    <s v="IT &amp; IT Services"/>
    <s v="Small (11-200)"/>
    <s v="Laura Thompson"/>
    <d v="2024-04-25T00:00:00"/>
    <s v="Services"/>
    <x v="4"/>
    <x v="4"/>
    <s v="Won"/>
    <n v="5"/>
    <n v="1915"/>
    <n v="20"/>
    <d v="2024-07-23T00:00:00"/>
    <m/>
  </r>
  <r>
    <x v="1828"/>
    <s v="Germany"/>
    <s v="52.520008"/>
    <s v="13.404954"/>
    <s v="Entertainment &amp; Media &amp; Hospitality"/>
    <s v="Small (11-200)"/>
    <s v="Jessica Martinez"/>
    <d v="2024-04-15T00:00:00"/>
    <s v="Custom solution"/>
    <x v="4"/>
    <x v="4"/>
    <s v="Won"/>
    <n v="5"/>
    <n v="1029"/>
    <n v="20"/>
    <d v="2025-02-05T00:00:00"/>
    <m/>
  </r>
  <r>
    <x v="1829"/>
    <s v="Italy"/>
    <s v="41.902782"/>
    <s v="12.496366"/>
    <s v="Banking and Finance"/>
    <s v="Small (11-200)"/>
    <s v="John Smith"/>
    <d v="2024-05-23T00:00:00"/>
    <s v="Custom solution"/>
    <x v="4"/>
    <x v="4"/>
    <s v="Won"/>
    <n v="5"/>
    <n v="641"/>
    <n v="60"/>
    <d v="2025-03-11T00:00:00"/>
    <m/>
  </r>
  <r>
    <x v="1830"/>
    <s v="Netherlands"/>
    <s v="52.370216"/>
    <s v="4.895168"/>
    <s v="Transportation &amp; Logistics"/>
    <s v="Small (11-200)"/>
    <s v="Michael Brown"/>
    <d v="2024-05-27T00:00:00"/>
    <s v="Custom solution"/>
    <x v="4"/>
    <x v="4"/>
    <s v="Won"/>
    <n v="5"/>
    <n v="1776"/>
    <n v="60"/>
    <d v="2024-11-05T00:00:00"/>
    <m/>
  </r>
  <r>
    <x v="1831"/>
    <s v="France"/>
    <s v="48.864716"/>
    <s v="2.349014"/>
    <s v="IT &amp; IT Services"/>
    <s v="Small (11-200)"/>
    <s v="Emily Johnson"/>
    <d v="2024-03-20T00:00:00"/>
    <s v="SAAS"/>
    <x v="4"/>
    <x v="4"/>
    <s v="Won"/>
    <n v="5"/>
    <n v="1464"/>
    <n v="60"/>
    <d v="2024-09-09T00:00:00"/>
    <m/>
  </r>
  <r>
    <x v="1832"/>
    <s v="Italy"/>
    <s v="41.902782"/>
    <s v="12.496366"/>
    <s v="Transportation &amp; Logistics"/>
    <s v="Small (11-200)"/>
    <s v="Michael Brown"/>
    <d v="2024-05-22T00:00:00"/>
    <s v="SAAS"/>
    <x v="4"/>
    <x v="4"/>
    <s v="Won"/>
    <n v="5"/>
    <n v="1236"/>
    <n v="90"/>
    <d v="2024-07-30T00:00:00"/>
    <m/>
  </r>
  <r>
    <x v="1833"/>
    <s v="Germany"/>
    <s v="52.520008"/>
    <s v="13.404954"/>
    <s v="Professional Services  &amp; Consulting"/>
    <s v="Small (11-200)"/>
    <s v="Sarah Davis"/>
    <d v="2024-03-20T00:00:00"/>
    <s v="SAAS"/>
    <x v="4"/>
    <x v="4"/>
    <s v="Won"/>
    <n v="5"/>
    <n v="200"/>
    <n v="30"/>
    <d v="2025-02-14T00:00:00"/>
    <m/>
  </r>
  <r>
    <x v="1834"/>
    <s v="France"/>
    <s v="48.864716"/>
    <s v="2.349014"/>
    <s v="Entertainment &amp; Media &amp; Hospitality"/>
    <s v="Small (11-200)"/>
    <s v="Sarah Davis"/>
    <d v="2024-04-11T00:00:00"/>
    <s v="Services"/>
    <x v="4"/>
    <x v="4"/>
    <s v="Won"/>
    <n v="5"/>
    <n v="698"/>
    <n v="40"/>
    <d v="2025-03-20T00:00:00"/>
    <m/>
  </r>
  <r>
    <x v="1835"/>
    <s v="Italy"/>
    <s v="41.902782"/>
    <s v="12.496366"/>
    <s v="Energy &amp; Utilities"/>
    <s v="Small (11-200)"/>
    <s v="Michael Brown"/>
    <d v="2024-01-21T00:00:00"/>
    <s v="SAAS"/>
    <x v="4"/>
    <x v="4"/>
    <s v="Won"/>
    <n v="5"/>
    <n v="1712"/>
    <n v="60"/>
    <d v="2024-02-28T00:00:00"/>
    <m/>
  </r>
  <r>
    <x v="1836"/>
    <s v="Netherlands"/>
    <s v="52.370216"/>
    <s v="4.895168"/>
    <s v="Entertainment &amp; Media &amp; Hospitality"/>
    <s v="Small (11-200)"/>
    <s v="John Smith"/>
    <d v="2024-04-29T00:00:00"/>
    <s v="SAAS"/>
    <x v="4"/>
    <x v="4"/>
    <s v="Won"/>
    <n v="5"/>
    <n v="726"/>
    <n v="60"/>
    <d v="2025-03-29T00:00:00"/>
    <m/>
  </r>
  <r>
    <x v="1837"/>
    <s v="Switzerland"/>
    <s v="46.204391"/>
    <s v="6.143158"/>
    <s v="Banking and Finance"/>
    <s v="Small (11-200)"/>
    <s v="Jessica Martinez"/>
    <d v="2024-05-07T00:00:00"/>
    <s v="Custom solution"/>
    <x v="4"/>
    <x v="4"/>
    <s v="Won"/>
    <n v="5"/>
    <n v="292"/>
    <n v="10"/>
    <d v="2024-06-07T00:00:00"/>
    <m/>
  </r>
  <r>
    <x v="1838"/>
    <s v="Belgium"/>
    <s v="51.260197"/>
    <s v="4.402771"/>
    <s v="Transportation &amp; Logistics"/>
    <s v="Small (11-200)"/>
    <s v="Laura Thompson"/>
    <d v="2024-05-05T00:00:00"/>
    <s v="SAAS"/>
    <x v="4"/>
    <x v="4"/>
    <s v="Won"/>
    <n v="5"/>
    <n v="265"/>
    <n v="20"/>
    <d v="2025-02-27T00:00:00"/>
    <m/>
  </r>
  <r>
    <x v="1839"/>
    <s v="Portugal"/>
    <s v="38.736946"/>
    <s v="-9.142685"/>
    <s v="Recreation &amp; Sports"/>
    <s v="Small (11-200)"/>
    <s v="Michael Brown"/>
    <d v="2024-05-22T00:00:00"/>
    <s v="SAAS"/>
    <x v="4"/>
    <x v="4"/>
    <s v="Won"/>
    <n v="5"/>
    <n v="424"/>
    <n v="20"/>
    <d v="2024-11-21T00:00:00"/>
    <m/>
  </r>
  <r>
    <x v="1840"/>
    <s v="Netherlands"/>
    <s v="52.370216"/>
    <s v="4.895168"/>
    <s v="Entertainment &amp; Media &amp; Hospitality"/>
    <s v="Small (11-200)"/>
    <s v="Jessica Martinez"/>
    <d v="2024-05-26T00:00:00"/>
    <s v="SAAS"/>
    <x v="4"/>
    <x v="4"/>
    <s v="Won"/>
    <n v="5"/>
    <n v="865"/>
    <n v="20"/>
    <d v="2024-07-21T00:00:00"/>
    <m/>
  </r>
  <r>
    <x v="1841"/>
    <s v="Belgium"/>
    <s v="51.260197"/>
    <s v="4.402771"/>
    <s v="Transportation &amp; Logistics"/>
    <s v="Small (11-200)"/>
    <s v="John Smith"/>
    <d v="2024-02-02T00:00:00"/>
    <s v="SAAS"/>
    <x v="4"/>
    <x v="4"/>
    <s v="Won"/>
    <n v="5"/>
    <n v="1284"/>
    <n v="30"/>
    <d v="2025-01-07T00:00:00"/>
    <m/>
  </r>
  <r>
    <x v="1842"/>
    <s v="Belgium"/>
    <s v="51.260197"/>
    <s v="4.402771"/>
    <s v="IT &amp; IT Services"/>
    <s v="Small (11-200)"/>
    <s v="Jessica Martinez"/>
    <d v="2024-03-08T00:00:00"/>
    <s v="SAAS"/>
    <x v="4"/>
    <x v="4"/>
    <s v="Won"/>
    <n v="5"/>
    <n v="1573"/>
    <n v="50"/>
    <d v="2024-09-27T00:00:00"/>
    <m/>
  </r>
  <r>
    <x v="1843"/>
    <s v="Netherlands"/>
    <s v="52.370216"/>
    <s v="4.895168"/>
    <s v="Government Administration Healthcare"/>
    <s v="Small (11-200)"/>
    <s v="John Smith"/>
    <d v="2024-01-12T00:00:00"/>
    <s v="SAAS"/>
    <x v="4"/>
    <x v="4"/>
    <s v="Won"/>
    <n v="5"/>
    <n v="799"/>
    <n v="10"/>
    <d v="2024-07-24T00:00:00"/>
    <m/>
  </r>
  <r>
    <x v="1844"/>
    <s v="Belgium"/>
    <s v="51.260197"/>
    <s v="4.402771"/>
    <s v="IT &amp; IT Services"/>
    <s v="Small (11-200)"/>
    <s v="Michael Brown"/>
    <d v="2024-02-03T00:00:00"/>
    <s v="SAAS"/>
    <x v="4"/>
    <x v="4"/>
    <s v="Won"/>
    <n v="5"/>
    <n v="1108"/>
    <n v="60"/>
    <d v="2024-06-27T00:00:00"/>
    <m/>
  </r>
  <r>
    <x v="1845"/>
    <s v="Austria"/>
    <s v="48.210033"/>
    <s v="16.363449"/>
    <s v="Transportation &amp; Logistics"/>
    <s v="Small (11-200)"/>
    <s v="Kevin Anderson"/>
    <d v="2024-05-18T00:00:00"/>
    <s v="SAAS"/>
    <x v="4"/>
    <x v="4"/>
    <s v="Won"/>
    <n v="5"/>
    <n v="1859"/>
    <n v="40"/>
    <d v="2025-02-12T00:00:00"/>
    <m/>
  </r>
  <r>
    <x v="1846"/>
    <s v="Portugal"/>
    <s v="38.736946"/>
    <s v="-9.142685"/>
    <s v="Transportation &amp; Logistics"/>
    <s v="Small (11-200)"/>
    <s v="David Wilson"/>
    <d v="2024-05-09T00:00:00"/>
    <s v="SAAS"/>
    <x v="4"/>
    <x v="4"/>
    <s v="Won"/>
    <n v="5"/>
    <n v="1979"/>
    <n v="100"/>
    <d v="2024-12-22T00:00:00"/>
    <m/>
  </r>
  <r>
    <x v="1847"/>
    <s v="Austria"/>
    <s v="48.210033"/>
    <s v="16.363449"/>
    <s v="Banking and Finance"/>
    <s v="Small (11-200)"/>
    <s v="Michael Brown"/>
    <d v="2024-01-16T00:00:00"/>
    <s v="Custom solution"/>
    <x v="4"/>
    <x v="4"/>
    <s v="Won"/>
    <n v="5"/>
    <n v="272"/>
    <n v="20"/>
    <d v="2024-03-20T00:00:00"/>
    <m/>
  </r>
  <r>
    <x v="1848"/>
    <s v="Spain"/>
    <s v="40.416775"/>
    <s v="-3.703790"/>
    <s v="Government Administration Healthcare"/>
    <s v="Small (11-200)"/>
    <s v="David Wilson"/>
    <d v="2024-03-21T00:00:00"/>
    <s v="SAAS"/>
    <x v="4"/>
    <x v="4"/>
    <s v="Won"/>
    <n v="5"/>
    <n v="320"/>
    <n v="40"/>
    <d v="2024-12-26T00:00:00"/>
    <m/>
  </r>
  <r>
    <x v="1849"/>
    <s v="France"/>
    <s v="48.864716"/>
    <s v="2.349014"/>
    <s v="IT &amp; IT Services"/>
    <s v="Small (11-200)"/>
    <s v="Jessica Martinez"/>
    <d v="2024-03-02T00:00:00"/>
    <s v="SAAS"/>
    <x v="4"/>
    <x v="4"/>
    <s v="Won"/>
    <n v="5"/>
    <n v="1097"/>
    <n v="80"/>
    <d v="2024-09-15T00:00:00"/>
    <m/>
  </r>
  <r>
    <x v="1850"/>
    <s v="Switzerland"/>
    <s v="46.204391"/>
    <s v="6.143158"/>
    <s v="Retail &amp; Distribution"/>
    <s v="Small (11-200)"/>
    <s v="Laura Thompson"/>
    <d v="2024-05-05T00:00:00"/>
    <s v="Services"/>
    <x v="4"/>
    <x v="4"/>
    <s v="Won"/>
    <n v="5"/>
    <n v="1443"/>
    <n v="40"/>
    <d v="2024-10-31T00:00:00"/>
    <m/>
  </r>
  <r>
    <x v="1851"/>
    <s v="Italy"/>
    <s v="41.902782"/>
    <s v="12.496366"/>
    <s v="Transportation &amp; Logistics"/>
    <s v="Small (11-200)"/>
    <s v="John Smith"/>
    <d v="2024-04-22T00:00:00"/>
    <s v="SAAS"/>
    <x v="4"/>
    <x v="4"/>
    <s v="Won"/>
    <n v="5"/>
    <n v="254"/>
    <n v="50"/>
    <d v="2025-03-28T00:00:00"/>
    <m/>
  </r>
  <r>
    <x v="1852"/>
    <s v="Belgium"/>
    <s v="51.260197"/>
    <s v="4.402771"/>
    <s v="Professional Services  &amp; Consulting"/>
    <s v="Small (11-200)"/>
    <s v="Michael Brown"/>
    <d v="2024-04-01T00:00:00"/>
    <s v="Custom solution"/>
    <x v="4"/>
    <x v="4"/>
    <s v="Won"/>
    <n v="5"/>
    <n v="424"/>
    <n v="40"/>
    <d v="2025-01-16T00:00:00"/>
    <m/>
  </r>
  <r>
    <x v="1853"/>
    <s v="Italy"/>
    <s v="41.902782"/>
    <s v="12.496366"/>
    <s v="Telecommunications"/>
    <s v="Small (11-200)"/>
    <s v="Emily Johnson"/>
    <d v="2024-04-06T00:00:00"/>
    <s v="Custom solution"/>
    <x v="4"/>
    <x v="4"/>
    <s v="Won"/>
    <n v="5"/>
    <n v="847"/>
    <n v="60"/>
    <d v="2024-05-22T00:00:00"/>
    <m/>
  </r>
  <r>
    <x v="1854"/>
    <s v="Germany"/>
    <s v="52.520008"/>
    <s v="13.404954"/>
    <s v="Transportation &amp; Logistics"/>
    <s v="Small (11-200)"/>
    <s v="David Wilson"/>
    <d v="2024-05-27T00:00:00"/>
    <s v="Custom solution"/>
    <x v="4"/>
    <x v="4"/>
    <s v="Won"/>
    <n v="5"/>
    <n v="1431"/>
    <n v="30"/>
    <d v="2025-01-25T00:00:00"/>
    <m/>
  </r>
  <r>
    <x v="1855"/>
    <s v="Belgium"/>
    <s v="51.260197"/>
    <s v="4.402771"/>
    <s v="Banking and Finance"/>
    <s v="Small (11-200)"/>
    <s v="Sarah Davis"/>
    <d v="2024-01-02T00:00:00"/>
    <s v="Services"/>
    <x v="4"/>
    <x v="4"/>
    <s v="Won"/>
    <n v="5"/>
    <n v="719"/>
    <n v="40"/>
    <d v="2024-02-14T00:00:00"/>
    <m/>
  </r>
  <r>
    <x v="1856"/>
    <s v="Germany"/>
    <s v="52.520008"/>
    <s v="13.404954"/>
    <s v="IT &amp; IT Services"/>
    <s v="Micro (1-10)"/>
    <s v="Michael Brown"/>
    <d v="2024-04-20T00:00:00"/>
    <s v="SAAS"/>
    <x v="4"/>
    <x v="4"/>
    <s v="Won"/>
    <n v="5"/>
    <n v="938"/>
    <n v="80"/>
    <d v="2025-03-20T00:00:00"/>
    <m/>
  </r>
  <r>
    <x v="1857"/>
    <s v="Switzerland"/>
    <s v="46.204391"/>
    <s v="6.143158"/>
    <s v="Retail &amp; Distribution"/>
    <s v="Micro (1-10)"/>
    <s v="Sarah Davis"/>
    <d v="2024-02-21T00:00:00"/>
    <s v="SAAS"/>
    <x v="4"/>
    <x v="4"/>
    <s v="Won"/>
    <n v="5"/>
    <n v="1159"/>
    <n v="30"/>
    <d v="2024-08-11T00:00:00"/>
    <m/>
  </r>
  <r>
    <x v="1858"/>
    <s v="Spain"/>
    <s v="40.416775"/>
    <s v="-3.703790"/>
    <s v="Transportation &amp; Logistics"/>
    <s v="Micro (1-10)"/>
    <s v="John Smith"/>
    <d v="2024-05-03T00:00:00"/>
    <s v="Services"/>
    <x v="4"/>
    <x v="4"/>
    <s v="Won"/>
    <n v="5"/>
    <n v="643"/>
    <n v="40"/>
    <d v="2024-11-19T00:00:00"/>
    <m/>
  </r>
  <r>
    <x v="1859"/>
    <s v="Portugal"/>
    <s v="38.736946"/>
    <s v="-9.142685"/>
    <s v="IT &amp; IT Services"/>
    <s v="Micro (1-10)"/>
    <s v="John Smith"/>
    <d v="2024-03-09T00:00:00"/>
    <s v="Services"/>
    <x v="4"/>
    <x v="4"/>
    <s v="Won"/>
    <n v="5"/>
    <n v="540"/>
    <n v="60"/>
    <d v="2024-07-30T00:00:00"/>
    <m/>
  </r>
  <r>
    <x v="1860"/>
    <s v="France"/>
    <s v="48.864716"/>
    <s v="2.349014"/>
    <s v="Professional Services  &amp; Consulting"/>
    <s v="Micro (1-10)"/>
    <s v="Laura Thompson"/>
    <d v="2024-01-31T00:00:00"/>
    <s v="Custom solution"/>
    <x v="4"/>
    <x v="4"/>
    <s v="Won"/>
    <n v="5"/>
    <n v="523"/>
    <n v="10"/>
    <d v="2024-08-27T00:00:00"/>
    <m/>
  </r>
  <r>
    <x v="1861"/>
    <s v="Germany"/>
    <s v="52.520008"/>
    <s v="13.404954"/>
    <s v="Banking and Finance"/>
    <s v="Micro (1-10)"/>
    <s v="Laura Thompson"/>
    <d v="2024-05-28T00:00:00"/>
    <s v="Services"/>
    <x v="4"/>
    <x v="4"/>
    <s v="Won"/>
    <n v="5"/>
    <n v="391"/>
    <n v="90"/>
    <d v="2025-02-04T00:00:00"/>
    <m/>
  </r>
  <r>
    <x v="1862"/>
    <s v="Spain"/>
    <s v="40.416775"/>
    <s v="-3.703790"/>
    <s v="Banking and Finance"/>
    <s v="Micro (1-10)"/>
    <s v="Emily Johnson"/>
    <d v="2024-05-05T00:00:00"/>
    <s v="SAAS"/>
    <x v="4"/>
    <x v="4"/>
    <s v="Won"/>
    <n v="5"/>
    <n v="448"/>
    <n v="30"/>
    <d v="2024-07-10T00:00:00"/>
    <m/>
  </r>
  <r>
    <x v="1863"/>
    <s v="France"/>
    <s v="48.864716"/>
    <s v="2.349014"/>
    <s v="Professional Services  &amp; Consulting"/>
    <s v="Micro (1-10)"/>
    <s v="Jessica Martinez"/>
    <d v="2024-02-02T00:00:00"/>
    <s v="SAAS"/>
    <x v="4"/>
    <x v="4"/>
    <s v="Won"/>
    <n v="5"/>
    <n v="1143"/>
    <n v="40"/>
    <d v="2024-10-12T00:00:00"/>
    <m/>
  </r>
  <r>
    <x v="1864"/>
    <s v="Belgium"/>
    <s v="51.260197"/>
    <s v="4.402771"/>
    <s v="Telecommunications"/>
    <s v="Micro (1-10)"/>
    <s v="Laura Thompson"/>
    <d v="2024-01-05T00:00:00"/>
    <s v="SAAS"/>
    <x v="4"/>
    <x v="4"/>
    <s v="Won"/>
    <n v="5"/>
    <n v="235"/>
    <n v="60"/>
    <d v="2024-11-30T00:00:00"/>
    <m/>
  </r>
  <r>
    <x v="1865"/>
    <s v="France"/>
    <s v="48.864716"/>
    <s v="2.349014"/>
    <s v="Transportation &amp; Logistics"/>
    <s v="Micro (1-10)"/>
    <s v="Laura Thompson"/>
    <d v="2024-04-04T00:00:00"/>
    <s v="Services"/>
    <x v="4"/>
    <x v="4"/>
    <s v="Won"/>
    <n v="5"/>
    <n v="626"/>
    <n v="20"/>
    <d v="2024-05-06T00:00:00"/>
    <m/>
  </r>
  <r>
    <x v="1866"/>
    <s v="Switzerland"/>
    <s v="46.204391"/>
    <s v="6.143158"/>
    <s v="Transportation &amp; Logistics"/>
    <s v="Micro (1-10)"/>
    <s v="Laura Thompson"/>
    <d v="2024-04-17T00:00:00"/>
    <s v="SAAS"/>
    <x v="4"/>
    <x v="4"/>
    <s v="Won"/>
    <n v="5"/>
    <n v="1171"/>
    <n v="50"/>
    <d v="2024-10-12T00:00:00"/>
    <m/>
  </r>
  <r>
    <x v="1867"/>
    <s v="Italy"/>
    <s v="41.902782"/>
    <s v="12.496366"/>
    <s v="Transportation &amp; Logistics"/>
    <s v="Micro (1-10)"/>
    <s v="Laura Thompson"/>
    <d v="2024-03-24T00:00:00"/>
    <s v="Services"/>
    <x v="4"/>
    <x v="4"/>
    <s v="Won"/>
    <n v="5"/>
    <n v="354"/>
    <n v="50"/>
    <d v="2024-08-07T00:00:00"/>
    <m/>
  </r>
  <r>
    <x v="1868"/>
    <s v="Switzerland"/>
    <s v="46.204391"/>
    <s v="6.143158"/>
    <s v="Entertainment &amp; Media &amp; Hospitality"/>
    <s v="Micro (1-10)"/>
    <s v="Jessica Martinez"/>
    <d v="2024-01-31T00:00:00"/>
    <s v="SAAS"/>
    <x v="4"/>
    <x v="4"/>
    <s v="Won"/>
    <n v="5"/>
    <n v="373"/>
    <n v="20"/>
    <d v="2024-11-30T00:00:00"/>
    <m/>
  </r>
  <r>
    <x v="1869"/>
    <s v="Belgium"/>
    <s v="51.260197"/>
    <s v="4.402771"/>
    <s v="Professional Services  &amp; Consulting"/>
    <s v="Micro (1-10)"/>
    <s v="Emily Johnson"/>
    <d v="2024-03-04T00:00:00"/>
    <s v="SAAS"/>
    <x v="4"/>
    <x v="4"/>
    <s v="Won"/>
    <n v="5"/>
    <n v="396"/>
    <n v="70"/>
    <d v="2024-10-11T00:00:00"/>
    <m/>
  </r>
  <r>
    <x v="1870"/>
    <s v="Italy"/>
    <s v="41.902782"/>
    <s v="12.496366"/>
    <s v="Manufacturing &amp; Production"/>
    <s v="Micro (1-10)"/>
    <s v="Laura Thompson"/>
    <d v="2024-04-06T00:00:00"/>
    <s v="SAAS"/>
    <x v="4"/>
    <x v="4"/>
    <s v="Won"/>
    <n v="5"/>
    <n v="723"/>
    <n v="40"/>
    <d v="2024-11-01T00:00:00"/>
    <m/>
  </r>
  <r>
    <x v="1871"/>
    <s v="Italy"/>
    <s v="41.902782"/>
    <s v="12.496366"/>
    <s v="IT &amp; IT Services"/>
    <s v="Micro (1-10)"/>
    <s v="Kevin Anderson"/>
    <d v="2024-01-08T00:00:00"/>
    <s v="Services"/>
    <x v="4"/>
    <x v="4"/>
    <s v="Won"/>
    <n v="5"/>
    <n v="707"/>
    <n v="90"/>
    <d v="2024-06-06T00:00:00"/>
    <m/>
  </r>
  <r>
    <x v="1872"/>
    <s v="Italy"/>
    <s v="41.902782"/>
    <s v="12.496366"/>
    <s v="Telecommunications"/>
    <s v="Medium (201-500)"/>
    <s v="Kevin Anderson"/>
    <d v="2024-01-14T00:00:00"/>
    <s v="SAAS"/>
    <x v="4"/>
    <x v="4"/>
    <s v="Won"/>
    <n v="5"/>
    <n v="1607"/>
    <n v="70"/>
    <d v="2025-01-10T00:00:00"/>
    <m/>
  </r>
  <r>
    <x v="1873"/>
    <s v="Portugal"/>
    <s v="38.736946"/>
    <s v="-9.142685"/>
    <s v="Banking and Finance"/>
    <s v="Medium (201-500)"/>
    <s v="Emily Johnson"/>
    <d v="2024-03-26T00:00:00"/>
    <s v="Services"/>
    <x v="4"/>
    <x v="4"/>
    <s v="Won"/>
    <n v="5"/>
    <n v="2560"/>
    <n v="20"/>
    <d v="2024-10-09T00:00:00"/>
    <m/>
  </r>
  <r>
    <x v="1874"/>
    <s v="Portugal"/>
    <s v="38.736946"/>
    <s v="-9.142685"/>
    <s v="Government Administration Healthcare"/>
    <s v="Medium (201-500)"/>
    <s v="David Wilson"/>
    <d v="2024-02-27T00:00:00"/>
    <s v="Services"/>
    <x v="4"/>
    <x v="4"/>
    <s v="Won"/>
    <n v="5"/>
    <n v="2942"/>
    <n v="40"/>
    <d v="2025-01-15T00:00:00"/>
    <m/>
  </r>
  <r>
    <x v="1875"/>
    <s v="France"/>
    <s v="48.864716"/>
    <s v="2.349014"/>
    <s v="Recreation &amp; Sports"/>
    <s v="Medium (201-500)"/>
    <s v="Jessica Martinez"/>
    <d v="2024-03-19T00:00:00"/>
    <s v="Services"/>
    <x v="4"/>
    <x v="4"/>
    <s v="Won"/>
    <n v="5"/>
    <n v="7428"/>
    <n v="30"/>
    <d v="2024-11-24T00:00:00"/>
    <m/>
  </r>
  <r>
    <x v="1876"/>
    <s v="Italy"/>
    <s v="41.902782"/>
    <s v="12.496366"/>
    <s v="Entertainment &amp; Media &amp; Hospitality"/>
    <s v="Medium (201-500)"/>
    <s v="Jessica Martinez"/>
    <d v="2024-01-02T00:00:00"/>
    <s v="SAAS"/>
    <x v="4"/>
    <x v="4"/>
    <s v="Won"/>
    <n v="5"/>
    <n v="3161"/>
    <n v="50"/>
    <d v="2024-10-20T00:00:00"/>
    <m/>
  </r>
  <r>
    <x v="1877"/>
    <s v="Germany"/>
    <s v="52.520008"/>
    <s v="13.404954"/>
    <s v="Professional Services  &amp; Consulting"/>
    <s v="Medium (201-500)"/>
    <s v="Laura Thompson"/>
    <d v="2024-02-27T00:00:00"/>
    <s v="Services"/>
    <x v="4"/>
    <x v="4"/>
    <s v="Won"/>
    <n v="5"/>
    <n v="4558"/>
    <n v="40"/>
    <d v="2024-06-25T00:00:00"/>
    <m/>
  </r>
  <r>
    <x v="1878"/>
    <s v="Germany"/>
    <s v="52.520008"/>
    <s v="13.404954"/>
    <s v="Professional Services  &amp; Consulting"/>
    <s v="Medium (201-500)"/>
    <s v="Kevin Anderson"/>
    <d v="2024-03-02T00:00:00"/>
    <s v="Services"/>
    <x v="4"/>
    <x v="4"/>
    <s v="Won"/>
    <n v="5"/>
    <n v="5279"/>
    <n v="30"/>
    <d v="2024-08-13T00:00:00"/>
    <m/>
  </r>
  <r>
    <x v="1879"/>
    <s v="Italy"/>
    <s v="41.902782"/>
    <s v="12.496366"/>
    <s v="IT &amp; IT Services"/>
    <s v="Medium (201-500)"/>
    <s v="John Smith"/>
    <d v="2024-03-24T00:00:00"/>
    <s v="Services"/>
    <x v="4"/>
    <x v="4"/>
    <s v="Won"/>
    <n v="5"/>
    <n v="6644"/>
    <n v="50"/>
    <d v="2025-01-27T00:00:00"/>
    <m/>
  </r>
  <r>
    <x v="1880"/>
    <s v="Germany"/>
    <s v="52.520008"/>
    <s v="13.404954"/>
    <s v="Banking and Finance"/>
    <s v="Medium (201-500)"/>
    <s v="John Smith"/>
    <d v="2024-03-01T00:00:00"/>
    <s v="SAAS"/>
    <x v="4"/>
    <x v="4"/>
    <s v="Won"/>
    <n v="5"/>
    <n v="1953"/>
    <n v="70"/>
    <d v="2024-11-21T00:00:00"/>
    <m/>
  </r>
  <r>
    <x v="1881"/>
    <s v="Switzerland"/>
    <s v="46.204391"/>
    <s v="6.143158"/>
    <s v="IT &amp; IT Services"/>
    <s v="Medium (201-500)"/>
    <s v="Emily Johnson"/>
    <d v="2024-01-21T00:00:00"/>
    <s v="SAAS"/>
    <x v="4"/>
    <x v="4"/>
    <s v="Won"/>
    <n v="5"/>
    <n v="7787"/>
    <n v="60"/>
    <d v="2024-05-16T00:00:00"/>
    <m/>
  </r>
  <r>
    <x v="1882"/>
    <s v="Germany"/>
    <s v="52.520008"/>
    <s v="13.404954"/>
    <s v="Agriculture &amp; Mining"/>
    <s v="Medium (201-500)"/>
    <s v="Laura Thompson"/>
    <d v="2024-01-31T00:00:00"/>
    <s v="SAAS"/>
    <x v="4"/>
    <x v="4"/>
    <s v="Won"/>
    <n v="5"/>
    <n v="4665"/>
    <n v="40"/>
    <d v="2024-07-05T00:00:00"/>
    <m/>
  </r>
  <r>
    <x v="1883"/>
    <s v="France"/>
    <s v="48.864716"/>
    <s v="2.349014"/>
    <s v="IT &amp; IT Services"/>
    <s v="Medium (201-500)"/>
    <s v="Michael Brown"/>
    <d v="2024-05-27T00:00:00"/>
    <s v="SAAS"/>
    <x v="4"/>
    <x v="4"/>
    <s v="Won"/>
    <n v="5"/>
    <n v="2470"/>
    <n v="20"/>
    <d v="2024-10-15T00:00:00"/>
    <m/>
  </r>
  <r>
    <x v="1884"/>
    <s v="Portugal"/>
    <s v="38.736946"/>
    <s v="-9.142685"/>
    <s v="Government Administration Healthcare"/>
    <s v="Medium (201-500)"/>
    <s v="Sarah Davis"/>
    <d v="2024-04-26T00:00:00"/>
    <s v="Services"/>
    <x v="4"/>
    <x v="4"/>
    <s v="Won"/>
    <n v="5"/>
    <n v="5258"/>
    <n v="60"/>
    <d v="2024-08-16T00:00:00"/>
    <m/>
  </r>
  <r>
    <x v="1885"/>
    <s v="Germany"/>
    <s v="52.520008"/>
    <s v="13.404954"/>
    <s v="Banking and Finance"/>
    <s v="Medium (201-500)"/>
    <s v="Laura Thompson"/>
    <d v="2024-05-04T00:00:00"/>
    <s v="SAAS"/>
    <x v="4"/>
    <x v="4"/>
    <s v="Won"/>
    <n v="5"/>
    <n v="1859"/>
    <n v="20"/>
    <d v="2025-03-15T00:00:00"/>
    <m/>
  </r>
  <r>
    <x v="1886"/>
    <s v="France"/>
    <s v="48.864716"/>
    <s v="2.349014"/>
    <s v="Banking and Finance"/>
    <s v="Medium (201-500)"/>
    <s v="Michael Brown"/>
    <d v="2024-04-28T00:00:00"/>
    <s v="SAAS"/>
    <x v="4"/>
    <x v="4"/>
    <s v="Won"/>
    <n v="5"/>
    <n v="2792"/>
    <n v="30"/>
    <d v="2025-01-30T00:00:00"/>
    <m/>
  </r>
  <r>
    <x v="1887"/>
    <s v="Switzerland"/>
    <s v="46.204391"/>
    <s v="6.143158"/>
    <s v="Banking and Finance"/>
    <s v="Medium (201-500)"/>
    <s v="John Smith"/>
    <d v="2024-01-11T00:00:00"/>
    <s v="Custom solution"/>
    <x v="4"/>
    <x v="4"/>
    <s v="Won"/>
    <n v="5"/>
    <n v="7714"/>
    <n v="60"/>
    <d v="2024-11-11T00:00:00"/>
    <m/>
  </r>
  <r>
    <x v="1888"/>
    <s v="Germany"/>
    <s v="52.520008"/>
    <s v="13.404954"/>
    <s v="Education &amp; Science"/>
    <s v="Medium (201-500)"/>
    <s v="John Smith"/>
    <d v="2024-04-09T00:00:00"/>
    <s v="Services"/>
    <x v="4"/>
    <x v="4"/>
    <s v="Won"/>
    <n v="5"/>
    <n v="774"/>
    <n v="30"/>
    <d v="2024-09-09T00:00:00"/>
    <m/>
  </r>
  <r>
    <x v="1889"/>
    <s v="Italy"/>
    <s v="41.902782"/>
    <s v="12.496366"/>
    <s v="Government Administration Healthcare"/>
    <s v="Medium (201-500)"/>
    <s v="Laura Thompson"/>
    <d v="2024-05-08T00:00:00"/>
    <s v="SAAS"/>
    <x v="4"/>
    <x v="4"/>
    <s v="Won"/>
    <n v="5"/>
    <n v="4719"/>
    <n v="60"/>
    <d v="2025-04-27T00:00:00"/>
    <m/>
  </r>
  <r>
    <x v="1890"/>
    <s v="Belgium"/>
    <s v="51.260197"/>
    <s v="4.402771"/>
    <s v="Banking and Finance"/>
    <s v="Medium (201-500)"/>
    <s v="Laura Thompson"/>
    <d v="2024-05-23T00:00:00"/>
    <s v="SAAS"/>
    <x v="4"/>
    <x v="4"/>
    <s v="Won"/>
    <n v="5"/>
    <n v="984"/>
    <n v="30"/>
    <d v="2024-06-17T00:00:00"/>
    <m/>
  </r>
  <r>
    <x v="1891"/>
    <s v="Belgium"/>
    <s v="51.260197"/>
    <s v="4.402771"/>
    <s v="Telecommunications"/>
    <s v="Medium (201-500)"/>
    <s v="John Smith"/>
    <d v="2024-02-26T00:00:00"/>
    <s v="SAAS"/>
    <x v="4"/>
    <x v="4"/>
    <s v="Won"/>
    <n v="5"/>
    <n v="2665"/>
    <n v="40"/>
    <d v="2024-12-06T00:00:00"/>
    <m/>
  </r>
  <r>
    <x v="1892"/>
    <s v="Italy"/>
    <s v="41.902782"/>
    <s v="12.496366"/>
    <s v="Transportation &amp; Logistics"/>
    <s v="Medium (201-500)"/>
    <s v="Jessica Martinez"/>
    <d v="2024-03-12T00:00:00"/>
    <s v="Services"/>
    <x v="4"/>
    <x v="4"/>
    <s v="Won"/>
    <n v="5"/>
    <n v="225"/>
    <n v="40"/>
    <d v="2024-04-07T00:00:00"/>
    <m/>
  </r>
  <r>
    <x v="1893"/>
    <s v="Italy"/>
    <s v="41.902782"/>
    <s v="12.496366"/>
    <s v="Government Administration Healthcare"/>
    <s v="Medium (201-500)"/>
    <s v="Jessica Martinez"/>
    <d v="2024-02-21T00:00:00"/>
    <s v="Custom solution"/>
    <x v="4"/>
    <x v="4"/>
    <s v="Won"/>
    <n v="5"/>
    <n v="412"/>
    <n v="30"/>
    <d v="2024-12-11T00:00:00"/>
    <m/>
  </r>
  <r>
    <x v="1894"/>
    <s v="Germany"/>
    <s v="52.520008"/>
    <s v="13.404954"/>
    <s v="Banking and Finance"/>
    <s v="Medium (201-500)"/>
    <s v="Michael Brown"/>
    <d v="2024-03-23T00:00:00"/>
    <s v="SAAS"/>
    <x v="4"/>
    <x v="4"/>
    <s v="Won"/>
    <n v="5"/>
    <n v="5878"/>
    <n v="40"/>
    <d v="2024-09-27T00:00:00"/>
    <m/>
  </r>
  <r>
    <x v="1895"/>
    <s v="Italy"/>
    <s v="41.902782"/>
    <s v="12.496366"/>
    <s v="Entertainment &amp; Media &amp; Hospitality"/>
    <s v="Medium (201-500)"/>
    <s v="Laura Thompson"/>
    <d v="2024-03-30T00:00:00"/>
    <s v="Custom solution"/>
    <x v="4"/>
    <x v="4"/>
    <s v="Won"/>
    <n v="5"/>
    <n v="5193"/>
    <n v="70"/>
    <d v="2024-11-17T00:00:00"/>
    <m/>
  </r>
  <r>
    <x v="1896"/>
    <s v="Portugal"/>
    <s v="38.736946"/>
    <s v="-9.142685"/>
    <s v="IT &amp; IT Services"/>
    <s v="Medium (201-500)"/>
    <s v="Laura Thompson"/>
    <d v="2024-03-05T00:00:00"/>
    <s v="SAAS"/>
    <x v="4"/>
    <x v="4"/>
    <s v="Won"/>
    <n v="5"/>
    <n v="3104"/>
    <n v="20"/>
    <d v="2025-02-18T00:00:00"/>
    <m/>
  </r>
  <r>
    <x v="1897"/>
    <s v="France"/>
    <s v="48.864716"/>
    <s v="2.349014"/>
    <s v="Transportation &amp; Logistics"/>
    <s v="Medium (201-500)"/>
    <s v="Emily Johnson"/>
    <d v="2024-04-28T00:00:00"/>
    <s v="SAAS"/>
    <x v="4"/>
    <x v="4"/>
    <s v="Won"/>
    <n v="5"/>
    <n v="369"/>
    <n v="60"/>
    <d v="2024-06-28T00:00:00"/>
    <m/>
  </r>
  <r>
    <x v="1898"/>
    <s v="Netherlands"/>
    <s v="52.370216"/>
    <s v="4.895168"/>
    <s v="IT &amp; IT Services"/>
    <s v="Medium (201-500)"/>
    <s v="Laura Thompson"/>
    <d v="2024-04-18T00:00:00"/>
    <s v="Services"/>
    <x v="4"/>
    <x v="4"/>
    <s v="Won"/>
    <n v="5"/>
    <n v="7428"/>
    <n v="90"/>
    <d v="2024-05-24T00:00:00"/>
    <m/>
  </r>
  <r>
    <x v="1899"/>
    <s v="Belgium"/>
    <s v="51.260197"/>
    <s v="4.402771"/>
    <s v="Transportation &amp; Logistics"/>
    <s v="Medium (201-500)"/>
    <s v="Laura Thompson"/>
    <d v="2024-04-10T00:00:00"/>
    <s v="Services"/>
    <x v="4"/>
    <x v="4"/>
    <s v="Won"/>
    <n v="5"/>
    <n v="5810"/>
    <n v="50"/>
    <d v="2024-05-21T00:00:00"/>
    <m/>
  </r>
  <r>
    <x v="1900"/>
    <s v="Italy"/>
    <s v="41.902782"/>
    <s v="12.496366"/>
    <s v="IT &amp; IT Services"/>
    <s v="Medium (201-500)"/>
    <s v="Sarah Davis"/>
    <d v="2024-03-20T00:00:00"/>
    <s v="SAAS"/>
    <x v="4"/>
    <x v="4"/>
    <s v="Won"/>
    <n v="5"/>
    <n v="3930"/>
    <n v="20"/>
    <d v="2024-06-20T00:00:00"/>
    <m/>
  </r>
  <r>
    <x v="1901"/>
    <s v="Italy"/>
    <s v="41.902782"/>
    <s v="12.496366"/>
    <s v="IT &amp; IT Services"/>
    <s v="Medium (201-500)"/>
    <s v="Emily Johnson"/>
    <d v="2024-05-07T00:00:00"/>
    <s v="SAAS"/>
    <x v="4"/>
    <x v="4"/>
    <s v="Won"/>
    <n v="5"/>
    <n v="225"/>
    <n v="50"/>
    <d v="2024-06-27T00:00:00"/>
    <m/>
  </r>
  <r>
    <x v="1902"/>
    <s v="Italy"/>
    <s v="41.902782"/>
    <s v="12.496366"/>
    <s v="Energy &amp; Utilities"/>
    <s v="Large (501-1000)"/>
    <s v="Sarah Davis"/>
    <d v="2024-02-08T00:00:00"/>
    <s v="Services"/>
    <x v="4"/>
    <x v="4"/>
    <s v="Won"/>
    <n v="5"/>
    <n v="16393"/>
    <n v="50"/>
    <d v="2024-05-31T00:00:00"/>
    <m/>
  </r>
  <r>
    <x v="1903"/>
    <s v="Switzerland"/>
    <s v="46.204391"/>
    <s v="6.143158"/>
    <s v="Banking and Finance"/>
    <s v="Enterprise (1001+)"/>
    <s v="Sarah Davis"/>
    <d v="2024-02-08T00:00:00"/>
    <s v="Custom solution"/>
    <x v="4"/>
    <x v="4"/>
    <s v="Won"/>
    <n v="5"/>
    <n v="6516"/>
    <n v="90"/>
    <d v="2024-12-01T00:00:00"/>
    <m/>
  </r>
  <r>
    <x v="1904"/>
    <s v="Germany"/>
    <s v="52.520008"/>
    <s v="13.404954"/>
    <s v="Banking and Finance"/>
    <s v="Enterprise (1001+)"/>
    <s v="Michael Brown"/>
    <d v="2024-02-10T00:00:00"/>
    <s v="Custom solution"/>
    <x v="4"/>
    <x v="4"/>
    <s v="Won"/>
    <n v="5"/>
    <n v="5433"/>
    <n v="30"/>
    <d v="2024-05-02T00:00:00"/>
    <m/>
  </r>
  <r>
    <x v="1905"/>
    <s v="Germany"/>
    <s v="52.520008"/>
    <s v="13.404954"/>
    <s v="Transportation &amp; Logistics"/>
    <s v="Small (11-200)"/>
    <s v="Kevin Anderson"/>
    <d v="2024-03-29T00:00:00"/>
    <s v="Services"/>
    <x v="5"/>
    <x v="5"/>
    <m/>
    <m/>
    <n v="1044"/>
    <n v="40"/>
    <d v="2025-03-02T00:00:00"/>
    <m/>
  </r>
  <r>
    <x v="1906"/>
    <s v="Germany"/>
    <s v="52.520008"/>
    <s v="13.404954"/>
    <s v="Government Administration Healthcare"/>
    <s v="Small (11-200)"/>
    <s v="Michael Brown"/>
    <d v="2024-04-15T00:00:00"/>
    <s v="Custom solution"/>
    <x v="5"/>
    <x v="5"/>
    <m/>
    <m/>
    <n v="1251"/>
    <n v="30"/>
    <d v="2024-07-21T00:00:00"/>
    <m/>
  </r>
  <r>
    <x v="1907"/>
    <s v="Spain"/>
    <s v="40.416775"/>
    <s v="-3.703790"/>
    <s v="IT &amp; IT Services"/>
    <s v="Small (11-200)"/>
    <s v="Laura Thompson"/>
    <d v="2024-02-02T00:00:00"/>
    <s v="SAAS"/>
    <x v="5"/>
    <x v="5"/>
    <m/>
    <m/>
    <n v="1825"/>
    <n v="60"/>
    <d v="2024-06-24T00:00:00"/>
    <m/>
  </r>
  <r>
    <x v="1908"/>
    <s v="Italy"/>
    <s v="41.902782"/>
    <s v="12.496366"/>
    <s v="IT &amp; IT Services"/>
    <s v="Small (11-200)"/>
    <s v="Michael Brown"/>
    <d v="2024-01-02T00:00:00"/>
    <s v="Services"/>
    <x v="5"/>
    <x v="5"/>
    <m/>
    <m/>
    <n v="1812"/>
    <n v="80"/>
    <d v="2024-03-29T00:00:00"/>
    <m/>
  </r>
  <r>
    <x v="1909"/>
    <s v="France"/>
    <s v="48.864716"/>
    <s v="2.349014"/>
    <s v="Government Administration Healthcare"/>
    <s v="Small (11-200)"/>
    <s v="Jessica Martinez"/>
    <d v="2024-04-29T00:00:00"/>
    <s v="SAAS"/>
    <x v="5"/>
    <x v="5"/>
    <m/>
    <m/>
    <n v="1948"/>
    <n v="70"/>
    <d v="2025-03-24T00:00:00"/>
    <m/>
  </r>
  <r>
    <x v="1910"/>
    <s v="Portugal"/>
    <s v="38.736946"/>
    <s v="-9.142685"/>
    <s v="IT &amp; IT Services"/>
    <s v="Small (11-200)"/>
    <s v="Jessica Martinez"/>
    <d v="2024-01-22T00:00:00"/>
    <s v="SAAS"/>
    <x v="5"/>
    <x v="5"/>
    <m/>
    <m/>
    <n v="978"/>
    <n v="20"/>
    <d v="2024-08-31T00:00:00"/>
    <m/>
  </r>
  <r>
    <x v="1911"/>
    <s v="Portugal"/>
    <s v="38.736946"/>
    <s v="-9.142685"/>
    <s v="Telecommunications"/>
    <s v="Small (11-200)"/>
    <s v="Jessica Martinez"/>
    <d v="2024-03-12T00:00:00"/>
    <s v="SAAS"/>
    <x v="5"/>
    <x v="5"/>
    <m/>
    <m/>
    <n v="1815"/>
    <n v="70"/>
    <d v="2025-01-28T00:00:00"/>
    <m/>
  </r>
  <r>
    <x v="1912"/>
    <s v="Italy"/>
    <s v="41.902782"/>
    <s v="12.496366"/>
    <s v="Telecommunications"/>
    <s v="Small (11-200)"/>
    <s v="Jessica Martinez"/>
    <d v="2024-01-20T00:00:00"/>
    <s v="SAAS"/>
    <x v="5"/>
    <x v="5"/>
    <m/>
    <m/>
    <n v="879"/>
    <n v="100"/>
    <d v="2024-06-27T00:00:00"/>
    <m/>
  </r>
  <r>
    <x v="1913"/>
    <s v="France"/>
    <s v="48.864716"/>
    <s v="2.349014"/>
    <s v="Telecommunications"/>
    <s v="Small (11-200)"/>
    <s v="John Smith"/>
    <d v="2024-03-01T00:00:00"/>
    <s v="Services"/>
    <x v="5"/>
    <x v="5"/>
    <m/>
    <m/>
    <n v="665"/>
    <n v="40"/>
    <d v="2024-07-01T00:00:00"/>
    <m/>
  </r>
  <r>
    <x v="1914"/>
    <s v="Italy"/>
    <s v="41.902782"/>
    <s v="12.496366"/>
    <s v="Transportation &amp; Logistics"/>
    <s v="Small (11-200)"/>
    <s v="Laura Thompson"/>
    <d v="2024-05-31T00:00:00"/>
    <s v="SAAS"/>
    <x v="5"/>
    <x v="5"/>
    <m/>
    <m/>
    <n v="268"/>
    <n v="40"/>
    <d v="2024-06-23T00:00:00"/>
    <m/>
  </r>
  <r>
    <x v="1915"/>
    <s v="Italy"/>
    <s v="41.902782"/>
    <s v="12.496366"/>
    <s v="Manufacturing &amp; Production"/>
    <s v="Small (11-200)"/>
    <s v="Kevin Anderson"/>
    <d v="2024-04-24T00:00:00"/>
    <s v="Custom solution"/>
    <x v="5"/>
    <x v="5"/>
    <m/>
    <m/>
    <n v="1387"/>
    <n v="50"/>
    <d v="2025-02-14T00:00:00"/>
    <m/>
  </r>
  <r>
    <x v="1916"/>
    <s v="Belgium"/>
    <s v="51.260197"/>
    <s v="4.402771"/>
    <s v="Education &amp; Science"/>
    <s v="Small (11-200)"/>
    <s v="David Wilson"/>
    <d v="2024-03-01T00:00:00"/>
    <s v="SAAS"/>
    <x v="5"/>
    <x v="5"/>
    <m/>
    <m/>
    <n v="207"/>
    <n v="40"/>
    <d v="2024-09-04T00:00:00"/>
    <m/>
  </r>
  <r>
    <x v="1917"/>
    <s v="Spain"/>
    <s v="40.416775"/>
    <s v="-3.703790"/>
    <s v="Education &amp; Science"/>
    <s v="Small (11-200)"/>
    <s v="Laura Thompson"/>
    <d v="2024-02-10T00:00:00"/>
    <s v="Services"/>
    <x v="5"/>
    <x v="5"/>
    <m/>
    <m/>
    <n v="1239"/>
    <n v="20"/>
    <d v="2024-07-27T00:00:00"/>
    <m/>
  </r>
  <r>
    <x v="1918"/>
    <s v="Germany"/>
    <s v="52.520008"/>
    <s v="13.404954"/>
    <s v="Transportation &amp; Logistics"/>
    <s v="Small (11-200)"/>
    <s v="Laura Thompson"/>
    <d v="2024-04-17T00:00:00"/>
    <s v="SAAS"/>
    <x v="5"/>
    <x v="5"/>
    <m/>
    <m/>
    <n v="588"/>
    <n v="20"/>
    <d v="2024-12-29T00:00:00"/>
    <m/>
  </r>
  <r>
    <x v="1919"/>
    <s v="Germany"/>
    <s v="52.520008"/>
    <s v="13.404954"/>
    <s v="Government Administration Healthcare"/>
    <s v="Small (11-200)"/>
    <s v="Jessica Martinez"/>
    <d v="2024-01-15T00:00:00"/>
    <s v="SAAS"/>
    <x v="5"/>
    <x v="5"/>
    <m/>
    <m/>
    <n v="900"/>
    <n v="50"/>
    <d v="2024-10-20T00:00:00"/>
    <m/>
  </r>
  <r>
    <x v="1920"/>
    <s v="Germany"/>
    <s v="52.520008"/>
    <s v="13.404954"/>
    <s v="Transportation &amp; Logistics"/>
    <s v="Small (11-200)"/>
    <s v="David Wilson"/>
    <d v="2024-05-03T00:00:00"/>
    <s v="SAAS"/>
    <x v="5"/>
    <x v="5"/>
    <m/>
    <m/>
    <n v="1326"/>
    <n v="60"/>
    <d v="2025-04-03T00:00:00"/>
    <m/>
  </r>
  <r>
    <x v="1921"/>
    <s v="Italy"/>
    <s v="41.902782"/>
    <s v="12.496366"/>
    <s v="Transportation &amp; Logistics"/>
    <s v="Small (11-200)"/>
    <s v="Emily Johnson"/>
    <d v="2024-04-03T00:00:00"/>
    <s v="SAAS"/>
    <x v="5"/>
    <x v="5"/>
    <m/>
    <m/>
    <n v="1553"/>
    <n v="40"/>
    <d v="2025-02-10T00:00:00"/>
    <m/>
  </r>
  <r>
    <x v="1922"/>
    <s v="Spain"/>
    <s v="40.416775"/>
    <s v="-3.703790"/>
    <s v="Manufacturing &amp; Production"/>
    <s v="Small (11-200)"/>
    <s v="Jessica Martinez"/>
    <d v="2024-01-31T00:00:00"/>
    <s v="Services"/>
    <x v="5"/>
    <x v="5"/>
    <m/>
    <m/>
    <n v="1888"/>
    <n v="30"/>
    <d v="2024-08-17T00:00:00"/>
    <m/>
  </r>
  <r>
    <x v="1923"/>
    <s v="Switzerland"/>
    <s v="46.204391"/>
    <s v="6.143158"/>
    <s v="Transportation &amp; Logistics"/>
    <s v="Small (11-200)"/>
    <s v="Michael Brown"/>
    <d v="2024-02-29T00:00:00"/>
    <s v="Custom solution"/>
    <x v="5"/>
    <x v="5"/>
    <m/>
    <m/>
    <n v="382"/>
    <n v="100"/>
    <d v="2024-07-31T00:00:00"/>
    <m/>
  </r>
  <r>
    <x v="1924"/>
    <s v="Spain"/>
    <s v="40.416775"/>
    <s v="-3.703790"/>
    <s v="Construction &amp; Engineering"/>
    <s v="Small (11-200)"/>
    <s v="Michael Brown"/>
    <d v="2024-03-17T00:00:00"/>
    <s v="SAAS"/>
    <x v="5"/>
    <x v="5"/>
    <m/>
    <m/>
    <n v="931"/>
    <n v="40"/>
    <d v="2024-06-01T00:00:00"/>
    <m/>
  </r>
  <r>
    <x v="1925"/>
    <s v="Italy"/>
    <s v="41.902782"/>
    <s v="12.496366"/>
    <s v="Energy &amp; Utilities"/>
    <s v="Small (11-200)"/>
    <s v="Kevin Anderson"/>
    <d v="2024-02-01T00:00:00"/>
    <s v="Services"/>
    <x v="5"/>
    <x v="5"/>
    <m/>
    <m/>
    <n v="382"/>
    <n v="60"/>
    <d v="2024-11-25T00:00:00"/>
    <m/>
  </r>
  <r>
    <x v="1926"/>
    <s v="Germany"/>
    <s v="52.520008"/>
    <s v="13.404954"/>
    <s v="Banking and Finance"/>
    <s v="Small (11-200)"/>
    <s v="Sarah Davis"/>
    <d v="2024-02-10T00:00:00"/>
    <s v="Services"/>
    <x v="5"/>
    <x v="5"/>
    <m/>
    <m/>
    <n v="547"/>
    <n v="50"/>
    <d v="2024-08-06T00:00:00"/>
    <m/>
  </r>
  <r>
    <x v="1927"/>
    <s v="Germany"/>
    <s v="52.520008"/>
    <s v="13.404954"/>
    <s v="Energy &amp; Utilities"/>
    <s v="Small (11-200)"/>
    <s v="Jessica Martinez"/>
    <d v="2024-04-01T00:00:00"/>
    <s v="Services"/>
    <x v="5"/>
    <x v="5"/>
    <m/>
    <m/>
    <n v="1545"/>
    <n v="90"/>
    <d v="2024-08-19T00:00:00"/>
    <m/>
  </r>
  <r>
    <x v="1928"/>
    <s v="Italy"/>
    <s v="41.902782"/>
    <s v="12.496366"/>
    <s v="IT &amp; IT Services"/>
    <s v="Small (11-200)"/>
    <s v="Laura Thompson"/>
    <d v="2024-01-13T00:00:00"/>
    <s v="SAAS"/>
    <x v="5"/>
    <x v="5"/>
    <m/>
    <m/>
    <n v="1779"/>
    <n v="80"/>
    <d v="2024-09-05T00:00:00"/>
    <m/>
  </r>
  <r>
    <x v="1929"/>
    <s v="Germany"/>
    <s v="52.520008"/>
    <s v="13.404954"/>
    <s v="Professional Services  &amp; Consulting"/>
    <s v="Small (11-200)"/>
    <s v="Laura Thompson"/>
    <d v="2024-03-30T00:00:00"/>
    <s v="SAAS"/>
    <x v="5"/>
    <x v="5"/>
    <m/>
    <m/>
    <n v="332"/>
    <n v="30"/>
    <d v="2024-07-14T00:00:00"/>
    <m/>
  </r>
  <r>
    <x v="1930"/>
    <s v="Switzerland"/>
    <s v="46.204391"/>
    <s v="6.143158"/>
    <s v="Banking and Finance"/>
    <s v="Small (11-200)"/>
    <s v="Kevin Anderson"/>
    <d v="2024-01-29T00:00:00"/>
    <s v="Custom solution"/>
    <x v="5"/>
    <x v="5"/>
    <m/>
    <m/>
    <n v="655"/>
    <n v="10"/>
    <d v="2025-01-11T00:00:00"/>
    <m/>
  </r>
  <r>
    <x v="1931"/>
    <s v="Italy"/>
    <s v="41.902782"/>
    <s v="12.496366"/>
    <s v="Transportation &amp; Logistics"/>
    <s v="Small (11-200)"/>
    <s v="Michael Brown"/>
    <d v="2024-05-25T00:00:00"/>
    <s v="SAAS"/>
    <x v="5"/>
    <x v="5"/>
    <m/>
    <m/>
    <n v="955"/>
    <n v="20"/>
    <d v="2024-09-09T00:00:00"/>
    <m/>
  </r>
  <r>
    <x v="1932"/>
    <s v="Switzerland"/>
    <s v="46.204391"/>
    <s v="6.143158"/>
    <s v="Manufacturing &amp; Production"/>
    <s v="Small (11-200)"/>
    <s v="Sarah Davis"/>
    <d v="2024-03-06T00:00:00"/>
    <s v="Services"/>
    <x v="5"/>
    <x v="5"/>
    <m/>
    <m/>
    <n v="923"/>
    <n v="60"/>
    <d v="2024-07-03T00:00:00"/>
    <m/>
  </r>
  <r>
    <x v="1933"/>
    <s v="Italy"/>
    <s v="41.902782"/>
    <s v="12.496366"/>
    <s v="Transportation &amp; Logistics"/>
    <s v="Small (11-200)"/>
    <s v="Laura Thompson"/>
    <d v="2024-05-01T00:00:00"/>
    <s v="SAAS"/>
    <x v="5"/>
    <x v="5"/>
    <m/>
    <m/>
    <n v="581"/>
    <n v="40"/>
    <d v="2024-06-18T00:00:00"/>
    <m/>
  </r>
  <r>
    <x v="1934"/>
    <s v="Germany"/>
    <s v="52.520008"/>
    <s v="13.404954"/>
    <s v="IT &amp; IT Services"/>
    <s v="Small (11-200)"/>
    <s v="Sarah Davis"/>
    <d v="2024-01-19T00:00:00"/>
    <s v="SAAS"/>
    <x v="5"/>
    <x v="5"/>
    <m/>
    <m/>
    <n v="1911"/>
    <n v="90"/>
    <d v="2024-05-27T00:00:00"/>
    <m/>
  </r>
  <r>
    <x v="1935"/>
    <s v="Germany"/>
    <s v="52.520008"/>
    <s v="13.404954"/>
    <s v="Banking and Finance"/>
    <s v="Small (11-200)"/>
    <s v="Jessica Martinez"/>
    <d v="2024-04-21T00:00:00"/>
    <s v="SAAS"/>
    <x v="5"/>
    <x v="5"/>
    <m/>
    <m/>
    <n v="1605"/>
    <n v="50"/>
    <d v="2024-12-07T00:00:00"/>
    <m/>
  </r>
  <r>
    <x v="1936"/>
    <s v="Germany"/>
    <s v="52.520008"/>
    <s v="13.404954"/>
    <s v="IT &amp; IT Services"/>
    <s v="Small (11-200)"/>
    <s v="John Smith"/>
    <d v="2024-04-16T00:00:00"/>
    <s v="SAAS"/>
    <x v="5"/>
    <x v="5"/>
    <m/>
    <m/>
    <n v="311"/>
    <n v="50"/>
    <d v="2025-01-26T00:00:00"/>
    <m/>
  </r>
  <r>
    <x v="1937"/>
    <s v="Portugal"/>
    <s v="38.736946"/>
    <s v="-9.142685"/>
    <s v="Banking and Finance"/>
    <s v="Small (11-200)"/>
    <s v="Laura Thompson"/>
    <d v="2024-01-14T00:00:00"/>
    <s v="SAAS"/>
    <x v="5"/>
    <x v="5"/>
    <m/>
    <m/>
    <n v="589"/>
    <n v="20"/>
    <d v="2024-05-23T00:00:00"/>
    <m/>
  </r>
  <r>
    <x v="1938"/>
    <s v="Switzerland"/>
    <s v="46.204391"/>
    <s v="6.143158"/>
    <s v="Government Administration Healthcare"/>
    <s v="Small (11-200)"/>
    <s v="Laura Thompson"/>
    <d v="2024-02-05T00:00:00"/>
    <s v="SAAS"/>
    <x v="5"/>
    <x v="5"/>
    <m/>
    <m/>
    <n v="1416"/>
    <n v="20"/>
    <d v="2024-05-27T00:00:00"/>
    <m/>
  </r>
  <r>
    <x v="1939"/>
    <s v="Italy"/>
    <s v="41.902782"/>
    <s v="12.496366"/>
    <s v="Entertainment &amp; Media &amp; Hospitality"/>
    <s v="Small (11-200)"/>
    <s v="John Smith"/>
    <d v="2024-01-28T00:00:00"/>
    <s v="Services"/>
    <x v="5"/>
    <x v="5"/>
    <m/>
    <m/>
    <n v="1873"/>
    <n v="40"/>
    <d v="2024-05-14T00:00:00"/>
    <m/>
  </r>
  <r>
    <x v="1940"/>
    <s v="Austria"/>
    <s v="48.210033"/>
    <s v="16.363449"/>
    <s v="Banking and Finance"/>
    <s v="Small (11-200)"/>
    <s v="Laura Thompson"/>
    <d v="2024-02-10T00:00:00"/>
    <s v="SAAS"/>
    <x v="5"/>
    <x v="5"/>
    <m/>
    <m/>
    <n v="282"/>
    <n v="20"/>
    <d v="2024-04-02T00:00:00"/>
    <m/>
  </r>
  <r>
    <x v="1941"/>
    <s v="France"/>
    <s v="48.864716"/>
    <s v="2.349014"/>
    <s v="Transportation &amp; Logistics"/>
    <s v="Small (11-200)"/>
    <s v="Jessica Martinez"/>
    <d v="2024-03-19T00:00:00"/>
    <s v="SAAS"/>
    <x v="5"/>
    <x v="5"/>
    <m/>
    <m/>
    <n v="1434"/>
    <n v="40"/>
    <d v="2024-06-10T00:00:00"/>
    <m/>
  </r>
  <r>
    <x v="1942"/>
    <s v="Switzerland"/>
    <s v="46.204391"/>
    <s v="6.143158"/>
    <s v="Retail &amp; Distribution"/>
    <s v="Small (11-200)"/>
    <s v="Michael Brown"/>
    <d v="2024-03-17T00:00:00"/>
    <s v="Services"/>
    <x v="5"/>
    <x v="5"/>
    <m/>
    <m/>
    <n v="349"/>
    <n v="50"/>
    <d v="2024-10-07T00:00:00"/>
    <m/>
  </r>
  <r>
    <x v="1943"/>
    <s v="France"/>
    <s v="48.864716"/>
    <s v="2.349014"/>
    <s v="Recreation &amp; Sports"/>
    <s v="Small (11-200)"/>
    <s v="John Smith"/>
    <d v="2024-03-28T00:00:00"/>
    <s v="Services"/>
    <x v="5"/>
    <x v="5"/>
    <m/>
    <m/>
    <n v="994"/>
    <n v="20"/>
    <d v="2024-06-27T00:00:00"/>
    <m/>
  </r>
  <r>
    <x v="1944"/>
    <s v="Italy"/>
    <s v="41.902782"/>
    <s v="12.496366"/>
    <s v="IT &amp; IT Services"/>
    <s v="Small (11-200)"/>
    <s v="John Smith"/>
    <d v="2024-01-02T00:00:00"/>
    <s v="Services"/>
    <x v="5"/>
    <x v="5"/>
    <m/>
    <m/>
    <n v="1969"/>
    <n v="20"/>
    <d v="2024-09-26T00:00:00"/>
    <m/>
  </r>
  <r>
    <x v="1945"/>
    <s v="Italy"/>
    <s v="41.902782"/>
    <s v="12.496366"/>
    <s v="Banking and Finance"/>
    <s v="Small (11-200)"/>
    <s v="Kevin Anderson"/>
    <d v="2024-05-12T00:00:00"/>
    <s v="SAAS"/>
    <x v="5"/>
    <x v="5"/>
    <m/>
    <m/>
    <n v="406"/>
    <n v="40"/>
    <d v="2024-10-18T00:00:00"/>
    <m/>
  </r>
  <r>
    <x v="1946"/>
    <s v="France"/>
    <s v="48.864716"/>
    <s v="2.349014"/>
    <s v="Professional Services  &amp; Consulting"/>
    <s v="Small (11-200)"/>
    <s v="Jessica Martinez"/>
    <d v="2024-05-18T00:00:00"/>
    <s v="Services"/>
    <x v="5"/>
    <x v="5"/>
    <m/>
    <m/>
    <n v="1985"/>
    <n v="50"/>
    <d v="2025-01-11T00:00:00"/>
    <m/>
  </r>
  <r>
    <x v="1947"/>
    <s v="Austria"/>
    <s v="48.210033"/>
    <s v="16.363449"/>
    <s v="Professional Services  &amp; Consulting"/>
    <s v="Small (11-200)"/>
    <s v="Sarah Davis"/>
    <d v="2024-05-22T00:00:00"/>
    <s v="SAAS"/>
    <x v="5"/>
    <x v="5"/>
    <m/>
    <m/>
    <n v="668"/>
    <n v="40"/>
    <d v="2024-10-26T00:00:00"/>
    <m/>
  </r>
  <r>
    <x v="1948"/>
    <s v="France"/>
    <s v="48.864716"/>
    <s v="2.349014"/>
    <s v="IT &amp; IT Services"/>
    <s v="Small (11-200)"/>
    <s v="Kevin Anderson"/>
    <d v="2024-03-04T00:00:00"/>
    <s v="SAAS"/>
    <x v="5"/>
    <x v="5"/>
    <m/>
    <m/>
    <n v="596"/>
    <n v="10"/>
    <d v="2024-06-24T00:00:00"/>
    <m/>
  </r>
  <r>
    <x v="1949"/>
    <s v="Belgium"/>
    <s v="51.260197"/>
    <s v="4.402771"/>
    <s v="IT &amp; IT Services"/>
    <s v="Small (11-200)"/>
    <s v="Emily Johnson"/>
    <d v="2024-03-15T00:00:00"/>
    <s v="Services"/>
    <x v="5"/>
    <x v="5"/>
    <m/>
    <m/>
    <n v="1691"/>
    <n v="40"/>
    <d v="2024-12-29T00:00:00"/>
    <m/>
  </r>
  <r>
    <x v="1950"/>
    <s v="Portugal"/>
    <s v="38.736946"/>
    <s v="-9.142685"/>
    <s v="Transportation &amp; Logistics"/>
    <s v="Small (11-200)"/>
    <s v="Michael Brown"/>
    <d v="2024-01-14T00:00:00"/>
    <s v="Services"/>
    <x v="5"/>
    <x v="5"/>
    <m/>
    <m/>
    <n v="1303"/>
    <n v="40"/>
    <d v="2024-07-29T00:00:00"/>
    <m/>
  </r>
  <r>
    <x v="1951"/>
    <s v="Switzerland"/>
    <s v="46.204391"/>
    <s v="6.143158"/>
    <s v="Transportation &amp; Logistics"/>
    <s v="Small (11-200)"/>
    <s v="Jessica Martinez"/>
    <d v="2024-05-22T00:00:00"/>
    <s v="Custom solution"/>
    <x v="5"/>
    <x v="5"/>
    <m/>
    <m/>
    <n v="1520"/>
    <n v="30"/>
    <d v="2024-08-22T00:00:00"/>
    <m/>
  </r>
  <r>
    <x v="1952"/>
    <s v="Germany"/>
    <s v="52.520008"/>
    <s v="13.404954"/>
    <s v="Recreation &amp; Sports"/>
    <s v="Small (11-200)"/>
    <s v="Jessica Martinez"/>
    <d v="2024-04-15T00:00:00"/>
    <s v="Custom solution"/>
    <x v="5"/>
    <x v="5"/>
    <m/>
    <m/>
    <n v="834"/>
    <n v="30"/>
    <d v="2024-10-11T00:00:00"/>
    <m/>
  </r>
  <r>
    <x v="1953"/>
    <s v="Italy"/>
    <s v="41.902782"/>
    <s v="12.496366"/>
    <s v="Construction &amp; Engineering"/>
    <s v="Small (11-200)"/>
    <s v="Emily Johnson"/>
    <d v="2024-01-20T00:00:00"/>
    <s v="SAAS"/>
    <x v="5"/>
    <x v="5"/>
    <m/>
    <m/>
    <n v="444"/>
    <n v="20"/>
    <d v="2024-11-17T00:00:00"/>
    <m/>
  </r>
  <r>
    <x v="1954"/>
    <s v="France"/>
    <s v="48.864716"/>
    <s v="2.349014"/>
    <s v="IT &amp; IT Services"/>
    <s v="Small (11-200)"/>
    <s v="David Wilson"/>
    <d v="2024-03-02T00:00:00"/>
    <s v="SAAS"/>
    <x v="5"/>
    <x v="5"/>
    <m/>
    <m/>
    <n v="1067"/>
    <n v="40"/>
    <d v="2024-07-23T00:00:00"/>
    <m/>
  </r>
  <r>
    <x v="1955"/>
    <s v="Italy"/>
    <s v="41.902782"/>
    <s v="12.496366"/>
    <s v="Professional Services  &amp; Consulting"/>
    <s v="Small (11-200)"/>
    <s v="Emily Johnson"/>
    <d v="2024-05-31T00:00:00"/>
    <s v="SAAS"/>
    <x v="5"/>
    <x v="5"/>
    <m/>
    <m/>
    <n v="958"/>
    <n v="40"/>
    <d v="2025-05-11T00:00:00"/>
    <m/>
  </r>
  <r>
    <x v="1956"/>
    <s v="Austria"/>
    <s v="48.210033"/>
    <s v="16.363449"/>
    <s v="Agriculture &amp; Mining"/>
    <s v="Small (11-200)"/>
    <s v="John Smith"/>
    <d v="2024-05-01T00:00:00"/>
    <s v="Services"/>
    <x v="5"/>
    <x v="5"/>
    <m/>
    <m/>
    <n v="1017"/>
    <n v="30"/>
    <d v="2024-10-27T00:00:00"/>
    <m/>
  </r>
  <r>
    <x v="1957"/>
    <s v="Italy"/>
    <s v="41.902782"/>
    <s v="12.496366"/>
    <s v="IT &amp; IT Services"/>
    <s v="Small (11-200)"/>
    <s v="John Smith"/>
    <d v="2024-01-15T00:00:00"/>
    <s v="SAAS"/>
    <x v="5"/>
    <x v="5"/>
    <m/>
    <m/>
    <n v="1621"/>
    <n v="40"/>
    <d v="2024-08-23T00:00:00"/>
    <m/>
  </r>
  <r>
    <x v="1958"/>
    <s v="France"/>
    <s v="48.864716"/>
    <s v="2.349014"/>
    <s v="Transportation &amp; Logistics"/>
    <s v="Small (11-200)"/>
    <s v="Laura Thompson"/>
    <d v="2024-04-08T00:00:00"/>
    <s v="SAAS"/>
    <x v="5"/>
    <x v="5"/>
    <m/>
    <m/>
    <n v="604"/>
    <n v="20"/>
    <d v="2024-09-14T00:00:00"/>
    <m/>
  </r>
  <r>
    <x v="1959"/>
    <s v="Austria"/>
    <s v="48.210033"/>
    <s v="16.363449"/>
    <s v="Construction &amp; Engineering"/>
    <s v="Small (11-200)"/>
    <s v="Laura Thompson"/>
    <d v="2024-01-27T00:00:00"/>
    <s v="SAAS"/>
    <x v="5"/>
    <x v="5"/>
    <m/>
    <m/>
    <n v="1943"/>
    <n v="90"/>
    <d v="2025-01-13T00:00:00"/>
    <m/>
  </r>
  <r>
    <x v="1960"/>
    <s v="Portugal"/>
    <s v="38.736946"/>
    <s v="-9.142685"/>
    <s v="Professional Services  &amp; Consulting"/>
    <s v="Small (11-200)"/>
    <s v="Jessica Martinez"/>
    <d v="2024-01-13T00:00:00"/>
    <s v="SAAS"/>
    <x v="5"/>
    <x v="5"/>
    <m/>
    <m/>
    <n v="1019"/>
    <n v="20"/>
    <d v="2024-09-21T00:00:00"/>
    <m/>
  </r>
  <r>
    <x v="1961"/>
    <s v="Austria"/>
    <s v="48.210033"/>
    <s v="16.363449"/>
    <s v="Banking and Finance"/>
    <s v="Small (11-200)"/>
    <s v="Michael Brown"/>
    <d v="2024-05-05T00:00:00"/>
    <s v="Custom solution"/>
    <x v="5"/>
    <x v="5"/>
    <m/>
    <m/>
    <n v="1623"/>
    <n v="20"/>
    <d v="2024-08-31T00:00:00"/>
    <m/>
  </r>
  <r>
    <x v="1962"/>
    <s v="Switzerland"/>
    <s v="46.204391"/>
    <s v="6.143158"/>
    <s v="IT &amp; IT Services"/>
    <s v="Small (11-200)"/>
    <s v="Emily Johnson"/>
    <d v="2024-05-23T00:00:00"/>
    <s v="Services"/>
    <x v="5"/>
    <x v="5"/>
    <m/>
    <m/>
    <n v="466"/>
    <n v="30"/>
    <d v="2024-12-31T00:00:00"/>
    <m/>
  </r>
  <r>
    <x v="1963"/>
    <s v="Germany"/>
    <s v="52.520008"/>
    <s v="13.404954"/>
    <s v="Energy &amp; Utilities"/>
    <s v="Small (11-200)"/>
    <s v="Laura Thompson"/>
    <d v="2024-01-29T00:00:00"/>
    <s v="Services"/>
    <x v="5"/>
    <x v="5"/>
    <m/>
    <m/>
    <n v="444"/>
    <n v="50"/>
    <d v="2024-10-06T00:00:00"/>
    <m/>
  </r>
  <r>
    <x v="1964"/>
    <s v="Portugal"/>
    <s v="38.736946"/>
    <s v="-9.142685"/>
    <s v="Banking and Finance"/>
    <s v="Small (11-200)"/>
    <s v="Laura Thompson"/>
    <d v="2024-02-23T00:00:00"/>
    <s v="Services"/>
    <x v="5"/>
    <x v="5"/>
    <m/>
    <m/>
    <n v="1748"/>
    <n v="50"/>
    <d v="2024-11-29T00:00:00"/>
    <m/>
  </r>
  <r>
    <x v="1965"/>
    <s v="Italy"/>
    <s v="41.902782"/>
    <s v="12.496366"/>
    <s v="Government Administration Healthcare"/>
    <s v="Small (11-200)"/>
    <s v="John Smith"/>
    <d v="2024-02-10T00:00:00"/>
    <s v="SAAS"/>
    <x v="5"/>
    <x v="5"/>
    <m/>
    <m/>
    <n v="1276"/>
    <n v="50"/>
    <d v="2024-07-09T00:00:00"/>
    <m/>
  </r>
  <r>
    <x v="1966"/>
    <s v="Belgium"/>
    <s v="51.260197"/>
    <s v="4.402771"/>
    <s v="Banking and Finance"/>
    <s v="Small (11-200)"/>
    <s v="Michael Brown"/>
    <d v="2024-05-01T00:00:00"/>
    <s v="SAAS"/>
    <x v="5"/>
    <x v="5"/>
    <m/>
    <m/>
    <n v="1968"/>
    <n v="100"/>
    <d v="2024-07-26T00:00:00"/>
    <m/>
  </r>
  <r>
    <x v="1967"/>
    <s v="Portugal"/>
    <s v="38.736946"/>
    <s v="-9.142685"/>
    <s v="Banking and Finance"/>
    <s v="Small (11-200)"/>
    <s v="Laura Thompson"/>
    <d v="2024-03-23T00:00:00"/>
    <s v="SAAS"/>
    <x v="5"/>
    <x v="5"/>
    <m/>
    <m/>
    <n v="500"/>
    <n v="40"/>
    <d v="2025-01-06T00:00:00"/>
    <m/>
  </r>
  <r>
    <x v="1968"/>
    <s v="Germany"/>
    <s v="52.520008"/>
    <s v="13.404954"/>
    <s v="Transportation &amp; Logistics"/>
    <s v="Small (11-200)"/>
    <s v="Kevin Anderson"/>
    <d v="2024-01-08T00:00:00"/>
    <s v="Custom solution"/>
    <x v="5"/>
    <x v="5"/>
    <m/>
    <m/>
    <n v="494"/>
    <n v="20"/>
    <d v="2024-04-11T00:00:00"/>
    <m/>
  </r>
  <r>
    <x v="1969"/>
    <s v="Belgium"/>
    <s v="51.260197"/>
    <s v="4.402771"/>
    <s v="Recreation &amp; Sports"/>
    <s v="Small (11-200)"/>
    <s v="Emily Johnson"/>
    <d v="2024-05-12T00:00:00"/>
    <s v="Services"/>
    <x v="5"/>
    <x v="5"/>
    <m/>
    <m/>
    <n v="1307"/>
    <n v="20"/>
    <d v="2024-12-16T00:00:00"/>
    <m/>
  </r>
  <r>
    <x v="1970"/>
    <s v="Italy"/>
    <s v="41.902782"/>
    <s v="12.496366"/>
    <s v="IT &amp; IT Services"/>
    <s v="Small (11-200)"/>
    <s v="Michael Brown"/>
    <d v="2024-04-18T00:00:00"/>
    <s v="SAAS"/>
    <x v="5"/>
    <x v="5"/>
    <m/>
    <m/>
    <n v="1913"/>
    <n v="40"/>
    <d v="2024-05-27T00:00:00"/>
    <m/>
  </r>
  <r>
    <x v="1971"/>
    <s v="France"/>
    <s v="48.864716"/>
    <s v="2.349014"/>
    <s v="Construction &amp; Engineering"/>
    <s v="Small (11-200)"/>
    <s v="Sarah Davis"/>
    <d v="2024-02-24T00:00:00"/>
    <s v="SAAS"/>
    <x v="5"/>
    <x v="5"/>
    <m/>
    <m/>
    <n v="1519"/>
    <n v="90"/>
    <d v="2024-10-15T00:00:00"/>
    <m/>
  </r>
  <r>
    <x v="1972"/>
    <s v="Germany"/>
    <s v="52.520008"/>
    <s v="13.404954"/>
    <s v="Construction &amp; Engineering"/>
    <s v="Small (11-200)"/>
    <s v="Laura Thompson"/>
    <d v="2024-03-31T00:00:00"/>
    <s v="Services"/>
    <x v="5"/>
    <x v="5"/>
    <m/>
    <m/>
    <n v="1323"/>
    <n v="40"/>
    <d v="2025-02-10T00:00:00"/>
    <m/>
  </r>
  <r>
    <x v="1973"/>
    <s v="Spain"/>
    <s v="40.416775"/>
    <s v="-3.703790"/>
    <s v="Retail &amp; Distribution"/>
    <s v="Small (11-200)"/>
    <s v="David Wilson"/>
    <d v="2024-01-10T00:00:00"/>
    <s v="Custom solution"/>
    <x v="5"/>
    <x v="5"/>
    <m/>
    <m/>
    <n v="304"/>
    <n v="30"/>
    <d v="2024-05-04T00:00:00"/>
    <m/>
  </r>
  <r>
    <x v="1974"/>
    <s v="Italy"/>
    <s v="41.902782"/>
    <s v="12.496366"/>
    <s v="Energy &amp; Utilities"/>
    <s v="Small (11-200)"/>
    <s v="Michael Brown"/>
    <d v="2024-02-14T00:00:00"/>
    <s v="SAAS"/>
    <x v="5"/>
    <x v="5"/>
    <m/>
    <m/>
    <n v="762"/>
    <n v="20"/>
    <d v="2024-06-29T00:00:00"/>
    <m/>
  </r>
  <r>
    <x v="1975"/>
    <s v="Germany"/>
    <s v="52.520008"/>
    <s v="13.404954"/>
    <s v="Professional Services  &amp; Consulting"/>
    <s v="Small (11-200)"/>
    <s v="Emily Johnson"/>
    <d v="2024-04-04T00:00:00"/>
    <s v="SAAS"/>
    <x v="5"/>
    <x v="5"/>
    <m/>
    <m/>
    <n v="834"/>
    <n v="30"/>
    <d v="2024-05-16T00:00:00"/>
    <m/>
  </r>
  <r>
    <x v="1976"/>
    <s v="Switzerland"/>
    <s v="46.204391"/>
    <s v="6.143158"/>
    <s v="IT &amp; IT Services"/>
    <s v="Small (11-200)"/>
    <s v="Michael Brown"/>
    <d v="2024-02-26T00:00:00"/>
    <s v="Services"/>
    <x v="5"/>
    <x v="5"/>
    <m/>
    <m/>
    <n v="1973"/>
    <n v="50"/>
    <d v="2024-12-21T00:00:00"/>
    <m/>
  </r>
  <r>
    <x v="1977"/>
    <s v="France"/>
    <s v="48.864716"/>
    <s v="2.349014"/>
    <s v="IT &amp; IT Services"/>
    <s v="Small (11-200)"/>
    <s v="Michael Brown"/>
    <d v="2024-02-29T00:00:00"/>
    <s v="Services"/>
    <x v="5"/>
    <x v="5"/>
    <m/>
    <m/>
    <n v="1850"/>
    <n v="30"/>
    <d v="2024-10-02T00:00:00"/>
    <m/>
  </r>
  <r>
    <x v="1978"/>
    <s v="Italy"/>
    <s v="41.902782"/>
    <s v="12.496366"/>
    <s v="Professional Services  &amp; Consulting"/>
    <s v="Small (11-200)"/>
    <s v="Laura Thompson"/>
    <d v="2024-01-11T00:00:00"/>
    <s v="SAAS"/>
    <x v="5"/>
    <x v="5"/>
    <m/>
    <m/>
    <n v="1222"/>
    <n v="40"/>
    <d v="2024-05-07T00:00:00"/>
    <m/>
  </r>
  <r>
    <x v="1979"/>
    <s v="Spain"/>
    <s v="40.416775"/>
    <s v="-3.703790"/>
    <s v="Banking and Finance"/>
    <s v="Small (11-200)"/>
    <s v="Laura Thompson"/>
    <d v="2024-02-03T00:00:00"/>
    <s v="SAAS"/>
    <x v="5"/>
    <x v="5"/>
    <m/>
    <m/>
    <n v="992"/>
    <n v="30"/>
    <d v="2024-09-04T00:00:00"/>
    <m/>
  </r>
  <r>
    <x v="1980"/>
    <s v="Austria"/>
    <s v="48.210033"/>
    <s v="16.363449"/>
    <s v="Banking and Finance"/>
    <s v="Small (11-200)"/>
    <s v="Kevin Anderson"/>
    <d v="2024-05-24T00:00:00"/>
    <s v="Services"/>
    <x v="5"/>
    <x v="5"/>
    <m/>
    <m/>
    <n v="1488"/>
    <n v="40"/>
    <d v="2024-08-02T00:00:00"/>
    <m/>
  </r>
  <r>
    <x v="1981"/>
    <s v="Netherlands"/>
    <s v="52.370216"/>
    <s v="4.895168"/>
    <s v="Professional Services  &amp; Consulting"/>
    <s v="Small (11-200)"/>
    <s v="Kevin Anderson"/>
    <d v="2024-01-27T00:00:00"/>
    <s v="SAAS"/>
    <x v="5"/>
    <x v="5"/>
    <m/>
    <m/>
    <n v="1636"/>
    <n v="20"/>
    <d v="2024-04-17T00:00:00"/>
    <m/>
  </r>
  <r>
    <x v="1982"/>
    <s v="Italy"/>
    <s v="41.902782"/>
    <s v="12.496366"/>
    <s v="IT &amp; IT Services"/>
    <s v="Small (11-200)"/>
    <s v="Sarah Davis"/>
    <d v="2024-03-01T00:00:00"/>
    <s v="Custom solution"/>
    <x v="5"/>
    <x v="5"/>
    <m/>
    <m/>
    <n v="296"/>
    <n v="40"/>
    <d v="2024-09-14T00:00:00"/>
    <m/>
  </r>
  <r>
    <x v="1983"/>
    <s v="Portugal"/>
    <s v="38.736946"/>
    <s v="-9.142685"/>
    <s v="Government Administration Healthcare"/>
    <s v="Small (11-200)"/>
    <s v="Laura Thompson"/>
    <d v="2024-05-02T00:00:00"/>
    <s v="SAAS"/>
    <x v="5"/>
    <x v="5"/>
    <m/>
    <m/>
    <n v="1927"/>
    <n v="10"/>
    <d v="2024-09-05T00:00:00"/>
    <m/>
  </r>
  <r>
    <x v="1984"/>
    <s v="Italy"/>
    <s v="41.902782"/>
    <s v="12.496366"/>
    <s v="Transportation &amp; Logistics"/>
    <s v="Small (11-200)"/>
    <s v="Laura Thompson"/>
    <d v="2024-04-23T00:00:00"/>
    <s v="Services"/>
    <x v="5"/>
    <x v="5"/>
    <m/>
    <m/>
    <n v="1958"/>
    <n v="50"/>
    <d v="2025-04-07T00:00:00"/>
    <m/>
  </r>
  <r>
    <x v="1985"/>
    <s v="Germany"/>
    <s v="52.520008"/>
    <s v="13.404954"/>
    <s v="Agriculture &amp; Mining"/>
    <s v="Small (11-200)"/>
    <s v="David Wilson"/>
    <d v="2024-03-12T00:00:00"/>
    <s v="SAAS"/>
    <x v="5"/>
    <x v="5"/>
    <m/>
    <m/>
    <n v="1396"/>
    <n v="10"/>
    <d v="2024-09-09T00:00:00"/>
    <m/>
  </r>
  <r>
    <x v="1986"/>
    <s v="France"/>
    <s v="48.864716"/>
    <s v="2.349014"/>
    <s v="Transportation &amp; Logistics"/>
    <s v="Small (11-200)"/>
    <s v="Kevin Anderson"/>
    <d v="2024-05-21T00:00:00"/>
    <s v="SAAS"/>
    <x v="5"/>
    <x v="5"/>
    <m/>
    <m/>
    <n v="205"/>
    <n v="20"/>
    <d v="2024-11-07T00:00:00"/>
    <m/>
  </r>
  <r>
    <x v="1987"/>
    <s v="Switzerland"/>
    <s v="46.204391"/>
    <s v="6.143158"/>
    <s v="IT &amp; IT Services"/>
    <s v="Small (11-200)"/>
    <s v="Emily Johnson"/>
    <d v="2024-01-22T00:00:00"/>
    <s v="SAAS"/>
    <x v="5"/>
    <x v="5"/>
    <m/>
    <m/>
    <n v="951"/>
    <n v="100"/>
    <d v="2024-03-02T00:00:00"/>
    <m/>
  </r>
  <r>
    <x v="1988"/>
    <s v="Italy"/>
    <s v="41.902782"/>
    <s v="12.496366"/>
    <s v="Government Administration Healthcare"/>
    <s v="Small (11-200)"/>
    <s v="John Smith"/>
    <d v="2024-01-29T00:00:00"/>
    <s v="SAAS"/>
    <x v="5"/>
    <x v="5"/>
    <m/>
    <m/>
    <n v="271"/>
    <n v="80"/>
    <d v="2024-10-04T00:00:00"/>
    <m/>
  </r>
  <r>
    <x v="1989"/>
    <s v="Italy"/>
    <s v="41.902782"/>
    <s v="12.496366"/>
    <s v="Construction &amp; Engineering"/>
    <s v="Small (11-200)"/>
    <s v="Laura Thompson"/>
    <d v="2024-03-29T00:00:00"/>
    <s v="Services"/>
    <x v="5"/>
    <x v="5"/>
    <m/>
    <m/>
    <n v="740"/>
    <n v="30"/>
    <d v="2024-12-06T00:00:00"/>
    <m/>
  </r>
  <r>
    <x v="1990"/>
    <s v="Germany"/>
    <s v="52.520008"/>
    <s v="13.404954"/>
    <s v="Telecommunications"/>
    <s v="Small (11-200)"/>
    <s v="Emily Johnson"/>
    <d v="2024-05-11T00:00:00"/>
    <s v="SAAS"/>
    <x v="5"/>
    <x v="5"/>
    <m/>
    <m/>
    <n v="1520"/>
    <n v="40"/>
    <d v="2025-05-07T00:00:00"/>
    <m/>
  </r>
  <r>
    <x v="1991"/>
    <s v="Belgium"/>
    <s v="51.260197"/>
    <s v="4.402771"/>
    <s v="Professional Services  &amp; Consulting"/>
    <s v="Small (11-200)"/>
    <s v="Laura Thompson"/>
    <d v="2024-04-02T00:00:00"/>
    <s v="Services"/>
    <x v="5"/>
    <x v="5"/>
    <m/>
    <m/>
    <n v="774"/>
    <n v="20"/>
    <d v="2024-05-22T00:00:00"/>
    <m/>
  </r>
  <r>
    <x v="1992"/>
    <s v="Italy"/>
    <s v="41.902782"/>
    <s v="12.496366"/>
    <s v="IT &amp; IT Services"/>
    <s v="Small (11-200)"/>
    <s v="Michael Brown"/>
    <d v="2024-01-12T00:00:00"/>
    <s v="SAAS"/>
    <x v="5"/>
    <x v="5"/>
    <m/>
    <m/>
    <n v="373"/>
    <n v="70"/>
    <d v="2024-12-10T00:00:00"/>
    <m/>
  </r>
  <r>
    <x v="1993"/>
    <s v="Spain"/>
    <s v="40.416775"/>
    <s v="-3.703790"/>
    <s v="Recreation &amp; Sports"/>
    <s v="Small (11-200)"/>
    <s v="Jessica Martinez"/>
    <d v="2024-02-07T00:00:00"/>
    <s v="Services"/>
    <x v="5"/>
    <x v="5"/>
    <m/>
    <m/>
    <n v="1382"/>
    <n v="40"/>
    <d v="2024-09-06T00:00:00"/>
    <m/>
  </r>
  <r>
    <x v="1994"/>
    <s v="Italy"/>
    <s v="41.902782"/>
    <s v="12.496366"/>
    <s v="Construction &amp; Engineering"/>
    <s v="Small (11-200)"/>
    <s v="John Smith"/>
    <d v="2024-01-31T00:00:00"/>
    <s v="Custom solution"/>
    <x v="5"/>
    <x v="5"/>
    <m/>
    <m/>
    <n v="1247"/>
    <n v="30"/>
    <d v="2025-01-13T00:00:00"/>
    <m/>
  </r>
  <r>
    <x v="1995"/>
    <s v="France"/>
    <s v="48.864716"/>
    <s v="2.349014"/>
    <s v="Professional Services  &amp; Consulting"/>
    <s v="Small (11-200)"/>
    <s v="Sarah Davis"/>
    <d v="2024-01-22T00:00:00"/>
    <s v="Services"/>
    <x v="5"/>
    <x v="5"/>
    <m/>
    <m/>
    <n v="1780"/>
    <n v="40"/>
    <d v="2025-01-02T00:00:00"/>
    <m/>
  </r>
  <r>
    <x v="1996"/>
    <s v="Switzerland"/>
    <s v="46.204391"/>
    <s v="6.143158"/>
    <s v="IT &amp; IT Services"/>
    <s v="Small (11-200)"/>
    <s v="John Smith"/>
    <d v="2024-03-24T00:00:00"/>
    <s v="Services"/>
    <x v="5"/>
    <x v="5"/>
    <m/>
    <m/>
    <n v="1589"/>
    <n v="10"/>
    <d v="2024-11-28T00:00:00"/>
    <m/>
  </r>
  <r>
    <x v="1997"/>
    <s v="Italy"/>
    <s v="41.902782"/>
    <s v="12.496366"/>
    <s v="Telecommunications"/>
    <s v="Small (11-200)"/>
    <s v="David Wilson"/>
    <d v="2024-02-29T00:00:00"/>
    <s v="SAAS"/>
    <x v="5"/>
    <x v="5"/>
    <m/>
    <m/>
    <n v="303"/>
    <n v="20"/>
    <d v="2024-12-30T00:00:00"/>
    <m/>
  </r>
  <r>
    <x v="1998"/>
    <s v="Netherlands"/>
    <s v="52.370216"/>
    <s v="4.895168"/>
    <s v="Banking and Finance"/>
    <s v="Small (11-200)"/>
    <s v="Laura Thompson"/>
    <d v="2024-02-23T00:00:00"/>
    <s v="SAAS"/>
    <x v="5"/>
    <x v="5"/>
    <m/>
    <m/>
    <n v="348"/>
    <n v="20"/>
    <d v="2024-07-06T00:00:00"/>
    <m/>
  </r>
  <r>
    <x v="1999"/>
    <s v="Portugal"/>
    <s v="38.736946"/>
    <s v="-9.142685"/>
    <s v="IT &amp; IT Services"/>
    <s v="Small (11-200)"/>
    <s v="Laura Thompson"/>
    <d v="2024-02-08T00:00:00"/>
    <s v="SAAS"/>
    <x v="5"/>
    <x v="5"/>
    <m/>
    <m/>
    <n v="1908"/>
    <n v="40"/>
    <d v="2024-04-17T00:00:00"/>
    <m/>
  </r>
  <r>
    <x v="2000"/>
    <s v="Germany"/>
    <s v="52.520008"/>
    <s v="13.404954"/>
    <s v="Banking and Finance"/>
    <s v="Small (11-200)"/>
    <s v="John Smith"/>
    <d v="2024-01-06T00:00:00"/>
    <s v="Services"/>
    <x v="5"/>
    <x v="5"/>
    <m/>
    <m/>
    <n v="433"/>
    <n v="50"/>
    <d v="2024-04-11T00:00:00"/>
    <m/>
  </r>
  <r>
    <x v="2001"/>
    <s v="France"/>
    <s v="48.864716"/>
    <s v="2.349014"/>
    <s v="Transportation &amp; Logistics"/>
    <s v="Small (11-200)"/>
    <s v="Kevin Anderson"/>
    <d v="2024-03-26T00:00:00"/>
    <s v="Custom solution"/>
    <x v="5"/>
    <x v="5"/>
    <m/>
    <m/>
    <n v="325"/>
    <n v="40"/>
    <d v="2024-06-18T00:00:00"/>
    <m/>
  </r>
  <r>
    <x v="2002"/>
    <s v="Belgium"/>
    <s v="51.260197"/>
    <s v="4.402771"/>
    <s v="Banking and Finance"/>
    <s v="Small (11-200)"/>
    <s v="Emily Johnson"/>
    <d v="2024-01-29T00:00:00"/>
    <s v="SAAS"/>
    <x v="5"/>
    <x v="5"/>
    <m/>
    <m/>
    <n v="970"/>
    <n v="20"/>
    <d v="2024-11-21T00:00:00"/>
    <m/>
  </r>
  <r>
    <x v="2003"/>
    <s v="Italy"/>
    <s v="41.902782"/>
    <s v="12.496366"/>
    <s v="IT &amp; IT Services"/>
    <s v="Small (11-200)"/>
    <s v="Michael Brown"/>
    <d v="2024-02-26T00:00:00"/>
    <s v="SAAS"/>
    <x v="5"/>
    <x v="5"/>
    <m/>
    <m/>
    <n v="325"/>
    <n v="20"/>
    <d v="2024-06-08T00:00:00"/>
    <m/>
  </r>
  <r>
    <x v="2004"/>
    <s v="Switzerland"/>
    <s v="46.204391"/>
    <s v="6.143158"/>
    <s v="Banking and Finance"/>
    <s v="Small (11-200)"/>
    <s v="Laura Thompson"/>
    <d v="2024-05-19T00:00:00"/>
    <s v="Services"/>
    <x v="5"/>
    <x v="5"/>
    <m/>
    <m/>
    <n v="206"/>
    <n v="20"/>
    <d v="2025-01-15T00:00:00"/>
    <m/>
  </r>
  <r>
    <x v="2005"/>
    <s v="Germany"/>
    <s v="52.520008"/>
    <s v="13.404954"/>
    <s v="Manufacturing &amp; Production"/>
    <s v="Small (11-200)"/>
    <s v="Jessica Martinez"/>
    <d v="2024-01-15T00:00:00"/>
    <s v="Services"/>
    <x v="5"/>
    <x v="5"/>
    <m/>
    <m/>
    <n v="1001"/>
    <n v="50"/>
    <d v="2025-01-03T00:00:00"/>
    <m/>
  </r>
  <r>
    <x v="2006"/>
    <s v="Switzerland"/>
    <s v="46.204391"/>
    <s v="6.143158"/>
    <s v="IT &amp; IT Services"/>
    <s v="Small (11-200)"/>
    <s v="Laura Thompson"/>
    <d v="2024-03-23T00:00:00"/>
    <s v="Services"/>
    <x v="5"/>
    <x v="5"/>
    <m/>
    <m/>
    <n v="842"/>
    <n v="30"/>
    <d v="2024-05-08T00:00:00"/>
    <m/>
  </r>
  <r>
    <x v="2007"/>
    <s v="Germany"/>
    <s v="52.520008"/>
    <s v="13.404954"/>
    <s v="Recreation &amp; Sports"/>
    <s v="Small (11-200)"/>
    <s v="Laura Thompson"/>
    <d v="2024-04-01T00:00:00"/>
    <s v="Services"/>
    <x v="5"/>
    <x v="5"/>
    <m/>
    <m/>
    <n v="300"/>
    <n v="60"/>
    <d v="2025-03-18T00:00:00"/>
    <m/>
  </r>
  <r>
    <x v="2008"/>
    <s v="Italy"/>
    <s v="41.902782"/>
    <s v="12.496366"/>
    <s v="Energy &amp; Utilities"/>
    <s v="Small (11-200)"/>
    <s v="Jessica Martinez"/>
    <d v="2024-01-04T00:00:00"/>
    <s v="Services"/>
    <x v="5"/>
    <x v="5"/>
    <m/>
    <m/>
    <n v="1204"/>
    <n v="50"/>
    <d v="2024-06-10T00:00:00"/>
    <m/>
  </r>
  <r>
    <x v="2009"/>
    <s v="Austria"/>
    <s v="48.210033"/>
    <s v="16.363449"/>
    <s v="Transportation &amp; Logistics"/>
    <s v="Small (11-200)"/>
    <s v="Kevin Anderson"/>
    <d v="2024-05-03T00:00:00"/>
    <s v="SAAS"/>
    <x v="5"/>
    <x v="5"/>
    <m/>
    <m/>
    <n v="1834"/>
    <n v="40"/>
    <d v="2024-11-27T00:00:00"/>
    <m/>
  </r>
  <r>
    <x v="2010"/>
    <s v="Italy"/>
    <s v="41.902782"/>
    <s v="12.496366"/>
    <s v="Professional Services  &amp; Consulting"/>
    <s v="Small (11-200)"/>
    <s v="Sarah Davis"/>
    <d v="2024-05-17T00:00:00"/>
    <s v="Services"/>
    <x v="5"/>
    <x v="5"/>
    <m/>
    <m/>
    <n v="444"/>
    <n v="30"/>
    <d v="2025-05-07T00:00:00"/>
    <m/>
  </r>
  <r>
    <x v="2011"/>
    <s v="France"/>
    <s v="48.864716"/>
    <s v="2.349014"/>
    <s v="IT &amp; IT Services"/>
    <s v="Small (11-200)"/>
    <s v="Sarah Davis"/>
    <d v="2024-02-13T00:00:00"/>
    <s v="Services"/>
    <x v="5"/>
    <x v="5"/>
    <m/>
    <m/>
    <n v="1107"/>
    <n v="20"/>
    <d v="2024-10-19T00:00:00"/>
    <m/>
  </r>
  <r>
    <x v="2012"/>
    <s v="Italy"/>
    <s v="41.902782"/>
    <s v="12.496366"/>
    <s v="Education &amp; Science"/>
    <s v="Small (11-200)"/>
    <s v="Michael Brown"/>
    <d v="2024-03-07T00:00:00"/>
    <s v="Services"/>
    <x v="5"/>
    <x v="5"/>
    <m/>
    <m/>
    <n v="322"/>
    <n v="50"/>
    <d v="2024-09-16T00:00:00"/>
    <m/>
  </r>
  <r>
    <x v="2013"/>
    <s v="Portugal"/>
    <s v="38.736946"/>
    <s v="-9.142685"/>
    <s v="Government Administration Healthcare"/>
    <s v="Small (11-200)"/>
    <s v="Michael Brown"/>
    <d v="2024-02-11T00:00:00"/>
    <s v="Custom solution"/>
    <x v="5"/>
    <x v="5"/>
    <m/>
    <m/>
    <n v="1872"/>
    <n v="100"/>
    <d v="2024-12-15T00:00:00"/>
    <m/>
  </r>
  <r>
    <x v="2014"/>
    <s v="Belgium"/>
    <s v="51.260197"/>
    <s v="4.402771"/>
    <s v="Transportation &amp; Logistics"/>
    <s v="Small (11-200)"/>
    <s v="Michael Brown"/>
    <d v="2024-05-04T00:00:00"/>
    <s v="SAAS"/>
    <x v="5"/>
    <x v="5"/>
    <m/>
    <m/>
    <n v="1774"/>
    <n v="90"/>
    <d v="2024-12-26T00:00:00"/>
    <m/>
  </r>
  <r>
    <x v="2015"/>
    <s v="France"/>
    <s v="48.864716"/>
    <s v="2.349014"/>
    <s v="Recreation &amp; Sports"/>
    <s v="Small (11-200)"/>
    <s v="Jessica Martinez"/>
    <d v="2024-03-26T00:00:00"/>
    <s v="SAAS"/>
    <x v="5"/>
    <x v="5"/>
    <m/>
    <m/>
    <n v="1981"/>
    <n v="30"/>
    <d v="2025-03-01T00:00:00"/>
    <m/>
  </r>
  <r>
    <x v="2016"/>
    <s v="Portugal"/>
    <s v="38.736946"/>
    <s v="-9.142685"/>
    <s v="Manufacturing &amp; Production"/>
    <s v="Small (11-200)"/>
    <s v="Laura Thompson"/>
    <d v="2024-01-27T00:00:00"/>
    <s v="Custom solution"/>
    <x v="5"/>
    <x v="5"/>
    <m/>
    <m/>
    <n v="1478"/>
    <n v="20"/>
    <d v="2024-05-30T00:00:00"/>
    <m/>
  </r>
  <r>
    <x v="2017"/>
    <s v="Germany"/>
    <s v="52.520008"/>
    <s v="13.404954"/>
    <s v="Professional Services  &amp; Consulting"/>
    <s v="Small (11-200)"/>
    <s v="David Wilson"/>
    <d v="2024-02-21T00:00:00"/>
    <s v="Custom solution"/>
    <x v="5"/>
    <x v="5"/>
    <m/>
    <m/>
    <n v="1199"/>
    <n v="40"/>
    <d v="2024-11-08T00:00:00"/>
    <m/>
  </r>
  <r>
    <x v="2018"/>
    <s v="Germany"/>
    <s v="52.520008"/>
    <s v="13.404954"/>
    <s v="Banking and Finance"/>
    <s v="Small (11-200)"/>
    <s v="Emily Johnson"/>
    <d v="2024-01-08T00:00:00"/>
    <s v="SAAS"/>
    <x v="5"/>
    <x v="5"/>
    <m/>
    <m/>
    <n v="1042"/>
    <n v="20"/>
    <d v="2024-03-26T00:00:00"/>
    <m/>
  </r>
  <r>
    <x v="2019"/>
    <s v="Germany"/>
    <s v="52.520008"/>
    <s v="13.404954"/>
    <s v="IT &amp; IT Services"/>
    <s v="Small (11-200)"/>
    <s v="Kevin Anderson"/>
    <d v="2024-05-14T00:00:00"/>
    <s v="SAAS"/>
    <x v="5"/>
    <x v="5"/>
    <m/>
    <m/>
    <n v="299"/>
    <n v="40"/>
    <d v="2025-03-06T00:00:00"/>
    <m/>
  </r>
  <r>
    <x v="2020"/>
    <s v="Switzerland"/>
    <s v="46.204391"/>
    <s v="6.143158"/>
    <s v="Government Administration Healthcare"/>
    <s v="Small (11-200)"/>
    <s v="Jessica Martinez"/>
    <d v="2024-01-21T00:00:00"/>
    <s v="SAAS"/>
    <x v="5"/>
    <x v="5"/>
    <m/>
    <m/>
    <n v="1361"/>
    <n v="100"/>
    <d v="2024-07-05T00:00:00"/>
    <m/>
  </r>
  <r>
    <x v="2021"/>
    <s v="Switzerland"/>
    <s v="46.204391"/>
    <s v="6.143158"/>
    <s v="IT &amp; IT Services"/>
    <s v="Small (11-200)"/>
    <s v="Michael Brown"/>
    <d v="2024-01-23T00:00:00"/>
    <s v="Services"/>
    <x v="5"/>
    <x v="5"/>
    <m/>
    <m/>
    <n v="1946"/>
    <n v="90"/>
    <d v="2024-03-18T00:00:00"/>
    <m/>
  </r>
  <r>
    <x v="2022"/>
    <s v="Portugal"/>
    <s v="38.736946"/>
    <s v="-9.142685"/>
    <s v="Telecommunications"/>
    <s v="Small (11-200)"/>
    <s v="Laura Thompson"/>
    <d v="2024-02-09T00:00:00"/>
    <s v="Custom solution"/>
    <x v="5"/>
    <x v="5"/>
    <m/>
    <m/>
    <n v="1528"/>
    <n v="50"/>
    <d v="2024-09-20T00:00:00"/>
    <m/>
  </r>
  <r>
    <x v="2023"/>
    <s v="Italy"/>
    <s v="41.902782"/>
    <s v="12.496366"/>
    <s v="Transportation &amp; Logistics"/>
    <s v="Small (11-200)"/>
    <s v="Laura Thompson"/>
    <d v="2024-03-29T00:00:00"/>
    <s v="SAAS"/>
    <x v="5"/>
    <x v="5"/>
    <m/>
    <m/>
    <n v="1513"/>
    <n v="50"/>
    <d v="2025-03-25T00:00:00"/>
    <m/>
  </r>
  <r>
    <x v="2024"/>
    <s v="Italy"/>
    <s v="41.902782"/>
    <s v="12.496366"/>
    <s v="Telecommunications"/>
    <s v="Small (11-200)"/>
    <s v="Laura Thompson"/>
    <d v="2024-01-20T00:00:00"/>
    <s v="Services"/>
    <x v="5"/>
    <x v="5"/>
    <m/>
    <m/>
    <n v="1901"/>
    <n v="10"/>
    <d v="2024-04-18T00:00:00"/>
    <m/>
  </r>
  <r>
    <x v="2025"/>
    <s v="France"/>
    <s v="48.864716"/>
    <s v="2.349014"/>
    <s v="Retail &amp; Distribution"/>
    <s v="Small (11-200)"/>
    <s v="Laura Thompson"/>
    <d v="2024-04-30T00:00:00"/>
    <s v="Custom solution"/>
    <x v="5"/>
    <x v="5"/>
    <m/>
    <m/>
    <n v="1584"/>
    <n v="60"/>
    <d v="2024-11-25T00:00:00"/>
    <m/>
  </r>
  <r>
    <x v="2026"/>
    <s v="Italy"/>
    <s v="41.902782"/>
    <s v="12.496366"/>
    <s v="Transportation &amp; Logistics"/>
    <s v="Small (11-200)"/>
    <s v="Michael Brown"/>
    <d v="2024-03-29T00:00:00"/>
    <s v="Services"/>
    <x v="5"/>
    <x v="5"/>
    <m/>
    <m/>
    <n v="226"/>
    <n v="20"/>
    <d v="2025-03-24T00:00:00"/>
    <m/>
  </r>
  <r>
    <x v="2027"/>
    <s v="Italy"/>
    <s v="41.902782"/>
    <s v="12.496366"/>
    <s v="Professional Services  &amp; Consulting"/>
    <s v="Small (11-200)"/>
    <s v="Laura Thompson"/>
    <d v="2024-03-26T00:00:00"/>
    <s v="Custom solution"/>
    <x v="5"/>
    <x v="5"/>
    <m/>
    <m/>
    <n v="383"/>
    <n v="30"/>
    <d v="2024-07-30T00:00:00"/>
    <m/>
  </r>
  <r>
    <x v="2028"/>
    <s v="Portugal"/>
    <s v="38.736946"/>
    <s v="-9.142685"/>
    <s v="Professional Services  &amp; Consulting"/>
    <s v="Small (11-200)"/>
    <s v="Emily Johnson"/>
    <d v="2024-02-13T00:00:00"/>
    <s v="SAAS"/>
    <x v="5"/>
    <x v="5"/>
    <m/>
    <m/>
    <n v="728"/>
    <n v="60"/>
    <d v="2024-06-06T00:00:00"/>
    <m/>
  </r>
  <r>
    <x v="2029"/>
    <s v="Spain"/>
    <s v="40.416775"/>
    <s v="-3.703790"/>
    <s v="Transportation &amp; Logistics"/>
    <s v="Small (11-200)"/>
    <s v="Emily Johnson"/>
    <d v="2024-02-05T00:00:00"/>
    <s v="Services"/>
    <x v="5"/>
    <x v="5"/>
    <m/>
    <m/>
    <n v="258"/>
    <n v="30"/>
    <d v="2025-01-30T00:00:00"/>
    <m/>
  </r>
  <r>
    <x v="2030"/>
    <s v="Portugal"/>
    <s v="38.736946"/>
    <s v="-9.142685"/>
    <s v="Education &amp; Science"/>
    <s v="Small (11-200)"/>
    <s v="Laura Thompson"/>
    <d v="2024-03-22T00:00:00"/>
    <s v="Services"/>
    <x v="5"/>
    <x v="5"/>
    <m/>
    <m/>
    <n v="466"/>
    <n v="30"/>
    <d v="2024-11-15T00:00:00"/>
    <m/>
  </r>
  <r>
    <x v="2031"/>
    <s v="Portugal"/>
    <s v="38.736946"/>
    <s v="-9.142685"/>
    <s v="Manufacturing &amp; Production"/>
    <s v="Small (11-200)"/>
    <s v="Jessica Martinez"/>
    <d v="2024-05-06T00:00:00"/>
    <s v="SAAS"/>
    <x v="5"/>
    <x v="5"/>
    <m/>
    <m/>
    <n v="1459"/>
    <n v="80"/>
    <d v="2024-08-22T00:00:00"/>
    <m/>
  </r>
  <r>
    <x v="2032"/>
    <s v="France"/>
    <s v="48.864716"/>
    <s v="2.349014"/>
    <s v="IT &amp; IT Services"/>
    <s v="Small (11-200)"/>
    <s v="Kevin Anderson"/>
    <d v="2024-02-20T00:00:00"/>
    <s v="SAAS"/>
    <x v="5"/>
    <x v="5"/>
    <m/>
    <m/>
    <n v="568"/>
    <n v="100"/>
    <d v="2024-12-23T00:00:00"/>
    <m/>
  </r>
  <r>
    <x v="2033"/>
    <s v="Austria"/>
    <s v="48.210033"/>
    <s v="16.363449"/>
    <s v="Government Administration Healthcare"/>
    <s v="Small (11-200)"/>
    <s v="Jessica Martinez"/>
    <d v="2024-01-27T00:00:00"/>
    <s v="SAAS"/>
    <x v="5"/>
    <x v="5"/>
    <m/>
    <m/>
    <n v="1826"/>
    <n v="30"/>
    <d v="2024-06-01T00:00:00"/>
    <m/>
  </r>
  <r>
    <x v="2034"/>
    <s v="Germany"/>
    <s v="52.520008"/>
    <s v="13.404954"/>
    <s v="Banking and Finance"/>
    <s v="Small (11-200)"/>
    <s v="John Smith"/>
    <d v="2024-02-03T00:00:00"/>
    <s v="SAAS"/>
    <x v="5"/>
    <x v="5"/>
    <m/>
    <m/>
    <n v="1939"/>
    <n v="70"/>
    <d v="2024-08-11T00:00:00"/>
    <m/>
  </r>
  <r>
    <x v="2035"/>
    <s v="Italy"/>
    <s v="41.902782"/>
    <s v="12.496366"/>
    <s v="IT &amp; IT Services"/>
    <s v="Small (11-200)"/>
    <s v="Laura Thompson"/>
    <d v="2024-05-24T00:00:00"/>
    <s v="Custom solution"/>
    <x v="5"/>
    <x v="5"/>
    <m/>
    <m/>
    <n v="1039"/>
    <n v="40"/>
    <d v="2024-12-15T00:00:00"/>
    <m/>
  </r>
  <r>
    <x v="2036"/>
    <s v="Italy"/>
    <s v="41.902782"/>
    <s v="12.496366"/>
    <s v="Banking and Finance"/>
    <s v="Small (11-200)"/>
    <s v="Laura Thompson"/>
    <d v="2024-02-29T00:00:00"/>
    <s v="SAAS"/>
    <x v="5"/>
    <x v="5"/>
    <m/>
    <m/>
    <n v="247"/>
    <n v="30"/>
    <d v="2024-10-23T00:00:00"/>
    <m/>
  </r>
  <r>
    <x v="2037"/>
    <s v="France"/>
    <s v="48.864716"/>
    <s v="2.349014"/>
    <s v="Transportation &amp; Logistics"/>
    <s v="Small (11-200)"/>
    <s v="Laura Thompson"/>
    <d v="2024-05-23T00:00:00"/>
    <s v="Custom solution"/>
    <x v="5"/>
    <x v="5"/>
    <m/>
    <m/>
    <n v="274"/>
    <n v="20"/>
    <d v="2025-01-13T00:00:00"/>
    <m/>
  </r>
  <r>
    <x v="2038"/>
    <s v="Italy"/>
    <s v="41.902782"/>
    <s v="12.496366"/>
    <s v="Construction &amp; Engineering"/>
    <s v="Small (11-200)"/>
    <s v="Laura Thompson"/>
    <d v="2024-03-27T00:00:00"/>
    <s v="Custom solution"/>
    <x v="5"/>
    <x v="5"/>
    <m/>
    <m/>
    <n v="686"/>
    <n v="90"/>
    <d v="2024-08-15T00:00:00"/>
    <m/>
  </r>
  <r>
    <x v="2039"/>
    <s v="Germany"/>
    <s v="52.520008"/>
    <s v="13.404954"/>
    <s v="Recreation &amp; Sports"/>
    <s v="Small (11-200)"/>
    <s v="Emily Johnson"/>
    <d v="2024-01-28T00:00:00"/>
    <s v="Services"/>
    <x v="5"/>
    <x v="5"/>
    <m/>
    <m/>
    <n v="1568"/>
    <n v="20"/>
    <d v="2024-04-21T00:00:00"/>
    <m/>
  </r>
  <r>
    <x v="2040"/>
    <s v="Germany"/>
    <s v="52.520008"/>
    <s v="13.404954"/>
    <s v="Transportation &amp; Logistics"/>
    <s v="Small (11-200)"/>
    <s v="Laura Thompson"/>
    <d v="2024-01-08T00:00:00"/>
    <s v="Services"/>
    <x v="5"/>
    <x v="5"/>
    <m/>
    <m/>
    <n v="1191"/>
    <n v="80"/>
    <d v="2024-07-06T00:00:00"/>
    <m/>
  </r>
  <r>
    <x v="2041"/>
    <s v="Austria"/>
    <s v="48.210033"/>
    <s v="16.363449"/>
    <s v="Transportation &amp; Logistics"/>
    <s v="Small (11-200)"/>
    <s v="Emily Johnson"/>
    <d v="2024-03-30T00:00:00"/>
    <s v="Services"/>
    <x v="5"/>
    <x v="5"/>
    <m/>
    <m/>
    <n v="386"/>
    <n v="50"/>
    <d v="2025-01-21T00:00:00"/>
    <m/>
  </r>
  <r>
    <x v="2042"/>
    <s v="Germany"/>
    <s v="52.520008"/>
    <s v="13.404954"/>
    <s v="IT &amp; IT Services"/>
    <s v="Small (11-200)"/>
    <s v="Jessica Martinez"/>
    <d v="2024-01-02T00:00:00"/>
    <s v="Services"/>
    <x v="5"/>
    <x v="5"/>
    <m/>
    <m/>
    <n v="535"/>
    <n v="20"/>
    <d v="2024-08-23T00:00:00"/>
    <m/>
  </r>
  <r>
    <x v="2043"/>
    <s v="Switzerland"/>
    <s v="46.204391"/>
    <s v="6.143158"/>
    <s v="Manufacturing &amp; Production"/>
    <s v="Small (11-200)"/>
    <s v="Laura Thompson"/>
    <d v="2024-04-22T00:00:00"/>
    <s v="Custom solution"/>
    <x v="5"/>
    <x v="5"/>
    <m/>
    <m/>
    <n v="1832"/>
    <n v="50"/>
    <d v="2025-03-11T00:00:00"/>
    <m/>
  </r>
  <r>
    <x v="2044"/>
    <s v="Portugal"/>
    <s v="38.736946"/>
    <s v="-9.142685"/>
    <s v="Construction &amp; Engineering"/>
    <s v="Small (11-200)"/>
    <s v="Michael Brown"/>
    <d v="2024-03-20T00:00:00"/>
    <s v="Services"/>
    <x v="5"/>
    <x v="5"/>
    <m/>
    <m/>
    <n v="1175"/>
    <n v="40"/>
    <d v="2024-04-26T00:00:00"/>
    <m/>
  </r>
  <r>
    <x v="2045"/>
    <s v="Germany"/>
    <s v="52.520008"/>
    <s v="13.404954"/>
    <s v="Telecommunications"/>
    <s v="Small (11-200)"/>
    <s v="Jessica Martinez"/>
    <d v="2024-05-13T00:00:00"/>
    <s v="Services"/>
    <x v="5"/>
    <x v="5"/>
    <m/>
    <m/>
    <n v="894"/>
    <n v="50"/>
    <d v="2024-11-12T00:00:00"/>
    <m/>
  </r>
  <r>
    <x v="2046"/>
    <s v="Switzerland"/>
    <s v="46.204391"/>
    <s v="6.143158"/>
    <s v="IT &amp; IT Services"/>
    <s v="Small (11-200)"/>
    <s v="Emily Johnson"/>
    <d v="2024-05-12T00:00:00"/>
    <s v="SAAS"/>
    <x v="5"/>
    <x v="5"/>
    <m/>
    <m/>
    <n v="291"/>
    <n v="50"/>
    <d v="2024-08-27T00:00:00"/>
    <m/>
  </r>
  <r>
    <x v="2047"/>
    <s v="Netherlands"/>
    <s v="52.370216"/>
    <s v="4.895168"/>
    <s v="Manufacturing &amp; Production"/>
    <s v="Small (11-200)"/>
    <s v="Sarah Davis"/>
    <d v="2024-03-03T00:00:00"/>
    <s v="Custom solution"/>
    <x v="5"/>
    <x v="5"/>
    <m/>
    <m/>
    <n v="1118"/>
    <n v="20"/>
    <d v="2024-10-04T00:00:00"/>
    <m/>
  </r>
  <r>
    <x v="2048"/>
    <s v="Italy"/>
    <s v="41.902782"/>
    <s v="12.496366"/>
    <s v="Agriculture &amp; Mining"/>
    <s v="Small (11-200)"/>
    <s v="Emily Johnson"/>
    <d v="2024-05-19T00:00:00"/>
    <s v="Services"/>
    <x v="5"/>
    <x v="5"/>
    <m/>
    <m/>
    <n v="427"/>
    <n v="30"/>
    <d v="2024-12-21T00:00:00"/>
    <m/>
  </r>
  <r>
    <x v="2049"/>
    <s v="Netherlands"/>
    <s v="52.370216"/>
    <s v="4.895168"/>
    <s v="Banking and Finance"/>
    <s v="Small (11-200)"/>
    <s v="Emily Johnson"/>
    <d v="2024-05-28T00:00:00"/>
    <s v="Custom solution"/>
    <x v="5"/>
    <x v="5"/>
    <m/>
    <m/>
    <n v="1236"/>
    <n v="20"/>
    <d v="2025-03-20T00:00:00"/>
    <m/>
  </r>
  <r>
    <x v="2050"/>
    <s v="Switzerland"/>
    <s v="46.204391"/>
    <s v="6.143158"/>
    <s v="Banking and Finance"/>
    <s v="Small (11-200)"/>
    <s v="David Wilson"/>
    <d v="2024-01-18T00:00:00"/>
    <s v="Services"/>
    <x v="5"/>
    <x v="5"/>
    <m/>
    <m/>
    <n v="707"/>
    <n v="100"/>
    <d v="2024-08-03T00:00:00"/>
    <m/>
  </r>
  <r>
    <x v="2051"/>
    <s v="Switzerland"/>
    <s v="46.204391"/>
    <s v="6.143158"/>
    <s v="Government Administration Healthcare"/>
    <s v="Small (11-200)"/>
    <s v="Laura Thompson"/>
    <d v="2024-01-28T00:00:00"/>
    <s v="Custom solution"/>
    <x v="5"/>
    <x v="5"/>
    <m/>
    <m/>
    <n v="420"/>
    <n v="20"/>
    <d v="2024-05-21T00:00:00"/>
    <m/>
  </r>
  <r>
    <x v="2052"/>
    <s v="Belgium"/>
    <s v="51.260197"/>
    <s v="4.402771"/>
    <s v="IT &amp; IT Services"/>
    <s v="Small (11-200)"/>
    <s v="Michael Brown"/>
    <d v="2024-05-26T00:00:00"/>
    <s v="SAAS"/>
    <x v="5"/>
    <x v="5"/>
    <m/>
    <m/>
    <n v="1986"/>
    <n v="60"/>
    <d v="2025-01-30T00:00:00"/>
    <m/>
  </r>
  <r>
    <x v="2053"/>
    <s v="Spain"/>
    <s v="40.416775"/>
    <s v="-3.703790"/>
    <s v="IT &amp; IT Services"/>
    <s v="Small (11-200)"/>
    <s v="Michael Brown"/>
    <d v="2024-04-27T00:00:00"/>
    <s v="SAAS"/>
    <x v="5"/>
    <x v="5"/>
    <m/>
    <m/>
    <n v="901"/>
    <n v="50"/>
    <d v="2024-07-30T00:00:00"/>
    <m/>
  </r>
  <r>
    <x v="2054"/>
    <s v="Portugal"/>
    <s v="38.736946"/>
    <s v="-9.142685"/>
    <s v="IT &amp; IT Services"/>
    <s v="Small (11-200)"/>
    <s v="Sarah Davis"/>
    <d v="2024-05-16T00:00:00"/>
    <s v="Services"/>
    <x v="5"/>
    <x v="5"/>
    <m/>
    <m/>
    <n v="1164"/>
    <n v="60"/>
    <d v="2025-03-30T00:00:00"/>
    <m/>
  </r>
  <r>
    <x v="2055"/>
    <s v="Italy"/>
    <s v="41.902782"/>
    <s v="12.496366"/>
    <s v="Entertainment &amp; Media &amp; Hospitality"/>
    <s v="Small (11-200)"/>
    <s v="Emily Johnson"/>
    <d v="2024-05-21T00:00:00"/>
    <s v="SAAS"/>
    <x v="5"/>
    <x v="5"/>
    <m/>
    <m/>
    <n v="1661"/>
    <n v="40"/>
    <d v="2025-04-06T00:00:00"/>
    <m/>
  </r>
  <r>
    <x v="2056"/>
    <s v="Italy"/>
    <s v="41.902782"/>
    <s v="12.496366"/>
    <s v="Banking and Finance"/>
    <s v="Small (11-200)"/>
    <s v="Michael Brown"/>
    <d v="2024-05-16T00:00:00"/>
    <s v="Services"/>
    <x v="5"/>
    <x v="5"/>
    <m/>
    <m/>
    <n v="1096"/>
    <n v="20"/>
    <d v="2025-01-24T00:00:00"/>
    <m/>
  </r>
  <r>
    <x v="2057"/>
    <s v="France"/>
    <s v="48.864716"/>
    <s v="2.349014"/>
    <s v="IT &amp; IT Services"/>
    <s v="Small (11-200)"/>
    <s v="Emily Johnson"/>
    <d v="2024-02-10T00:00:00"/>
    <s v="Services"/>
    <x v="5"/>
    <x v="5"/>
    <m/>
    <m/>
    <n v="379"/>
    <n v="40"/>
    <d v="2024-11-30T00:00:00"/>
    <m/>
  </r>
  <r>
    <x v="2058"/>
    <s v="Italy"/>
    <s v="41.902782"/>
    <s v="12.496366"/>
    <s v="Education &amp; Science"/>
    <s v="Small (11-200)"/>
    <s v="John Smith"/>
    <d v="2024-04-28T00:00:00"/>
    <s v="SAAS"/>
    <x v="5"/>
    <x v="5"/>
    <m/>
    <m/>
    <n v="1368"/>
    <n v="20"/>
    <d v="2024-10-30T00:00:00"/>
    <m/>
  </r>
  <r>
    <x v="2059"/>
    <s v="Italy"/>
    <s v="41.902782"/>
    <s v="12.496366"/>
    <s v="Energy &amp; Utilities"/>
    <s v="Small (11-200)"/>
    <s v="Jessica Martinez"/>
    <d v="2024-03-26T00:00:00"/>
    <s v="SAAS"/>
    <x v="5"/>
    <x v="5"/>
    <m/>
    <m/>
    <n v="1691"/>
    <n v="60"/>
    <d v="2025-02-23T00:00:00"/>
    <m/>
  </r>
  <r>
    <x v="2060"/>
    <s v="Spain"/>
    <s v="40.416775"/>
    <s v="-3.703790"/>
    <s v="Transportation &amp; Logistics"/>
    <s v="Small (11-200)"/>
    <s v="Emily Johnson"/>
    <d v="2024-05-21T00:00:00"/>
    <s v="Services"/>
    <x v="5"/>
    <x v="5"/>
    <m/>
    <m/>
    <n v="543"/>
    <n v="40"/>
    <d v="2024-12-07T00:00:00"/>
    <m/>
  </r>
  <r>
    <x v="2061"/>
    <s v="Belgium"/>
    <s v="51.260197"/>
    <s v="4.402771"/>
    <s v="IT &amp; IT Services"/>
    <s v="Small (11-200)"/>
    <s v="Emily Johnson"/>
    <d v="2024-01-06T00:00:00"/>
    <s v="SAAS"/>
    <x v="5"/>
    <x v="5"/>
    <m/>
    <m/>
    <n v="231"/>
    <n v="40"/>
    <d v="2024-07-05T00:00:00"/>
    <m/>
  </r>
  <r>
    <x v="2062"/>
    <s v="Italy"/>
    <s v="41.902782"/>
    <s v="12.496366"/>
    <s v="Construction &amp; Engineering"/>
    <s v="Small (11-200)"/>
    <s v="Emily Johnson"/>
    <d v="2024-05-21T00:00:00"/>
    <s v="SAAS"/>
    <x v="5"/>
    <x v="5"/>
    <m/>
    <m/>
    <n v="1295"/>
    <n v="20"/>
    <d v="2024-09-03T00:00:00"/>
    <m/>
  </r>
  <r>
    <x v="2063"/>
    <s v="France"/>
    <s v="48.864716"/>
    <s v="2.349014"/>
    <s v="IT &amp; IT Services"/>
    <s v="Small (11-200)"/>
    <s v="Laura Thompson"/>
    <d v="2024-01-10T00:00:00"/>
    <s v="Custom solution"/>
    <x v="5"/>
    <x v="5"/>
    <m/>
    <m/>
    <n v="730"/>
    <n v="80"/>
    <d v="2024-09-12T00:00:00"/>
    <m/>
  </r>
  <r>
    <x v="2064"/>
    <s v="Portugal"/>
    <s v="38.736946"/>
    <s v="-9.142685"/>
    <s v="Entertainment &amp; Media &amp; Hospitality"/>
    <s v="Small (11-200)"/>
    <s v="John Smith"/>
    <d v="2024-01-09T00:00:00"/>
    <s v="Custom solution"/>
    <x v="5"/>
    <x v="5"/>
    <m/>
    <m/>
    <n v="1201"/>
    <n v="20"/>
    <d v="2024-07-30T00:00:00"/>
    <m/>
  </r>
  <r>
    <x v="2065"/>
    <s v="Italy"/>
    <s v="41.902782"/>
    <s v="12.496366"/>
    <s v="Retail &amp; Distribution"/>
    <s v="Small (11-200)"/>
    <s v="Jessica Martinez"/>
    <d v="2024-02-12T00:00:00"/>
    <s v="SAAS"/>
    <x v="5"/>
    <x v="5"/>
    <m/>
    <m/>
    <n v="1687"/>
    <n v="90"/>
    <d v="2025-02-06T00:00:00"/>
    <m/>
  </r>
  <r>
    <x v="2066"/>
    <s v="Portugal"/>
    <s v="38.736946"/>
    <s v="-9.142685"/>
    <s v="Agriculture &amp; Mining"/>
    <s v="Small (11-200)"/>
    <s v="Jessica Martinez"/>
    <d v="2024-05-28T00:00:00"/>
    <s v="Services"/>
    <x v="5"/>
    <x v="5"/>
    <m/>
    <m/>
    <n v="822"/>
    <n v="30"/>
    <d v="2025-04-30T00:00:00"/>
    <m/>
  </r>
  <r>
    <x v="2067"/>
    <s v="Spain"/>
    <s v="40.416775"/>
    <s v="-3.703790"/>
    <s v="Energy &amp; Utilities"/>
    <s v="Small (11-200)"/>
    <s v="David Wilson"/>
    <d v="2024-03-05T00:00:00"/>
    <s v="SAAS"/>
    <x v="5"/>
    <x v="5"/>
    <m/>
    <m/>
    <n v="1008"/>
    <n v="30"/>
    <d v="2025-01-04T00:00:00"/>
    <m/>
  </r>
  <r>
    <x v="2068"/>
    <s v="Portugal"/>
    <s v="38.736946"/>
    <s v="-9.142685"/>
    <s v="Manufacturing &amp; Production"/>
    <s v="Small (11-200)"/>
    <s v="Laura Thompson"/>
    <d v="2024-04-15T00:00:00"/>
    <s v="SAAS"/>
    <x v="5"/>
    <x v="5"/>
    <m/>
    <m/>
    <n v="1973"/>
    <n v="30"/>
    <d v="2024-11-21T00:00:00"/>
    <m/>
  </r>
  <r>
    <x v="2069"/>
    <s v="France"/>
    <s v="48.864716"/>
    <s v="2.349014"/>
    <s v="Energy &amp; Utilities"/>
    <s v="Small (11-200)"/>
    <s v="Emily Johnson"/>
    <d v="2024-04-26T00:00:00"/>
    <s v="Services"/>
    <x v="5"/>
    <x v="5"/>
    <m/>
    <m/>
    <n v="1811"/>
    <n v="50"/>
    <d v="2025-03-25T00:00:00"/>
    <m/>
  </r>
  <r>
    <x v="2070"/>
    <s v="Portugal"/>
    <s v="38.736946"/>
    <s v="-9.142685"/>
    <s v="Professional Services  &amp; Consulting"/>
    <s v="Small (11-200)"/>
    <s v="Emily Johnson"/>
    <d v="2024-01-10T00:00:00"/>
    <s v="Custom solution"/>
    <x v="5"/>
    <x v="5"/>
    <m/>
    <m/>
    <n v="934"/>
    <n v="40"/>
    <d v="2024-04-04T00:00:00"/>
    <m/>
  </r>
  <r>
    <x v="2071"/>
    <s v="Germany"/>
    <s v="52.520008"/>
    <s v="13.404954"/>
    <s v="Transportation &amp; Logistics"/>
    <s v="Small (11-200)"/>
    <s v="John Smith"/>
    <d v="2024-05-24T00:00:00"/>
    <s v="Custom solution"/>
    <x v="5"/>
    <x v="5"/>
    <m/>
    <m/>
    <n v="262"/>
    <n v="90"/>
    <d v="2024-09-24T00:00:00"/>
    <m/>
  </r>
  <r>
    <x v="2072"/>
    <s v="Germany"/>
    <s v="52.520008"/>
    <s v="13.404954"/>
    <s v="IT &amp; IT Services"/>
    <s v="Small (11-200)"/>
    <s v="Kevin Anderson"/>
    <d v="2024-01-15T00:00:00"/>
    <s v="Custom solution"/>
    <x v="5"/>
    <x v="5"/>
    <m/>
    <m/>
    <n v="879"/>
    <n v="90"/>
    <d v="2025-01-02T00:00:00"/>
    <m/>
  </r>
  <r>
    <x v="2073"/>
    <s v="France"/>
    <s v="48.864716"/>
    <s v="2.349014"/>
    <s v="Agriculture &amp; Mining"/>
    <s v="Small (11-200)"/>
    <s v="Sarah Davis"/>
    <d v="2024-04-20T00:00:00"/>
    <s v="SAAS"/>
    <x v="5"/>
    <x v="5"/>
    <m/>
    <m/>
    <n v="1305"/>
    <n v="50"/>
    <d v="2025-02-01T00:00:00"/>
    <m/>
  </r>
  <r>
    <x v="2074"/>
    <s v="Portugal"/>
    <s v="38.736946"/>
    <s v="-9.142685"/>
    <s v="Professional Services  &amp; Consulting"/>
    <s v="Small (11-200)"/>
    <s v="Sarah Davis"/>
    <d v="2024-05-20T00:00:00"/>
    <s v="Services"/>
    <x v="5"/>
    <x v="5"/>
    <m/>
    <m/>
    <n v="1704"/>
    <n v="100"/>
    <d v="2024-11-17T00:00:00"/>
    <m/>
  </r>
  <r>
    <x v="2075"/>
    <s v="France"/>
    <s v="48.864716"/>
    <s v="2.349014"/>
    <s v="Construction &amp; Engineering"/>
    <s v="Small (11-200)"/>
    <s v="Emily Johnson"/>
    <d v="2024-05-06T00:00:00"/>
    <s v="SAAS"/>
    <x v="5"/>
    <x v="5"/>
    <m/>
    <m/>
    <n v="261"/>
    <n v="40"/>
    <d v="2024-07-04T00:00:00"/>
    <m/>
  </r>
  <r>
    <x v="2076"/>
    <s v="Netherlands"/>
    <s v="52.370216"/>
    <s v="4.895168"/>
    <s v="Government Administration Healthcare"/>
    <s v="Small (11-200)"/>
    <s v="Laura Thompson"/>
    <d v="2024-02-02T00:00:00"/>
    <s v="Custom solution"/>
    <x v="5"/>
    <x v="5"/>
    <m/>
    <m/>
    <n v="1268"/>
    <n v="20"/>
    <d v="2024-09-12T00:00:00"/>
    <m/>
  </r>
  <r>
    <x v="2077"/>
    <s v="Belgium"/>
    <s v="51.260197"/>
    <s v="4.402771"/>
    <s v="IT &amp; IT Services"/>
    <s v="Micro (1-10)"/>
    <s v="Michael Brown"/>
    <d v="2024-04-19T00:00:00"/>
    <s v="SAAS"/>
    <x v="5"/>
    <x v="5"/>
    <m/>
    <m/>
    <n v="327"/>
    <n v="40"/>
    <d v="2025-03-20T00:00:00"/>
    <m/>
  </r>
  <r>
    <x v="2078"/>
    <s v="Portugal"/>
    <s v="38.736946"/>
    <s v="-9.142685"/>
    <s v="Recreation &amp; Sports"/>
    <s v="Micro (1-10)"/>
    <s v="Sarah Davis"/>
    <d v="2024-03-10T00:00:00"/>
    <s v="Custom solution"/>
    <x v="5"/>
    <x v="5"/>
    <m/>
    <m/>
    <n v="911"/>
    <n v="40"/>
    <d v="2025-01-30T00:00:00"/>
    <m/>
  </r>
  <r>
    <x v="2079"/>
    <s v="France"/>
    <s v="48.864716"/>
    <s v="2.349014"/>
    <s v="Transportation &amp; Logistics"/>
    <s v="Micro (1-10)"/>
    <s v="Laura Thompson"/>
    <d v="2024-05-20T00:00:00"/>
    <s v="Services"/>
    <x v="5"/>
    <x v="5"/>
    <m/>
    <m/>
    <n v="632"/>
    <n v="60"/>
    <d v="2025-01-20T00:00:00"/>
    <m/>
  </r>
  <r>
    <x v="2080"/>
    <s v="Switzerland"/>
    <s v="46.204391"/>
    <s v="6.143158"/>
    <s v="Government Administration Healthcare"/>
    <s v="Micro (1-10)"/>
    <s v="Laura Thompson"/>
    <d v="2024-01-16T00:00:00"/>
    <s v="SAAS"/>
    <x v="5"/>
    <x v="5"/>
    <m/>
    <m/>
    <n v="331"/>
    <n v="30"/>
    <d v="2024-04-17T00:00:00"/>
    <m/>
  </r>
  <r>
    <x v="2081"/>
    <s v="Switzerland"/>
    <s v="46.204391"/>
    <s v="6.143158"/>
    <s v="Banking and Finance"/>
    <s v="Micro (1-10)"/>
    <s v="Emily Johnson"/>
    <d v="2024-01-31T00:00:00"/>
    <s v="SAAS"/>
    <x v="5"/>
    <x v="5"/>
    <m/>
    <m/>
    <n v="1012"/>
    <n v="50"/>
    <d v="2024-09-14T00:00:00"/>
    <m/>
  </r>
  <r>
    <x v="2082"/>
    <s v="Switzerland"/>
    <s v="46.204391"/>
    <s v="6.143158"/>
    <s v="Retail &amp; Distribution"/>
    <s v="Micro (1-10)"/>
    <s v="Jessica Martinez"/>
    <d v="2024-01-19T00:00:00"/>
    <s v="Custom solution"/>
    <x v="5"/>
    <x v="5"/>
    <m/>
    <m/>
    <n v="600"/>
    <n v="30"/>
    <d v="2024-11-19T00:00:00"/>
    <m/>
  </r>
  <r>
    <x v="2083"/>
    <s v="Italy"/>
    <s v="41.902782"/>
    <s v="12.496366"/>
    <s v="Education &amp; Science"/>
    <s v="Micro (1-10)"/>
    <s v="Emily Johnson"/>
    <d v="2024-04-22T00:00:00"/>
    <s v="SAAS"/>
    <x v="5"/>
    <x v="5"/>
    <m/>
    <m/>
    <n v="338"/>
    <n v="30"/>
    <d v="2025-02-08T00:00:00"/>
    <m/>
  </r>
  <r>
    <x v="2084"/>
    <s v="Italy"/>
    <s v="41.902782"/>
    <s v="12.496366"/>
    <s v="Retail &amp; Distribution"/>
    <s v="Micro (1-10)"/>
    <s v="Michael Brown"/>
    <d v="2024-01-28T00:00:00"/>
    <s v="Custom solution"/>
    <x v="5"/>
    <x v="5"/>
    <m/>
    <m/>
    <n v="410"/>
    <n v="30"/>
    <d v="2024-05-29T00:00:00"/>
    <m/>
  </r>
  <r>
    <x v="2085"/>
    <s v="Belgium"/>
    <s v="51.260197"/>
    <s v="4.402771"/>
    <s v="Construction &amp; Engineering"/>
    <s v="Micro (1-10)"/>
    <s v="Jessica Martinez"/>
    <d v="2024-04-24T00:00:00"/>
    <s v="Services"/>
    <x v="5"/>
    <x v="5"/>
    <m/>
    <m/>
    <n v="830"/>
    <n v="20"/>
    <d v="2024-09-03T00:00:00"/>
    <m/>
  </r>
  <r>
    <x v="2086"/>
    <s v="France"/>
    <s v="48.864716"/>
    <s v="2.349014"/>
    <s v="Government Administration Healthcare"/>
    <s v="Micro (1-10)"/>
    <s v="Jessica Martinez"/>
    <d v="2024-03-22T00:00:00"/>
    <s v="Services"/>
    <x v="5"/>
    <x v="5"/>
    <m/>
    <m/>
    <n v="417"/>
    <n v="40"/>
    <d v="2024-05-08T00:00:00"/>
    <m/>
  </r>
  <r>
    <x v="2087"/>
    <s v="Germany"/>
    <s v="52.520008"/>
    <s v="13.404954"/>
    <s v="Banking and Finance"/>
    <s v="Micro (1-10)"/>
    <s v="Laura Thompson"/>
    <d v="2024-01-02T00:00:00"/>
    <s v="Services"/>
    <x v="5"/>
    <x v="5"/>
    <m/>
    <m/>
    <n v="801"/>
    <n v="10"/>
    <d v="2024-11-26T00:00:00"/>
    <m/>
  </r>
  <r>
    <x v="2088"/>
    <s v="Italy"/>
    <s v="41.902782"/>
    <s v="12.496366"/>
    <s v="Transportation &amp; Logistics"/>
    <s v="Micro (1-10)"/>
    <s v="David Wilson"/>
    <d v="2024-03-13T00:00:00"/>
    <s v="SAAS"/>
    <x v="5"/>
    <x v="5"/>
    <m/>
    <m/>
    <n v="632"/>
    <n v="60"/>
    <d v="2025-03-07T00:00:00"/>
    <m/>
  </r>
  <r>
    <x v="2089"/>
    <s v="Austria"/>
    <s v="48.210033"/>
    <s v="16.363449"/>
    <s v="Education &amp; Science"/>
    <s v="Micro (1-10)"/>
    <s v="Laura Thompson"/>
    <d v="2024-03-10T00:00:00"/>
    <s v="SAAS"/>
    <x v="5"/>
    <x v="5"/>
    <m/>
    <m/>
    <n v="720"/>
    <n v="40"/>
    <d v="2024-04-17T00:00:00"/>
    <m/>
  </r>
  <r>
    <x v="2090"/>
    <s v="Austria"/>
    <s v="48.210033"/>
    <s v="16.363449"/>
    <s v="Entertainment &amp; Media &amp; Hospitality"/>
    <s v="Micro (1-10)"/>
    <s v="Laura Thompson"/>
    <d v="2024-04-21T00:00:00"/>
    <s v="Custom solution"/>
    <x v="5"/>
    <x v="5"/>
    <m/>
    <m/>
    <n v="815"/>
    <n v="20"/>
    <d v="2024-08-05T00:00:00"/>
    <m/>
  </r>
  <r>
    <x v="2091"/>
    <s v="Switzerland"/>
    <s v="46.204391"/>
    <s v="6.143158"/>
    <s v="Education &amp; Science"/>
    <s v="Micro (1-10)"/>
    <s v="Emily Johnson"/>
    <d v="2024-01-18T00:00:00"/>
    <s v="Services"/>
    <x v="5"/>
    <x v="5"/>
    <m/>
    <m/>
    <n v="1026"/>
    <n v="10"/>
    <d v="2024-12-11T00:00:00"/>
    <m/>
  </r>
  <r>
    <x v="2092"/>
    <s v="France"/>
    <s v="48.864716"/>
    <s v="2.349014"/>
    <s v="Government Administration Healthcare"/>
    <s v="Micro (1-10)"/>
    <s v="Jessica Martinez"/>
    <d v="2024-03-01T00:00:00"/>
    <s v="Custom solution"/>
    <x v="5"/>
    <x v="5"/>
    <m/>
    <m/>
    <n v="308"/>
    <n v="30"/>
    <d v="2024-07-17T00:00:00"/>
    <m/>
  </r>
  <r>
    <x v="2093"/>
    <s v="Belgium"/>
    <s v="51.260197"/>
    <s v="4.402771"/>
    <s v="IT &amp; IT Services"/>
    <s v="Micro (1-10)"/>
    <s v="Kevin Anderson"/>
    <d v="2024-03-05T00:00:00"/>
    <s v="SAAS"/>
    <x v="5"/>
    <x v="5"/>
    <m/>
    <m/>
    <n v="1199"/>
    <n v="30"/>
    <d v="2024-08-22T00:00:00"/>
    <m/>
  </r>
  <r>
    <x v="2094"/>
    <s v="France"/>
    <s v="48.864716"/>
    <s v="2.349014"/>
    <s v="Government Administration Healthcare"/>
    <s v="Micro (1-10)"/>
    <s v="Jessica Martinez"/>
    <d v="2024-05-13T00:00:00"/>
    <s v="SAAS"/>
    <x v="5"/>
    <x v="5"/>
    <m/>
    <m/>
    <n v="984"/>
    <n v="90"/>
    <d v="2024-07-05T00:00:00"/>
    <m/>
  </r>
  <r>
    <x v="2095"/>
    <s v="Belgium"/>
    <s v="51.260197"/>
    <s v="4.402771"/>
    <s v="Telecommunications"/>
    <s v="Micro (1-10)"/>
    <s v="Jessica Martinez"/>
    <d v="2024-01-27T00:00:00"/>
    <s v="SAAS"/>
    <x v="5"/>
    <x v="5"/>
    <m/>
    <m/>
    <n v="991"/>
    <n v="20"/>
    <d v="2024-08-25T00:00:00"/>
    <m/>
  </r>
  <r>
    <x v="2096"/>
    <s v="Italy"/>
    <s v="41.902782"/>
    <s v="12.496366"/>
    <s v="Transportation &amp; Logistics"/>
    <s v="Micro (1-10)"/>
    <s v="Michael Brown"/>
    <d v="2024-01-31T00:00:00"/>
    <s v="Services"/>
    <x v="5"/>
    <x v="5"/>
    <m/>
    <m/>
    <n v="1141"/>
    <n v="20"/>
    <d v="2024-05-06T00:00:00"/>
    <m/>
  </r>
  <r>
    <x v="2097"/>
    <s v="Austria"/>
    <s v="48.210033"/>
    <s v="16.363449"/>
    <s v="Transportation &amp; Logistics"/>
    <s v="Micro (1-10)"/>
    <s v="Kevin Anderson"/>
    <d v="2024-05-11T00:00:00"/>
    <s v="Services"/>
    <x v="5"/>
    <x v="5"/>
    <m/>
    <m/>
    <n v="1186"/>
    <n v="90"/>
    <d v="2025-02-12T00:00:00"/>
    <m/>
  </r>
  <r>
    <x v="2098"/>
    <s v="Austria"/>
    <s v="48.210033"/>
    <s v="16.363449"/>
    <s v="IT &amp; IT Services"/>
    <s v="Micro (1-10)"/>
    <s v="Michael Brown"/>
    <d v="2024-05-25T00:00:00"/>
    <s v="SAAS"/>
    <x v="5"/>
    <x v="5"/>
    <m/>
    <m/>
    <n v="1054"/>
    <n v="80"/>
    <d v="2025-03-22T00:00:00"/>
    <m/>
  </r>
  <r>
    <x v="2099"/>
    <s v="Germany"/>
    <s v="52.520008"/>
    <s v="13.404954"/>
    <s v="Agriculture &amp; Mining"/>
    <s v="Micro (1-10)"/>
    <s v="John Smith"/>
    <d v="2024-02-19T00:00:00"/>
    <s v="SAAS"/>
    <x v="5"/>
    <x v="5"/>
    <m/>
    <m/>
    <n v="816"/>
    <n v="40"/>
    <d v="2024-08-28T00:00:00"/>
    <m/>
  </r>
  <r>
    <x v="2100"/>
    <s v="Germany"/>
    <s v="52.520008"/>
    <s v="13.404954"/>
    <s v="Retail &amp; Distribution"/>
    <s v="Micro (1-10)"/>
    <s v="Jessica Martinez"/>
    <d v="2024-02-17T00:00:00"/>
    <s v="Services"/>
    <x v="5"/>
    <x v="5"/>
    <m/>
    <m/>
    <n v="415"/>
    <n v="10"/>
    <d v="2024-09-08T00:00:00"/>
    <m/>
  </r>
  <r>
    <x v="2101"/>
    <s v="Switzerland"/>
    <s v="46.204391"/>
    <s v="6.143158"/>
    <s v="Banking and Finance"/>
    <s v="Micro (1-10)"/>
    <s v="Michael Brown"/>
    <d v="2024-03-28T00:00:00"/>
    <s v="Services"/>
    <x v="5"/>
    <x v="5"/>
    <m/>
    <m/>
    <n v="349"/>
    <n v="60"/>
    <d v="2024-11-09T00:00:00"/>
    <m/>
  </r>
  <r>
    <x v="2102"/>
    <s v="Portugal"/>
    <s v="38.736946"/>
    <s v="-9.142685"/>
    <s v="Telecommunications"/>
    <s v="Micro (1-10)"/>
    <s v="Laura Thompson"/>
    <d v="2024-05-11T00:00:00"/>
    <s v="Custom solution"/>
    <x v="5"/>
    <x v="5"/>
    <m/>
    <m/>
    <n v="284"/>
    <n v="100"/>
    <d v="2024-11-05T00:00:00"/>
    <m/>
  </r>
  <r>
    <x v="2103"/>
    <s v="France"/>
    <s v="48.864716"/>
    <s v="2.349014"/>
    <s v="Professional Services  &amp; Consulting"/>
    <s v="Micro (1-10)"/>
    <s v="John Smith"/>
    <d v="2024-01-24T00:00:00"/>
    <s v="SAAS"/>
    <x v="5"/>
    <x v="5"/>
    <m/>
    <m/>
    <n v="540"/>
    <n v="60"/>
    <d v="2024-10-27T00:00:00"/>
    <m/>
  </r>
  <r>
    <x v="2104"/>
    <s v="Switzerland"/>
    <s v="46.204391"/>
    <s v="6.143158"/>
    <s v="IT &amp; IT Services"/>
    <s v="Micro (1-10)"/>
    <s v="Michael Brown"/>
    <d v="2024-05-14T00:00:00"/>
    <s v="Services"/>
    <x v="5"/>
    <x v="5"/>
    <m/>
    <m/>
    <n v="751"/>
    <n v="40"/>
    <d v="2025-01-02T00:00:00"/>
    <m/>
  </r>
  <r>
    <x v="2105"/>
    <s v="Germany"/>
    <s v="52.520008"/>
    <s v="13.404954"/>
    <s v="Government Administration Healthcare"/>
    <s v="Micro (1-10)"/>
    <s v="Sarah Davis"/>
    <d v="2024-05-19T00:00:00"/>
    <s v="SAAS"/>
    <x v="5"/>
    <x v="5"/>
    <m/>
    <m/>
    <n v="316"/>
    <n v="50"/>
    <d v="2025-03-16T00:00:00"/>
    <m/>
  </r>
  <r>
    <x v="2106"/>
    <s v="Netherlands"/>
    <s v="52.370216"/>
    <s v="4.895168"/>
    <s v="Education &amp; Science"/>
    <s v="Micro (1-10)"/>
    <s v="Laura Thompson"/>
    <d v="2024-02-20T00:00:00"/>
    <s v="SAAS"/>
    <x v="5"/>
    <x v="5"/>
    <m/>
    <m/>
    <n v="1185"/>
    <n v="20"/>
    <d v="2024-05-23T00:00:00"/>
    <m/>
  </r>
  <r>
    <x v="2107"/>
    <s v="Italy"/>
    <s v="41.902782"/>
    <s v="12.496366"/>
    <s v="IT &amp; IT Services"/>
    <s v="Micro (1-10)"/>
    <s v="John Smith"/>
    <d v="2024-04-10T00:00:00"/>
    <s v="SAAS"/>
    <x v="5"/>
    <x v="5"/>
    <m/>
    <m/>
    <n v="927"/>
    <n v="40"/>
    <d v="2024-09-25T00:00:00"/>
    <m/>
  </r>
  <r>
    <x v="2108"/>
    <s v="Switzerland"/>
    <s v="46.204391"/>
    <s v="6.143158"/>
    <s v="IT &amp; IT Services"/>
    <s v="Micro (1-10)"/>
    <s v="Emily Johnson"/>
    <d v="2024-05-16T00:00:00"/>
    <s v="SAAS"/>
    <x v="5"/>
    <x v="5"/>
    <m/>
    <m/>
    <n v="1175"/>
    <n v="50"/>
    <d v="2025-03-10T00:00:00"/>
    <m/>
  </r>
  <r>
    <x v="2109"/>
    <s v="Switzerland"/>
    <s v="46.204391"/>
    <s v="6.143158"/>
    <s v="Education &amp; Science"/>
    <s v="Micro (1-10)"/>
    <s v="Jessica Martinez"/>
    <d v="2024-01-04T00:00:00"/>
    <s v="Services"/>
    <x v="5"/>
    <x v="5"/>
    <m/>
    <m/>
    <n v="309"/>
    <n v="60"/>
    <d v="2024-12-03T00:00:00"/>
    <m/>
  </r>
  <r>
    <x v="2110"/>
    <s v="Italy"/>
    <s v="41.902782"/>
    <s v="12.496366"/>
    <s v="Banking and Finance"/>
    <s v="Micro (1-10)"/>
    <s v="Laura Thompson"/>
    <d v="2024-04-24T00:00:00"/>
    <s v="SAAS"/>
    <x v="5"/>
    <x v="5"/>
    <m/>
    <m/>
    <n v="684"/>
    <n v="30"/>
    <d v="2025-02-06T00:00:00"/>
    <m/>
  </r>
  <r>
    <x v="2111"/>
    <s v="Switzerland"/>
    <s v="46.204391"/>
    <s v="6.143158"/>
    <s v="Manufacturing &amp; Production"/>
    <s v="Micro (1-10)"/>
    <s v="David Wilson"/>
    <d v="2024-01-20T00:00:00"/>
    <s v="SAAS"/>
    <x v="5"/>
    <x v="5"/>
    <m/>
    <m/>
    <n v="221"/>
    <n v="20"/>
    <d v="2024-07-13T00:00:00"/>
    <m/>
  </r>
  <r>
    <x v="2112"/>
    <s v="France"/>
    <s v="48.864716"/>
    <s v="2.349014"/>
    <s v="Education &amp; Science"/>
    <s v="Micro (1-10)"/>
    <s v="Sarah Davis"/>
    <d v="2024-04-20T00:00:00"/>
    <s v="Services"/>
    <x v="5"/>
    <x v="5"/>
    <m/>
    <m/>
    <n v="856"/>
    <n v="50"/>
    <d v="2025-02-06T00:00:00"/>
    <m/>
  </r>
  <r>
    <x v="2113"/>
    <s v="Germany"/>
    <s v="52.520008"/>
    <s v="13.404954"/>
    <s v="Banking and Finance"/>
    <s v="Micro (1-10)"/>
    <s v="Emily Johnson"/>
    <d v="2024-03-21T00:00:00"/>
    <s v="SAAS"/>
    <x v="5"/>
    <x v="5"/>
    <m/>
    <m/>
    <n v="366"/>
    <n v="30"/>
    <d v="2025-03-18T00:00:00"/>
    <m/>
  </r>
  <r>
    <x v="2114"/>
    <s v="Portugal"/>
    <s v="38.736946"/>
    <s v="-9.142685"/>
    <s v="Transportation &amp; Logistics"/>
    <s v="Micro (1-10)"/>
    <s v="John Smith"/>
    <d v="2024-03-14T00:00:00"/>
    <s v="SAAS"/>
    <x v="5"/>
    <x v="5"/>
    <m/>
    <m/>
    <n v="983"/>
    <n v="60"/>
    <d v="2025-03-12T00:00:00"/>
    <m/>
  </r>
  <r>
    <x v="2115"/>
    <s v="Portugal"/>
    <s v="38.736946"/>
    <s v="-9.142685"/>
    <s v="Professional Services  &amp; Consulting"/>
    <s v="Micro (1-10)"/>
    <s v="Jessica Martinez"/>
    <d v="2024-03-08T00:00:00"/>
    <s v="Services"/>
    <x v="5"/>
    <x v="5"/>
    <m/>
    <m/>
    <n v="1068"/>
    <n v="30"/>
    <d v="2024-05-04T00:00:00"/>
    <m/>
  </r>
  <r>
    <x v="2116"/>
    <s v="Portugal"/>
    <s v="38.736946"/>
    <s v="-9.142685"/>
    <s v="Telecommunications"/>
    <s v="Micro (1-10)"/>
    <s v="Sarah Davis"/>
    <d v="2024-01-26T00:00:00"/>
    <s v="SAAS"/>
    <x v="5"/>
    <x v="5"/>
    <m/>
    <m/>
    <n v="322"/>
    <n v="40"/>
    <d v="2024-05-23T00:00:00"/>
    <m/>
  </r>
  <r>
    <x v="2117"/>
    <s v="Italy"/>
    <s v="41.902782"/>
    <s v="12.496366"/>
    <s v="Education &amp; Science"/>
    <s v="Micro (1-10)"/>
    <s v="Laura Thompson"/>
    <d v="2024-02-06T00:00:00"/>
    <s v="Custom solution"/>
    <x v="5"/>
    <x v="5"/>
    <m/>
    <m/>
    <n v="242"/>
    <n v="70"/>
    <d v="2024-07-02T00:00:00"/>
    <m/>
  </r>
  <r>
    <x v="2118"/>
    <s v="Germany"/>
    <s v="52.520008"/>
    <s v="13.404954"/>
    <s v="Construction &amp; Engineering"/>
    <s v="Micro (1-10)"/>
    <s v="Laura Thompson"/>
    <d v="2024-03-22T00:00:00"/>
    <s v="SAAS"/>
    <x v="5"/>
    <x v="5"/>
    <m/>
    <m/>
    <n v="752"/>
    <n v="60"/>
    <d v="2024-08-20T00:00:00"/>
    <m/>
  </r>
  <r>
    <x v="2119"/>
    <s v="Netherlands"/>
    <s v="52.370216"/>
    <s v="4.895168"/>
    <s v="Banking and Finance"/>
    <s v="Micro (1-10)"/>
    <s v="Laura Thompson"/>
    <d v="2024-04-29T00:00:00"/>
    <s v="SAAS"/>
    <x v="5"/>
    <x v="5"/>
    <m/>
    <m/>
    <n v="608"/>
    <n v="70"/>
    <d v="2024-12-25T00:00:00"/>
    <m/>
  </r>
  <r>
    <x v="2120"/>
    <s v="Italy"/>
    <s v="41.902782"/>
    <s v="12.496366"/>
    <s v="IT &amp; IT Services"/>
    <s v="Micro (1-10)"/>
    <s v="Laura Thompson"/>
    <d v="2024-05-15T00:00:00"/>
    <s v="SAAS"/>
    <x v="5"/>
    <x v="5"/>
    <m/>
    <m/>
    <n v="571"/>
    <n v="40"/>
    <d v="2024-06-28T00:00:00"/>
    <m/>
  </r>
  <r>
    <x v="2121"/>
    <s v="Austria"/>
    <s v="48.210033"/>
    <s v="16.363449"/>
    <s v="IT &amp; IT Services"/>
    <s v="Micro (1-10)"/>
    <s v="Kevin Anderson"/>
    <d v="2024-02-27T00:00:00"/>
    <s v="Services"/>
    <x v="5"/>
    <x v="5"/>
    <m/>
    <m/>
    <n v="970"/>
    <n v="30"/>
    <d v="2024-08-02T00:00:00"/>
    <m/>
  </r>
  <r>
    <x v="2122"/>
    <s v="Spain"/>
    <s v="40.416775"/>
    <s v="-3.703790"/>
    <s v="Transportation &amp; Logistics"/>
    <s v="Micro (1-10)"/>
    <s v="Emily Johnson"/>
    <d v="2024-05-29T00:00:00"/>
    <s v="Custom solution"/>
    <x v="5"/>
    <x v="5"/>
    <m/>
    <m/>
    <n v="351"/>
    <n v="80"/>
    <d v="2024-11-07T00:00:00"/>
    <m/>
  </r>
  <r>
    <x v="2123"/>
    <s v="Italy"/>
    <s v="41.902782"/>
    <s v="12.496366"/>
    <s v="Professional Services  &amp; Consulting"/>
    <s v="Micro (1-10)"/>
    <s v="Laura Thompson"/>
    <d v="2024-02-10T00:00:00"/>
    <s v="Custom solution"/>
    <x v="5"/>
    <x v="5"/>
    <m/>
    <m/>
    <n v="1029"/>
    <n v="40"/>
    <d v="2024-06-03T00:00:00"/>
    <m/>
  </r>
  <r>
    <x v="2124"/>
    <s v="France"/>
    <s v="48.864716"/>
    <s v="2.349014"/>
    <s v="Agriculture &amp; Mining"/>
    <s v="Micro (1-10)"/>
    <s v="David Wilson"/>
    <d v="2024-03-31T00:00:00"/>
    <s v="Custom solution"/>
    <x v="5"/>
    <x v="5"/>
    <m/>
    <m/>
    <n v="866"/>
    <n v="30"/>
    <d v="2024-12-17T00:00:00"/>
    <m/>
  </r>
  <r>
    <x v="2125"/>
    <s v="Austria"/>
    <s v="48.210033"/>
    <s v="16.363449"/>
    <s v="Professional Services  &amp; Consulting"/>
    <s v="Micro (1-10)"/>
    <s v="Jessica Martinez"/>
    <d v="2024-03-23T00:00:00"/>
    <s v="Services"/>
    <x v="5"/>
    <x v="5"/>
    <m/>
    <m/>
    <n v="478"/>
    <n v="30"/>
    <d v="2024-06-04T00:00:00"/>
    <m/>
  </r>
  <r>
    <x v="2126"/>
    <s v="Switzerland"/>
    <s v="46.204391"/>
    <s v="6.143158"/>
    <s v="IT &amp; IT Services"/>
    <s v="Micro (1-10)"/>
    <s v="Laura Thompson"/>
    <d v="2024-03-28T00:00:00"/>
    <s v="SAAS"/>
    <x v="5"/>
    <x v="5"/>
    <m/>
    <m/>
    <n v="936"/>
    <n v="30"/>
    <d v="2024-07-14T00:00:00"/>
    <m/>
  </r>
  <r>
    <x v="2127"/>
    <s v="Germany"/>
    <s v="52.520008"/>
    <s v="13.404954"/>
    <s v="Telecommunications"/>
    <s v="Micro (1-10)"/>
    <s v="Laura Thompson"/>
    <d v="2024-01-05T00:00:00"/>
    <s v="SAAS"/>
    <x v="5"/>
    <x v="5"/>
    <m/>
    <m/>
    <n v="280"/>
    <n v="80"/>
    <d v="2024-04-12T00:00:00"/>
    <m/>
  </r>
  <r>
    <x v="2128"/>
    <s v="Switzerland"/>
    <s v="46.204391"/>
    <s v="6.143158"/>
    <s v="Government Administration Healthcare"/>
    <s v="Micro (1-10)"/>
    <s v="Jessica Martinez"/>
    <d v="2024-01-27T00:00:00"/>
    <s v="SAAS"/>
    <x v="5"/>
    <x v="5"/>
    <m/>
    <m/>
    <n v="398"/>
    <n v="50"/>
    <d v="2024-11-22T00:00:00"/>
    <m/>
  </r>
  <r>
    <x v="2129"/>
    <s v="Germany"/>
    <s v="52.520008"/>
    <s v="13.404954"/>
    <s v="Telecommunications"/>
    <s v="Micro (1-10)"/>
    <s v="John Smith"/>
    <d v="2024-04-18T00:00:00"/>
    <s v="SAAS"/>
    <x v="5"/>
    <x v="5"/>
    <m/>
    <m/>
    <n v="931"/>
    <n v="70"/>
    <d v="2024-10-06T00:00:00"/>
    <m/>
  </r>
  <r>
    <x v="2130"/>
    <s v="France"/>
    <s v="48.864716"/>
    <s v="2.349014"/>
    <s v="Retail &amp; Distribution"/>
    <s v="Micro (1-10)"/>
    <s v="John Smith"/>
    <d v="2024-02-22T00:00:00"/>
    <s v="SAAS"/>
    <x v="5"/>
    <x v="5"/>
    <m/>
    <m/>
    <n v="807"/>
    <n v="40"/>
    <d v="2024-12-31T00:00:00"/>
    <m/>
  </r>
  <r>
    <x v="2131"/>
    <s v="Germany"/>
    <s v="52.520008"/>
    <s v="13.404954"/>
    <s v="Entertainment &amp; Media &amp; Hospitality"/>
    <s v="Micro (1-10)"/>
    <s v="Jessica Martinez"/>
    <d v="2024-03-25T00:00:00"/>
    <s v="SAAS"/>
    <x v="5"/>
    <x v="5"/>
    <m/>
    <m/>
    <n v="262"/>
    <n v="20"/>
    <d v="2024-08-27T00:00:00"/>
    <m/>
  </r>
  <r>
    <x v="2132"/>
    <s v="Austria"/>
    <s v="48.210033"/>
    <s v="16.363449"/>
    <s v="Manufacturing &amp; Production"/>
    <s v="Micro (1-10)"/>
    <s v="Jessica Martinez"/>
    <d v="2024-01-02T00:00:00"/>
    <s v="Services"/>
    <x v="5"/>
    <x v="5"/>
    <m/>
    <m/>
    <n v="710"/>
    <n v="40"/>
    <d v="2024-10-30T00:00:00"/>
    <m/>
  </r>
  <r>
    <x v="2133"/>
    <s v="Portugal"/>
    <s v="38.736946"/>
    <s v="-9.142685"/>
    <s v="Construction &amp; Engineering"/>
    <s v="Micro (1-10)"/>
    <s v="Jessica Martinez"/>
    <d v="2024-05-04T00:00:00"/>
    <s v="SAAS"/>
    <x v="5"/>
    <x v="5"/>
    <m/>
    <m/>
    <n v="853"/>
    <n v="60"/>
    <d v="2025-01-26T00:00:00"/>
    <m/>
  </r>
  <r>
    <x v="2134"/>
    <s v="France"/>
    <s v="48.864716"/>
    <s v="2.349014"/>
    <s v="Education &amp; Science"/>
    <s v="Micro (1-10)"/>
    <s v="Laura Thompson"/>
    <d v="2024-03-02T00:00:00"/>
    <s v="SAAS"/>
    <x v="5"/>
    <x v="5"/>
    <m/>
    <m/>
    <n v="345"/>
    <n v="70"/>
    <d v="2024-04-21T00:00:00"/>
    <m/>
  </r>
  <r>
    <x v="2135"/>
    <s v="Germany"/>
    <s v="52.520008"/>
    <s v="13.404954"/>
    <s v="Energy &amp; Utilities"/>
    <s v="Micro (1-10)"/>
    <s v="Sarah Davis"/>
    <d v="2024-03-21T00:00:00"/>
    <s v="Custom solution"/>
    <x v="5"/>
    <x v="5"/>
    <m/>
    <m/>
    <n v="263"/>
    <n v="20"/>
    <d v="2024-05-16T00:00:00"/>
    <m/>
  </r>
  <r>
    <x v="2136"/>
    <s v="Portugal"/>
    <s v="38.736946"/>
    <s v="-9.142685"/>
    <s v="Energy &amp; Utilities"/>
    <s v="Micro (1-10)"/>
    <s v="Jessica Martinez"/>
    <d v="2024-04-08T00:00:00"/>
    <s v="SAAS"/>
    <x v="5"/>
    <x v="5"/>
    <m/>
    <m/>
    <n v="461"/>
    <n v="60"/>
    <d v="2024-08-13T00:00:00"/>
    <m/>
  </r>
  <r>
    <x v="2137"/>
    <s v="Portugal"/>
    <s v="38.736946"/>
    <s v="-9.142685"/>
    <s v="Entertainment &amp; Media &amp; Hospitality"/>
    <s v="Micro (1-10)"/>
    <s v="Laura Thompson"/>
    <d v="2024-02-13T00:00:00"/>
    <s v="SAAS"/>
    <x v="5"/>
    <x v="5"/>
    <m/>
    <m/>
    <n v="1082"/>
    <n v="80"/>
    <d v="2025-01-02T00:00:00"/>
    <m/>
  </r>
  <r>
    <x v="2138"/>
    <s v="Switzerland"/>
    <s v="46.204391"/>
    <s v="6.143158"/>
    <s v="Government Administration Healthcare"/>
    <s v="Micro (1-10)"/>
    <s v="John Smith"/>
    <d v="2024-01-26T00:00:00"/>
    <s v="SAAS"/>
    <x v="5"/>
    <x v="5"/>
    <m/>
    <m/>
    <n v="1145"/>
    <n v="60"/>
    <d v="2024-12-05T00:00:00"/>
    <m/>
  </r>
  <r>
    <x v="2139"/>
    <s v="Austria"/>
    <s v="48.210033"/>
    <s v="16.363449"/>
    <s v="Education &amp; Science"/>
    <s v="Micro (1-10)"/>
    <s v="Emily Johnson"/>
    <d v="2024-03-22T00:00:00"/>
    <s v="SAAS"/>
    <x v="5"/>
    <x v="5"/>
    <m/>
    <m/>
    <n v="300"/>
    <n v="20"/>
    <d v="2024-05-15T00:00:00"/>
    <m/>
  </r>
  <r>
    <x v="2140"/>
    <s v="Germany"/>
    <s v="52.520008"/>
    <s v="13.404954"/>
    <s v="Transportation &amp; Logistics"/>
    <s v="Micro (1-10)"/>
    <s v="David Wilson"/>
    <d v="2024-04-10T00:00:00"/>
    <s v="Services"/>
    <x v="5"/>
    <x v="5"/>
    <m/>
    <m/>
    <n v="497"/>
    <n v="80"/>
    <d v="2025-02-06T00:00:00"/>
    <m/>
  </r>
  <r>
    <x v="2141"/>
    <s v="Portugal"/>
    <s v="38.736946"/>
    <s v="-9.142685"/>
    <s v="Transportation &amp; Logistics"/>
    <s v="Micro (1-10)"/>
    <s v="Emily Johnson"/>
    <d v="2024-02-26T00:00:00"/>
    <s v="Services"/>
    <x v="5"/>
    <x v="5"/>
    <m/>
    <m/>
    <n v="423"/>
    <n v="10"/>
    <d v="2024-03-27T00:00:00"/>
    <m/>
  </r>
  <r>
    <x v="2142"/>
    <s v="Austria"/>
    <s v="48.210033"/>
    <s v="16.363449"/>
    <s v="Retail &amp; Distribution"/>
    <s v="Micro (1-10)"/>
    <s v="Laura Thompson"/>
    <d v="2024-04-28T00:00:00"/>
    <s v="SAAS"/>
    <x v="5"/>
    <x v="5"/>
    <m/>
    <m/>
    <n v="1077"/>
    <n v="20"/>
    <d v="2025-01-24T00:00:00"/>
    <m/>
  </r>
  <r>
    <x v="2143"/>
    <s v="Belgium"/>
    <s v="51.260197"/>
    <s v="4.402771"/>
    <s v="Banking and Finance"/>
    <s v="Micro (1-10)"/>
    <s v="Laura Thompson"/>
    <d v="2024-05-21T00:00:00"/>
    <s v="Services"/>
    <x v="5"/>
    <x v="5"/>
    <m/>
    <m/>
    <n v="1156"/>
    <n v="70"/>
    <d v="2024-06-19T00:00:00"/>
    <m/>
  </r>
  <r>
    <x v="2144"/>
    <s v="Germany"/>
    <s v="52.520008"/>
    <s v="13.404954"/>
    <s v="Banking and Finance"/>
    <s v="Micro (1-10)"/>
    <s v="Laura Thompson"/>
    <d v="2024-05-10T00:00:00"/>
    <s v="SAAS"/>
    <x v="5"/>
    <x v="5"/>
    <m/>
    <m/>
    <n v="348"/>
    <n v="60"/>
    <d v="2025-04-04T00:00:00"/>
    <m/>
  </r>
  <r>
    <x v="2145"/>
    <s v="France"/>
    <s v="48.864716"/>
    <s v="2.349014"/>
    <s v="Construction &amp; Engineering"/>
    <s v="Micro (1-10)"/>
    <s v="Michael Brown"/>
    <d v="2024-04-17T00:00:00"/>
    <s v="Custom solution"/>
    <x v="5"/>
    <x v="5"/>
    <m/>
    <m/>
    <n v="933"/>
    <n v="70"/>
    <d v="2024-12-20T00:00:00"/>
    <m/>
  </r>
  <r>
    <x v="2146"/>
    <s v="Switzerland"/>
    <s v="46.204391"/>
    <s v="6.143158"/>
    <s v="Professional Services  &amp; Consulting"/>
    <s v="Micro (1-10)"/>
    <s v="Jessica Martinez"/>
    <d v="2024-01-28T00:00:00"/>
    <s v="SAAS"/>
    <x v="5"/>
    <x v="5"/>
    <m/>
    <m/>
    <n v="576"/>
    <n v="80"/>
    <d v="2024-12-17T00:00:00"/>
    <m/>
  </r>
  <r>
    <x v="2147"/>
    <s v="Portugal"/>
    <s v="38.736946"/>
    <s v="-9.142685"/>
    <s v="Retail &amp; Distribution"/>
    <s v="Micro (1-10)"/>
    <s v="David Wilson"/>
    <d v="2024-02-12T00:00:00"/>
    <s v="Services"/>
    <x v="5"/>
    <x v="5"/>
    <m/>
    <m/>
    <n v="617"/>
    <n v="40"/>
    <d v="2024-06-11T00:00:00"/>
    <m/>
  </r>
  <r>
    <x v="2148"/>
    <s v="Portugal"/>
    <s v="38.736946"/>
    <s v="-9.142685"/>
    <s v="Professional Services  &amp; Consulting"/>
    <s v="Micro (1-10)"/>
    <s v="John Smith"/>
    <d v="2024-04-13T00:00:00"/>
    <s v="Services"/>
    <x v="5"/>
    <x v="5"/>
    <m/>
    <m/>
    <n v="602"/>
    <n v="30"/>
    <d v="2025-03-04T00:00:00"/>
    <m/>
  </r>
  <r>
    <x v="2149"/>
    <s v="France"/>
    <s v="48.864716"/>
    <s v="2.349014"/>
    <s v="Transportation &amp; Logistics"/>
    <s v="Micro (1-10)"/>
    <s v="Kevin Anderson"/>
    <d v="2024-04-05T00:00:00"/>
    <s v="Services"/>
    <x v="5"/>
    <x v="5"/>
    <m/>
    <m/>
    <n v="708"/>
    <n v="50"/>
    <d v="2024-11-23T00:00:00"/>
    <m/>
  </r>
  <r>
    <x v="2150"/>
    <s v="France"/>
    <s v="48.864716"/>
    <s v="2.349014"/>
    <s v="Banking and Finance"/>
    <s v="Micro (1-10)"/>
    <s v="Emily Johnson"/>
    <d v="2024-03-30T00:00:00"/>
    <s v="Custom solution"/>
    <x v="5"/>
    <x v="5"/>
    <m/>
    <m/>
    <n v="418"/>
    <n v="30"/>
    <d v="2024-05-11T00:00:00"/>
    <m/>
  </r>
  <r>
    <x v="2151"/>
    <s v="Portugal"/>
    <s v="38.736946"/>
    <s v="-9.142685"/>
    <s v="Retail &amp; Distribution"/>
    <s v="Micro (1-10)"/>
    <s v="Laura Thompson"/>
    <d v="2024-02-05T00:00:00"/>
    <s v="SAAS"/>
    <x v="5"/>
    <x v="5"/>
    <m/>
    <m/>
    <n v="269"/>
    <n v="70"/>
    <d v="2024-11-21T00:00:00"/>
    <m/>
  </r>
  <r>
    <x v="2152"/>
    <s v="Netherlands"/>
    <s v="52.370216"/>
    <s v="4.895168"/>
    <s v="Entertainment &amp; Media &amp; Hospitality"/>
    <s v="Micro (1-10)"/>
    <s v="Emily Johnson"/>
    <d v="2024-02-25T00:00:00"/>
    <s v="SAAS"/>
    <x v="5"/>
    <x v="5"/>
    <m/>
    <m/>
    <n v="945"/>
    <n v="40"/>
    <d v="2024-07-17T00:00:00"/>
    <m/>
  </r>
  <r>
    <x v="2153"/>
    <s v="Portugal"/>
    <s v="38.736946"/>
    <s v="-9.142685"/>
    <s v="Transportation &amp; Logistics"/>
    <s v="Micro (1-10)"/>
    <s v="Jessica Martinez"/>
    <d v="2024-04-22T00:00:00"/>
    <s v="Custom solution"/>
    <x v="5"/>
    <x v="5"/>
    <m/>
    <m/>
    <n v="432"/>
    <n v="40"/>
    <d v="2024-08-22T00:00:00"/>
    <m/>
  </r>
  <r>
    <x v="2154"/>
    <s v="Switzerland"/>
    <s v="46.204391"/>
    <s v="6.143158"/>
    <s v="IT &amp; IT Services"/>
    <s v="Micro (1-10)"/>
    <s v="Kevin Anderson"/>
    <d v="2024-03-14T00:00:00"/>
    <s v="SAAS"/>
    <x v="5"/>
    <x v="5"/>
    <m/>
    <m/>
    <n v="1096"/>
    <n v="40"/>
    <d v="2024-11-11T00:00:00"/>
    <m/>
  </r>
  <r>
    <x v="2155"/>
    <s v="Italy"/>
    <s v="41.902782"/>
    <s v="12.496366"/>
    <s v="IT &amp; IT Services"/>
    <s v="Micro (1-10)"/>
    <s v="Michael Brown"/>
    <d v="2024-01-19T00:00:00"/>
    <s v="SAAS"/>
    <x v="5"/>
    <x v="5"/>
    <m/>
    <m/>
    <n v="566"/>
    <n v="20"/>
    <d v="2024-12-19T00:00:00"/>
    <m/>
  </r>
  <r>
    <x v="2156"/>
    <s v="Switzerland"/>
    <s v="46.204391"/>
    <s v="6.143158"/>
    <s v="Transportation &amp; Logistics"/>
    <s v="Micro (1-10)"/>
    <s v="Michael Brown"/>
    <d v="2024-03-20T00:00:00"/>
    <s v="SAAS"/>
    <x v="5"/>
    <x v="5"/>
    <m/>
    <m/>
    <n v="1146"/>
    <n v="20"/>
    <d v="2024-08-16T00:00:00"/>
    <m/>
  </r>
  <r>
    <x v="2157"/>
    <s v="Italy"/>
    <s v="41.902782"/>
    <s v="12.496366"/>
    <s v="Retail &amp; Distribution"/>
    <s v="Micro (1-10)"/>
    <s v="David Wilson"/>
    <d v="2024-01-22T00:00:00"/>
    <s v="SAAS"/>
    <x v="5"/>
    <x v="5"/>
    <m/>
    <m/>
    <n v="1140"/>
    <n v="30"/>
    <d v="2024-06-01T00:00:00"/>
    <m/>
  </r>
  <r>
    <x v="2158"/>
    <s v="Germany"/>
    <s v="52.520008"/>
    <s v="13.404954"/>
    <s v="Transportation &amp; Logistics"/>
    <s v="Micro (1-10)"/>
    <s v="Jessica Martinez"/>
    <d v="2024-05-08T00:00:00"/>
    <s v="SAAS"/>
    <x v="5"/>
    <x v="5"/>
    <m/>
    <m/>
    <n v="632"/>
    <n v="40"/>
    <d v="2024-11-28T00:00:00"/>
    <m/>
  </r>
  <r>
    <x v="2159"/>
    <s v="Portugal"/>
    <s v="38.736946"/>
    <s v="-9.142685"/>
    <s v="Government Administration Healthcare"/>
    <s v="Micro (1-10)"/>
    <s v="Emily Johnson"/>
    <d v="2024-01-23T00:00:00"/>
    <s v="Custom solution"/>
    <x v="5"/>
    <x v="5"/>
    <m/>
    <m/>
    <n v="487"/>
    <n v="30"/>
    <d v="2024-06-05T00:00:00"/>
    <m/>
  </r>
  <r>
    <x v="2160"/>
    <s v="Spain"/>
    <s v="40.416775"/>
    <s v="-3.703790"/>
    <s v="Energy &amp; Utilities"/>
    <s v="Micro (1-10)"/>
    <s v="Kevin Anderson"/>
    <d v="2024-05-15T00:00:00"/>
    <s v="SAAS"/>
    <x v="5"/>
    <x v="5"/>
    <m/>
    <m/>
    <n v="469"/>
    <n v="70"/>
    <d v="2025-04-08T00:00:00"/>
    <m/>
  </r>
  <r>
    <x v="2161"/>
    <s v="Switzerland"/>
    <s v="46.204391"/>
    <s v="6.143158"/>
    <s v="Transportation &amp; Logistics"/>
    <s v="Micro (1-10)"/>
    <s v="Michael Brown"/>
    <d v="2024-02-01T00:00:00"/>
    <s v="SAAS"/>
    <x v="5"/>
    <x v="5"/>
    <m/>
    <m/>
    <n v="316"/>
    <n v="60"/>
    <d v="2024-11-29T00:00:00"/>
    <m/>
  </r>
  <r>
    <x v="2162"/>
    <s v="Italy"/>
    <s v="41.902782"/>
    <s v="12.496366"/>
    <s v="IT &amp; IT Services"/>
    <s v="Micro (1-10)"/>
    <s v="Michael Brown"/>
    <d v="2024-01-02T00:00:00"/>
    <s v="SAAS"/>
    <x v="5"/>
    <x v="5"/>
    <m/>
    <m/>
    <n v="1134"/>
    <n v="70"/>
    <d v="2024-11-07T00:00:00"/>
    <m/>
  </r>
  <r>
    <x v="2163"/>
    <s v="Netherlands"/>
    <s v="52.370216"/>
    <s v="4.895168"/>
    <s v="Telecommunications"/>
    <s v="Micro (1-10)"/>
    <s v="Jessica Martinez"/>
    <d v="2024-01-23T00:00:00"/>
    <s v="SAAS"/>
    <x v="5"/>
    <x v="5"/>
    <m/>
    <m/>
    <n v="1183"/>
    <n v="40"/>
    <d v="2024-06-19T00:00:00"/>
    <m/>
  </r>
  <r>
    <x v="2164"/>
    <s v="Italy"/>
    <s v="41.902782"/>
    <s v="12.496366"/>
    <s v="Entertainment &amp; Media &amp; Hospitality"/>
    <s v="Micro (1-10)"/>
    <s v="Emily Johnson"/>
    <d v="2024-01-04T00:00:00"/>
    <s v="SAAS"/>
    <x v="5"/>
    <x v="5"/>
    <m/>
    <m/>
    <n v="521"/>
    <n v="80"/>
    <d v="2024-04-30T00:00:00"/>
    <m/>
  </r>
  <r>
    <x v="2165"/>
    <s v="Germany"/>
    <s v="52.520008"/>
    <s v="13.404954"/>
    <s v="Retail &amp; Distribution"/>
    <s v="Micro (1-10)"/>
    <s v="Kevin Anderson"/>
    <d v="2024-01-26T00:00:00"/>
    <s v="Custom solution"/>
    <x v="5"/>
    <x v="5"/>
    <m/>
    <m/>
    <n v="510"/>
    <n v="40"/>
    <d v="2024-06-17T00:00:00"/>
    <m/>
  </r>
  <r>
    <x v="2166"/>
    <s v="Italy"/>
    <s v="41.902782"/>
    <s v="12.496366"/>
    <s v="Transportation &amp; Logistics"/>
    <s v="Micro (1-10)"/>
    <s v="Sarah Davis"/>
    <d v="2024-03-14T00:00:00"/>
    <s v="Services"/>
    <x v="5"/>
    <x v="5"/>
    <m/>
    <m/>
    <n v="219"/>
    <n v="70"/>
    <d v="2024-09-01T00:00:00"/>
    <m/>
  </r>
  <r>
    <x v="2167"/>
    <s v="Switzerland"/>
    <s v="46.204391"/>
    <s v="6.143158"/>
    <s v="Manufacturing &amp; Production"/>
    <s v="Micro (1-10)"/>
    <s v="Emily Johnson"/>
    <d v="2024-05-06T00:00:00"/>
    <s v="SAAS"/>
    <x v="5"/>
    <x v="5"/>
    <m/>
    <m/>
    <n v="1163"/>
    <n v="10"/>
    <d v="2025-01-18T00:00:00"/>
    <m/>
  </r>
  <r>
    <x v="2168"/>
    <s v="Belgium"/>
    <s v="51.260197"/>
    <s v="4.402771"/>
    <s v="Manufacturing &amp; Production"/>
    <s v="Micro (1-10)"/>
    <s v="Laura Thompson"/>
    <d v="2024-04-19T00:00:00"/>
    <s v="SAAS"/>
    <x v="5"/>
    <x v="5"/>
    <m/>
    <m/>
    <n v="578"/>
    <n v="80"/>
    <d v="2024-11-30T00:00:00"/>
    <m/>
  </r>
  <r>
    <x v="2169"/>
    <s v="Germany"/>
    <s v="52.520008"/>
    <s v="13.404954"/>
    <s v="Energy &amp; Utilities"/>
    <s v="Micro (1-10)"/>
    <s v="Jessica Martinez"/>
    <d v="2024-04-22T00:00:00"/>
    <s v="SAAS"/>
    <x v="5"/>
    <x v="5"/>
    <m/>
    <m/>
    <n v="701"/>
    <n v="30"/>
    <d v="2025-02-04T00:00:00"/>
    <m/>
  </r>
  <r>
    <x v="2170"/>
    <s v="Switzerland"/>
    <s v="46.204391"/>
    <s v="6.143158"/>
    <s v="Professional Services  &amp; Consulting"/>
    <s v="Micro (1-10)"/>
    <s v="Michael Brown"/>
    <d v="2024-04-21T00:00:00"/>
    <s v="SAAS"/>
    <x v="5"/>
    <x v="5"/>
    <m/>
    <m/>
    <n v="779"/>
    <n v="100"/>
    <d v="2024-07-27T00:00:00"/>
    <m/>
  </r>
  <r>
    <x v="2171"/>
    <s v="Italy"/>
    <s v="41.902782"/>
    <s v="12.496366"/>
    <s v="Transportation &amp; Logistics"/>
    <s v="Micro (1-10)"/>
    <s v="Michael Brown"/>
    <d v="2024-05-02T00:00:00"/>
    <s v="SAAS"/>
    <x v="5"/>
    <x v="5"/>
    <m/>
    <m/>
    <n v="1083"/>
    <n v="40"/>
    <d v="2024-07-28T00:00:00"/>
    <m/>
  </r>
  <r>
    <x v="2172"/>
    <s v="Switzerland"/>
    <s v="46.204391"/>
    <s v="6.143158"/>
    <s v="Transportation &amp; Logistics"/>
    <s v="Micro (1-10)"/>
    <s v="Laura Thompson"/>
    <d v="2024-05-06T00:00:00"/>
    <s v="Custom solution"/>
    <x v="5"/>
    <x v="5"/>
    <m/>
    <m/>
    <n v="414"/>
    <n v="60"/>
    <d v="2025-04-07T00:00:00"/>
    <m/>
  </r>
  <r>
    <x v="2173"/>
    <s v="France"/>
    <s v="48.864716"/>
    <s v="2.349014"/>
    <s v="Transportation &amp; Logistics"/>
    <s v="Micro (1-10)"/>
    <s v="Emily Johnson"/>
    <d v="2024-02-01T00:00:00"/>
    <s v="SAAS"/>
    <x v="5"/>
    <x v="5"/>
    <m/>
    <m/>
    <n v="472"/>
    <n v="20"/>
    <d v="2024-06-21T00:00:00"/>
    <m/>
  </r>
  <r>
    <x v="2174"/>
    <s v="Germany"/>
    <s v="52.520008"/>
    <s v="13.404954"/>
    <s v="Professional Services  &amp; Consulting"/>
    <s v="Micro (1-10)"/>
    <s v="Laura Thompson"/>
    <d v="2024-05-14T00:00:00"/>
    <s v="SAAS"/>
    <x v="5"/>
    <x v="5"/>
    <m/>
    <m/>
    <n v="212"/>
    <n v="100"/>
    <d v="2025-03-22T00:00:00"/>
    <m/>
  </r>
  <r>
    <x v="2175"/>
    <s v="Germany"/>
    <s v="52.520008"/>
    <s v="13.404954"/>
    <s v="Professional Services  &amp; Consulting"/>
    <s v="Micro (1-10)"/>
    <s v="Laura Thompson"/>
    <d v="2024-01-25T00:00:00"/>
    <s v="Services"/>
    <x v="5"/>
    <x v="5"/>
    <m/>
    <m/>
    <n v="911"/>
    <n v="50"/>
    <d v="2024-09-22T00:00:00"/>
    <m/>
  </r>
  <r>
    <x v="2176"/>
    <s v="Belgium"/>
    <s v="51.260197"/>
    <s v="4.402771"/>
    <s v="Banking and Finance"/>
    <s v="Micro (1-10)"/>
    <s v="Jessica Martinez"/>
    <d v="2024-05-01T00:00:00"/>
    <s v="Custom solution"/>
    <x v="5"/>
    <x v="5"/>
    <m/>
    <m/>
    <n v="907"/>
    <n v="60"/>
    <d v="2024-12-25T00:00:00"/>
    <m/>
  </r>
  <r>
    <x v="2177"/>
    <s v="Germany"/>
    <s v="52.520008"/>
    <s v="13.404954"/>
    <s v="Professional Services  &amp; Consulting"/>
    <s v="Micro (1-10)"/>
    <s v="Laura Thompson"/>
    <d v="2024-03-25T00:00:00"/>
    <s v="Services"/>
    <x v="5"/>
    <x v="5"/>
    <m/>
    <m/>
    <n v="588"/>
    <n v="20"/>
    <d v="2024-05-03T00:00:00"/>
    <m/>
  </r>
  <r>
    <x v="2178"/>
    <s v="France"/>
    <s v="48.864716"/>
    <s v="2.349014"/>
    <s v="IT &amp; IT Services"/>
    <s v="Micro (1-10)"/>
    <s v="Kevin Anderson"/>
    <d v="2024-05-26T00:00:00"/>
    <s v="SAAS"/>
    <x v="5"/>
    <x v="5"/>
    <m/>
    <m/>
    <n v="593"/>
    <n v="60"/>
    <d v="2025-01-19T00:00:00"/>
    <m/>
  </r>
  <r>
    <x v="2179"/>
    <s v="Italy"/>
    <s v="41.902782"/>
    <s v="12.496366"/>
    <s v="Transportation &amp; Logistics"/>
    <s v="Micro (1-10)"/>
    <s v="David Wilson"/>
    <d v="2024-03-07T00:00:00"/>
    <s v="Services"/>
    <x v="5"/>
    <x v="5"/>
    <m/>
    <m/>
    <n v="615"/>
    <n v="30"/>
    <d v="2025-01-11T00:00:00"/>
    <m/>
  </r>
  <r>
    <x v="2180"/>
    <s v="France"/>
    <s v="48.864716"/>
    <s v="2.349014"/>
    <s v="Telecommunications"/>
    <s v="Micro (1-10)"/>
    <s v="Jessica Martinez"/>
    <d v="2024-04-12T00:00:00"/>
    <s v="Custom solution"/>
    <x v="5"/>
    <x v="5"/>
    <m/>
    <m/>
    <n v="1138"/>
    <n v="20"/>
    <d v="2025-01-30T00:00:00"/>
    <m/>
  </r>
  <r>
    <x v="2181"/>
    <s v="Spain"/>
    <s v="40.416775"/>
    <s v="-3.703790"/>
    <s v="IT &amp; IT Services"/>
    <s v="Micro (1-10)"/>
    <s v="Laura Thompson"/>
    <d v="2024-04-06T00:00:00"/>
    <s v="SAAS"/>
    <x v="5"/>
    <x v="5"/>
    <m/>
    <m/>
    <n v="273"/>
    <n v="20"/>
    <d v="2024-12-22T00:00:00"/>
    <m/>
  </r>
  <r>
    <x v="2182"/>
    <s v="Belgium"/>
    <s v="51.260197"/>
    <s v="4.402771"/>
    <s v="Government Administration Healthcare"/>
    <s v="Micro (1-10)"/>
    <s v="Michael Brown"/>
    <d v="2024-04-10T00:00:00"/>
    <s v="SAAS"/>
    <x v="5"/>
    <x v="5"/>
    <m/>
    <m/>
    <n v="585"/>
    <n v="90"/>
    <d v="2024-06-10T00:00:00"/>
    <m/>
  </r>
  <r>
    <x v="2183"/>
    <s v="Italy"/>
    <s v="41.902782"/>
    <s v="12.496366"/>
    <s v="Transportation &amp; Logistics"/>
    <s v="Micro (1-10)"/>
    <s v="Jessica Martinez"/>
    <d v="2024-02-04T00:00:00"/>
    <s v="Services"/>
    <x v="5"/>
    <x v="5"/>
    <m/>
    <m/>
    <n v="414"/>
    <n v="30"/>
    <d v="2024-05-18T00:00:00"/>
    <m/>
  </r>
  <r>
    <x v="2184"/>
    <s v="France"/>
    <s v="48.864716"/>
    <s v="2.349014"/>
    <s v="IT &amp; IT Services"/>
    <s v="Micro (1-10)"/>
    <s v="Laura Thompson"/>
    <d v="2024-05-17T00:00:00"/>
    <s v="SAAS"/>
    <x v="5"/>
    <x v="5"/>
    <m/>
    <m/>
    <n v="944"/>
    <n v="30"/>
    <d v="2025-03-27T00:00:00"/>
    <m/>
  </r>
  <r>
    <x v="2185"/>
    <s v="France"/>
    <s v="48.864716"/>
    <s v="2.349014"/>
    <s v="IT &amp; IT Services"/>
    <s v="Micro (1-10)"/>
    <s v="John Smith"/>
    <d v="2024-03-04T00:00:00"/>
    <s v="SAAS"/>
    <x v="5"/>
    <x v="5"/>
    <m/>
    <m/>
    <n v="922"/>
    <n v="100"/>
    <d v="2024-07-27T00:00:00"/>
    <m/>
  </r>
  <r>
    <x v="2186"/>
    <s v="Spain"/>
    <s v="40.416775"/>
    <s v="-3.703790"/>
    <s v="Construction &amp; Engineering"/>
    <s v="Micro (1-10)"/>
    <s v="Sarah Davis"/>
    <d v="2024-02-10T00:00:00"/>
    <s v="SAAS"/>
    <x v="5"/>
    <x v="5"/>
    <m/>
    <m/>
    <n v="499"/>
    <n v="30"/>
    <d v="2024-11-14T00:00:00"/>
    <m/>
  </r>
  <r>
    <x v="2187"/>
    <s v="Switzerland"/>
    <s v="46.204391"/>
    <s v="6.143158"/>
    <s v="Education &amp; Science"/>
    <s v="Micro (1-10)"/>
    <s v="Jessica Martinez"/>
    <d v="2024-04-21T00:00:00"/>
    <s v="Services"/>
    <x v="5"/>
    <x v="5"/>
    <m/>
    <m/>
    <n v="971"/>
    <n v="10"/>
    <d v="2025-04-21T00:00:00"/>
    <m/>
  </r>
  <r>
    <x v="2188"/>
    <s v="Switzerland"/>
    <s v="46.204391"/>
    <s v="6.143158"/>
    <s v="Transportation &amp; Logistics"/>
    <s v="Micro (1-10)"/>
    <s v="Emily Johnson"/>
    <d v="2024-05-05T00:00:00"/>
    <s v="Services"/>
    <x v="5"/>
    <x v="5"/>
    <m/>
    <m/>
    <n v="334"/>
    <n v="30"/>
    <d v="2024-05-27T00:00:00"/>
    <m/>
  </r>
  <r>
    <x v="2189"/>
    <s v="Switzerland"/>
    <s v="46.204391"/>
    <s v="6.143158"/>
    <s v="IT &amp; IT Services"/>
    <s v="Micro (1-10)"/>
    <s v="Michael Brown"/>
    <d v="2024-02-09T00:00:00"/>
    <s v="SAAS"/>
    <x v="5"/>
    <x v="5"/>
    <m/>
    <m/>
    <n v="662"/>
    <n v="30"/>
    <d v="2025-02-07T00:00:00"/>
    <m/>
  </r>
  <r>
    <x v="2190"/>
    <s v="Switzerland"/>
    <s v="46.204391"/>
    <s v="6.143158"/>
    <s v="Transportation &amp; Logistics"/>
    <s v="Micro (1-10)"/>
    <s v="Laura Thompson"/>
    <d v="2024-03-05T00:00:00"/>
    <s v="SAAS"/>
    <x v="5"/>
    <x v="5"/>
    <m/>
    <m/>
    <n v="618"/>
    <n v="40"/>
    <d v="2024-04-09T00:00:00"/>
    <m/>
  </r>
  <r>
    <x v="2191"/>
    <s v="Switzerland"/>
    <s v="46.204391"/>
    <s v="6.143158"/>
    <s v="Transportation &amp; Logistics"/>
    <s v="Micro (1-10)"/>
    <s v="Michael Brown"/>
    <d v="2024-04-28T00:00:00"/>
    <s v="SAAS"/>
    <x v="5"/>
    <x v="5"/>
    <m/>
    <m/>
    <n v="567"/>
    <n v="30"/>
    <d v="2025-03-30T00:00:00"/>
    <m/>
  </r>
  <r>
    <x v="2192"/>
    <s v="Italy"/>
    <s v="41.902782"/>
    <s v="12.496366"/>
    <s v="IT &amp; IT Services"/>
    <s v="Micro (1-10)"/>
    <s v="Kevin Anderson"/>
    <d v="2024-03-18T00:00:00"/>
    <s v="Services"/>
    <x v="5"/>
    <x v="5"/>
    <m/>
    <m/>
    <n v="604"/>
    <n v="40"/>
    <d v="2025-02-18T00:00:00"/>
    <m/>
  </r>
  <r>
    <x v="2193"/>
    <s v="Netherlands"/>
    <s v="52.370216"/>
    <s v="4.895168"/>
    <s v="Professional Services  &amp; Consulting"/>
    <s v="Micro (1-10)"/>
    <s v="Jessica Martinez"/>
    <d v="2024-03-12T00:00:00"/>
    <s v="Services"/>
    <x v="5"/>
    <x v="5"/>
    <m/>
    <m/>
    <n v="473"/>
    <n v="70"/>
    <d v="2024-05-12T00:00:00"/>
    <m/>
  </r>
  <r>
    <x v="2194"/>
    <s v="Italy"/>
    <s v="41.902782"/>
    <s v="12.496366"/>
    <s v="IT &amp; IT Services"/>
    <s v="Micro (1-10)"/>
    <s v="John Smith"/>
    <d v="2024-05-21T00:00:00"/>
    <s v="Services"/>
    <x v="5"/>
    <x v="5"/>
    <m/>
    <m/>
    <n v="633"/>
    <n v="50"/>
    <d v="2025-02-08T00:00:00"/>
    <m/>
  </r>
  <r>
    <x v="2195"/>
    <s v="Portugal"/>
    <s v="38.736946"/>
    <s v="-9.142685"/>
    <s v="Banking and Finance"/>
    <s v="Micro (1-10)"/>
    <s v="Laura Thompson"/>
    <d v="2024-01-27T00:00:00"/>
    <s v="SAAS"/>
    <x v="5"/>
    <x v="5"/>
    <m/>
    <m/>
    <n v="536"/>
    <n v="40"/>
    <d v="2024-02-16T00:00:00"/>
    <m/>
  </r>
  <r>
    <x v="2196"/>
    <s v="Germany"/>
    <s v="52.520008"/>
    <s v="13.404954"/>
    <s v="Recreation &amp; Sports"/>
    <s v="Micro (1-10)"/>
    <s v="Michael Brown"/>
    <d v="2024-05-26T00:00:00"/>
    <s v="SAAS"/>
    <x v="5"/>
    <x v="5"/>
    <m/>
    <m/>
    <n v="854"/>
    <n v="60"/>
    <d v="2024-07-02T00:00:00"/>
    <m/>
  </r>
  <r>
    <x v="2197"/>
    <s v="Portugal"/>
    <s v="38.736946"/>
    <s v="-9.142685"/>
    <s v="Entertainment &amp; Media &amp; Hospitality"/>
    <s v="Medium (201-500)"/>
    <s v="Michael Brown"/>
    <d v="2024-05-20T00:00:00"/>
    <s v="Services"/>
    <x v="5"/>
    <x v="5"/>
    <m/>
    <m/>
    <n v="1839"/>
    <n v="80"/>
    <d v="2024-06-09T00:00:00"/>
    <m/>
  </r>
  <r>
    <x v="2198"/>
    <s v="Germany"/>
    <s v="52.520008"/>
    <s v="13.404954"/>
    <s v="Banking and Finance"/>
    <s v="Medium (201-500)"/>
    <s v="Laura Thompson"/>
    <d v="2024-02-05T00:00:00"/>
    <s v="SAAS"/>
    <x v="5"/>
    <x v="5"/>
    <m/>
    <m/>
    <n v="1689"/>
    <n v="40"/>
    <d v="2024-04-29T00:00:00"/>
    <m/>
  </r>
  <r>
    <x v="2199"/>
    <s v="France"/>
    <s v="48.864716"/>
    <s v="2.349014"/>
    <s v="Education &amp; Science"/>
    <s v="Medium (201-500)"/>
    <s v="Jessica Martinez"/>
    <d v="2024-04-23T00:00:00"/>
    <s v="Custom solution"/>
    <x v="5"/>
    <x v="5"/>
    <m/>
    <m/>
    <n v="984"/>
    <n v="30"/>
    <d v="2025-02-09T00:00:00"/>
    <m/>
  </r>
  <r>
    <x v="2200"/>
    <s v="France"/>
    <s v="48.864716"/>
    <s v="2.349014"/>
    <s v="Government Administration Healthcare"/>
    <s v="Medium (201-500)"/>
    <s v="Laura Thompson"/>
    <d v="2024-03-11T00:00:00"/>
    <s v="SAAS"/>
    <x v="5"/>
    <x v="5"/>
    <m/>
    <m/>
    <n v="5945"/>
    <n v="20"/>
    <d v="2024-04-22T00:00:00"/>
    <m/>
  </r>
  <r>
    <x v="2201"/>
    <s v="Portugal"/>
    <s v="38.736946"/>
    <s v="-9.142685"/>
    <s v="Transportation &amp; Logistics"/>
    <s v="Medium (201-500)"/>
    <s v="Kevin Anderson"/>
    <d v="2024-03-15T00:00:00"/>
    <s v="Services"/>
    <x v="5"/>
    <x v="5"/>
    <m/>
    <m/>
    <n v="992"/>
    <n v="20"/>
    <d v="2024-05-18T00:00:00"/>
    <m/>
  </r>
  <r>
    <x v="2202"/>
    <s v="Netherlands"/>
    <s v="52.370216"/>
    <s v="4.895168"/>
    <s v="Transportation &amp; Logistics"/>
    <s v="Medium (201-500)"/>
    <s v="Jessica Martinez"/>
    <d v="2024-03-15T00:00:00"/>
    <s v="SAAS"/>
    <x v="5"/>
    <x v="5"/>
    <m/>
    <m/>
    <n v="1516"/>
    <n v="40"/>
    <d v="2024-07-05T00:00:00"/>
    <m/>
  </r>
  <r>
    <x v="2203"/>
    <s v="Spain"/>
    <s v="40.416775"/>
    <s v="-3.703790"/>
    <s v="Transportation &amp; Logistics"/>
    <s v="Medium (201-500)"/>
    <s v="David Wilson"/>
    <d v="2024-02-01T00:00:00"/>
    <s v="Services"/>
    <x v="5"/>
    <x v="5"/>
    <m/>
    <m/>
    <n v="1937"/>
    <n v="60"/>
    <d v="2024-05-11T00:00:00"/>
    <m/>
  </r>
  <r>
    <x v="2204"/>
    <s v="Italy"/>
    <s v="41.902782"/>
    <s v="12.496366"/>
    <s v="Banking and Finance"/>
    <s v="Medium (201-500)"/>
    <s v="Sarah Davis"/>
    <d v="2024-02-19T00:00:00"/>
    <s v="SAAS"/>
    <x v="5"/>
    <x v="5"/>
    <m/>
    <m/>
    <n v="377"/>
    <n v="40"/>
    <d v="2024-04-08T00:00:00"/>
    <m/>
  </r>
  <r>
    <x v="2205"/>
    <s v="Spain"/>
    <s v="40.416775"/>
    <s v="-3.703790"/>
    <s v="Banking and Finance"/>
    <s v="Medium (201-500)"/>
    <s v="Laura Thompson"/>
    <d v="2024-01-10T00:00:00"/>
    <s v="SAAS"/>
    <x v="5"/>
    <x v="5"/>
    <m/>
    <m/>
    <n v="7200"/>
    <n v="40"/>
    <d v="2024-07-28T00:00:00"/>
    <m/>
  </r>
  <r>
    <x v="2206"/>
    <s v="Netherlands"/>
    <s v="52.370216"/>
    <s v="4.895168"/>
    <s v="Entertainment &amp; Media &amp; Hospitality"/>
    <s v="Medium (201-500)"/>
    <s v="Emily Johnson"/>
    <d v="2024-04-05T00:00:00"/>
    <s v="SAAS"/>
    <x v="5"/>
    <x v="5"/>
    <m/>
    <m/>
    <n v="6884"/>
    <n v="100"/>
    <d v="2024-11-09T00:00:00"/>
    <m/>
  </r>
  <r>
    <x v="2207"/>
    <s v="Spain"/>
    <s v="40.416775"/>
    <s v="-3.703790"/>
    <s v="Telecommunications"/>
    <s v="Medium (201-500)"/>
    <s v="Laura Thompson"/>
    <d v="2024-03-01T00:00:00"/>
    <s v="Services"/>
    <x v="5"/>
    <x v="5"/>
    <m/>
    <m/>
    <n v="3935"/>
    <n v="70"/>
    <d v="2024-07-19T00:00:00"/>
    <m/>
  </r>
  <r>
    <x v="2208"/>
    <s v="Switzerland"/>
    <s v="46.204391"/>
    <s v="6.143158"/>
    <s v="Banking and Finance"/>
    <s v="Medium (201-500)"/>
    <s v="Sarah Davis"/>
    <d v="2024-02-14T00:00:00"/>
    <s v="SAAS"/>
    <x v="5"/>
    <x v="5"/>
    <m/>
    <m/>
    <n v="5401"/>
    <n v="30"/>
    <d v="2025-01-07T00:00:00"/>
    <m/>
  </r>
  <r>
    <x v="2209"/>
    <s v="Germany"/>
    <s v="52.520008"/>
    <s v="13.404954"/>
    <s v="Manufacturing &amp; Production"/>
    <s v="Medium (201-500)"/>
    <s v="Emily Johnson"/>
    <d v="2024-02-14T00:00:00"/>
    <s v="SAAS"/>
    <x v="5"/>
    <x v="5"/>
    <m/>
    <m/>
    <n v="3336"/>
    <n v="40"/>
    <d v="2025-02-10T00:00:00"/>
    <m/>
  </r>
  <r>
    <x v="2210"/>
    <s v="Germany"/>
    <s v="52.520008"/>
    <s v="13.404954"/>
    <s v="Banking and Finance"/>
    <s v="Medium (201-500)"/>
    <s v="Laura Thompson"/>
    <d v="2024-01-21T00:00:00"/>
    <s v="SAAS"/>
    <x v="5"/>
    <x v="5"/>
    <m/>
    <m/>
    <n v="2944"/>
    <n v="30"/>
    <d v="2024-04-24T00:00:00"/>
    <m/>
  </r>
  <r>
    <x v="2211"/>
    <s v="France"/>
    <s v="48.864716"/>
    <s v="2.349014"/>
    <s v="Recreation &amp; Sports"/>
    <s v="Medium (201-500)"/>
    <s v="Michael Brown"/>
    <d v="2024-01-05T00:00:00"/>
    <s v="Services"/>
    <x v="5"/>
    <x v="5"/>
    <m/>
    <m/>
    <n v="2186"/>
    <n v="30"/>
    <d v="2024-06-14T00:00:00"/>
    <m/>
  </r>
  <r>
    <x v="2212"/>
    <s v="Italy"/>
    <s v="41.902782"/>
    <s v="12.496366"/>
    <s v="Education &amp; Science"/>
    <s v="Medium (201-500)"/>
    <s v="Emily Johnson"/>
    <d v="2024-03-24T00:00:00"/>
    <s v="Custom solution"/>
    <x v="5"/>
    <x v="5"/>
    <m/>
    <m/>
    <n v="6479"/>
    <n v="100"/>
    <d v="2024-11-25T00:00:00"/>
    <m/>
  </r>
  <r>
    <x v="2213"/>
    <s v="France"/>
    <s v="48.864716"/>
    <s v="2.349014"/>
    <s v="Transportation &amp; Logistics"/>
    <s v="Medium (201-500)"/>
    <s v="Jessica Martinez"/>
    <d v="2024-01-19T00:00:00"/>
    <s v="SAAS"/>
    <x v="5"/>
    <x v="5"/>
    <m/>
    <m/>
    <n v="6526"/>
    <n v="10"/>
    <d v="2024-11-24T00:00:00"/>
    <m/>
  </r>
  <r>
    <x v="2214"/>
    <s v="Switzerland"/>
    <s v="46.204391"/>
    <s v="6.143158"/>
    <s v="Energy &amp; Utilities"/>
    <s v="Medium (201-500)"/>
    <s v="Laura Thompson"/>
    <d v="2024-04-22T00:00:00"/>
    <s v="SAAS"/>
    <x v="5"/>
    <x v="5"/>
    <m/>
    <m/>
    <n v="4638"/>
    <n v="40"/>
    <d v="2024-10-12T00:00:00"/>
    <m/>
  </r>
  <r>
    <x v="2215"/>
    <s v="Italy"/>
    <s v="41.902782"/>
    <s v="12.496366"/>
    <s v="Banking and Finance"/>
    <s v="Medium (201-500)"/>
    <s v="Jessica Martinez"/>
    <d v="2024-01-05T00:00:00"/>
    <s v="SAAS"/>
    <x v="5"/>
    <x v="5"/>
    <m/>
    <m/>
    <n v="4652"/>
    <n v="60"/>
    <d v="2024-02-04T00:00:00"/>
    <m/>
  </r>
  <r>
    <x v="2216"/>
    <s v="Italy"/>
    <s v="41.902782"/>
    <s v="12.496366"/>
    <s v="Telecommunications"/>
    <s v="Medium (201-500)"/>
    <s v="Kevin Anderson"/>
    <d v="2024-01-06T00:00:00"/>
    <s v="Services"/>
    <x v="5"/>
    <x v="5"/>
    <m/>
    <m/>
    <n v="5941"/>
    <n v="50"/>
    <d v="2024-07-08T00:00:00"/>
    <m/>
  </r>
  <r>
    <x v="2217"/>
    <s v="Portugal"/>
    <s v="38.736946"/>
    <s v="-9.142685"/>
    <s v="Retail &amp; Distribution"/>
    <s v="Medium (201-500)"/>
    <s v="Laura Thompson"/>
    <d v="2024-04-14T00:00:00"/>
    <s v="SAAS"/>
    <x v="5"/>
    <x v="5"/>
    <m/>
    <m/>
    <n v="3370"/>
    <n v="50"/>
    <d v="2024-07-17T00:00:00"/>
    <m/>
  </r>
  <r>
    <x v="2218"/>
    <s v="Germany"/>
    <s v="52.520008"/>
    <s v="13.404954"/>
    <s v="Recreation &amp; Sports"/>
    <s v="Medium (201-500)"/>
    <s v="Laura Thompson"/>
    <d v="2024-04-01T00:00:00"/>
    <s v="Services"/>
    <x v="5"/>
    <x v="5"/>
    <m/>
    <m/>
    <n v="7093"/>
    <n v="40"/>
    <d v="2025-03-31T00:00:00"/>
    <m/>
  </r>
  <r>
    <x v="2219"/>
    <s v="France"/>
    <s v="48.864716"/>
    <s v="2.349014"/>
    <s v="Energy &amp; Utilities"/>
    <s v="Medium (201-500)"/>
    <s v="Michael Brown"/>
    <d v="2024-05-30T00:00:00"/>
    <s v="Services"/>
    <x v="5"/>
    <x v="5"/>
    <m/>
    <m/>
    <n v="4407"/>
    <n v="40"/>
    <d v="2025-04-10T00:00:00"/>
    <m/>
  </r>
  <r>
    <x v="2220"/>
    <s v="Spain"/>
    <s v="40.416775"/>
    <s v="-3.703790"/>
    <s v="Construction &amp; Engineering"/>
    <s v="Medium (201-500)"/>
    <s v="Jessica Martinez"/>
    <d v="2024-04-22T00:00:00"/>
    <s v="Services"/>
    <x v="5"/>
    <x v="5"/>
    <m/>
    <m/>
    <n v="2950"/>
    <n v="30"/>
    <d v="2025-03-03T00:00:00"/>
    <m/>
  </r>
  <r>
    <x v="2221"/>
    <s v="Portugal"/>
    <s v="38.736946"/>
    <s v="-9.142685"/>
    <s v="Government Administration Healthcare"/>
    <s v="Medium (201-500)"/>
    <s v="David Wilson"/>
    <d v="2024-05-26T00:00:00"/>
    <s v="Services"/>
    <x v="5"/>
    <x v="5"/>
    <m/>
    <m/>
    <n v="2431"/>
    <n v="20"/>
    <d v="2024-11-09T00:00:00"/>
    <m/>
  </r>
  <r>
    <x v="2222"/>
    <s v="France"/>
    <s v="48.864716"/>
    <s v="2.349014"/>
    <s v="Telecommunications"/>
    <s v="Medium (201-500)"/>
    <s v="Jessica Martinez"/>
    <d v="2024-05-11T00:00:00"/>
    <s v="SAAS"/>
    <x v="5"/>
    <x v="5"/>
    <m/>
    <m/>
    <n v="2924"/>
    <n v="30"/>
    <d v="2025-03-09T00:00:00"/>
    <m/>
  </r>
  <r>
    <x v="2223"/>
    <s v="Austria"/>
    <s v="48.210033"/>
    <s v="16.363449"/>
    <s v="Banking and Finance"/>
    <s v="Medium (201-500)"/>
    <s v="Michael Brown"/>
    <d v="2024-01-26T00:00:00"/>
    <s v="Services"/>
    <x v="5"/>
    <x v="5"/>
    <m/>
    <m/>
    <n v="7400"/>
    <n v="30"/>
    <d v="2024-06-10T00:00:00"/>
    <m/>
  </r>
  <r>
    <x v="2224"/>
    <s v="Spain"/>
    <s v="40.416775"/>
    <s v="-3.703790"/>
    <s v="Government Administration Healthcare"/>
    <s v="Medium (201-500)"/>
    <s v="Laura Thompson"/>
    <d v="2024-02-23T00:00:00"/>
    <s v="SAAS"/>
    <x v="5"/>
    <x v="5"/>
    <m/>
    <m/>
    <n v="3191"/>
    <n v="40"/>
    <d v="2024-11-21T00:00:00"/>
    <m/>
  </r>
  <r>
    <x v="2225"/>
    <s v="Spain"/>
    <s v="40.416775"/>
    <s v="-3.703790"/>
    <s v="Education &amp; Science"/>
    <s v="Medium (201-500)"/>
    <s v="Laura Thompson"/>
    <d v="2024-02-10T00:00:00"/>
    <s v="Services"/>
    <x v="5"/>
    <x v="5"/>
    <m/>
    <m/>
    <n v="7968"/>
    <n v="20"/>
    <d v="2024-08-31T00:00:00"/>
    <m/>
  </r>
  <r>
    <x v="2226"/>
    <s v="France"/>
    <s v="48.864716"/>
    <s v="2.349014"/>
    <s v="Banking and Finance"/>
    <s v="Medium (201-500)"/>
    <s v="Michael Brown"/>
    <d v="2024-05-12T00:00:00"/>
    <s v="Services"/>
    <x v="5"/>
    <x v="5"/>
    <m/>
    <m/>
    <n v="5251"/>
    <n v="20"/>
    <d v="2024-08-23T00:00:00"/>
    <m/>
  </r>
  <r>
    <x v="2227"/>
    <s v="Switzerland"/>
    <s v="46.204391"/>
    <s v="6.143158"/>
    <s v="Transportation &amp; Logistics"/>
    <s v="Medium (201-500)"/>
    <s v="Laura Thompson"/>
    <d v="2024-02-24T00:00:00"/>
    <s v="Services"/>
    <x v="5"/>
    <x v="5"/>
    <m/>
    <m/>
    <n v="7458"/>
    <n v="40"/>
    <d v="2024-12-07T00:00:00"/>
    <m/>
  </r>
  <r>
    <x v="2228"/>
    <s v="Belgium"/>
    <s v="51.260197"/>
    <s v="4.402771"/>
    <s v="IT &amp; IT Services"/>
    <s v="Medium (201-500)"/>
    <s v="Emily Johnson"/>
    <d v="2024-01-16T00:00:00"/>
    <s v="SAAS"/>
    <x v="5"/>
    <x v="5"/>
    <m/>
    <m/>
    <n v="2346"/>
    <n v="10"/>
    <d v="2024-07-25T00:00:00"/>
    <m/>
  </r>
  <r>
    <x v="2229"/>
    <s v="Italy"/>
    <s v="41.902782"/>
    <s v="12.496366"/>
    <s v="Professional Services  &amp; Consulting"/>
    <s v="Medium (201-500)"/>
    <s v="Michael Brown"/>
    <d v="2024-04-23T00:00:00"/>
    <s v="Services"/>
    <x v="5"/>
    <x v="5"/>
    <m/>
    <m/>
    <n v="354"/>
    <n v="30"/>
    <d v="2025-04-13T00:00:00"/>
    <m/>
  </r>
  <r>
    <x v="2230"/>
    <s v="Portugal"/>
    <s v="38.736946"/>
    <s v="-9.142685"/>
    <s v="Recreation &amp; Sports"/>
    <s v="Medium (201-500)"/>
    <s v="Michael Brown"/>
    <d v="2024-03-15T00:00:00"/>
    <s v="Custom solution"/>
    <x v="5"/>
    <x v="5"/>
    <m/>
    <m/>
    <n v="3855"/>
    <n v="60"/>
    <d v="2024-06-17T00:00:00"/>
    <m/>
  </r>
  <r>
    <x v="2231"/>
    <s v="Italy"/>
    <s v="41.902782"/>
    <s v="12.496366"/>
    <s v="Transportation &amp; Logistics"/>
    <s v="Medium (201-500)"/>
    <s v="Kevin Anderson"/>
    <d v="2024-03-29T00:00:00"/>
    <s v="SAAS"/>
    <x v="5"/>
    <x v="5"/>
    <m/>
    <m/>
    <n v="4368"/>
    <n v="20"/>
    <d v="2024-10-18T00:00:00"/>
    <m/>
  </r>
  <r>
    <x v="2232"/>
    <s v="Italy"/>
    <s v="41.902782"/>
    <s v="12.496366"/>
    <s v="Banking and Finance"/>
    <s v="Medium (201-500)"/>
    <s v="John Smith"/>
    <d v="2024-02-25T00:00:00"/>
    <s v="Services"/>
    <x v="5"/>
    <x v="5"/>
    <m/>
    <m/>
    <n v="449"/>
    <n v="20"/>
    <d v="2025-02-15T00:00:00"/>
    <m/>
  </r>
  <r>
    <x v="2233"/>
    <s v="Italy"/>
    <s v="41.902782"/>
    <s v="12.496366"/>
    <s v="Construction &amp; Engineering"/>
    <s v="Medium (201-500)"/>
    <s v="Emily Johnson"/>
    <d v="2024-04-30T00:00:00"/>
    <s v="SAAS"/>
    <x v="5"/>
    <x v="5"/>
    <m/>
    <m/>
    <n v="5205"/>
    <n v="30"/>
    <d v="2024-06-16T00:00:00"/>
    <m/>
  </r>
  <r>
    <x v="2234"/>
    <s v="Italy"/>
    <s v="41.902782"/>
    <s v="12.496366"/>
    <s v="IT &amp; IT Services"/>
    <s v="Medium (201-500)"/>
    <s v="Michael Brown"/>
    <d v="2024-01-20T00:00:00"/>
    <s v="Services"/>
    <x v="5"/>
    <x v="5"/>
    <m/>
    <m/>
    <n v="5539"/>
    <n v="100"/>
    <d v="2024-07-20T00:00:00"/>
    <m/>
  </r>
  <r>
    <x v="2235"/>
    <s v="France"/>
    <s v="48.864716"/>
    <s v="2.349014"/>
    <s v="Banking and Finance"/>
    <s v="Medium (201-500)"/>
    <s v="David Wilson"/>
    <d v="2024-03-07T00:00:00"/>
    <s v="Custom solution"/>
    <x v="5"/>
    <x v="5"/>
    <m/>
    <m/>
    <n v="4855"/>
    <n v="50"/>
    <d v="2024-11-27T00:00:00"/>
    <m/>
  </r>
  <r>
    <x v="2236"/>
    <s v="Italy"/>
    <s v="41.902782"/>
    <s v="12.496366"/>
    <s v="IT &amp; IT Services"/>
    <s v="Medium (201-500)"/>
    <s v="Kevin Anderson"/>
    <d v="2024-05-21T00:00:00"/>
    <s v="SAAS"/>
    <x v="5"/>
    <x v="5"/>
    <m/>
    <m/>
    <n v="7008"/>
    <n v="70"/>
    <d v="2024-12-16T00:00:00"/>
    <m/>
  </r>
  <r>
    <x v="2237"/>
    <s v="France"/>
    <s v="48.864716"/>
    <s v="2.349014"/>
    <s v="Recreation &amp; Sports"/>
    <s v="Medium (201-500)"/>
    <s v="Jessica Martinez"/>
    <d v="2024-05-22T00:00:00"/>
    <s v="Services"/>
    <x v="5"/>
    <x v="5"/>
    <m/>
    <m/>
    <n v="5121"/>
    <n v="20"/>
    <d v="2024-08-08T00:00:00"/>
    <m/>
  </r>
  <r>
    <x v="2238"/>
    <s v="Portugal"/>
    <s v="38.736946"/>
    <s v="-9.142685"/>
    <s v="Banking and Finance"/>
    <s v="Medium (201-500)"/>
    <s v="Kevin Anderson"/>
    <d v="2024-03-17T00:00:00"/>
    <s v="Services"/>
    <x v="5"/>
    <x v="5"/>
    <m/>
    <m/>
    <n v="6482"/>
    <n v="30"/>
    <d v="2024-05-06T00:00:00"/>
    <m/>
  </r>
  <r>
    <x v="2239"/>
    <s v="Switzerland"/>
    <s v="46.204391"/>
    <s v="6.143158"/>
    <s v="Retail &amp; Distribution"/>
    <s v="Medium (201-500)"/>
    <s v="Laura Thompson"/>
    <d v="2024-05-23T00:00:00"/>
    <s v="Custom solution"/>
    <x v="5"/>
    <x v="5"/>
    <m/>
    <m/>
    <n v="2686"/>
    <n v="70"/>
    <d v="2025-02-16T00:00:00"/>
    <m/>
  </r>
  <r>
    <x v="2240"/>
    <s v="Germany"/>
    <s v="52.520008"/>
    <s v="13.404954"/>
    <s v="Professional Services  &amp; Consulting"/>
    <s v="Medium (201-500)"/>
    <s v="Emily Johnson"/>
    <d v="2024-04-12T00:00:00"/>
    <s v="Services"/>
    <x v="5"/>
    <x v="5"/>
    <m/>
    <m/>
    <n v="7610"/>
    <n v="40"/>
    <d v="2024-12-07T00:00:00"/>
    <m/>
  </r>
  <r>
    <x v="2241"/>
    <s v="Portugal"/>
    <s v="38.736946"/>
    <s v="-9.142685"/>
    <s v="Banking and Finance"/>
    <s v="Medium (201-500)"/>
    <s v="Emily Johnson"/>
    <d v="2024-02-06T00:00:00"/>
    <s v="SAAS"/>
    <x v="5"/>
    <x v="5"/>
    <m/>
    <m/>
    <n v="5020"/>
    <n v="30"/>
    <d v="2024-11-02T00:00:00"/>
    <m/>
  </r>
  <r>
    <x v="2242"/>
    <s v="Germany"/>
    <s v="52.520008"/>
    <s v="13.404954"/>
    <s v="Government Administration Healthcare"/>
    <s v="Medium (201-500)"/>
    <s v="Jessica Martinez"/>
    <d v="2024-05-22T00:00:00"/>
    <s v="SAAS"/>
    <x v="5"/>
    <x v="5"/>
    <m/>
    <m/>
    <n v="5132"/>
    <n v="30"/>
    <d v="2025-05-09T00:00:00"/>
    <m/>
  </r>
  <r>
    <x v="2243"/>
    <s v="Switzerland"/>
    <s v="46.204391"/>
    <s v="6.143158"/>
    <s v="Telecommunications"/>
    <s v="Medium (201-500)"/>
    <s v="Michael Brown"/>
    <d v="2024-04-29T00:00:00"/>
    <s v="SAAS"/>
    <x v="5"/>
    <x v="5"/>
    <m/>
    <m/>
    <n v="4531"/>
    <n v="30"/>
    <d v="2024-06-20T00:00:00"/>
    <m/>
  </r>
  <r>
    <x v="2244"/>
    <s v="France"/>
    <s v="48.864716"/>
    <s v="2.349014"/>
    <s v="Transportation &amp; Logistics"/>
    <s v="Medium (201-500)"/>
    <s v="Michael Brown"/>
    <d v="2024-01-06T00:00:00"/>
    <s v="SAAS"/>
    <x v="5"/>
    <x v="5"/>
    <m/>
    <m/>
    <n v="5617"/>
    <n v="40"/>
    <d v="2024-09-06T00:00:00"/>
    <m/>
  </r>
  <r>
    <x v="2245"/>
    <s v="Portugal"/>
    <s v="38.736946"/>
    <s v="-9.142685"/>
    <s v="IT &amp; IT Services"/>
    <s v="Medium (201-500)"/>
    <s v="Laura Thompson"/>
    <d v="2024-01-31T00:00:00"/>
    <s v="Services"/>
    <x v="5"/>
    <x v="5"/>
    <m/>
    <m/>
    <n v="1250"/>
    <n v="50"/>
    <d v="2024-05-07T00:00:00"/>
    <m/>
  </r>
  <r>
    <x v="2246"/>
    <s v="France"/>
    <s v="48.864716"/>
    <s v="2.349014"/>
    <s v="Construction &amp; Engineering"/>
    <s v="Medium (201-500)"/>
    <s v="Sarah Davis"/>
    <d v="2024-04-12T00:00:00"/>
    <s v="Services"/>
    <x v="5"/>
    <x v="5"/>
    <m/>
    <m/>
    <n v="3831"/>
    <n v="60"/>
    <d v="2024-10-03T00:00:00"/>
    <m/>
  </r>
  <r>
    <x v="2247"/>
    <s v="France"/>
    <s v="48.864716"/>
    <s v="2.349014"/>
    <s v="Agriculture &amp; Mining"/>
    <s v="Medium (201-500)"/>
    <s v="Laura Thompson"/>
    <d v="2024-03-02T00:00:00"/>
    <s v="Custom solution"/>
    <x v="5"/>
    <x v="5"/>
    <m/>
    <m/>
    <n v="3962"/>
    <n v="50"/>
    <d v="2024-07-23T00:00:00"/>
    <m/>
  </r>
  <r>
    <x v="2248"/>
    <s v="Italy"/>
    <s v="41.902782"/>
    <s v="12.496366"/>
    <s v="Transportation &amp; Logistics"/>
    <s v="Medium (201-500)"/>
    <s v="Laura Thompson"/>
    <d v="2024-01-24T00:00:00"/>
    <s v="Services"/>
    <x v="5"/>
    <x v="5"/>
    <m/>
    <m/>
    <n v="3657"/>
    <n v="40"/>
    <d v="2024-04-14T00:00:00"/>
    <m/>
  </r>
  <r>
    <x v="2249"/>
    <s v="Germany"/>
    <s v="52.520008"/>
    <s v="13.404954"/>
    <s v="Energy &amp; Utilities"/>
    <s v="Medium (201-500)"/>
    <s v="Jessica Martinez"/>
    <d v="2024-02-23T00:00:00"/>
    <s v="Custom solution"/>
    <x v="5"/>
    <x v="5"/>
    <m/>
    <m/>
    <n v="3597"/>
    <n v="50"/>
    <d v="2024-05-04T00:00:00"/>
    <m/>
  </r>
  <r>
    <x v="2250"/>
    <s v="Spain"/>
    <s v="40.416775"/>
    <s v="-3.703790"/>
    <s v="Recreation &amp; Sports"/>
    <s v="Medium (201-500)"/>
    <s v="Sarah Davis"/>
    <d v="2024-01-13T00:00:00"/>
    <s v="SAAS"/>
    <x v="5"/>
    <x v="5"/>
    <m/>
    <m/>
    <n v="5065"/>
    <n v="100"/>
    <d v="2024-11-10T00:00:00"/>
    <m/>
  </r>
  <r>
    <x v="2251"/>
    <s v="Switzerland"/>
    <s v="46.204391"/>
    <s v="6.143158"/>
    <s v="Professional Services  &amp; Consulting"/>
    <s v="Medium (201-500)"/>
    <s v="Michael Brown"/>
    <d v="2024-04-19T00:00:00"/>
    <s v="Services"/>
    <x v="5"/>
    <x v="5"/>
    <m/>
    <m/>
    <n v="6487"/>
    <n v="20"/>
    <d v="2024-09-21T00:00:00"/>
    <m/>
  </r>
  <r>
    <x v="2252"/>
    <s v="Italy"/>
    <s v="41.902782"/>
    <s v="12.496366"/>
    <s v="IT &amp; IT Services"/>
    <s v="Medium (201-500)"/>
    <s v="Emily Johnson"/>
    <d v="2024-04-12T00:00:00"/>
    <s v="Custom solution"/>
    <x v="5"/>
    <x v="5"/>
    <m/>
    <m/>
    <n v="4611"/>
    <n v="90"/>
    <d v="2024-06-04T00:00:00"/>
    <m/>
  </r>
  <r>
    <x v="2253"/>
    <s v="Italy"/>
    <s v="41.902782"/>
    <s v="12.496366"/>
    <s v="Professional Services  &amp; Consulting"/>
    <s v="Medium (201-500)"/>
    <s v="Sarah Davis"/>
    <d v="2024-04-19T00:00:00"/>
    <s v="Custom solution"/>
    <x v="5"/>
    <x v="5"/>
    <m/>
    <m/>
    <n v="2657"/>
    <n v="30"/>
    <d v="2024-10-06T00:00:00"/>
    <m/>
  </r>
  <r>
    <x v="2254"/>
    <s v="Belgium"/>
    <s v="51.260197"/>
    <s v="4.402771"/>
    <s v="Telecommunications"/>
    <s v="Medium (201-500)"/>
    <s v="John Smith"/>
    <d v="2024-02-06T00:00:00"/>
    <s v="SAAS"/>
    <x v="5"/>
    <x v="5"/>
    <m/>
    <m/>
    <n v="5314"/>
    <n v="10"/>
    <d v="2024-07-29T00:00:00"/>
    <m/>
  </r>
  <r>
    <x v="2255"/>
    <s v="Germany"/>
    <s v="52.520008"/>
    <s v="13.404954"/>
    <s v="Telecommunications"/>
    <s v="Medium (201-500)"/>
    <s v="Sarah Davis"/>
    <d v="2024-02-25T00:00:00"/>
    <s v="Services"/>
    <x v="5"/>
    <x v="5"/>
    <m/>
    <m/>
    <n v="7450"/>
    <n v="70"/>
    <d v="2024-05-01T00:00:00"/>
    <m/>
  </r>
  <r>
    <x v="2256"/>
    <s v="Portugal"/>
    <s v="38.736946"/>
    <s v="-9.142685"/>
    <s v="Energy &amp; Utilities"/>
    <s v="Medium (201-500)"/>
    <s v="Kevin Anderson"/>
    <d v="2024-03-27T00:00:00"/>
    <s v="SAAS"/>
    <x v="5"/>
    <x v="5"/>
    <m/>
    <m/>
    <n v="5717"/>
    <n v="60"/>
    <d v="2024-09-29T00:00:00"/>
    <m/>
  </r>
  <r>
    <x v="2257"/>
    <s v="Germany"/>
    <s v="52.520008"/>
    <s v="13.404954"/>
    <s v="Telecommunications"/>
    <s v="Medium (201-500)"/>
    <s v="Michael Brown"/>
    <d v="2024-03-06T00:00:00"/>
    <s v="SAAS"/>
    <x v="5"/>
    <x v="5"/>
    <m/>
    <m/>
    <n v="1475"/>
    <n v="20"/>
    <d v="2024-05-06T00:00:00"/>
    <m/>
  </r>
  <r>
    <x v="2258"/>
    <s v="Switzerland"/>
    <s v="46.204391"/>
    <s v="6.143158"/>
    <s v="Transportation &amp; Logistics"/>
    <s v="Medium (201-500)"/>
    <s v="Laura Thompson"/>
    <d v="2024-01-28T00:00:00"/>
    <s v="Services"/>
    <x v="5"/>
    <x v="5"/>
    <m/>
    <m/>
    <n v="623"/>
    <n v="20"/>
    <d v="2024-04-30T00:00:00"/>
    <m/>
  </r>
  <r>
    <x v="2259"/>
    <s v="France"/>
    <s v="48.864716"/>
    <s v="2.349014"/>
    <s v="IT &amp; IT Services"/>
    <s v="Medium (201-500)"/>
    <s v="David Wilson"/>
    <d v="2024-05-17T00:00:00"/>
    <s v="Custom solution"/>
    <x v="5"/>
    <x v="5"/>
    <m/>
    <m/>
    <n v="4917"/>
    <n v="20"/>
    <d v="2025-01-13T00:00:00"/>
    <m/>
  </r>
  <r>
    <x v="2260"/>
    <s v="Switzerland"/>
    <s v="46.204391"/>
    <s v="6.143158"/>
    <s v="Telecommunications"/>
    <s v="Medium (201-500)"/>
    <s v="Michael Brown"/>
    <d v="2024-02-24T00:00:00"/>
    <s v="Services"/>
    <x v="5"/>
    <x v="5"/>
    <m/>
    <m/>
    <n v="7208"/>
    <n v="50"/>
    <d v="2024-10-18T00:00:00"/>
    <m/>
  </r>
  <r>
    <x v="2261"/>
    <s v="Switzerland"/>
    <s v="46.204391"/>
    <s v="6.143158"/>
    <s v="Agriculture &amp; Mining"/>
    <s v="Medium (201-500)"/>
    <s v="Michael Brown"/>
    <d v="2024-01-09T00:00:00"/>
    <s v="SAAS"/>
    <x v="5"/>
    <x v="5"/>
    <m/>
    <m/>
    <n v="4534"/>
    <n v="10"/>
    <d v="2024-02-10T00:00:00"/>
    <m/>
  </r>
  <r>
    <x v="2262"/>
    <s v="Italy"/>
    <s v="41.902782"/>
    <s v="12.496366"/>
    <s v="Education &amp; Science"/>
    <s v="Medium (201-500)"/>
    <s v="Laura Thompson"/>
    <d v="2024-04-06T00:00:00"/>
    <s v="SAAS"/>
    <x v="5"/>
    <x v="5"/>
    <m/>
    <m/>
    <n v="7112"/>
    <n v="40"/>
    <d v="2024-08-25T00:00:00"/>
    <m/>
  </r>
  <r>
    <x v="2263"/>
    <s v="Italy"/>
    <s v="41.902782"/>
    <s v="12.496366"/>
    <s v="Banking and Finance"/>
    <s v="Medium (201-500)"/>
    <s v="Emily Johnson"/>
    <d v="2024-01-09T00:00:00"/>
    <s v="Services"/>
    <x v="5"/>
    <x v="5"/>
    <m/>
    <m/>
    <n v="2505"/>
    <n v="60"/>
    <d v="2024-09-10T00:00:00"/>
    <m/>
  </r>
  <r>
    <x v="2264"/>
    <s v="Italy"/>
    <s v="41.902782"/>
    <s v="12.496366"/>
    <s v="Banking and Finance"/>
    <s v="Medium (201-500)"/>
    <s v="Jessica Martinez"/>
    <d v="2024-03-19T00:00:00"/>
    <s v="Services"/>
    <x v="5"/>
    <x v="5"/>
    <m/>
    <m/>
    <n v="2181"/>
    <n v="100"/>
    <d v="2024-11-20T00:00:00"/>
    <m/>
  </r>
  <r>
    <x v="2265"/>
    <s v="Switzerland"/>
    <s v="46.204391"/>
    <s v="6.143158"/>
    <s v="Agriculture &amp; Mining"/>
    <s v="Medium (201-500)"/>
    <s v="Laura Thompson"/>
    <d v="2024-01-11T00:00:00"/>
    <s v="Services"/>
    <x v="5"/>
    <x v="5"/>
    <m/>
    <m/>
    <n v="5144"/>
    <n v="40"/>
    <d v="2024-07-21T00:00:00"/>
    <m/>
  </r>
  <r>
    <x v="2266"/>
    <s v="Spain"/>
    <s v="40.416775"/>
    <s v="-3.703790"/>
    <s v="IT &amp; IT Services"/>
    <s v="Medium (201-500)"/>
    <s v="Laura Thompson"/>
    <d v="2024-01-20T00:00:00"/>
    <s v="SAAS"/>
    <x v="5"/>
    <x v="5"/>
    <m/>
    <m/>
    <n v="2097"/>
    <n v="20"/>
    <d v="2024-12-12T00:00:00"/>
    <m/>
  </r>
  <r>
    <x v="2267"/>
    <s v="France"/>
    <s v="48.864716"/>
    <s v="2.349014"/>
    <s v="Manufacturing &amp; Production"/>
    <s v="Medium (201-500)"/>
    <s v="Laura Thompson"/>
    <d v="2024-05-17T00:00:00"/>
    <s v="Custom solution"/>
    <x v="5"/>
    <x v="5"/>
    <m/>
    <m/>
    <n v="4640"/>
    <n v="20"/>
    <d v="2025-02-22T00:00:00"/>
    <m/>
  </r>
  <r>
    <x v="2268"/>
    <s v="France"/>
    <s v="48.864716"/>
    <s v="2.349014"/>
    <s v="Entertainment &amp; Media &amp; Hospitality"/>
    <s v="Medium (201-500)"/>
    <s v="Laura Thompson"/>
    <d v="2024-02-09T00:00:00"/>
    <s v="SAAS"/>
    <x v="5"/>
    <x v="5"/>
    <m/>
    <m/>
    <n v="3447"/>
    <n v="40"/>
    <d v="2025-01-12T00:00:00"/>
    <m/>
  </r>
  <r>
    <x v="2269"/>
    <s v="France"/>
    <s v="48.864716"/>
    <s v="2.349014"/>
    <s v="Government Administration Healthcare"/>
    <s v="Medium (201-500)"/>
    <s v="Laura Thompson"/>
    <d v="2024-03-17T00:00:00"/>
    <s v="SAAS"/>
    <x v="5"/>
    <x v="5"/>
    <m/>
    <m/>
    <n v="7072"/>
    <n v="80"/>
    <d v="2024-04-06T00:00:00"/>
    <m/>
  </r>
  <r>
    <x v="2270"/>
    <s v="Belgium"/>
    <s v="51.260197"/>
    <s v="4.402771"/>
    <s v="Transportation &amp; Logistics"/>
    <s v="Medium (201-500)"/>
    <s v="Michael Brown"/>
    <d v="2024-02-27T00:00:00"/>
    <s v="Services"/>
    <x v="5"/>
    <x v="5"/>
    <m/>
    <m/>
    <n v="4044"/>
    <n v="40"/>
    <d v="2024-08-18T00:00:00"/>
    <m/>
  </r>
  <r>
    <x v="2271"/>
    <s v="Germany"/>
    <s v="52.520008"/>
    <s v="13.404954"/>
    <s v="Construction &amp; Engineering"/>
    <s v="Medium (201-500)"/>
    <s v="Michael Brown"/>
    <d v="2024-01-31T00:00:00"/>
    <s v="SAAS"/>
    <x v="5"/>
    <x v="5"/>
    <m/>
    <m/>
    <n v="6569"/>
    <n v="90"/>
    <d v="2024-04-05T00:00:00"/>
    <m/>
  </r>
  <r>
    <x v="2272"/>
    <s v="Italy"/>
    <s v="41.902782"/>
    <s v="12.496366"/>
    <s v="Banking and Finance"/>
    <s v="Medium (201-500)"/>
    <s v="Sarah Davis"/>
    <d v="2024-03-17T00:00:00"/>
    <s v="Services"/>
    <x v="5"/>
    <x v="5"/>
    <m/>
    <m/>
    <n v="2969"/>
    <n v="30"/>
    <d v="2024-06-23T00:00:00"/>
    <m/>
  </r>
  <r>
    <x v="2273"/>
    <s v="France"/>
    <s v="48.864716"/>
    <s v="2.349014"/>
    <s v="IT &amp; IT Services"/>
    <s v="Medium (201-500)"/>
    <s v="Sarah Davis"/>
    <d v="2024-02-06T00:00:00"/>
    <s v="Custom solution"/>
    <x v="5"/>
    <x v="5"/>
    <m/>
    <m/>
    <n v="4957"/>
    <n v="90"/>
    <d v="2024-12-14T00:00:00"/>
    <m/>
  </r>
  <r>
    <x v="2274"/>
    <s v="Italy"/>
    <s v="41.902782"/>
    <s v="12.496366"/>
    <s v="IT &amp; IT Services"/>
    <s v="Medium (201-500)"/>
    <s v="Jessica Martinez"/>
    <d v="2024-05-12T00:00:00"/>
    <s v="Services"/>
    <x v="5"/>
    <x v="5"/>
    <m/>
    <m/>
    <n v="6457"/>
    <n v="30"/>
    <d v="2025-03-06T00:00:00"/>
    <m/>
  </r>
  <r>
    <x v="2275"/>
    <s v="Portugal"/>
    <s v="38.736946"/>
    <s v="-9.142685"/>
    <s v="IT &amp; IT Services"/>
    <s v="Medium (201-500)"/>
    <s v="Emily Johnson"/>
    <d v="2024-03-13T00:00:00"/>
    <s v="SAAS"/>
    <x v="5"/>
    <x v="5"/>
    <m/>
    <m/>
    <n v="2032"/>
    <n v="20"/>
    <d v="2025-03-12T00:00:00"/>
    <m/>
  </r>
  <r>
    <x v="2276"/>
    <s v="Portugal"/>
    <s v="38.736946"/>
    <s v="-9.142685"/>
    <s v="Transportation &amp; Logistics"/>
    <s v="Medium (201-500)"/>
    <s v="Emily Johnson"/>
    <d v="2024-02-03T00:00:00"/>
    <s v="SAAS"/>
    <x v="5"/>
    <x v="5"/>
    <m/>
    <m/>
    <n v="1523"/>
    <n v="60"/>
    <d v="2025-01-12T00:00:00"/>
    <m/>
  </r>
  <r>
    <x v="2277"/>
    <s v="Netherlands"/>
    <s v="52.370216"/>
    <s v="4.895168"/>
    <s v="Banking and Finance"/>
    <s v="Medium (201-500)"/>
    <s v="Laura Thompson"/>
    <d v="2024-02-16T00:00:00"/>
    <s v="Custom solution"/>
    <x v="5"/>
    <x v="5"/>
    <m/>
    <m/>
    <n v="4986"/>
    <n v="60"/>
    <d v="2024-12-29T00:00:00"/>
    <m/>
  </r>
  <r>
    <x v="2278"/>
    <s v="Spain"/>
    <s v="40.416775"/>
    <s v="-3.703790"/>
    <s v="Banking and Finance"/>
    <s v="Medium (201-500)"/>
    <s v="Laura Thompson"/>
    <d v="2024-05-03T00:00:00"/>
    <s v="Services"/>
    <x v="5"/>
    <x v="5"/>
    <m/>
    <m/>
    <n v="3346"/>
    <n v="50"/>
    <d v="2025-03-25T00:00:00"/>
    <m/>
  </r>
  <r>
    <x v="2279"/>
    <s v="Austria"/>
    <s v="48.210033"/>
    <s v="16.363449"/>
    <s v="Retail &amp; Distribution"/>
    <s v="Medium (201-500)"/>
    <s v="Jessica Martinez"/>
    <d v="2024-03-17T00:00:00"/>
    <s v="Services"/>
    <x v="5"/>
    <x v="5"/>
    <m/>
    <m/>
    <n v="6674"/>
    <n v="30"/>
    <d v="2024-09-10T00:00:00"/>
    <m/>
  </r>
  <r>
    <x v="2280"/>
    <s v="Germany"/>
    <s v="52.520008"/>
    <s v="13.404954"/>
    <s v="Banking and Finance"/>
    <s v="Medium (201-500)"/>
    <s v="Laura Thompson"/>
    <d v="2024-03-07T00:00:00"/>
    <s v="SAAS"/>
    <x v="5"/>
    <x v="5"/>
    <m/>
    <m/>
    <n v="7677"/>
    <n v="40"/>
    <d v="2024-09-29T00:00:00"/>
    <m/>
  </r>
  <r>
    <x v="2281"/>
    <s v="Italy"/>
    <s v="41.902782"/>
    <s v="12.496366"/>
    <s v="Government Administration Healthcare"/>
    <s v="Medium (201-500)"/>
    <s v="Jessica Martinez"/>
    <d v="2024-01-07T00:00:00"/>
    <s v="SAAS"/>
    <x v="5"/>
    <x v="5"/>
    <m/>
    <m/>
    <n v="1132"/>
    <n v="30"/>
    <d v="2024-06-09T00:00:00"/>
    <m/>
  </r>
  <r>
    <x v="2282"/>
    <s v="Switzerland"/>
    <s v="46.204391"/>
    <s v="6.143158"/>
    <s v="Telecommunications"/>
    <s v="Medium (201-500)"/>
    <s v="Laura Thompson"/>
    <d v="2024-03-21T00:00:00"/>
    <s v="Custom solution"/>
    <x v="5"/>
    <x v="5"/>
    <m/>
    <m/>
    <n v="639"/>
    <n v="50"/>
    <d v="2024-05-30T00:00:00"/>
    <m/>
  </r>
  <r>
    <x v="2283"/>
    <s v="Switzerland"/>
    <s v="46.204391"/>
    <s v="6.143158"/>
    <s v="Education &amp; Science"/>
    <s v="Medium (201-500)"/>
    <s v="Kevin Anderson"/>
    <d v="2024-04-13T00:00:00"/>
    <s v="Custom solution"/>
    <x v="5"/>
    <x v="5"/>
    <m/>
    <m/>
    <n v="257"/>
    <n v="20"/>
    <d v="2024-06-04T00:00:00"/>
    <m/>
  </r>
  <r>
    <x v="2284"/>
    <s v="Germany"/>
    <s v="52.520008"/>
    <s v="13.404954"/>
    <s v="Banking and Finance"/>
    <s v="Medium (201-500)"/>
    <s v="John Smith"/>
    <d v="2024-02-08T00:00:00"/>
    <s v="SAAS"/>
    <x v="5"/>
    <x v="5"/>
    <m/>
    <m/>
    <n v="5783"/>
    <n v="40"/>
    <d v="2024-04-06T00:00:00"/>
    <m/>
  </r>
  <r>
    <x v="2285"/>
    <s v="Portugal"/>
    <s v="38.736946"/>
    <s v="-9.142685"/>
    <s v="Retail &amp; Distribution"/>
    <s v="Medium (201-500)"/>
    <s v="Laura Thompson"/>
    <d v="2024-04-26T00:00:00"/>
    <s v="Custom solution"/>
    <x v="5"/>
    <x v="5"/>
    <m/>
    <m/>
    <n v="1490"/>
    <n v="40"/>
    <d v="2024-12-11T00:00:00"/>
    <m/>
  </r>
  <r>
    <x v="2286"/>
    <s v="Italy"/>
    <s v="41.902782"/>
    <s v="12.496366"/>
    <s v="Education &amp; Science"/>
    <s v="Medium (201-500)"/>
    <s v="Laura Thompson"/>
    <d v="2024-01-29T00:00:00"/>
    <s v="Custom solution"/>
    <x v="5"/>
    <x v="5"/>
    <m/>
    <m/>
    <n v="3366"/>
    <n v="10"/>
    <d v="2024-11-27T00:00:00"/>
    <m/>
  </r>
  <r>
    <x v="2287"/>
    <s v="Portugal"/>
    <s v="38.736946"/>
    <s v="-9.142685"/>
    <s v="Banking and Finance"/>
    <s v="Medium (201-500)"/>
    <s v="Jessica Martinez"/>
    <d v="2024-04-02T00:00:00"/>
    <s v="Services"/>
    <x v="5"/>
    <x v="5"/>
    <m/>
    <m/>
    <n v="1686"/>
    <n v="60"/>
    <d v="2024-12-28T00:00:00"/>
    <m/>
  </r>
  <r>
    <x v="2288"/>
    <s v="Germany"/>
    <s v="52.520008"/>
    <s v="13.404954"/>
    <s v="Education &amp; Science"/>
    <s v="Medium (201-500)"/>
    <s v="Michael Brown"/>
    <d v="2024-02-11T00:00:00"/>
    <s v="Services"/>
    <x v="5"/>
    <x v="5"/>
    <m/>
    <m/>
    <n v="2609"/>
    <n v="10"/>
    <d v="2024-09-23T00:00:00"/>
    <m/>
  </r>
  <r>
    <x v="2289"/>
    <s v="Switzerland"/>
    <s v="46.204391"/>
    <s v="6.143158"/>
    <s v="Manufacturing &amp; Production"/>
    <s v="Medium (201-500)"/>
    <s v="Laura Thompson"/>
    <d v="2024-02-26T00:00:00"/>
    <s v="SAAS"/>
    <x v="5"/>
    <x v="5"/>
    <m/>
    <m/>
    <n v="1564"/>
    <n v="80"/>
    <d v="2024-11-10T00:00:00"/>
    <m/>
  </r>
  <r>
    <x v="2290"/>
    <s v="Italy"/>
    <s v="41.902782"/>
    <s v="12.496366"/>
    <s v="Transportation &amp; Logistics"/>
    <s v="Medium (201-500)"/>
    <s v="Laura Thompson"/>
    <d v="2024-03-29T00:00:00"/>
    <s v="SAAS"/>
    <x v="5"/>
    <x v="5"/>
    <m/>
    <m/>
    <n v="4067"/>
    <n v="10"/>
    <d v="2024-10-15T00:00:00"/>
    <m/>
  </r>
  <r>
    <x v="2291"/>
    <s v="Germany"/>
    <s v="52.520008"/>
    <s v="13.404954"/>
    <s v="Transportation &amp; Logistics"/>
    <s v="Medium (201-500)"/>
    <s v="David Wilson"/>
    <d v="2024-05-26T00:00:00"/>
    <s v="SAAS"/>
    <x v="5"/>
    <x v="5"/>
    <m/>
    <m/>
    <n v="1309"/>
    <n v="30"/>
    <d v="2024-09-06T00:00:00"/>
    <m/>
  </r>
  <r>
    <x v="2292"/>
    <s v="France"/>
    <s v="48.864716"/>
    <s v="2.349014"/>
    <s v="Government Administration Healthcare"/>
    <s v="Medium (201-500)"/>
    <s v="Jessica Martinez"/>
    <d v="2024-03-12T00:00:00"/>
    <s v="Services"/>
    <x v="5"/>
    <x v="5"/>
    <m/>
    <m/>
    <n v="7137"/>
    <n v="10"/>
    <d v="2024-10-01T00:00:00"/>
    <m/>
  </r>
  <r>
    <x v="2293"/>
    <s v="Austria"/>
    <s v="48.210033"/>
    <s v="16.363449"/>
    <s v="Telecommunications"/>
    <s v="Medium (201-500)"/>
    <s v="Jessica Martinez"/>
    <d v="2024-04-22T00:00:00"/>
    <s v="Services"/>
    <x v="5"/>
    <x v="5"/>
    <m/>
    <m/>
    <n v="4458"/>
    <n v="50"/>
    <d v="2024-09-15T00:00:00"/>
    <m/>
  </r>
  <r>
    <x v="2294"/>
    <s v="Austria"/>
    <s v="48.210033"/>
    <s v="16.363449"/>
    <s v="Transportation &amp; Logistics"/>
    <s v="Medium (201-500)"/>
    <s v="Michael Brown"/>
    <d v="2024-01-31T00:00:00"/>
    <s v="Services"/>
    <x v="5"/>
    <x v="5"/>
    <m/>
    <m/>
    <n v="5419"/>
    <n v="50"/>
    <d v="2024-11-20T00:00:00"/>
    <m/>
  </r>
  <r>
    <x v="2295"/>
    <s v="Austria"/>
    <s v="48.210033"/>
    <s v="16.363449"/>
    <s v="Transportation &amp; Logistics"/>
    <s v="Medium (201-500)"/>
    <s v="Emily Johnson"/>
    <d v="2024-01-03T00:00:00"/>
    <s v="Services"/>
    <x v="5"/>
    <x v="5"/>
    <m/>
    <m/>
    <n v="1938"/>
    <n v="40"/>
    <d v="2024-12-10T00:00:00"/>
    <m/>
  </r>
  <r>
    <x v="2296"/>
    <s v="Italy"/>
    <s v="41.902782"/>
    <s v="12.496366"/>
    <s v="Retail &amp; Distribution"/>
    <s v="Medium (201-500)"/>
    <s v="Laura Thompson"/>
    <d v="2024-01-31T00:00:00"/>
    <s v="Services"/>
    <x v="5"/>
    <x v="5"/>
    <m/>
    <m/>
    <n v="3660"/>
    <n v="90"/>
    <d v="2024-12-13T00:00:00"/>
    <m/>
  </r>
  <r>
    <x v="2297"/>
    <s v="Germany"/>
    <s v="52.520008"/>
    <s v="13.404954"/>
    <s v="IT &amp; IT Services"/>
    <s v="Medium (201-500)"/>
    <s v="Michael Brown"/>
    <d v="2024-04-22T00:00:00"/>
    <s v="Custom solution"/>
    <x v="5"/>
    <x v="5"/>
    <m/>
    <m/>
    <n v="5705"/>
    <n v="60"/>
    <d v="2024-06-07T00:00:00"/>
    <m/>
  </r>
  <r>
    <x v="2298"/>
    <s v="Germany"/>
    <s v="52.520008"/>
    <s v="13.404954"/>
    <s v="Recreation &amp; Sports"/>
    <s v="Medium (201-500)"/>
    <s v="Michael Brown"/>
    <d v="2024-01-13T00:00:00"/>
    <s v="Services"/>
    <x v="5"/>
    <x v="5"/>
    <m/>
    <m/>
    <n v="353"/>
    <n v="10"/>
    <d v="2024-02-19T00:00:00"/>
    <m/>
  </r>
  <r>
    <x v="2299"/>
    <s v="Switzerland"/>
    <s v="46.204391"/>
    <s v="6.143158"/>
    <s v="Transportation &amp; Logistics"/>
    <s v="Medium (201-500)"/>
    <s v="David Wilson"/>
    <d v="2024-02-19T00:00:00"/>
    <s v="Custom solution"/>
    <x v="5"/>
    <x v="5"/>
    <m/>
    <m/>
    <n v="332"/>
    <n v="80"/>
    <d v="2024-12-13T00:00:00"/>
    <m/>
  </r>
  <r>
    <x v="2300"/>
    <s v="Italy"/>
    <s v="41.902782"/>
    <s v="12.496366"/>
    <s v="Banking and Finance"/>
    <s v="Medium (201-500)"/>
    <s v="Jessica Martinez"/>
    <d v="2024-02-14T00:00:00"/>
    <s v="Services"/>
    <x v="5"/>
    <x v="5"/>
    <m/>
    <m/>
    <n v="6283"/>
    <n v="40"/>
    <d v="2024-11-11T00:00:00"/>
    <m/>
  </r>
  <r>
    <x v="2301"/>
    <s v="Portugal"/>
    <s v="38.736946"/>
    <s v="-9.142685"/>
    <s v="Recreation &amp; Sports"/>
    <s v="Medium (201-500)"/>
    <s v="Michael Brown"/>
    <d v="2024-04-10T00:00:00"/>
    <s v="Custom solution"/>
    <x v="5"/>
    <x v="5"/>
    <m/>
    <m/>
    <n v="6709"/>
    <n v="20"/>
    <d v="2025-01-18T00:00:00"/>
    <m/>
  </r>
  <r>
    <x v="2302"/>
    <s v="Switzerland"/>
    <s v="46.204391"/>
    <s v="6.143158"/>
    <s v="Banking and Finance"/>
    <s v="Medium (201-500)"/>
    <s v="Sarah Davis"/>
    <d v="2024-04-03T00:00:00"/>
    <s v="Custom solution"/>
    <x v="5"/>
    <x v="5"/>
    <m/>
    <m/>
    <n v="982"/>
    <n v="40"/>
    <d v="2025-01-23T00:00:00"/>
    <m/>
  </r>
  <r>
    <x v="2303"/>
    <s v="Portugal"/>
    <s v="38.736946"/>
    <s v="-9.142685"/>
    <s v="IT &amp; IT Services"/>
    <s v="Medium (201-500)"/>
    <s v="Sarah Davis"/>
    <d v="2024-02-22T00:00:00"/>
    <s v="Services"/>
    <x v="5"/>
    <x v="5"/>
    <m/>
    <m/>
    <n v="6298"/>
    <n v="90"/>
    <d v="2024-12-31T00:00:00"/>
    <m/>
  </r>
  <r>
    <x v="2304"/>
    <s v="Austria"/>
    <s v="48.210033"/>
    <s v="16.363449"/>
    <s v="Professional Services  &amp; Consulting"/>
    <s v="Medium (201-500)"/>
    <s v="Laura Thompson"/>
    <d v="2024-03-07T00:00:00"/>
    <s v="SAAS"/>
    <x v="5"/>
    <x v="5"/>
    <m/>
    <m/>
    <n v="4983"/>
    <n v="10"/>
    <d v="2025-02-13T00:00:00"/>
    <m/>
  </r>
  <r>
    <x v="2305"/>
    <s v="Portugal"/>
    <s v="38.736946"/>
    <s v="-9.142685"/>
    <s v="Government Administration Healthcare"/>
    <s v="Medium (201-500)"/>
    <s v="Kevin Anderson"/>
    <d v="2024-01-09T00:00:00"/>
    <s v="Custom solution"/>
    <x v="5"/>
    <x v="5"/>
    <m/>
    <m/>
    <n v="4937"/>
    <n v="50"/>
    <d v="2024-08-26T00:00:00"/>
    <m/>
  </r>
  <r>
    <x v="2306"/>
    <s v="Germany"/>
    <s v="52.520008"/>
    <s v="13.404954"/>
    <s v="Energy &amp; Utilities"/>
    <s v="Medium (201-500)"/>
    <s v="Michael Brown"/>
    <d v="2024-02-17T00:00:00"/>
    <s v="SAAS"/>
    <x v="5"/>
    <x v="5"/>
    <m/>
    <m/>
    <n v="5953"/>
    <n v="20"/>
    <d v="2024-03-30T00:00:00"/>
    <m/>
  </r>
  <r>
    <x v="2307"/>
    <s v="Italy"/>
    <s v="41.902782"/>
    <s v="12.496366"/>
    <s v="Energy &amp; Utilities"/>
    <s v="Medium (201-500)"/>
    <s v="Laura Thompson"/>
    <d v="2024-03-01T00:00:00"/>
    <s v="Services"/>
    <x v="5"/>
    <x v="5"/>
    <m/>
    <m/>
    <n v="6065"/>
    <n v="30"/>
    <d v="2024-10-04T00:00:00"/>
    <m/>
  </r>
  <r>
    <x v="2308"/>
    <s v="France"/>
    <s v="48.864716"/>
    <s v="2.349014"/>
    <s v="Transportation &amp; Logistics"/>
    <s v="Medium (201-500)"/>
    <s v="John Smith"/>
    <d v="2024-05-21T00:00:00"/>
    <s v="SAAS"/>
    <x v="5"/>
    <x v="5"/>
    <m/>
    <m/>
    <n v="1341"/>
    <n v="60"/>
    <d v="2024-09-08T00:00:00"/>
    <m/>
  </r>
  <r>
    <x v="2309"/>
    <s v="Austria"/>
    <s v="48.210033"/>
    <s v="16.363449"/>
    <s v="Entertainment &amp; Media &amp; Hospitality"/>
    <s v="Medium (201-500)"/>
    <s v="Laura Thompson"/>
    <d v="2024-02-26T00:00:00"/>
    <s v="Custom solution"/>
    <x v="5"/>
    <x v="5"/>
    <m/>
    <m/>
    <n v="4659"/>
    <n v="100"/>
    <d v="2024-06-24T00:00:00"/>
    <m/>
  </r>
  <r>
    <x v="2310"/>
    <s v="Italy"/>
    <s v="41.902782"/>
    <s v="12.496366"/>
    <s v="Education &amp; Science"/>
    <s v="Medium (201-500)"/>
    <s v="Sarah Davis"/>
    <d v="2024-02-24T00:00:00"/>
    <s v="Services"/>
    <x v="5"/>
    <x v="5"/>
    <m/>
    <m/>
    <n v="6927"/>
    <n v="40"/>
    <d v="2024-11-12T00:00:00"/>
    <m/>
  </r>
  <r>
    <x v="2311"/>
    <s v="Italy"/>
    <s v="41.902782"/>
    <s v="12.496366"/>
    <s v="IT &amp; IT Services"/>
    <s v="Medium (201-500)"/>
    <s v="Sarah Davis"/>
    <d v="2024-05-24T00:00:00"/>
    <s v="Custom solution"/>
    <x v="5"/>
    <x v="5"/>
    <m/>
    <m/>
    <n v="4714"/>
    <n v="40"/>
    <d v="2024-10-26T00:00:00"/>
    <m/>
  </r>
  <r>
    <x v="2312"/>
    <s v="Spain"/>
    <s v="40.416775"/>
    <s v="-3.703790"/>
    <s v="Transportation &amp; Logistics"/>
    <s v="Medium (201-500)"/>
    <s v="John Smith"/>
    <d v="2024-01-18T00:00:00"/>
    <s v="SAAS"/>
    <x v="5"/>
    <x v="5"/>
    <m/>
    <m/>
    <n v="3326"/>
    <n v="40"/>
    <d v="2024-09-05T00:00:00"/>
    <m/>
  </r>
  <r>
    <x v="2313"/>
    <s v="Germany"/>
    <s v="52.520008"/>
    <s v="13.404954"/>
    <s v="Transportation &amp; Logistics"/>
    <s v="Medium (201-500)"/>
    <s v="John Smith"/>
    <d v="2024-03-13T00:00:00"/>
    <s v="Services"/>
    <x v="5"/>
    <x v="5"/>
    <m/>
    <m/>
    <n v="7823"/>
    <n v="30"/>
    <d v="2024-05-25T00:00:00"/>
    <m/>
  </r>
  <r>
    <x v="2314"/>
    <s v="Portugal"/>
    <s v="38.736946"/>
    <s v="-9.142685"/>
    <s v="Professional Services  &amp; Consulting"/>
    <s v="Medium (201-500)"/>
    <s v="Laura Thompson"/>
    <d v="2024-01-24T00:00:00"/>
    <s v="Services"/>
    <x v="5"/>
    <x v="5"/>
    <m/>
    <m/>
    <n v="5707"/>
    <n v="50"/>
    <d v="2024-04-03T00:00:00"/>
    <m/>
  </r>
  <r>
    <x v="2315"/>
    <s v="Italy"/>
    <s v="41.902782"/>
    <s v="12.496366"/>
    <s v="Agriculture &amp; Mining"/>
    <s v="Medium (201-500)"/>
    <s v="Sarah Davis"/>
    <d v="2024-04-17T00:00:00"/>
    <s v="SAAS"/>
    <x v="5"/>
    <x v="5"/>
    <m/>
    <m/>
    <n v="6509"/>
    <n v="70"/>
    <d v="2025-02-12T00:00:00"/>
    <m/>
  </r>
  <r>
    <x v="2316"/>
    <s v="Germany"/>
    <s v="52.520008"/>
    <s v="13.404954"/>
    <s v="Banking and Finance"/>
    <s v="Medium (201-500)"/>
    <s v="Kevin Anderson"/>
    <d v="2024-03-01T00:00:00"/>
    <s v="Custom solution"/>
    <x v="5"/>
    <x v="5"/>
    <m/>
    <m/>
    <n v="2420"/>
    <n v="50"/>
    <d v="2024-09-28T00:00:00"/>
    <m/>
  </r>
  <r>
    <x v="2317"/>
    <s v="Germany"/>
    <s v="52.520008"/>
    <s v="13.404954"/>
    <s v="Transportation &amp; Logistics"/>
    <s v="Medium (201-500)"/>
    <s v="Laura Thompson"/>
    <d v="2024-02-16T00:00:00"/>
    <s v="SAAS"/>
    <x v="5"/>
    <x v="5"/>
    <m/>
    <m/>
    <n v="7198"/>
    <n v="30"/>
    <d v="2024-10-09T00:00:00"/>
    <m/>
  </r>
  <r>
    <x v="2318"/>
    <s v="Spain"/>
    <s v="40.416775"/>
    <s v="-3.703790"/>
    <s v="Banking and Finance"/>
    <s v="Medium (201-500)"/>
    <s v="Michael Brown"/>
    <d v="2024-03-14T00:00:00"/>
    <s v="Services"/>
    <x v="5"/>
    <x v="5"/>
    <m/>
    <m/>
    <n v="1418"/>
    <n v="10"/>
    <d v="2024-11-09T00:00:00"/>
    <m/>
  </r>
  <r>
    <x v="2319"/>
    <s v="France"/>
    <s v="48.864716"/>
    <s v="2.349014"/>
    <s v="Banking and Finance"/>
    <s v="Medium (201-500)"/>
    <s v="David Wilson"/>
    <d v="2024-01-28T00:00:00"/>
    <s v="Services"/>
    <x v="5"/>
    <x v="5"/>
    <m/>
    <m/>
    <n v="3488"/>
    <n v="40"/>
    <d v="2024-10-14T00:00:00"/>
    <m/>
  </r>
  <r>
    <x v="2320"/>
    <s v="Italy"/>
    <s v="41.902782"/>
    <s v="12.496366"/>
    <s v="Banking and Finance"/>
    <s v="Medium (201-500)"/>
    <s v="Jessica Martinez"/>
    <d v="2024-04-11T00:00:00"/>
    <s v="SAAS"/>
    <x v="5"/>
    <x v="5"/>
    <m/>
    <m/>
    <n v="6456"/>
    <n v="30"/>
    <d v="2024-08-09T00:00:00"/>
    <m/>
  </r>
  <r>
    <x v="2321"/>
    <s v="Netherlands"/>
    <s v="52.370216"/>
    <s v="4.895168"/>
    <s v="Manufacturing &amp; Production"/>
    <s v="Medium (201-500)"/>
    <s v="Sarah Davis"/>
    <d v="2024-01-23T00:00:00"/>
    <s v="Services"/>
    <x v="5"/>
    <x v="5"/>
    <m/>
    <m/>
    <n v="7122"/>
    <n v="30"/>
    <d v="2024-04-30T00:00:00"/>
    <m/>
  </r>
  <r>
    <x v="2322"/>
    <s v="Netherlands"/>
    <s v="52.370216"/>
    <s v="4.895168"/>
    <s v="IT &amp; IT Services"/>
    <s v="Medium (201-500)"/>
    <s v="Jessica Martinez"/>
    <d v="2024-05-05T00:00:00"/>
    <s v="Services"/>
    <x v="5"/>
    <x v="5"/>
    <m/>
    <m/>
    <n v="782"/>
    <n v="60"/>
    <d v="2024-10-16T00:00:00"/>
    <m/>
  </r>
  <r>
    <x v="2323"/>
    <s v="Germany"/>
    <s v="52.520008"/>
    <s v="13.404954"/>
    <s v="Professional Services  &amp; Consulting"/>
    <s v="Medium (201-500)"/>
    <s v="Laura Thompson"/>
    <d v="2024-03-15T00:00:00"/>
    <s v="Services"/>
    <x v="5"/>
    <x v="5"/>
    <m/>
    <m/>
    <n v="7885"/>
    <n v="10"/>
    <d v="2024-06-07T00:00:00"/>
    <m/>
  </r>
  <r>
    <x v="2324"/>
    <s v="Portugal"/>
    <s v="38.736946"/>
    <s v="-9.142685"/>
    <s v="Government Administration Healthcare"/>
    <s v="Medium (201-500)"/>
    <s v="Jessica Martinez"/>
    <d v="2024-03-27T00:00:00"/>
    <s v="Services"/>
    <x v="5"/>
    <x v="5"/>
    <m/>
    <m/>
    <n v="2409"/>
    <n v="30"/>
    <d v="2025-02-27T00:00:00"/>
    <m/>
  </r>
  <r>
    <x v="2325"/>
    <s v="Italy"/>
    <s v="41.902782"/>
    <s v="12.496366"/>
    <s v="Government Administration Healthcare"/>
    <s v="Medium (201-500)"/>
    <s v="Laura Thompson"/>
    <d v="2024-03-23T00:00:00"/>
    <s v="Services"/>
    <x v="5"/>
    <x v="5"/>
    <m/>
    <m/>
    <n v="1661"/>
    <n v="30"/>
    <d v="2025-01-29T00:00:00"/>
    <m/>
  </r>
  <r>
    <x v="2326"/>
    <s v="Italy"/>
    <s v="41.902782"/>
    <s v="12.496366"/>
    <s v="Banking and Finance"/>
    <s v="Medium (201-500)"/>
    <s v="Michael Brown"/>
    <d v="2024-03-15T00:00:00"/>
    <s v="SAAS"/>
    <x v="5"/>
    <x v="5"/>
    <m/>
    <m/>
    <n v="6285"/>
    <n v="50"/>
    <d v="2024-09-19T00:00:00"/>
    <m/>
  </r>
  <r>
    <x v="2327"/>
    <s v="Spain"/>
    <s v="40.416775"/>
    <s v="-3.703790"/>
    <s v="IT &amp; IT Services"/>
    <s v="Medium (201-500)"/>
    <s v="Laura Thompson"/>
    <d v="2024-01-15T00:00:00"/>
    <s v="Services"/>
    <x v="5"/>
    <x v="5"/>
    <m/>
    <m/>
    <n v="7964"/>
    <n v="40"/>
    <d v="2024-03-02T00:00:00"/>
    <m/>
  </r>
  <r>
    <x v="2328"/>
    <s v="Switzerland"/>
    <s v="46.204391"/>
    <s v="6.143158"/>
    <s v="Telecommunications"/>
    <s v="Medium (201-500)"/>
    <s v="Emily Johnson"/>
    <d v="2024-02-03T00:00:00"/>
    <s v="Services"/>
    <x v="5"/>
    <x v="5"/>
    <m/>
    <m/>
    <n v="5051"/>
    <n v="20"/>
    <d v="2024-09-11T00:00:00"/>
    <m/>
  </r>
  <r>
    <x v="2329"/>
    <s v="France"/>
    <s v="48.864716"/>
    <s v="2.349014"/>
    <s v="Government Administration Healthcare"/>
    <s v="Medium (201-500)"/>
    <s v="John Smith"/>
    <d v="2024-03-15T00:00:00"/>
    <s v="SAAS"/>
    <x v="5"/>
    <x v="5"/>
    <m/>
    <m/>
    <n v="632"/>
    <n v="50"/>
    <d v="2024-12-11T00:00:00"/>
    <m/>
  </r>
  <r>
    <x v="2330"/>
    <s v="Netherlands"/>
    <s v="52.370216"/>
    <s v="4.895168"/>
    <s v="Professional Services  &amp; Consulting"/>
    <s v="Medium (201-500)"/>
    <s v="Jessica Martinez"/>
    <d v="2024-03-20T00:00:00"/>
    <s v="Services"/>
    <x v="5"/>
    <x v="5"/>
    <m/>
    <m/>
    <n v="1725"/>
    <n v="30"/>
    <d v="2024-08-21T00:00:00"/>
    <m/>
  </r>
  <r>
    <x v="2331"/>
    <s v="Portugal"/>
    <s v="38.736946"/>
    <s v="-9.142685"/>
    <s v="Transportation &amp; Logistics"/>
    <s v="Medium (201-500)"/>
    <s v="Laura Thompson"/>
    <d v="2024-05-13T00:00:00"/>
    <s v="Services"/>
    <x v="5"/>
    <x v="5"/>
    <m/>
    <m/>
    <n v="5678"/>
    <n v="60"/>
    <d v="2025-04-16T00:00:00"/>
    <m/>
  </r>
  <r>
    <x v="2332"/>
    <s v="France"/>
    <s v="48.864716"/>
    <s v="2.349014"/>
    <s v="Manufacturing &amp; Production"/>
    <s v="Medium (201-500)"/>
    <s v="Sarah Davis"/>
    <d v="2024-04-10T00:00:00"/>
    <s v="Services"/>
    <x v="5"/>
    <x v="5"/>
    <m/>
    <m/>
    <n v="4954"/>
    <n v="30"/>
    <d v="2024-11-07T00:00:00"/>
    <m/>
  </r>
  <r>
    <x v="2333"/>
    <s v="Germany"/>
    <s v="52.520008"/>
    <s v="13.404954"/>
    <s v="Transportation &amp; Logistics"/>
    <s v="Medium (201-500)"/>
    <s v="Kevin Anderson"/>
    <d v="2024-01-12T00:00:00"/>
    <s v="Services"/>
    <x v="5"/>
    <x v="5"/>
    <m/>
    <m/>
    <n v="4879"/>
    <n v="20"/>
    <d v="2024-07-17T00:00:00"/>
    <m/>
  </r>
  <r>
    <x v="2334"/>
    <s v="Portugal"/>
    <s v="38.736946"/>
    <s v="-9.142685"/>
    <s v="Government Administration Healthcare"/>
    <s v="Medium (201-500)"/>
    <s v="Michael Brown"/>
    <d v="2024-03-31T00:00:00"/>
    <s v="Services"/>
    <x v="5"/>
    <x v="5"/>
    <m/>
    <m/>
    <n v="1183"/>
    <n v="30"/>
    <d v="2024-11-24T00:00:00"/>
    <m/>
  </r>
  <r>
    <x v="2335"/>
    <s v="France"/>
    <s v="48.864716"/>
    <s v="2.349014"/>
    <s v="IT &amp; IT Services"/>
    <s v="Medium (201-500)"/>
    <s v="Laura Thompson"/>
    <d v="2024-03-27T00:00:00"/>
    <s v="SAAS"/>
    <x v="5"/>
    <x v="5"/>
    <m/>
    <m/>
    <n v="5257"/>
    <n v="100"/>
    <d v="2024-12-15T00:00:00"/>
    <m/>
  </r>
  <r>
    <x v="2336"/>
    <s v="Italy"/>
    <s v="41.902782"/>
    <s v="12.496366"/>
    <s v="IT &amp; IT Services"/>
    <s v="Medium (201-500)"/>
    <s v="Laura Thompson"/>
    <d v="2024-05-19T00:00:00"/>
    <s v="SAAS"/>
    <x v="5"/>
    <x v="5"/>
    <m/>
    <m/>
    <n v="830"/>
    <n v="40"/>
    <d v="2024-06-30T00:00:00"/>
    <m/>
  </r>
  <r>
    <x v="2337"/>
    <s v="Spain"/>
    <s v="40.416775"/>
    <s v="-3.703790"/>
    <s v="Government Administration Healthcare"/>
    <s v="Medium (201-500)"/>
    <s v="Sarah Davis"/>
    <d v="2024-05-13T00:00:00"/>
    <s v="Services"/>
    <x v="5"/>
    <x v="5"/>
    <m/>
    <m/>
    <n v="2420"/>
    <n v="60"/>
    <d v="2025-03-20T00:00:00"/>
    <m/>
  </r>
  <r>
    <x v="2338"/>
    <s v="Italy"/>
    <s v="41.902782"/>
    <s v="12.496366"/>
    <s v="Energy &amp; Utilities"/>
    <s v="Medium (201-500)"/>
    <s v="Michael Brown"/>
    <d v="2024-02-25T00:00:00"/>
    <s v="SAAS"/>
    <x v="5"/>
    <x v="5"/>
    <m/>
    <m/>
    <n v="2956"/>
    <n v="40"/>
    <d v="2025-02-24T00:00:00"/>
    <m/>
  </r>
  <r>
    <x v="2339"/>
    <s v="Spain"/>
    <s v="40.416775"/>
    <s v="-3.703790"/>
    <s v="Government Administration Healthcare"/>
    <s v="Medium (201-500)"/>
    <s v="Jessica Martinez"/>
    <d v="2024-01-13T00:00:00"/>
    <s v="Services"/>
    <x v="5"/>
    <x v="5"/>
    <m/>
    <m/>
    <n v="6011"/>
    <n v="50"/>
    <d v="2024-05-29T00:00:00"/>
    <m/>
  </r>
  <r>
    <x v="2340"/>
    <s v="Germany"/>
    <s v="52.520008"/>
    <s v="13.404954"/>
    <s v="Transportation &amp; Logistics"/>
    <s v="Medium (201-500)"/>
    <s v="Kevin Anderson"/>
    <d v="2024-03-16T00:00:00"/>
    <s v="SAAS"/>
    <x v="5"/>
    <x v="5"/>
    <m/>
    <m/>
    <n v="2199"/>
    <n v="20"/>
    <d v="2024-09-21T00:00:00"/>
    <m/>
  </r>
  <r>
    <x v="2341"/>
    <s v="France"/>
    <s v="48.864716"/>
    <s v="2.349014"/>
    <s v="Banking and Finance"/>
    <s v="Medium (201-500)"/>
    <s v="David Wilson"/>
    <d v="2024-04-15T00:00:00"/>
    <s v="Services"/>
    <x v="5"/>
    <x v="5"/>
    <m/>
    <m/>
    <n v="3395"/>
    <n v="50"/>
    <d v="2024-05-29T00:00:00"/>
    <m/>
  </r>
  <r>
    <x v="2342"/>
    <s v="France"/>
    <s v="48.864716"/>
    <s v="2.349014"/>
    <s v="Education &amp; Science"/>
    <s v="Medium (201-500)"/>
    <s v="Sarah Davis"/>
    <d v="2024-01-03T00:00:00"/>
    <s v="Custom solution"/>
    <x v="5"/>
    <x v="5"/>
    <m/>
    <m/>
    <n v="6029"/>
    <n v="40"/>
    <d v="2024-12-24T00:00:00"/>
    <m/>
  </r>
  <r>
    <x v="2343"/>
    <s v="Italy"/>
    <s v="41.902782"/>
    <s v="12.496366"/>
    <s v="Banking and Finance"/>
    <s v="Medium (201-500)"/>
    <s v="Emily Johnson"/>
    <d v="2024-03-14T00:00:00"/>
    <s v="Services"/>
    <x v="5"/>
    <x v="5"/>
    <m/>
    <m/>
    <n v="1413"/>
    <n v="70"/>
    <d v="2024-12-13T00:00:00"/>
    <m/>
  </r>
  <r>
    <x v="2344"/>
    <s v="Portugal"/>
    <s v="38.736946"/>
    <s v="-9.142685"/>
    <s v="Transportation &amp; Logistics"/>
    <s v="Medium (201-500)"/>
    <s v="John Smith"/>
    <d v="2024-03-25T00:00:00"/>
    <s v="Services"/>
    <x v="5"/>
    <x v="5"/>
    <m/>
    <m/>
    <n v="6922"/>
    <n v="90"/>
    <d v="2025-01-03T00:00:00"/>
    <m/>
  </r>
  <r>
    <x v="2345"/>
    <s v="Switzerland"/>
    <s v="46.204391"/>
    <s v="6.143158"/>
    <s v="Transportation &amp; Logistics"/>
    <s v="Medium (201-500)"/>
    <s v="Jessica Martinez"/>
    <d v="2024-03-02T00:00:00"/>
    <s v="SAAS"/>
    <x v="5"/>
    <x v="5"/>
    <m/>
    <m/>
    <n v="6394"/>
    <n v="30"/>
    <d v="2024-06-19T00:00:00"/>
    <m/>
  </r>
  <r>
    <x v="2346"/>
    <s v="Italy"/>
    <s v="41.902782"/>
    <s v="12.496366"/>
    <s v="Education &amp; Science"/>
    <s v="Medium (201-500)"/>
    <s v="Jessica Martinez"/>
    <d v="2024-03-05T00:00:00"/>
    <s v="Services"/>
    <x v="5"/>
    <x v="5"/>
    <m/>
    <m/>
    <n v="7411"/>
    <n v="20"/>
    <d v="2024-05-18T00:00:00"/>
    <m/>
  </r>
  <r>
    <x v="2347"/>
    <s v="Germany"/>
    <s v="52.520008"/>
    <s v="13.404954"/>
    <s v="Retail &amp; Distribution"/>
    <s v="Medium (201-500)"/>
    <s v="Michael Brown"/>
    <d v="2024-01-30T00:00:00"/>
    <s v="Services"/>
    <x v="5"/>
    <x v="5"/>
    <m/>
    <m/>
    <n v="1343"/>
    <n v="100"/>
    <d v="2024-11-13T00:00:00"/>
    <m/>
  </r>
  <r>
    <x v="2348"/>
    <s v="Germany"/>
    <s v="52.520008"/>
    <s v="13.404954"/>
    <s v="Transportation &amp; Logistics"/>
    <s v="Medium (201-500)"/>
    <s v="Emily Johnson"/>
    <d v="2024-04-12T00:00:00"/>
    <s v="SAAS"/>
    <x v="5"/>
    <x v="5"/>
    <m/>
    <m/>
    <n v="667"/>
    <n v="40"/>
    <d v="2024-10-10T00:00:00"/>
    <m/>
  </r>
  <r>
    <x v="2349"/>
    <s v="France"/>
    <s v="48.864716"/>
    <s v="2.349014"/>
    <s v="Energy &amp; Utilities"/>
    <s v="Medium (201-500)"/>
    <s v="John Smith"/>
    <d v="2024-03-01T00:00:00"/>
    <s v="Custom solution"/>
    <x v="5"/>
    <x v="5"/>
    <m/>
    <m/>
    <n v="4704"/>
    <n v="90"/>
    <d v="2024-08-24T00:00:00"/>
    <m/>
  </r>
  <r>
    <x v="2350"/>
    <s v="Germany"/>
    <s v="52.520008"/>
    <s v="13.404954"/>
    <s v="Agriculture &amp; Mining"/>
    <s v="Medium (201-500)"/>
    <s v="Emily Johnson"/>
    <d v="2024-02-28T00:00:00"/>
    <s v="Services"/>
    <x v="5"/>
    <x v="5"/>
    <m/>
    <m/>
    <n v="1937"/>
    <n v="70"/>
    <d v="2024-12-09T00:00:00"/>
    <m/>
  </r>
  <r>
    <x v="2351"/>
    <s v="Belgium"/>
    <s v="51.260197"/>
    <s v="4.402771"/>
    <s v="Professional Services  &amp; Consulting"/>
    <s v="Medium (201-500)"/>
    <s v="Emily Johnson"/>
    <d v="2024-05-24T00:00:00"/>
    <s v="Services"/>
    <x v="5"/>
    <x v="5"/>
    <m/>
    <m/>
    <n v="3060"/>
    <n v="20"/>
    <d v="2024-07-12T00:00:00"/>
    <m/>
  </r>
  <r>
    <x v="2352"/>
    <s v="Germany"/>
    <s v="52.520008"/>
    <s v="13.404954"/>
    <s v="Transportation &amp; Logistics"/>
    <s v="Medium (201-500)"/>
    <s v="Laura Thompson"/>
    <d v="2024-02-04T00:00:00"/>
    <s v="Services"/>
    <x v="5"/>
    <x v="5"/>
    <m/>
    <m/>
    <n v="656"/>
    <n v="60"/>
    <d v="2024-08-09T00:00:00"/>
    <m/>
  </r>
  <r>
    <x v="2353"/>
    <s v="Germany"/>
    <s v="52.520008"/>
    <s v="13.404954"/>
    <s v="Professional Services  &amp; Consulting"/>
    <s v="Medium (201-500)"/>
    <s v="Emily Johnson"/>
    <d v="2024-01-17T00:00:00"/>
    <s v="Services"/>
    <x v="5"/>
    <x v="5"/>
    <m/>
    <m/>
    <n v="6655"/>
    <n v="60"/>
    <d v="2024-06-25T00:00:00"/>
    <m/>
  </r>
  <r>
    <x v="2354"/>
    <s v="Germany"/>
    <s v="52.520008"/>
    <s v="13.404954"/>
    <s v="Professional Services  &amp; Consulting"/>
    <s v="Medium (201-500)"/>
    <s v="Kevin Anderson"/>
    <d v="2024-05-05T00:00:00"/>
    <s v="Services"/>
    <x v="5"/>
    <x v="5"/>
    <m/>
    <m/>
    <n v="7229"/>
    <n v="70"/>
    <d v="2024-10-24T00:00:00"/>
    <m/>
  </r>
  <r>
    <x v="2355"/>
    <s v="Germany"/>
    <s v="52.520008"/>
    <s v="13.404954"/>
    <s v="Professional Services  &amp; Consulting"/>
    <s v="Medium (201-500)"/>
    <s v="Jessica Martinez"/>
    <d v="2024-04-11T00:00:00"/>
    <s v="Custom solution"/>
    <x v="5"/>
    <x v="5"/>
    <m/>
    <m/>
    <n v="549"/>
    <n v="60"/>
    <d v="2025-01-20T00:00:00"/>
    <m/>
  </r>
  <r>
    <x v="2356"/>
    <s v="Switzerland"/>
    <s v="46.204391"/>
    <s v="6.143158"/>
    <s v="Professional Services  &amp; Consulting"/>
    <s v="Medium (201-500)"/>
    <s v="Laura Thompson"/>
    <d v="2024-04-27T00:00:00"/>
    <s v="Services"/>
    <x v="5"/>
    <x v="5"/>
    <m/>
    <m/>
    <n v="5561"/>
    <n v="40"/>
    <d v="2025-04-08T00:00:00"/>
    <m/>
  </r>
  <r>
    <x v="2357"/>
    <s v="Spain"/>
    <s v="40.416775"/>
    <s v="-3.703790"/>
    <s v="IT &amp; IT Services"/>
    <s v="Medium (201-500)"/>
    <s v="David Wilson"/>
    <d v="2024-03-29T00:00:00"/>
    <s v="Custom solution"/>
    <x v="5"/>
    <x v="5"/>
    <m/>
    <m/>
    <n v="4742"/>
    <n v="10"/>
    <d v="2024-07-09T00:00:00"/>
    <m/>
  </r>
  <r>
    <x v="2358"/>
    <s v="Germany"/>
    <s v="52.520008"/>
    <s v="13.404954"/>
    <s v="Education &amp; Science"/>
    <s v="Medium (201-500)"/>
    <s v="Sarah Davis"/>
    <d v="2024-05-16T00:00:00"/>
    <s v="Custom solution"/>
    <x v="5"/>
    <x v="5"/>
    <m/>
    <m/>
    <n v="2684"/>
    <n v="50"/>
    <d v="2024-06-24T00:00:00"/>
    <m/>
  </r>
  <r>
    <x v="2359"/>
    <s v="Spain"/>
    <s v="40.416775"/>
    <s v="-3.703790"/>
    <s v="Professional Services  &amp; Consulting"/>
    <s v="Medium (201-500)"/>
    <s v="Jessica Martinez"/>
    <d v="2024-01-22T00:00:00"/>
    <s v="SAAS"/>
    <x v="5"/>
    <x v="5"/>
    <m/>
    <m/>
    <n v="3052"/>
    <n v="30"/>
    <d v="2024-04-18T00:00:00"/>
    <m/>
  </r>
  <r>
    <x v="2360"/>
    <s v="Italy"/>
    <s v="41.902782"/>
    <s v="12.496366"/>
    <s v="Manufacturing &amp; Production"/>
    <s v="Medium (201-500)"/>
    <s v="Laura Thompson"/>
    <d v="2024-04-10T00:00:00"/>
    <s v="Services"/>
    <x v="5"/>
    <x v="5"/>
    <m/>
    <m/>
    <n v="2877"/>
    <n v="100"/>
    <d v="2025-02-01T00:00:00"/>
    <m/>
  </r>
  <r>
    <x v="2361"/>
    <s v="Austria"/>
    <s v="48.210033"/>
    <s v="16.363449"/>
    <s v="Recreation &amp; Sports"/>
    <s v="Medium (201-500)"/>
    <s v="Sarah Davis"/>
    <d v="2024-01-11T00:00:00"/>
    <s v="Services"/>
    <x v="5"/>
    <x v="5"/>
    <m/>
    <m/>
    <n v="2716"/>
    <n v="30"/>
    <d v="2024-12-31T00:00:00"/>
    <m/>
  </r>
  <r>
    <x v="2362"/>
    <s v="Germany"/>
    <s v="52.520008"/>
    <s v="13.404954"/>
    <s v="Education &amp; Science"/>
    <s v="Medium (201-500)"/>
    <s v="Jessica Martinez"/>
    <d v="2024-02-23T00:00:00"/>
    <s v="SAAS"/>
    <x v="5"/>
    <x v="5"/>
    <m/>
    <m/>
    <n v="4548"/>
    <n v="20"/>
    <d v="2024-08-03T00:00:00"/>
    <m/>
  </r>
  <r>
    <x v="2363"/>
    <s v="Italy"/>
    <s v="41.902782"/>
    <s v="12.496366"/>
    <s v="IT &amp; IT Services"/>
    <s v="Medium (201-500)"/>
    <s v="Laura Thompson"/>
    <d v="2024-04-18T00:00:00"/>
    <s v="Services"/>
    <x v="5"/>
    <x v="5"/>
    <m/>
    <m/>
    <n v="7713"/>
    <n v="60"/>
    <d v="2024-10-16T00:00:00"/>
    <m/>
  </r>
  <r>
    <x v="2364"/>
    <s v="Netherlands"/>
    <s v="52.370216"/>
    <s v="4.895168"/>
    <s v="Transportation &amp; Logistics"/>
    <s v="Medium (201-500)"/>
    <s v="Kevin Anderson"/>
    <d v="2024-04-06T00:00:00"/>
    <s v="SAAS"/>
    <x v="5"/>
    <x v="5"/>
    <m/>
    <m/>
    <n v="3681"/>
    <n v="40"/>
    <d v="2024-06-29T00:00:00"/>
    <m/>
  </r>
  <r>
    <x v="2365"/>
    <s v="Netherlands"/>
    <s v="52.370216"/>
    <s v="4.895168"/>
    <s v="Construction &amp; Engineering"/>
    <s v="Medium (201-500)"/>
    <s v="John Smith"/>
    <d v="2024-04-21T00:00:00"/>
    <s v="SAAS"/>
    <x v="5"/>
    <x v="5"/>
    <m/>
    <m/>
    <n v="4976"/>
    <n v="20"/>
    <d v="2024-11-02T00:00:00"/>
    <m/>
  </r>
  <r>
    <x v="2366"/>
    <s v="France"/>
    <s v="48.864716"/>
    <s v="2.349014"/>
    <s v="Transportation &amp; Logistics"/>
    <s v="Medium (201-500)"/>
    <s v="Jessica Martinez"/>
    <d v="2024-01-16T00:00:00"/>
    <s v="Services"/>
    <x v="5"/>
    <x v="5"/>
    <m/>
    <m/>
    <n v="4089"/>
    <n v="40"/>
    <d v="2024-09-10T00:00:00"/>
    <m/>
  </r>
  <r>
    <x v="2367"/>
    <s v="Belgium"/>
    <s v="51.260197"/>
    <s v="4.402771"/>
    <s v="Agriculture &amp; Mining"/>
    <s v="Medium (201-500)"/>
    <s v="Kevin Anderson"/>
    <d v="2024-02-16T00:00:00"/>
    <s v="SAAS"/>
    <x v="5"/>
    <x v="5"/>
    <m/>
    <m/>
    <n v="2882"/>
    <n v="20"/>
    <d v="2024-03-12T00:00:00"/>
    <m/>
  </r>
  <r>
    <x v="2368"/>
    <s v="Italy"/>
    <s v="41.902782"/>
    <s v="12.496366"/>
    <s v="Manufacturing &amp; Production"/>
    <s v="Medium (201-500)"/>
    <s v="Kevin Anderson"/>
    <d v="2024-01-03T00:00:00"/>
    <s v="Custom solution"/>
    <x v="5"/>
    <x v="5"/>
    <m/>
    <m/>
    <n v="6936"/>
    <n v="40"/>
    <d v="2024-03-09T00:00:00"/>
    <m/>
  </r>
  <r>
    <x v="2369"/>
    <s v="France"/>
    <s v="48.864716"/>
    <s v="2.349014"/>
    <s v="Transportation &amp; Logistics"/>
    <s v="Medium (201-500)"/>
    <s v="Michael Brown"/>
    <d v="2024-01-29T00:00:00"/>
    <s v="SAAS"/>
    <x v="5"/>
    <x v="5"/>
    <m/>
    <m/>
    <n v="7679"/>
    <n v="20"/>
    <d v="2024-04-03T00:00:00"/>
    <m/>
  </r>
  <r>
    <x v="2370"/>
    <s v="Italy"/>
    <s v="41.902782"/>
    <s v="12.496366"/>
    <s v="IT &amp; IT Services"/>
    <s v="Medium (201-500)"/>
    <s v="Jessica Martinez"/>
    <d v="2024-01-09T00:00:00"/>
    <s v="Services"/>
    <x v="5"/>
    <x v="5"/>
    <m/>
    <m/>
    <n v="3169"/>
    <n v="50"/>
    <d v="2024-11-21T00:00:00"/>
    <m/>
  </r>
  <r>
    <x v="2371"/>
    <s v="Germany"/>
    <s v="52.520008"/>
    <s v="13.404954"/>
    <s v="Professional Services  &amp; Consulting"/>
    <s v="Medium (201-500)"/>
    <s v="Emily Johnson"/>
    <d v="2024-02-06T00:00:00"/>
    <s v="Custom solution"/>
    <x v="5"/>
    <x v="5"/>
    <m/>
    <m/>
    <n v="1182"/>
    <n v="10"/>
    <d v="2024-05-17T00:00:00"/>
    <m/>
  </r>
  <r>
    <x v="2372"/>
    <s v="Switzerland"/>
    <s v="46.204391"/>
    <s v="6.143158"/>
    <s v="IT &amp; IT Services"/>
    <s v="Medium (201-500)"/>
    <s v="Sarah Davis"/>
    <d v="2024-02-06T00:00:00"/>
    <s v="Services"/>
    <x v="5"/>
    <x v="5"/>
    <m/>
    <m/>
    <n v="3183"/>
    <n v="50"/>
    <d v="2024-07-06T00:00:00"/>
    <m/>
  </r>
  <r>
    <x v="2373"/>
    <s v="Belgium"/>
    <s v="51.260197"/>
    <s v="4.402771"/>
    <s v="IT &amp; IT Services"/>
    <s v="Medium (201-500)"/>
    <s v="Sarah Davis"/>
    <d v="2024-05-01T00:00:00"/>
    <s v="Services"/>
    <x v="5"/>
    <x v="5"/>
    <m/>
    <m/>
    <n v="4996"/>
    <n v="40"/>
    <d v="2025-01-03T00:00:00"/>
    <m/>
  </r>
  <r>
    <x v="2374"/>
    <s v="France"/>
    <s v="48.864716"/>
    <s v="2.349014"/>
    <s v="Professional Services  &amp; Consulting"/>
    <s v="Medium (201-500)"/>
    <s v="Michael Brown"/>
    <d v="2024-02-27T00:00:00"/>
    <s v="Custom solution"/>
    <x v="5"/>
    <x v="5"/>
    <m/>
    <m/>
    <n v="7982"/>
    <n v="20"/>
    <d v="2024-07-14T00:00:00"/>
    <m/>
  </r>
  <r>
    <x v="2375"/>
    <s v="Netherlands"/>
    <s v="52.370216"/>
    <s v="4.895168"/>
    <s v="Transportation &amp; Logistics"/>
    <s v="Medium (201-500)"/>
    <s v="Laura Thompson"/>
    <d v="2024-02-05T00:00:00"/>
    <s v="Custom solution"/>
    <x v="5"/>
    <x v="5"/>
    <m/>
    <m/>
    <n v="2860"/>
    <n v="40"/>
    <d v="2024-10-18T00:00:00"/>
    <m/>
  </r>
  <r>
    <x v="2376"/>
    <s v="Italy"/>
    <s v="41.902782"/>
    <s v="12.496366"/>
    <s v="Telecommunications"/>
    <s v="Medium (201-500)"/>
    <s v="Laura Thompson"/>
    <d v="2024-04-01T00:00:00"/>
    <s v="SAAS"/>
    <x v="5"/>
    <x v="5"/>
    <m/>
    <m/>
    <n v="2517"/>
    <n v="20"/>
    <d v="2024-12-02T00:00:00"/>
    <m/>
  </r>
  <r>
    <x v="2377"/>
    <s v="Italy"/>
    <s v="41.902782"/>
    <s v="12.496366"/>
    <s v="Professional Services  &amp; Consulting"/>
    <s v="Medium (201-500)"/>
    <s v="David Wilson"/>
    <d v="2024-02-25T00:00:00"/>
    <s v="SAAS"/>
    <x v="5"/>
    <x v="5"/>
    <m/>
    <m/>
    <n v="7513"/>
    <n v="40"/>
    <d v="2024-12-05T00:00:00"/>
    <m/>
  </r>
  <r>
    <x v="2378"/>
    <s v="Italy"/>
    <s v="41.902782"/>
    <s v="12.496366"/>
    <s v="Education &amp; Science"/>
    <s v="Medium (201-500)"/>
    <s v="Jessica Martinez"/>
    <d v="2024-04-15T00:00:00"/>
    <s v="SAAS"/>
    <x v="5"/>
    <x v="5"/>
    <m/>
    <m/>
    <n v="1920"/>
    <n v="40"/>
    <d v="2024-10-14T00:00:00"/>
    <m/>
  </r>
  <r>
    <x v="2379"/>
    <s v="Spain"/>
    <s v="40.416775"/>
    <s v="-3.703790"/>
    <s v="Banking and Finance"/>
    <s v="Medium (201-500)"/>
    <s v="Laura Thompson"/>
    <d v="2024-01-02T00:00:00"/>
    <s v="Custom solution"/>
    <x v="5"/>
    <x v="5"/>
    <m/>
    <m/>
    <n v="7974"/>
    <n v="60"/>
    <d v="2024-10-09T00:00:00"/>
    <m/>
  </r>
  <r>
    <x v="2380"/>
    <s v="France"/>
    <s v="48.864716"/>
    <s v="2.349014"/>
    <s v="Banking and Finance"/>
    <s v="Medium (201-500)"/>
    <s v="Laura Thompson"/>
    <d v="2024-05-01T00:00:00"/>
    <s v="SAAS"/>
    <x v="5"/>
    <x v="5"/>
    <m/>
    <m/>
    <n v="7600"/>
    <n v="40"/>
    <d v="2024-07-06T00:00:00"/>
    <m/>
  </r>
  <r>
    <x v="2381"/>
    <s v="Spain"/>
    <s v="40.416775"/>
    <s v="-3.703790"/>
    <s v="Professional Services  &amp; Consulting"/>
    <s v="Medium (201-500)"/>
    <s v="Laura Thompson"/>
    <d v="2024-02-06T00:00:00"/>
    <s v="SAAS"/>
    <x v="5"/>
    <x v="5"/>
    <m/>
    <m/>
    <n v="294"/>
    <n v="40"/>
    <d v="2024-12-21T00:00:00"/>
    <m/>
  </r>
  <r>
    <x v="2382"/>
    <s v="Belgium"/>
    <s v="51.260197"/>
    <s v="4.402771"/>
    <s v="Retail &amp; Distribution"/>
    <s v="Medium (201-500)"/>
    <s v="Michael Brown"/>
    <d v="2024-02-26T00:00:00"/>
    <s v="Services"/>
    <x v="5"/>
    <x v="5"/>
    <m/>
    <m/>
    <n v="6756"/>
    <n v="60"/>
    <d v="2024-03-21T00:00:00"/>
    <m/>
  </r>
  <r>
    <x v="2383"/>
    <s v="Italy"/>
    <s v="41.902782"/>
    <s v="12.496366"/>
    <s v="Transportation &amp; Logistics"/>
    <s v="Medium (201-500)"/>
    <s v="Jessica Martinez"/>
    <d v="2024-04-19T00:00:00"/>
    <s v="Custom solution"/>
    <x v="5"/>
    <x v="5"/>
    <m/>
    <m/>
    <n v="6193"/>
    <n v="40"/>
    <d v="2024-06-22T00:00:00"/>
    <m/>
  </r>
  <r>
    <x v="2384"/>
    <s v="Switzerland"/>
    <s v="46.204391"/>
    <s v="6.143158"/>
    <s v="Manufacturing &amp; Production"/>
    <s v="Medium (201-500)"/>
    <s v="Kevin Anderson"/>
    <d v="2024-02-05T00:00:00"/>
    <s v="Custom solution"/>
    <x v="5"/>
    <x v="5"/>
    <m/>
    <m/>
    <n v="497"/>
    <n v="100"/>
    <d v="2024-04-29T00:00:00"/>
    <m/>
  </r>
  <r>
    <x v="2385"/>
    <s v="France"/>
    <s v="48.864716"/>
    <s v="2.349014"/>
    <s v="Retail &amp; Distribution"/>
    <s v="Medium (201-500)"/>
    <s v="David Wilson"/>
    <d v="2024-02-28T00:00:00"/>
    <s v="SAAS"/>
    <x v="5"/>
    <x v="5"/>
    <m/>
    <m/>
    <n v="1304"/>
    <n v="20"/>
    <d v="2024-10-08T00:00:00"/>
    <m/>
  </r>
  <r>
    <x v="2386"/>
    <s v="Italy"/>
    <s v="41.902782"/>
    <s v="12.496366"/>
    <s v="Construction &amp; Engineering"/>
    <s v="Medium (201-500)"/>
    <s v="Kevin Anderson"/>
    <d v="2024-03-08T00:00:00"/>
    <s v="Services"/>
    <x v="5"/>
    <x v="5"/>
    <m/>
    <m/>
    <n v="3809"/>
    <n v="90"/>
    <d v="2024-04-26T00:00:00"/>
    <m/>
  </r>
  <r>
    <x v="2387"/>
    <s v="Austria"/>
    <s v="48.210033"/>
    <s v="16.363449"/>
    <s v="Banking and Finance"/>
    <s v="Medium (201-500)"/>
    <s v="Michael Brown"/>
    <d v="2024-01-30T00:00:00"/>
    <s v="Services"/>
    <x v="5"/>
    <x v="5"/>
    <m/>
    <m/>
    <n v="310"/>
    <n v="40"/>
    <d v="2024-03-18T00:00:00"/>
    <m/>
  </r>
  <r>
    <x v="2388"/>
    <s v="Italy"/>
    <s v="41.902782"/>
    <s v="12.496366"/>
    <s v="Transportation &amp; Logistics"/>
    <s v="Medium (201-500)"/>
    <s v="Michael Brown"/>
    <d v="2024-02-14T00:00:00"/>
    <s v="Services"/>
    <x v="5"/>
    <x v="5"/>
    <m/>
    <m/>
    <n v="1032"/>
    <n v="60"/>
    <d v="2024-08-28T00:00:00"/>
    <m/>
  </r>
  <r>
    <x v="2389"/>
    <s v="Italy"/>
    <s v="41.902782"/>
    <s v="12.496366"/>
    <s v="Transportation &amp; Logistics"/>
    <s v="Medium (201-500)"/>
    <s v="David Wilson"/>
    <d v="2024-05-24T00:00:00"/>
    <s v="SAAS"/>
    <x v="5"/>
    <x v="5"/>
    <m/>
    <m/>
    <n v="6064"/>
    <n v="60"/>
    <d v="2025-03-07T00:00:00"/>
    <m/>
  </r>
  <r>
    <x v="2390"/>
    <s v="Italy"/>
    <s v="41.902782"/>
    <s v="12.496366"/>
    <s v="Energy &amp; Utilities"/>
    <s v="Medium (201-500)"/>
    <s v="Jessica Martinez"/>
    <d v="2024-03-23T00:00:00"/>
    <s v="Services"/>
    <x v="5"/>
    <x v="5"/>
    <m/>
    <m/>
    <n v="6973"/>
    <n v="30"/>
    <d v="2024-07-11T00:00:00"/>
    <m/>
  </r>
  <r>
    <x v="2391"/>
    <s v="Austria"/>
    <s v="48.210033"/>
    <s v="16.363449"/>
    <s v="Banking and Finance"/>
    <s v="Medium (201-500)"/>
    <s v="Michael Brown"/>
    <d v="2024-01-28T00:00:00"/>
    <s v="SAAS"/>
    <x v="5"/>
    <x v="5"/>
    <m/>
    <m/>
    <n v="2036"/>
    <n v="60"/>
    <d v="2024-08-22T00:00:00"/>
    <m/>
  </r>
  <r>
    <x v="2392"/>
    <s v="Spain"/>
    <s v="40.416775"/>
    <s v="-3.703790"/>
    <s v="IT &amp; IT Services"/>
    <s v="Medium (201-500)"/>
    <s v="Laura Thompson"/>
    <d v="2024-01-21T00:00:00"/>
    <s v="Services"/>
    <x v="5"/>
    <x v="5"/>
    <m/>
    <m/>
    <n v="6005"/>
    <n v="100"/>
    <d v="2024-09-29T00:00:00"/>
    <m/>
  </r>
  <r>
    <x v="2393"/>
    <s v="Germany"/>
    <s v="52.520008"/>
    <s v="13.404954"/>
    <s v="Transportation &amp; Logistics"/>
    <s v="Medium (201-500)"/>
    <s v="David Wilson"/>
    <d v="2024-01-15T00:00:00"/>
    <s v="SAAS"/>
    <x v="5"/>
    <x v="5"/>
    <m/>
    <m/>
    <n v="5627"/>
    <n v="20"/>
    <d v="2024-03-15T00:00:00"/>
    <m/>
  </r>
  <r>
    <x v="2394"/>
    <s v="Italy"/>
    <s v="41.902782"/>
    <s v="12.496366"/>
    <s v="Telecommunications"/>
    <s v="Medium (201-500)"/>
    <s v="Michael Brown"/>
    <d v="2024-01-09T00:00:00"/>
    <s v="Custom solution"/>
    <x v="5"/>
    <x v="5"/>
    <m/>
    <m/>
    <n v="6932"/>
    <n v="100"/>
    <d v="2024-06-03T00:00:00"/>
    <m/>
  </r>
  <r>
    <x v="2395"/>
    <s v="Italy"/>
    <s v="41.902782"/>
    <s v="12.496366"/>
    <s v="Banking and Finance"/>
    <s v="Medium (201-500)"/>
    <s v="David Wilson"/>
    <d v="2024-01-21T00:00:00"/>
    <s v="Services"/>
    <x v="5"/>
    <x v="5"/>
    <m/>
    <m/>
    <n v="6150"/>
    <n v="50"/>
    <d v="2024-11-09T00:00:00"/>
    <m/>
  </r>
  <r>
    <x v="2396"/>
    <s v="France"/>
    <s v="48.864716"/>
    <s v="2.349014"/>
    <s v="IT &amp; IT Services"/>
    <s v="Medium (201-500)"/>
    <s v="Laura Thompson"/>
    <d v="2024-03-16T00:00:00"/>
    <s v="SAAS"/>
    <x v="5"/>
    <x v="5"/>
    <m/>
    <m/>
    <n v="1581"/>
    <n v="30"/>
    <d v="2024-11-07T00:00:00"/>
    <m/>
  </r>
  <r>
    <x v="2397"/>
    <s v="France"/>
    <s v="48.864716"/>
    <s v="2.349014"/>
    <s v="Professional Services  &amp; Consulting"/>
    <s v="Medium (201-500)"/>
    <s v="Sarah Davis"/>
    <d v="2024-03-24T00:00:00"/>
    <s v="Services"/>
    <x v="5"/>
    <x v="5"/>
    <m/>
    <m/>
    <n v="471"/>
    <n v="50"/>
    <d v="2024-06-02T00:00:00"/>
    <m/>
  </r>
  <r>
    <x v="2398"/>
    <s v="Germany"/>
    <s v="52.520008"/>
    <s v="13.404954"/>
    <s v="Telecommunications"/>
    <s v="Medium (201-500)"/>
    <s v="Laura Thompson"/>
    <d v="2024-01-22T00:00:00"/>
    <s v="SAAS"/>
    <x v="5"/>
    <x v="5"/>
    <m/>
    <m/>
    <n v="1243"/>
    <n v="40"/>
    <d v="2024-09-24T00:00:00"/>
    <m/>
  </r>
  <r>
    <x v="2399"/>
    <s v="Portugal"/>
    <s v="38.736946"/>
    <s v="-9.142685"/>
    <s v="Government Administration Healthcare"/>
    <s v="Medium (201-500)"/>
    <s v="Michael Brown"/>
    <d v="2024-03-10T00:00:00"/>
    <s v="Services"/>
    <x v="5"/>
    <x v="5"/>
    <m/>
    <m/>
    <n v="580"/>
    <n v="40"/>
    <d v="2024-10-14T00:00:00"/>
    <m/>
  </r>
  <r>
    <x v="2400"/>
    <s v="Germany"/>
    <s v="52.520008"/>
    <s v="13.404954"/>
    <s v="Government Administration Healthcare"/>
    <s v="Medium (201-500)"/>
    <s v="Laura Thompson"/>
    <d v="2024-02-04T00:00:00"/>
    <s v="Services"/>
    <x v="5"/>
    <x v="5"/>
    <m/>
    <m/>
    <n v="4648"/>
    <n v="70"/>
    <d v="2024-09-02T00:00:00"/>
    <m/>
  </r>
  <r>
    <x v="2401"/>
    <s v="Italy"/>
    <s v="41.902782"/>
    <s v="12.496366"/>
    <s v="IT &amp; IT Services"/>
    <s v="Medium (201-500)"/>
    <s v="Laura Thompson"/>
    <d v="2024-05-02T00:00:00"/>
    <s v="SAAS"/>
    <x v="5"/>
    <x v="5"/>
    <m/>
    <m/>
    <n v="1296"/>
    <n v="60"/>
    <d v="2025-02-24T00:00:00"/>
    <m/>
  </r>
  <r>
    <x v="2402"/>
    <s v="Germany"/>
    <s v="52.520008"/>
    <s v="13.404954"/>
    <s v="Transportation &amp; Logistics"/>
    <s v="Medium (201-500)"/>
    <s v="Laura Thompson"/>
    <d v="2024-03-08T00:00:00"/>
    <s v="Services"/>
    <x v="5"/>
    <x v="5"/>
    <m/>
    <m/>
    <n v="4501"/>
    <n v="30"/>
    <d v="2024-05-27T00:00:00"/>
    <m/>
  </r>
  <r>
    <x v="2403"/>
    <s v="France"/>
    <s v="48.864716"/>
    <s v="2.349014"/>
    <s v="Banking and Finance"/>
    <s v="Medium (201-500)"/>
    <s v="Kevin Anderson"/>
    <d v="2024-02-15T00:00:00"/>
    <s v="Services"/>
    <x v="5"/>
    <x v="5"/>
    <m/>
    <m/>
    <n v="374"/>
    <n v="20"/>
    <d v="2024-08-27T00:00:00"/>
    <m/>
  </r>
  <r>
    <x v="2404"/>
    <s v="Italy"/>
    <s v="41.902782"/>
    <s v="12.496366"/>
    <s v="Telecommunications"/>
    <s v="Medium (201-500)"/>
    <s v="Michael Brown"/>
    <d v="2024-03-10T00:00:00"/>
    <s v="Services"/>
    <x v="5"/>
    <x v="5"/>
    <m/>
    <m/>
    <n v="1614"/>
    <n v="50"/>
    <d v="2024-10-23T00:00:00"/>
    <m/>
  </r>
  <r>
    <x v="2405"/>
    <s v="Germany"/>
    <s v="52.520008"/>
    <s v="13.404954"/>
    <s v="Transportation &amp; Logistics"/>
    <s v="Medium (201-500)"/>
    <s v="Michael Brown"/>
    <d v="2024-02-14T00:00:00"/>
    <s v="SAAS"/>
    <x v="5"/>
    <x v="5"/>
    <m/>
    <m/>
    <n v="5847"/>
    <n v="60"/>
    <d v="2024-12-22T00:00:00"/>
    <m/>
  </r>
  <r>
    <x v="2406"/>
    <s v="Italy"/>
    <s v="41.902782"/>
    <s v="12.496366"/>
    <s v="IT &amp; IT Services"/>
    <s v="Medium (201-500)"/>
    <s v="Michael Brown"/>
    <d v="2024-04-07T00:00:00"/>
    <s v="Services"/>
    <x v="5"/>
    <x v="5"/>
    <m/>
    <m/>
    <n v="1232"/>
    <n v="20"/>
    <d v="2024-11-29T00:00:00"/>
    <m/>
  </r>
  <r>
    <x v="2407"/>
    <s v="France"/>
    <s v="48.864716"/>
    <s v="2.349014"/>
    <s v="Transportation &amp; Logistics"/>
    <s v="Medium (201-500)"/>
    <s v="Michael Brown"/>
    <d v="2024-03-20T00:00:00"/>
    <s v="Services"/>
    <x v="5"/>
    <x v="5"/>
    <m/>
    <m/>
    <n v="6728"/>
    <n v="40"/>
    <d v="2024-04-14T00:00:00"/>
    <m/>
  </r>
  <r>
    <x v="2408"/>
    <s v="France"/>
    <s v="48.864716"/>
    <s v="2.349014"/>
    <s v="IT &amp; IT Services"/>
    <s v="Medium (201-500)"/>
    <s v="Michael Brown"/>
    <d v="2024-03-09T00:00:00"/>
    <s v="Services"/>
    <x v="5"/>
    <x v="5"/>
    <m/>
    <m/>
    <n v="5807"/>
    <n v="40"/>
    <d v="2025-02-26T00:00:00"/>
    <m/>
  </r>
  <r>
    <x v="2409"/>
    <s v="Austria"/>
    <s v="48.210033"/>
    <s v="16.363449"/>
    <s v="Banking and Finance"/>
    <s v="Medium (201-500)"/>
    <s v="Jessica Martinez"/>
    <d v="2024-03-25T00:00:00"/>
    <s v="SAAS"/>
    <x v="5"/>
    <x v="5"/>
    <m/>
    <m/>
    <n v="5401"/>
    <n v="40"/>
    <d v="2024-04-25T00:00:00"/>
    <m/>
  </r>
  <r>
    <x v="2410"/>
    <s v="Spain"/>
    <s v="40.416775"/>
    <s v="-3.703790"/>
    <s v="Construction &amp; Engineering"/>
    <s v="Medium (201-500)"/>
    <s v="Michael Brown"/>
    <d v="2024-01-15T00:00:00"/>
    <s v="Services"/>
    <x v="5"/>
    <x v="5"/>
    <m/>
    <m/>
    <n v="1613"/>
    <n v="30"/>
    <d v="2024-06-21T00:00:00"/>
    <m/>
  </r>
  <r>
    <x v="2411"/>
    <s v="Austria"/>
    <s v="48.210033"/>
    <s v="16.363449"/>
    <s v="IT &amp; IT Services"/>
    <s v="Medium (201-500)"/>
    <s v="Kevin Anderson"/>
    <d v="2024-05-09T00:00:00"/>
    <s v="Services"/>
    <x v="5"/>
    <x v="5"/>
    <m/>
    <m/>
    <n v="7169"/>
    <n v="50"/>
    <d v="2025-03-08T00:00:00"/>
    <m/>
  </r>
  <r>
    <x v="2412"/>
    <s v="Germany"/>
    <s v="52.520008"/>
    <s v="13.404954"/>
    <s v="Government Administration Healthcare"/>
    <s v="Medium (201-500)"/>
    <s v="Laura Thompson"/>
    <d v="2024-01-27T00:00:00"/>
    <s v="Custom solution"/>
    <x v="5"/>
    <x v="5"/>
    <m/>
    <m/>
    <n v="1803"/>
    <n v="20"/>
    <d v="2024-12-24T00:00:00"/>
    <m/>
  </r>
  <r>
    <x v="2413"/>
    <s v="Germany"/>
    <s v="52.520008"/>
    <s v="13.404954"/>
    <s v="Professional Services  &amp; Consulting"/>
    <s v="Medium (201-500)"/>
    <s v="Michael Brown"/>
    <d v="2024-02-09T00:00:00"/>
    <s v="SAAS"/>
    <x v="5"/>
    <x v="5"/>
    <m/>
    <m/>
    <n v="663"/>
    <n v="10"/>
    <d v="2024-05-28T00:00:00"/>
    <m/>
  </r>
  <r>
    <x v="2414"/>
    <s v="Switzerland"/>
    <s v="46.204391"/>
    <s v="6.143158"/>
    <s v="Banking and Finance"/>
    <s v="Medium (201-500)"/>
    <s v="Laura Thompson"/>
    <d v="2024-05-19T00:00:00"/>
    <s v="Services"/>
    <x v="5"/>
    <x v="5"/>
    <m/>
    <m/>
    <n v="885"/>
    <n v="70"/>
    <d v="2025-01-29T00:00:00"/>
    <m/>
  </r>
  <r>
    <x v="2415"/>
    <s v="Portugal"/>
    <s v="38.736946"/>
    <s v="-9.142685"/>
    <s v="Professional Services  &amp; Consulting"/>
    <s v="Medium (201-500)"/>
    <s v="Laura Thompson"/>
    <d v="2024-01-27T00:00:00"/>
    <s v="Services"/>
    <x v="5"/>
    <x v="5"/>
    <m/>
    <m/>
    <n v="7571"/>
    <n v="40"/>
    <d v="2024-05-25T00:00:00"/>
    <m/>
  </r>
  <r>
    <x v="2416"/>
    <s v="Italy"/>
    <s v="41.902782"/>
    <s v="12.496366"/>
    <s v="Agriculture &amp; Mining"/>
    <s v="Medium (201-500)"/>
    <s v="John Smith"/>
    <d v="2024-04-27T00:00:00"/>
    <s v="Services"/>
    <x v="5"/>
    <x v="5"/>
    <m/>
    <m/>
    <n v="5058"/>
    <n v="30"/>
    <d v="2025-04-22T00:00:00"/>
    <m/>
  </r>
  <r>
    <x v="2417"/>
    <s v="Italy"/>
    <s v="41.902782"/>
    <s v="12.496366"/>
    <s v="Banking and Finance"/>
    <s v="Medium (201-500)"/>
    <s v="Laura Thompson"/>
    <d v="2024-01-15T00:00:00"/>
    <s v="SAAS"/>
    <x v="5"/>
    <x v="5"/>
    <m/>
    <m/>
    <n v="4828"/>
    <n v="60"/>
    <d v="2024-07-16T00:00:00"/>
    <m/>
  </r>
  <r>
    <x v="2418"/>
    <s v="Switzerland"/>
    <s v="46.204391"/>
    <s v="6.143158"/>
    <s v="Banking and Finance"/>
    <s v="Medium (201-500)"/>
    <s v="Jessica Martinez"/>
    <d v="2024-05-16T00:00:00"/>
    <s v="Services"/>
    <x v="5"/>
    <x v="5"/>
    <m/>
    <m/>
    <n v="5923"/>
    <n v="80"/>
    <d v="2025-03-30T00:00:00"/>
    <m/>
  </r>
  <r>
    <x v="2419"/>
    <s v="France"/>
    <s v="48.864716"/>
    <s v="2.349014"/>
    <s v="Telecommunications"/>
    <s v="Medium (201-500)"/>
    <s v="Emily Johnson"/>
    <d v="2024-05-14T00:00:00"/>
    <s v="Services"/>
    <x v="5"/>
    <x v="5"/>
    <m/>
    <m/>
    <n v="2433"/>
    <n v="30"/>
    <d v="2024-08-27T00:00:00"/>
    <m/>
  </r>
  <r>
    <x v="2420"/>
    <s v="Netherlands"/>
    <s v="52.370216"/>
    <s v="4.895168"/>
    <s v="Energy &amp; Utilities"/>
    <s v="Medium (201-500)"/>
    <s v="Laura Thompson"/>
    <d v="2024-01-13T00:00:00"/>
    <s v="SAAS"/>
    <x v="5"/>
    <x v="5"/>
    <m/>
    <m/>
    <n v="7461"/>
    <n v="40"/>
    <d v="2025-01-01T00:00:00"/>
    <m/>
  </r>
  <r>
    <x v="2421"/>
    <s v="France"/>
    <s v="48.864716"/>
    <s v="2.349014"/>
    <s v="Government Administration Healthcare"/>
    <s v="Medium (201-500)"/>
    <s v="Laura Thompson"/>
    <d v="2024-03-26T00:00:00"/>
    <s v="SAAS"/>
    <x v="5"/>
    <x v="5"/>
    <m/>
    <m/>
    <n v="3504"/>
    <n v="70"/>
    <d v="2025-03-08T00:00:00"/>
    <m/>
  </r>
  <r>
    <x v="2422"/>
    <s v="Switzerland"/>
    <s v="46.204391"/>
    <s v="6.143158"/>
    <s v="IT &amp; IT Services"/>
    <s v="Medium (201-500)"/>
    <s v="Laura Thompson"/>
    <d v="2024-03-25T00:00:00"/>
    <s v="SAAS"/>
    <x v="5"/>
    <x v="5"/>
    <m/>
    <m/>
    <n v="7764"/>
    <n v="40"/>
    <d v="2024-09-16T00:00:00"/>
    <m/>
  </r>
  <r>
    <x v="2423"/>
    <s v="Spain"/>
    <s v="40.416775"/>
    <s v="-3.703790"/>
    <s v="Telecommunications"/>
    <s v="Medium (201-500)"/>
    <s v="Michael Brown"/>
    <d v="2024-01-23T00:00:00"/>
    <s v="Services"/>
    <x v="5"/>
    <x v="5"/>
    <m/>
    <m/>
    <n v="2029"/>
    <n v="40"/>
    <d v="2024-12-16T00:00:00"/>
    <m/>
  </r>
  <r>
    <x v="2424"/>
    <s v="France"/>
    <s v="48.864716"/>
    <s v="2.349014"/>
    <s v="Recreation &amp; Sports"/>
    <s v="Medium (201-500)"/>
    <s v="Emily Johnson"/>
    <d v="2024-01-28T00:00:00"/>
    <s v="Custom solution"/>
    <x v="5"/>
    <x v="5"/>
    <m/>
    <m/>
    <n v="3810"/>
    <n v="40"/>
    <d v="2024-12-28T00:00:00"/>
    <m/>
  </r>
  <r>
    <x v="2425"/>
    <s v="Spain"/>
    <s v="40.416775"/>
    <s v="-3.703790"/>
    <s v="Professional Services  &amp; Consulting"/>
    <s v="Medium (201-500)"/>
    <s v="Jessica Martinez"/>
    <d v="2024-03-08T00:00:00"/>
    <s v="Services"/>
    <x v="5"/>
    <x v="5"/>
    <m/>
    <m/>
    <n v="6263"/>
    <n v="40"/>
    <d v="2025-02-03T00:00:00"/>
    <m/>
  </r>
  <r>
    <x v="2426"/>
    <s v="Spain"/>
    <s v="40.416775"/>
    <s v="-3.703790"/>
    <s v="Transportation &amp; Logistics"/>
    <s v="Medium (201-500)"/>
    <s v="Michael Brown"/>
    <d v="2024-03-25T00:00:00"/>
    <s v="SAAS"/>
    <x v="5"/>
    <x v="5"/>
    <m/>
    <m/>
    <n v="5414"/>
    <n v="50"/>
    <d v="2024-10-03T00:00:00"/>
    <m/>
  </r>
  <r>
    <x v="2427"/>
    <s v="Germany"/>
    <s v="52.520008"/>
    <s v="13.404954"/>
    <s v="Banking and Finance"/>
    <s v="Medium (201-500)"/>
    <s v="John Smith"/>
    <d v="2024-04-15T00:00:00"/>
    <s v="Services"/>
    <x v="5"/>
    <x v="5"/>
    <m/>
    <m/>
    <n v="2200"/>
    <n v="50"/>
    <d v="2025-03-30T00:00:00"/>
    <m/>
  </r>
  <r>
    <x v="2428"/>
    <s v="France"/>
    <s v="48.864716"/>
    <s v="2.349014"/>
    <s v="Manufacturing &amp; Production"/>
    <s v="Medium (201-500)"/>
    <s v="Michael Brown"/>
    <d v="2024-02-14T00:00:00"/>
    <s v="SAAS"/>
    <x v="5"/>
    <x v="5"/>
    <m/>
    <m/>
    <n v="3651"/>
    <n v="70"/>
    <d v="2024-09-30T00:00:00"/>
    <m/>
  </r>
  <r>
    <x v="2429"/>
    <s v="Italy"/>
    <s v="41.902782"/>
    <s v="12.496366"/>
    <s v="Banking and Finance"/>
    <s v="Medium (201-500)"/>
    <s v="David Wilson"/>
    <d v="2024-01-19T00:00:00"/>
    <s v="Services"/>
    <x v="5"/>
    <x v="5"/>
    <m/>
    <m/>
    <n v="7926"/>
    <n v="70"/>
    <d v="2024-05-12T00:00:00"/>
    <m/>
  </r>
  <r>
    <x v="2430"/>
    <s v="Italy"/>
    <s v="41.902782"/>
    <s v="12.496366"/>
    <s v="Telecommunications"/>
    <s v="Medium (201-500)"/>
    <s v="Laura Thompson"/>
    <d v="2024-05-19T00:00:00"/>
    <s v="SAAS"/>
    <x v="5"/>
    <x v="5"/>
    <m/>
    <m/>
    <n v="4444"/>
    <n v="100"/>
    <d v="2024-07-24T00:00:00"/>
    <m/>
  </r>
  <r>
    <x v="2431"/>
    <s v="Belgium"/>
    <s v="51.260197"/>
    <s v="4.402771"/>
    <s v="Banking and Finance"/>
    <s v="Medium (201-500)"/>
    <s v="Jessica Martinez"/>
    <d v="2024-04-06T00:00:00"/>
    <s v="Custom solution"/>
    <x v="5"/>
    <x v="5"/>
    <m/>
    <m/>
    <n v="7369"/>
    <n v="50"/>
    <d v="2025-04-02T00:00:00"/>
    <m/>
  </r>
  <r>
    <x v="2432"/>
    <s v="Germany"/>
    <s v="52.520008"/>
    <s v="13.404954"/>
    <s v="Transportation &amp; Logistics"/>
    <s v="Medium (201-500)"/>
    <s v="Jessica Martinez"/>
    <d v="2024-01-29T00:00:00"/>
    <s v="Services"/>
    <x v="5"/>
    <x v="5"/>
    <m/>
    <m/>
    <n v="3710"/>
    <n v="50"/>
    <d v="2025-01-17T00:00:00"/>
    <m/>
  </r>
  <r>
    <x v="2433"/>
    <s v="Austria"/>
    <s v="48.210033"/>
    <s v="16.363449"/>
    <s v="IT &amp; IT Services"/>
    <s v="Medium (201-500)"/>
    <s v="Jessica Martinez"/>
    <d v="2024-01-22T00:00:00"/>
    <s v="SAAS"/>
    <x v="5"/>
    <x v="5"/>
    <m/>
    <m/>
    <n v="7763"/>
    <n v="30"/>
    <d v="2024-11-15T00:00:00"/>
    <m/>
  </r>
  <r>
    <x v="2434"/>
    <s v="Italy"/>
    <s v="41.902782"/>
    <s v="12.496366"/>
    <s v="Transportation &amp; Logistics"/>
    <s v="Medium (201-500)"/>
    <s v="Michael Brown"/>
    <d v="2024-04-23T00:00:00"/>
    <s v="Services"/>
    <x v="5"/>
    <x v="5"/>
    <m/>
    <m/>
    <n v="6622"/>
    <n v="50"/>
    <d v="2024-12-17T00:00:00"/>
    <m/>
  </r>
  <r>
    <x v="2435"/>
    <s v="France"/>
    <s v="48.864716"/>
    <s v="2.349014"/>
    <s v="Transportation &amp; Logistics"/>
    <s v="Medium (201-500)"/>
    <s v="Laura Thompson"/>
    <d v="2024-04-18T00:00:00"/>
    <s v="Custom solution"/>
    <x v="5"/>
    <x v="5"/>
    <m/>
    <m/>
    <n v="2546"/>
    <n v="20"/>
    <d v="2024-08-10T00:00:00"/>
    <m/>
  </r>
  <r>
    <x v="2436"/>
    <s v="Italy"/>
    <s v="41.902782"/>
    <s v="12.496366"/>
    <s v="Professional Services  &amp; Consulting"/>
    <s v="Medium (201-500)"/>
    <s v="Emily Johnson"/>
    <d v="2024-01-06T00:00:00"/>
    <s v="SAAS"/>
    <x v="5"/>
    <x v="5"/>
    <m/>
    <m/>
    <n v="2304"/>
    <n v="20"/>
    <d v="2024-01-26T00:00:00"/>
    <m/>
  </r>
  <r>
    <x v="2437"/>
    <s v="Portugal"/>
    <s v="38.736946"/>
    <s v="-9.142685"/>
    <s v="Transportation &amp; Logistics"/>
    <s v="Medium (201-500)"/>
    <s v="Emily Johnson"/>
    <d v="2024-02-27T00:00:00"/>
    <s v="SAAS"/>
    <x v="5"/>
    <x v="5"/>
    <m/>
    <m/>
    <n v="7126"/>
    <n v="80"/>
    <d v="2025-02-04T00:00:00"/>
    <m/>
  </r>
  <r>
    <x v="2438"/>
    <s v="Italy"/>
    <s v="41.902782"/>
    <s v="12.496366"/>
    <s v="Government Administration Healthcare"/>
    <s v="Medium (201-500)"/>
    <s v="Laura Thompson"/>
    <d v="2024-04-05T00:00:00"/>
    <s v="SAAS"/>
    <x v="5"/>
    <x v="5"/>
    <m/>
    <m/>
    <n v="1460"/>
    <n v="20"/>
    <d v="2024-10-13T00:00:00"/>
    <m/>
  </r>
  <r>
    <x v="2439"/>
    <s v="Switzerland"/>
    <s v="46.204391"/>
    <s v="6.143158"/>
    <s v="Professional Services  &amp; Consulting"/>
    <s v="Medium (201-500)"/>
    <s v="Emily Johnson"/>
    <d v="2024-05-06T00:00:00"/>
    <s v="SAAS"/>
    <x v="5"/>
    <x v="5"/>
    <m/>
    <m/>
    <n v="4046"/>
    <n v="20"/>
    <d v="2025-02-03T00:00:00"/>
    <m/>
  </r>
  <r>
    <x v="2440"/>
    <s v="France"/>
    <s v="48.864716"/>
    <s v="2.349014"/>
    <s v="Transportation &amp; Logistics"/>
    <s v="Medium (201-500)"/>
    <s v="Kevin Anderson"/>
    <d v="2024-04-23T00:00:00"/>
    <s v="SAAS"/>
    <x v="5"/>
    <x v="5"/>
    <m/>
    <m/>
    <n v="4782"/>
    <n v="50"/>
    <d v="2025-01-06T00:00:00"/>
    <m/>
  </r>
  <r>
    <x v="2441"/>
    <s v="Belgium"/>
    <s v="51.260197"/>
    <s v="4.402771"/>
    <s v="Transportation &amp; Logistics"/>
    <s v="Medium (201-500)"/>
    <s v="Kevin Anderson"/>
    <d v="2024-05-29T00:00:00"/>
    <s v="Custom solution"/>
    <x v="5"/>
    <x v="5"/>
    <m/>
    <m/>
    <n v="3974"/>
    <n v="50"/>
    <d v="2025-03-02T00:00:00"/>
    <m/>
  </r>
  <r>
    <x v="2442"/>
    <s v="Italy"/>
    <s v="41.902782"/>
    <s v="12.496366"/>
    <s v="IT &amp; IT Services"/>
    <s v="Medium (201-500)"/>
    <s v="Michael Brown"/>
    <d v="2024-05-04T00:00:00"/>
    <s v="SAAS"/>
    <x v="5"/>
    <x v="5"/>
    <m/>
    <m/>
    <n v="6936"/>
    <n v="30"/>
    <d v="2024-09-17T00:00:00"/>
    <m/>
  </r>
  <r>
    <x v="2443"/>
    <s v="France"/>
    <s v="48.864716"/>
    <s v="2.349014"/>
    <s v="IT &amp; IT Services"/>
    <s v="Medium (201-500)"/>
    <s v="Laura Thompson"/>
    <d v="2024-05-02T00:00:00"/>
    <s v="Custom solution"/>
    <x v="5"/>
    <x v="5"/>
    <m/>
    <m/>
    <n v="7662"/>
    <n v="50"/>
    <d v="2024-08-04T00:00:00"/>
    <m/>
  </r>
  <r>
    <x v="2444"/>
    <s v="Portugal"/>
    <s v="38.736946"/>
    <s v="-9.142685"/>
    <s v="IT &amp; IT Services"/>
    <s v="Medium (201-500)"/>
    <s v="Michael Brown"/>
    <d v="2024-02-24T00:00:00"/>
    <s v="SAAS"/>
    <x v="5"/>
    <x v="5"/>
    <m/>
    <m/>
    <n v="7867"/>
    <n v="10"/>
    <d v="2025-01-19T00:00:00"/>
    <m/>
  </r>
  <r>
    <x v="2445"/>
    <s v="Germany"/>
    <s v="52.520008"/>
    <s v="13.404954"/>
    <s v="Manufacturing &amp; Production"/>
    <s v="Medium (201-500)"/>
    <s v="Michael Brown"/>
    <d v="2024-03-11T00:00:00"/>
    <s v="SAAS"/>
    <x v="5"/>
    <x v="5"/>
    <m/>
    <m/>
    <n v="7425"/>
    <n v="30"/>
    <d v="2024-10-13T00:00:00"/>
    <m/>
  </r>
  <r>
    <x v="2446"/>
    <s v="France"/>
    <s v="48.864716"/>
    <s v="2.349014"/>
    <s v="Transportation &amp; Logistics"/>
    <s v="Medium (201-500)"/>
    <s v="Jessica Martinez"/>
    <d v="2024-02-13T00:00:00"/>
    <s v="Custom solution"/>
    <x v="5"/>
    <x v="5"/>
    <m/>
    <m/>
    <n v="6734"/>
    <n v="30"/>
    <d v="2024-12-11T00:00:00"/>
    <m/>
  </r>
  <r>
    <x v="2447"/>
    <s v="Germany"/>
    <s v="52.520008"/>
    <s v="13.404954"/>
    <s v="IT &amp; IT Services"/>
    <s v="Medium (201-500)"/>
    <s v="Jessica Martinez"/>
    <d v="2024-01-23T00:00:00"/>
    <s v="Custom solution"/>
    <x v="5"/>
    <x v="5"/>
    <m/>
    <m/>
    <n v="1252"/>
    <n v="90"/>
    <d v="2025-01-19T00:00:00"/>
    <m/>
  </r>
  <r>
    <x v="2448"/>
    <s v="Italy"/>
    <s v="41.902782"/>
    <s v="12.496366"/>
    <s v="Telecommunications"/>
    <s v="Medium (201-500)"/>
    <s v="Michael Brown"/>
    <d v="2024-04-20T00:00:00"/>
    <s v="Custom solution"/>
    <x v="5"/>
    <x v="5"/>
    <m/>
    <m/>
    <n v="3722"/>
    <n v="20"/>
    <d v="2024-05-24T00:00:00"/>
    <m/>
  </r>
  <r>
    <x v="2449"/>
    <s v="Italy"/>
    <s v="41.902782"/>
    <s v="12.496366"/>
    <s v="IT &amp; IT Services"/>
    <s v="Medium (201-500)"/>
    <s v="David Wilson"/>
    <d v="2024-03-06T00:00:00"/>
    <s v="Services"/>
    <x v="5"/>
    <x v="5"/>
    <m/>
    <m/>
    <n v="4195"/>
    <n v="100"/>
    <d v="2024-06-20T00:00:00"/>
    <m/>
  </r>
  <r>
    <x v="2450"/>
    <s v="Italy"/>
    <s v="41.902782"/>
    <s v="12.496366"/>
    <s v="IT &amp; IT Services"/>
    <s v="Medium (201-500)"/>
    <s v="Laura Thompson"/>
    <d v="2024-03-18T00:00:00"/>
    <s v="Services"/>
    <x v="5"/>
    <x v="5"/>
    <m/>
    <m/>
    <n v="471"/>
    <n v="10"/>
    <d v="2024-12-28T00:00:00"/>
    <m/>
  </r>
  <r>
    <x v="2451"/>
    <s v="Belgium"/>
    <s v="51.260197"/>
    <s v="4.402771"/>
    <s v="Recreation &amp; Sports"/>
    <s v="Large (501-1000)"/>
    <s v="Jessica Martinez"/>
    <d v="2024-04-23T00:00:00"/>
    <s v="Custom solution"/>
    <x v="5"/>
    <x v="5"/>
    <m/>
    <m/>
    <n v="6401"/>
    <n v="30"/>
    <d v="2024-11-14T00:00:00"/>
    <m/>
  </r>
  <r>
    <x v="2452"/>
    <s v="France"/>
    <s v="48.864716"/>
    <s v="2.349014"/>
    <s v="Retail &amp; Distribution"/>
    <s v="Large (501-1000)"/>
    <s v="Laura Thompson"/>
    <d v="2024-02-15T00:00:00"/>
    <s v="Custom solution"/>
    <x v="5"/>
    <x v="5"/>
    <m/>
    <m/>
    <n v="3509"/>
    <n v="50"/>
    <d v="2025-01-03T00:00:00"/>
    <m/>
  </r>
  <r>
    <x v="2453"/>
    <s v="Netherlands"/>
    <s v="52.370216"/>
    <s v="4.895168"/>
    <s v="Recreation &amp; Sports"/>
    <s v="Large (501-1000)"/>
    <s v="John Smith"/>
    <d v="2024-04-16T00:00:00"/>
    <s v="Services"/>
    <x v="5"/>
    <x v="5"/>
    <m/>
    <m/>
    <n v="15613"/>
    <n v="20"/>
    <d v="2025-03-17T00:00:00"/>
    <m/>
  </r>
  <r>
    <x v="2454"/>
    <s v="Portugal"/>
    <s v="38.736946"/>
    <s v="-9.142685"/>
    <s v="Professional Services  &amp; Consulting"/>
    <s v="Large (501-1000)"/>
    <s v="Emily Johnson"/>
    <d v="2024-03-09T00:00:00"/>
    <s v="SAAS"/>
    <x v="5"/>
    <x v="5"/>
    <m/>
    <m/>
    <n v="17391"/>
    <n v="50"/>
    <d v="2024-04-26T00:00:00"/>
    <m/>
  </r>
  <r>
    <x v="2455"/>
    <s v="France"/>
    <s v="48.864716"/>
    <s v="2.349014"/>
    <s v="IT &amp; IT Services"/>
    <s v="Large (501-1000)"/>
    <s v="Michael Brown"/>
    <d v="2024-03-31T00:00:00"/>
    <s v="Custom solution"/>
    <x v="5"/>
    <x v="5"/>
    <m/>
    <m/>
    <n v="8728"/>
    <n v="50"/>
    <d v="2024-12-06T00:00:00"/>
    <m/>
  </r>
  <r>
    <x v="2456"/>
    <s v="Spain"/>
    <s v="40.416775"/>
    <s v="-3.703790"/>
    <s v="Transportation &amp; Logistics"/>
    <s v="Large (501-1000)"/>
    <s v="Laura Thompson"/>
    <d v="2024-03-10T00:00:00"/>
    <s v="SAAS"/>
    <x v="5"/>
    <x v="5"/>
    <m/>
    <m/>
    <n v="19944"/>
    <n v="30"/>
    <d v="2024-10-29T00:00:00"/>
    <m/>
  </r>
  <r>
    <x v="2457"/>
    <s v="Germany"/>
    <s v="52.520008"/>
    <s v="13.404954"/>
    <s v="Transportation &amp; Logistics"/>
    <s v="Large (501-1000)"/>
    <s v="John Smith"/>
    <d v="2024-01-05T00:00:00"/>
    <s v="Services"/>
    <x v="5"/>
    <x v="5"/>
    <m/>
    <m/>
    <n v="16407"/>
    <n v="20"/>
    <d v="2024-08-07T00:00:00"/>
    <m/>
  </r>
  <r>
    <x v="2458"/>
    <s v="Italy"/>
    <s v="41.902782"/>
    <s v="12.496366"/>
    <s v="Banking and Finance"/>
    <s v="Large (501-1000)"/>
    <s v="Laura Thompson"/>
    <d v="2024-04-14T00:00:00"/>
    <s v="Custom solution"/>
    <x v="5"/>
    <x v="5"/>
    <m/>
    <m/>
    <n v="9178"/>
    <n v="30"/>
    <d v="2024-10-16T00:00:00"/>
    <m/>
  </r>
  <r>
    <x v="2459"/>
    <s v="Germany"/>
    <s v="52.520008"/>
    <s v="13.404954"/>
    <s v="Transportation &amp; Logistics"/>
    <s v="Large (501-1000)"/>
    <s v="Michael Brown"/>
    <d v="2024-05-12T00:00:00"/>
    <s v="Custom solution"/>
    <x v="5"/>
    <x v="5"/>
    <m/>
    <m/>
    <n v="18690"/>
    <n v="20"/>
    <d v="2024-11-21T00:00:00"/>
    <m/>
  </r>
  <r>
    <x v="2460"/>
    <s v="France"/>
    <s v="48.864716"/>
    <s v="2.349014"/>
    <s v="Entertainment &amp; Media &amp; Hospitality"/>
    <s v="Large (501-1000)"/>
    <s v="Jessica Martinez"/>
    <d v="2024-05-26T00:00:00"/>
    <s v="SAAS"/>
    <x v="5"/>
    <x v="5"/>
    <m/>
    <m/>
    <n v="11651"/>
    <n v="10"/>
    <d v="2025-03-24T00:00:00"/>
    <m/>
  </r>
  <r>
    <x v="2461"/>
    <s v="Germany"/>
    <s v="52.520008"/>
    <s v="13.404954"/>
    <s v="Banking and Finance"/>
    <s v="Enterprise (1001+)"/>
    <s v="Kevin Anderson"/>
    <d v="2024-03-04T00:00:00"/>
    <s v="SAAS"/>
    <x v="5"/>
    <x v="5"/>
    <m/>
    <m/>
    <n v="18590"/>
    <n v="100"/>
    <d v="2024-06-05T00:00:00"/>
    <m/>
  </r>
  <r>
    <x v="2462"/>
    <s v="Germany"/>
    <s v="52.520008"/>
    <s v="13.404954"/>
    <s v="Manufacturing &amp; Production"/>
    <s v="Enterprise (1001+)"/>
    <s v="John Smith"/>
    <d v="2024-01-20T00:00:00"/>
    <s v="SAAS"/>
    <x v="5"/>
    <x v="5"/>
    <m/>
    <m/>
    <n v="3572"/>
    <n v="20"/>
    <d v="2024-10-08T00:00:00"/>
    <m/>
  </r>
  <r>
    <x v="2463"/>
    <s v="Belgium"/>
    <s v="51.260197"/>
    <s v="4.402771"/>
    <s v="Transportation &amp; Logistics"/>
    <s v="Enterprise (1001+)"/>
    <s v="Emily Johnson"/>
    <d v="2024-05-24T00:00:00"/>
    <s v="Services"/>
    <x v="5"/>
    <x v="5"/>
    <m/>
    <m/>
    <n v="18831"/>
    <n v="30"/>
    <d v="2024-10-22T00:00:00"/>
    <m/>
  </r>
  <r>
    <x v="2464"/>
    <s v="Belgium"/>
    <s v="51.260197"/>
    <s v="4.402771"/>
    <s v="Telecommunications"/>
    <s v="Enterprise (1001+)"/>
    <s v="Jessica Martinez"/>
    <d v="2024-01-18T00:00:00"/>
    <s v="Services"/>
    <x v="5"/>
    <x v="5"/>
    <m/>
    <m/>
    <n v="11323"/>
    <n v="60"/>
    <d v="2024-05-18T00:00:00"/>
    <m/>
  </r>
  <r>
    <x v="2465"/>
    <s v="Spain"/>
    <s v="40.416775"/>
    <s v="-3.703790"/>
    <s v="Transportation &amp; Logistics"/>
    <s v="Enterprise (1001+)"/>
    <s v="Jessica Martinez"/>
    <d v="2024-05-23T00:00:00"/>
    <s v="Services"/>
    <x v="5"/>
    <x v="5"/>
    <m/>
    <m/>
    <n v="6239"/>
    <n v="100"/>
    <d v="2025-04-27T00:00:00"/>
    <m/>
  </r>
  <r>
    <x v="2466"/>
    <s v="Portugal"/>
    <s v="38.736946"/>
    <s v="-9.142685"/>
    <s v="Education &amp; Science"/>
    <s v="Enterprise (1001+)"/>
    <s v="Emily Johnson"/>
    <d v="2024-03-23T00:00:00"/>
    <s v="Custom solution"/>
    <x v="5"/>
    <x v="5"/>
    <m/>
    <m/>
    <n v="4196"/>
    <n v="10"/>
    <d v="2025-01-22T00:00:00"/>
    <m/>
  </r>
  <r>
    <x v="2467"/>
    <s v="Netherlands"/>
    <s v="52.370216"/>
    <s v="4.895168"/>
    <s v="Telecommunications"/>
    <s v="Enterprise (1001+)"/>
    <s v="Jessica Martinez"/>
    <d v="2024-05-06T00:00:00"/>
    <s v="Custom solution"/>
    <x v="5"/>
    <x v="5"/>
    <m/>
    <m/>
    <n v="4265"/>
    <n v="40"/>
    <d v="2025-03-24T00:00:00"/>
    <m/>
  </r>
  <r>
    <x v="2468"/>
    <s v="Netherlands"/>
    <s v="52.370216"/>
    <s v="4.895168"/>
    <s v="Telecommunications"/>
    <s v="Enterprise (1001+)"/>
    <s v="Emily Johnson"/>
    <d v="2024-02-08T00:00:00"/>
    <s v="Custom solution"/>
    <x v="5"/>
    <x v="5"/>
    <m/>
    <m/>
    <n v="19873"/>
    <n v="30"/>
    <d v="2024-12-31T00:00:00"/>
    <m/>
  </r>
  <r>
    <x v="2469"/>
    <s v="Italy"/>
    <s v="41.902782"/>
    <s v="12.496366"/>
    <s v="Telecommunications"/>
    <s v="Enterprise (1001+)"/>
    <s v="Jessica Martinez"/>
    <d v="2024-03-09T00:00:00"/>
    <s v="Services"/>
    <x v="5"/>
    <x v="5"/>
    <m/>
    <m/>
    <n v="13179"/>
    <n v="90"/>
    <d v="2024-07-05T00:00:00"/>
    <m/>
  </r>
  <r>
    <x v="2470"/>
    <s v="Switzerland"/>
    <s v="46.204391"/>
    <s v="6.143158"/>
    <s v="Professional Services  &amp; Consulting"/>
    <s v="Enterprise (1001+)"/>
    <s v="Michael Brown"/>
    <d v="2024-03-18T00:00:00"/>
    <s v="Custom solution"/>
    <x v="5"/>
    <x v="5"/>
    <m/>
    <m/>
    <n v="19826"/>
    <n v="30"/>
    <d v="2025-01-02T00:00:00"/>
    <m/>
  </r>
  <r>
    <x v="2471"/>
    <s v="Italy"/>
    <s v="41.902782"/>
    <s v="12.496366"/>
    <s v="Government Administration Healthcare"/>
    <s v="Enterprise (1001+)"/>
    <s v="John Smith"/>
    <d v="2024-01-07T00:00:00"/>
    <s v="Custom solution"/>
    <x v="5"/>
    <x v="5"/>
    <m/>
    <m/>
    <n v="13457"/>
    <n v="20"/>
    <d v="2024-06-25T00:00:00"/>
    <m/>
  </r>
  <r>
    <x v="2472"/>
    <s v="Belgium"/>
    <s v="51.260197"/>
    <s v="4.402771"/>
    <s v="Recreation &amp; Sports"/>
    <s v="Small (11-200)"/>
    <s v="Jessica Martinez"/>
    <d v="2024-05-21T00:00:00"/>
    <s v="SAAS"/>
    <x v="6"/>
    <x v="6"/>
    <m/>
    <m/>
    <n v="388"/>
    <n v="20"/>
    <d v="2025-04-17T00:00:00"/>
    <m/>
  </r>
  <r>
    <x v="2473"/>
    <s v="France"/>
    <s v="48.864716"/>
    <s v="2.349014"/>
    <s v="Transportation &amp; Logistics"/>
    <s v="Small (11-200)"/>
    <s v="Laura Thompson"/>
    <d v="2024-03-12T00:00:00"/>
    <s v="SAAS"/>
    <x v="6"/>
    <x v="6"/>
    <m/>
    <m/>
    <n v="826"/>
    <n v="50"/>
    <d v="2024-09-12T00:00:00"/>
    <m/>
  </r>
  <r>
    <x v="2474"/>
    <s v="Germany"/>
    <s v="52.520008"/>
    <s v="13.404954"/>
    <s v="Banking and Finance"/>
    <s v="Small (11-200)"/>
    <s v="Michael Brown"/>
    <d v="2024-05-15T00:00:00"/>
    <s v="SAAS"/>
    <x v="6"/>
    <x v="6"/>
    <m/>
    <m/>
    <n v="465"/>
    <n v="100"/>
    <d v="2024-11-07T00:00:00"/>
    <m/>
  </r>
  <r>
    <x v="2475"/>
    <s v="Switzerland"/>
    <s v="46.204391"/>
    <s v="6.143158"/>
    <s v="Transportation &amp; Logistics"/>
    <s v="Small (11-200)"/>
    <s v="David Wilson"/>
    <d v="2024-02-19T00:00:00"/>
    <s v="SAAS"/>
    <x v="6"/>
    <x v="6"/>
    <m/>
    <m/>
    <n v="1869"/>
    <n v="30"/>
    <d v="2024-11-21T00:00:00"/>
    <m/>
  </r>
  <r>
    <x v="2476"/>
    <s v="Austria"/>
    <s v="48.210033"/>
    <s v="16.363449"/>
    <s v="Agriculture &amp; Mining"/>
    <s v="Small (11-200)"/>
    <s v="Laura Thompson"/>
    <d v="2024-01-08T00:00:00"/>
    <s v="Services"/>
    <x v="6"/>
    <x v="6"/>
    <m/>
    <m/>
    <n v="1673"/>
    <n v="40"/>
    <d v="2024-06-20T00:00:00"/>
    <m/>
  </r>
  <r>
    <x v="2477"/>
    <s v="Italy"/>
    <s v="41.902782"/>
    <s v="12.496366"/>
    <s v="Government Administration Healthcare"/>
    <s v="Small (11-200)"/>
    <s v="Michael Brown"/>
    <d v="2024-01-30T00:00:00"/>
    <s v="Services"/>
    <x v="6"/>
    <x v="6"/>
    <m/>
    <m/>
    <n v="1064"/>
    <n v="90"/>
    <d v="2024-02-20T00:00:00"/>
    <m/>
  </r>
  <r>
    <x v="2478"/>
    <s v="Switzerland"/>
    <s v="46.204391"/>
    <s v="6.143158"/>
    <s v="Energy &amp; Utilities"/>
    <s v="Small (11-200)"/>
    <s v="Laura Thompson"/>
    <d v="2024-05-02T00:00:00"/>
    <s v="SAAS"/>
    <x v="6"/>
    <x v="6"/>
    <m/>
    <m/>
    <n v="697"/>
    <n v="30"/>
    <d v="2024-10-15T00:00:00"/>
    <m/>
  </r>
  <r>
    <x v="2479"/>
    <s v="Spain"/>
    <s v="40.416775"/>
    <s v="-3.703790"/>
    <s v="Banking and Finance"/>
    <s v="Small (11-200)"/>
    <s v="Jessica Martinez"/>
    <d v="2024-01-09T00:00:00"/>
    <s v="SAAS"/>
    <x v="6"/>
    <x v="6"/>
    <m/>
    <m/>
    <n v="1099"/>
    <n v="50"/>
    <d v="2024-01-30T00:00:00"/>
    <m/>
  </r>
  <r>
    <x v="2480"/>
    <s v="Switzerland"/>
    <s v="46.204391"/>
    <s v="6.143158"/>
    <s v="Telecommunications"/>
    <s v="Small (11-200)"/>
    <s v="David Wilson"/>
    <d v="2024-02-12T00:00:00"/>
    <s v="Custom solution"/>
    <x v="6"/>
    <x v="6"/>
    <m/>
    <m/>
    <n v="1422"/>
    <n v="30"/>
    <d v="2025-01-16T00:00:00"/>
    <m/>
  </r>
  <r>
    <x v="2481"/>
    <s v="Spain"/>
    <s v="40.416775"/>
    <s v="-3.703790"/>
    <s v="Education &amp; Science"/>
    <s v="Small (11-200)"/>
    <s v="John Smith"/>
    <d v="2024-05-09T00:00:00"/>
    <s v="Custom solution"/>
    <x v="6"/>
    <x v="6"/>
    <m/>
    <m/>
    <n v="840"/>
    <n v="50"/>
    <d v="2024-08-16T00:00:00"/>
    <m/>
  </r>
  <r>
    <x v="2482"/>
    <s v="Italy"/>
    <s v="41.902782"/>
    <s v="12.496366"/>
    <s v="Education &amp; Science"/>
    <s v="Small (11-200)"/>
    <s v="Laura Thompson"/>
    <d v="2024-03-21T00:00:00"/>
    <s v="Services"/>
    <x v="6"/>
    <x v="6"/>
    <m/>
    <m/>
    <n v="1058"/>
    <n v="40"/>
    <d v="2024-06-27T00:00:00"/>
    <m/>
  </r>
  <r>
    <x v="2483"/>
    <s v="Belgium"/>
    <s v="51.260197"/>
    <s v="4.402771"/>
    <s v="Agriculture &amp; Mining"/>
    <s v="Small (11-200)"/>
    <s v="Kevin Anderson"/>
    <d v="2024-01-06T00:00:00"/>
    <s v="Services"/>
    <x v="6"/>
    <x v="6"/>
    <m/>
    <m/>
    <n v="1598"/>
    <n v="30"/>
    <d v="2024-03-17T00:00:00"/>
    <m/>
  </r>
  <r>
    <x v="2484"/>
    <s v="Portugal"/>
    <s v="38.736946"/>
    <s v="-9.142685"/>
    <s v="Government Administration Healthcare"/>
    <s v="Small (11-200)"/>
    <s v="Jessica Martinez"/>
    <d v="2024-02-16T00:00:00"/>
    <s v="SAAS"/>
    <x v="6"/>
    <x v="6"/>
    <m/>
    <m/>
    <n v="669"/>
    <n v="20"/>
    <d v="2024-07-18T00:00:00"/>
    <m/>
  </r>
  <r>
    <x v="2485"/>
    <s v="Germany"/>
    <s v="52.520008"/>
    <s v="13.404954"/>
    <s v="Entertainment &amp; Media &amp; Hospitality"/>
    <s v="Small (11-200)"/>
    <s v="Kevin Anderson"/>
    <d v="2024-02-15T00:00:00"/>
    <s v="Services"/>
    <x v="6"/>
    <x v="6"/>
    <m/>
    <m/>
    <n v="1790"/>
    <n v="20"/>
    <d v="2024-03-21T00:00:00"/>
    <m/>
  </r>
  <r>
    <x v="2486"/>
    <s v="Portugal"/>
    <s v="38.736946"/>
    <s v="-9.142685"/>
    <s v="Construction &amp; Engineering"/>
    <s v="Small (11-200)"/>
    <s v="Michael Brown"/>
    <d v="2024-02-22T00:00:00"/>
    <s v="SAAS"/>
    <x v="6"/>
    <x v="6"/>
    <m/>
    <m/>
    <n v="1472"/>
    <n v="30"/>
    <d v="2024-10-20T00:00:00"/>
    <m/>
  </r>
  <r>
    <x v="2487"/>
    <s v="Switzerland"/>
    <s v="46.204391"/>
    <s v="6.143158"/>
    <s v="Banking and Finance"/>
    <s v="Small (11-200)"/>
    <s v="Jessica Martinez"/>
    <d v="2024-01-12T00:00:00"/>
    <s v="SAAS"/>
    <x v="6"/>
    <x v="6"/>
    <m/>
    <m/>
    <n v="931"/>
    <n v="50"/>
    <d v="2024-08-10T00:00:00"/>
    <m/>
  </r>
  <r>
    <x v="2488"/>
    <s v="Netherlands"/>
    <s v="52.370216"/>
    <s v="4.895168"/>
    <s v="Banking and Finance"/>
    <s v="Small (11-200)"/>
    <s v="Jessica Martinez"/>
    <d v="2024-04-19T00:00:00"/>
    <s v="Services"/>
    <x v="6"/>
    <x v="6"/>
    <m/>
    <m/>
    <n v="1715"/>
    <n v="80"/>
    <d v="2024-05-28T00:00:00"/>
    <m/>
  </r>
  <r>
    <x v="2489"/>
    <s v="Austria"/>
    <s v="48.210033"/>
    <s v="16.363449"/>
    <s v="Professional Services  &amp; Consulting"/>
    <s v="Small (11-200)"/>
    <s v="Michael Brown"/>
    <d v="2024-04-12T00:00:00"/>
    <s v="Custom solution"/>
    <x v="6"/>
    <x v="6"/>
    <m/>
    <m/>
    <n v="593"/>
    <n v="40"/>
    <d v="2024-06-19T00:00:00"/>
    <m/>
  </r>
  <r>
    <x v="2490"/>
    <s v="Switzerland"/>
    <s v="46.204391"/>
    <s v="6.143158"/>
    <s v="Professional Services  &amp; Consulting"/>
    <s v="Small (11-200)"/>
    <s v="Jessica Martinez"/>
    <d v="2024-01-23T00:00:00"/>
    <s v="Services"/>
    <x v="6"/>
    <x v="6"/>
    <m/>
    <m/>
    <n v="1956"/>
    <n v="40"/>
    <d v="2024-12-22T00:00:00"/>
    <m/>
  </r>
  <r>
    <x v="2491"/>
    <s v="Italy"/>
    <s v="41.902782"/>
    <s v="12.496366"/>
    <s v="Recreation &amp; Sports"/>
    <s v="Small (11-200)"/>
    <s v="Laura Thompson"/>
    <d v="2024-05-26T00:00:00"/>
    <s v="Custom solution"/>
    <x v="6"/>
    <x v="6"/>
    <m/>
    <m/>
    <n v="896"/>
    <n v="100"/>
    <d v="2025-03-15T00:00:00"/>
    <m/>
  </r>
  <r>
    <x v="2492"/>
    <s v="France"/>
    <s v="48.864716"/>
    <s v="2.349014"/>
    <s v="IT &amp; IT Services"/>
    <s v="Small (11-200)"/>
    <s v="Emily Johnson"/>
    <d v="2024-03-22T00:00:00"/>
    <s v="Custom solution"/>
    <x v="6"/>
    <x v="6"/>
    <m/>
    <m/>
    <n v="1108"/>
    <n v="20"/>
    <d v="2025-01-08T00:00:00"/>
    <m/>
  </r>
  <r>
    <x v="2493"/>
    <s v="Belgium"/>
    <s v="51.260197"/>
    <s v="4.402771"/>
    <s v="Transportation &amp; Logistics"/>
    <s v="Small (11-200)"/>
    <s v="Laura Thompson"/>
    <d v="2024-04-11T00:00:00"/>
    <s v="SAAS"/>
    <x v="6"/>
    <x v="6"/>
    <m/>
    <m/>
    <n v="304"/>
    <n v="30"/>
    <d v="2024-06-02T00:00:00"/>
    <m/>
  </r>
  <r>
    <x v="2494"/>
    <s v="Switzerland"/>
    <s v="46.204391"/>
    <s v="6.143158"/>
    <s v="Education &amp; Science"/>
    <s v="Small (11-200)"/>
    <s v="John Smith"/>
    <d v="2024-04-17T00:00:00"/>
    <s v="Custom solution"/>
    <x v="6"/>
    <x v="6"/>
    <m/>
    <m/>
    <n v="971"/>
    <n v="40"/>
    <d v="2024-11-29T00:00:00"/>
    <m/>
  </r>
  <r>
    <x v="2495"/>
    <s v="Portugal"/>
    <s v="38.736946"/>
    <s v="-9.142685"/>
    <s v="Retail &amp; Distribution"/>
    <s v="Small (11-200)"/>
    <s v="Laura Thompson"/>
    <d v="2024-01-24T00:00:00"/>
    <s v="SAAS"/>
    <x v="6"/>
    <x v="6"/>
    <m/>
    <m/>
    <n v="1554"/>
    <n v="40"/>
    <d v="2024-03-20T00:00:00"/>
    <m/>
  </r>
  <r>
    <x v="2496"/>
    <s v="Portugal"/>
    <s v="38.736946"/>
    <s v="-9.142685"/>
    <s v="Banking and Finance"/>
    <s v="Small (11-200)"/>
    <s v="David Wilson"/>
    <d v="2024-01-18T00:00:00"/>
    <s v="Services"/>
    <x v="6"/>
    <x v="6"/>
    <m/>
    <m/>
    <n v="1938"/>
    <n v="30"/>
    <d v="2024-03-25T00:00:00"/>
    <m/>
  </r>
  <r>
    <x v="2497"/>
    <s v="France"/>
    <s v="48.864716"/>
    <s v="2.349014"/>
    <s v="Construction &amp; Engineering"/>
    <s v="Small (11-200)"/>
    <s v="Emily Johnson"/>
    <d v="2024-01-23T00:00:00"/>
    <s v="Services"/>
    <x v="6"/>
    <x v="6"/>
    <m/>
    <m/>
    <n v="1746"/>
    <n v="40"/>
    <d v="2024-09-24T00:00:00"/>
    <m/>
  </r>
  <r>
    <x v="2498"/>
    <s v="Belgium"/>
    <s v="51.260197"/>
    <s v="4.402771"/>
    <s v="Education &amp; Science"/>
    <s v="Small (11-200)"/>
    <s v="Sarah Davis"/>
    <d v="2024-04-22T00:00:00"/>
    <s v="Services"/>
    <x v="6"/>
    <x v="6"/>
    <m/>
    <m/>
    <n v="1417"/>
    <n v="60"/>
    <d v="2024-11-20T00:00:00"/>
    <m/>
  </r>
  <r>
    <x v="2499"/>
    <s v="Italy"/>
    <s v="41.902782"/>
    <s v="12.496366"/>
    <s v="Retail &amp; Distribution"/>
    <s v="Small (11-200)"/>
    <s v="Michael Brown"/>
    <d v="2024-01-19T00:00:00"/>
    <s v="SAAS"/>
    <x v="6"/>
    <x v="6"/>
    <m/>
    <m/>
    <n v="869"/>
    <n v="70"/>
    <d v="2024-09-02T00:00:00"/>
    <m/>
  </r>
  <r>
    <x v="2500"/>
    <s v="Belgium"/>
    <s v="51.260197"/>
    <s v="4.402771"/>
    <s v="IT &amp; IT Services"/>
    <s v="Small (11-200)"/>
    <s v="Sarah Davis"/>
    <d v="2024-03-05T00:00:00"/>
    <s v="SAAS"/>
    <x v="6"/>
    <x v="6"/>
    <m/>
    <m/>
    <n v="1077"/>
    <n v="40"/>
    <d v="2024-06-08T00:00:00"/>
    <m/>
  </r>
  <r>
    <x v="2501"/>
    <s v="Austria"/>
    <s v="48.210033"/>
    <s v="16.363449"/>
    <s v="Banking and Finance"/>
    <s v="Small (11-200)"/>
    <s v="Sarah Davis"/>
    <d v="2024-02-13T00:00:00"/>
    <s v="SAAS"/>
    <x v="6"/>
    <x v="6"/>
    <m/>
    <m/>
    <n v="1382"/>
    <n v="100"/>
    <d v="2024-04-24T00:00:00"/>
    <m/>
  </r>
  <r>
    <x v="2502"/>
    <s v="Germany"/>
    <s v="52.520008"/>
    <s v="13.404954"/>
    <s v="Transportation &amp; Logistics"/>
    <s v="Small (11-200)"/>
    <s v="David Wilson"/>
    <d v="2024-05-14T00:00:00"/>
    <s v="Services"/>
    <x v="6"/>
    <x v="6"/>
    <m/>
    <m/>
    <n v="356"/>
    <n v="10"/>
    <d v="2024-09-28T00:00:00"/>
    <m/>
  </r>
  <r>
    <x v="2503"/>
    <s v="Spain"/>
    <s v="40.416775"/>
    <s v="-3.703790"/>
    <s v="Government Administration Healthcare"/>
    <s v="Small (11-200)"/>
    <s v="Jessica Martinez"/>
    <d v="2024-05-31T00:00:00"/>
    <s v="Services"/>
    <x v="6"/>
    <x v="6"/>
    <m/>
    <m/>
    <n v="1933"/>
    <n v="20"/>
    <d v="2024-09-25T00:00:00"/>
    <m/>
  </r>
  <r>
    <x v="2504"/>
    <s v="Portugal"/>
    <s v="38.736946"/>
    <s v="-9.142685"/>
    <s v="Banking and Finance"/>
    <s v="Small (11-200)"/>
    <s v="Jessica Martinez"/>
    <d v="2024-02-15T00:00:00"/>
    <s v="Services"/>
    <x v="6"/>
    <x v="6"/>
    <m/>
    <m/>
    <n v="551"/>
    <n v="20"/>
    <d v="2024-04-16T00:00:00"/>
    <m/>
  </r>
  <r>
    <x v="2505"/>
    <s v="Italy"/>
    <s v="41.902782"/>
    <s v="12.496366"/>
    <s v="Professional Services  &amp; Consulting"/>
    <s v="Small (11-200)"/>
    <s v="Jessica Martinez"/>
    <d v="2024-01-03T00:00:00"/>
    <s v="SAAS"/>
    <x v="6"/>
    <x v="6"/>
    <m/>
    <m/>
    <n v="1998"/>
    <n v="70"/>
    <d v="2024-05-31T00:00:00"/>
    <m/>
  </r>
  <r>
    <x v="2506"/>
    <s v="Netherlands"/>
    <s v="52.370216"/>
    <s v="4.895168"/>
    <s v="Retail &amp; Distribution"/>
    <s v="Small (11-200)"/>
    <s v="Laura Thompson"/>
    <d v="2024-03-21T00:00:00"/>
    <s v="Services"/>
    <x v="6"/>
    <x v="6"/>
    <m/>
    <m/>
    <n v="1250"/>
    <n v="10"/>
    <d v="2024-08-21T00:00:00"/>
    <m/>
  </r>
  <r>
    <x v="2507"/>
    <s v="Spain"/>
    <s v="40.416775"/>
    <s v="-3.703790"/>
    <s v="Banking and Finance"/>
    <s v="Small (11-200)"/>
    <s v="Laura Thompson"/>
    <d v="2024-05-16T00:00:00"/>
    <s v="Custom solution"/>
    <x v="6"/>
    <x v="6"/>
    <m/>
    <m/>
    <n v="1722"/>
    <n v="90"/>
    <d v="2024-10-15T00:00:00"/>
    <m/>
  </r>
  <r>
    <x v="2508"/>
    <s v="Germany"/>
    <s v="52.520008"/>
    <s v="13.404954"/>
    <s v="Telecommunications"/>
    <s v="Small (11-200)"/>
    <s v="Sarah Davis"/>
    <d v="2024-03-29T00:00:00"/>
    <s v="Services"/>
    <x v="6"/>
    <x v="6"/>
    <m/>
    <m/>
    <n v="1479"/>
    <n v="50"/>
    <d v="2024-09-04T00:00:00"/>
    <m/>
  </r>
  <r>
    <x v="2509"/>
    <s v="Netherlands"/>
    <s v="52.370216"/>
    <s v="4.895168"/>
    <s v="Transportation &amp; Logistics"/>
    <s v="Small (11-200)"/>
    <s v="Jessica Martinez"/>
    <d v="2024-05-07T00:00:00"/>
    <s v="Services"/>
    <x v="6"/>
    <x v="6"/>
    <m/>
    <m/>
    <n v="1335"/>
    <n v="30"/>
    <d v="2024-08-10T00:00:00"/>
    <m/>
  </r>
  <r>
    <x v="2510"/>
    <s v="Italy"/>
    <s v="41.902782"/>
    <s v="12.496366"/>
    <s v="Government Administration Healthcare"/>
    <s v="Small (11-200)"/>
    <s v="Michael Brown"/>
    <d v="2024-05-30T00:00:00"/>
    <s v="Services"/>
    <x v="6"/>
    <x v="6"/>
    <m/>
    <m/>
    <n v="943"/>
    <n v="40"/>
    <d v="2025-04-16T00:00:00"/>
    <m/>
  </r>
  <r>
    <x v="2511"/>
    <s v="Portugal"/>
    <s v="38.736946"/>
    <s v="-9.142685"/>
    <s v="Recreation &amp; Sports"/>
    <s v="Small (11-200)"/>
    <s v="Laura Thompson"/>
    <d v="2024-04-11T00:00:00"/>
    <s v="Services"/>
    <x v="6"/>
    <x v="6"/>
    <m/>
    <m/>
    <n v="1243"/>
    <n v="60"/>
    <d v="2024-09-15T00:00:00"/>
    <m/>
  </r>
  <r>
    <x v="2512"/>
    <s v="Belgium"/>
    <s v="51.260197"/>
    <s v="4.402771"/>
    <s v="Government Administration Healthcare"/>
    <s v="Small (11-200)"/>
    <s v="Michael Brown"/>
    <d v="2024-03-12T00:00:00"/>
    <s v="Services"/>
    <x v="6"/>
    <x v="6"/>
    <m/>
    <m/>
    <n v="862"/>
    <n v="30"/>
    <d v="2024-05-26T00:00:00"/>
    <m/>
  </r>
  <r>
    <x v="2513"/>
    <s v="Austria"/>
    <s v="48.210033"/>
    <s v="16.363449"/>
    <s v="Energy &amp; Utilities"/>
    <s v="Small (11-200)"/>
    <s v="Kevin Anderson"/>
    <d v="2024-02-15T00:00:00"/>
    <s v="SAAS"/>
    <x v="6"/>
    <x v="6"/>
    <m/>
    <m/>
    <n v="730"/>
    <n v="40"/>
    <d v="2024-08-10T00:00:00"/>
    <m/>
  </r>
  <r>
    <x v="2514"/>
    <s v="Belgium"/>
    <s v="51.260197"/>
    <s v="4.402771"/>
    <s v="Recreation &amp; Sports"/>
    <s v="Small (11-200)"/>
    <s v="Laura Thompson"/>
    <d v="2024-03-05T00:00:00"/>
    <s v="Services"/>
    <x v="6"/>
    <x v="6"/>
    <m/>
    <m/>
    <n v="757"/>
    <n v="60"/>
    <d v="2024-10-26T00:00:00"/>
    <m/>
  </r>
  <r>
    <x v="2515"/>
    <s v="Switzerland"/>
    <s v="46.204391"/>
    <s v="6.143158"/>
    <s v="Energy &amp; Utilities"/>
    <s v="Small (11-200)"/>
    <s v="Laura Thompson"/>
    <d v="2024-05-07T00:00:00"/>
    <s v="SAAS"/>
    <x v="6"/>
    <x v="6"/>
    <m/>
    <m/>
    <n v="1295"/>
    <n v="30"/>
    <d v="2024-08-03T00:00:00"/>
    <m/>
  </r>
  <r>
    <x v="2516"/>
    <s v="Italy"/>
    <s v="41.902782"/>
    <s v="12.496366"/>
    <s v="Banking and Finance"/>
    <s v="Small (11-200)"/>
    <s v="David Wilson"/>
    <d v="2024-03-03T00:00:00"/>
    <s v="Custom solution"/>
    <x v="6"/>
    <x v="6"/>
    <m/>
    <m/>
    <n v="619"/>
    <n v="20"/>
    <d v="2024-12-23T00:00:00"/>
    <m/>
  </r>
  <r>
    <x v="2517"/>
    <s v="Switzerland"/>
    <s v="46.204391"/>
    <s v="6.143158"/>
    <s v="Telecommunications"/>
    <s v="Small (11-200)"/>
    <s v="Laura Thompson"/>
    <d v="2024-04-17T00:00:00"/>
    <s v="Custom solution"/>
    <x v="6"/>
    <x v="6"/>
    <m/>
    <m/>
    <n v="544"/>
    <n v="60"/>
    <d v="2025-03-25T00:00:00"/>
    <m/>
  </r>
  <r>
    <x v="2518"/>
    <s v="France"/>
    <s v="48.864716"/>
    <s v="2.349014"/>
    <s v="Transportation &amp; Logistics"/>
    <s v="Small (11-200)"/>
    <s v="John Smith"/>
    <d v="2024-04-10T00:00:00"/>
    <s v="SAAS"/>
    <x v="6"/>
    <x v="6"/>
    <m/>
    <m/>
    <n v="1978"/>
    <n v="10"/>
    <d v="2024-10-29T00:00:00"/>
    <m/>
  </r>
  <r>
    <x v="2519"/>
    <s v="France"/>
    <s v="48.864716"/>
    <s v="2.349014"/>
    <s v="Transportation &amp; Logistics"/>
    <s v="Small (11-200)"/>
    <s v="Jessica Martinez"/>
    <d v="2024-05-09T00:00:00"/>
    <s v="Services"/>
    <x v="6"/>
    <x v="6"/>
    <m/>
    <m/>
    <n v="260"/>
    <n v="30"/>
    <d v="2024-08-27T00:00:00"/>
    <m/>
  </r>
  <r>
    <x v="2520"/>
    <s v="Portugal"/>
    <s v="38.736946"/>
    <s v="-9.142685"/>
    <s v="Professional Services  &amp; Consulting"/>
    <s v="Small (11-200)"/>
    <s v="Jessica Martinez"/>
    <d v="2024-04-24T00:00:00"/>
    <s v="Services"/>
    <x v="6"/>
    <x v="6"/>
    <m/>
    <m/>
    <n v="1236"/>
    <n v="60"/>
    <d v="2024-08-10T00:00:00"/>
    <m/>
  </r>
  <r>
    <x v="2521"/>
    <s v="Spain"/>
    <s v="40.416775"/>
    <s v="-3.703790"/>
    <s v="Agriculture &amp; Mining"/>
    <s v="Small (11-200)"/>
    <s v="David Wilson"/>
    <d v="2024-05-11T00:00:00"/>
    <s v="Services"/>
    <x v="6"/>
    <x v="6"/>
    <m/>
    <m/>
    <n v="586"/>
    <n v="10"/>
    <d v="2025-03-05T00:00:00"/>
    <m/>
  </r>
  <r>
    <x v="2522"/>
    <s v="Italy"/>
    <s v="41.902782"/>
    <s v="12.496366"/>
    <s v="Recreation &amp; Sports"/>
    <s v="Small (11-200)"/>
    <s v="Sarah Davis"/>
    <d v="2024-02-02T00:00:00"/>
    <s v="SAAS"/>
    <x v="6"/>
    <x v="6"/>
    <m/>
    <m/>
    <n v="1023"/>
    <n v="30"/>
    <d v="2024-10-04T00:00:00"/>
    <m/>
  </r>
  <r>
    <x v="2523"/>
    <s v="Italy"/>
    <s v="41.902782"/>
    <s v="12.496366"/>
    <s v="Telecommunications"/>
    <s v="Small (11-200)"/>
    <s v="Jessica Martinez"/>
    <d v="2024-01-12T00:00:00"/>
    <s v="SAAS"/>
    <x v="6"/>
    <x v="6"/>
    <m/>
    <m/>
    <n v="684"/>
    <n v="30"/>
    <d v="2024-10-08T00:00:00"/>
    <m/>
  </r>
  <r>
    <x v="2524"/>
    <s v="Portugal"/>
    <s v="38.736946"/>
    <s v="-9.142685"/>
    <s v="Transportation &amp; Logistics"/>
    <s v="Small (11-200)"/>
    <s v="Michael Brown"/>
    <d v="2024-03-16T00:00:00"/>
    <s v="Custom solution"/>
    <x v="6"/>
    <x v="6"/>
    <m/>
    <m/>
    <n v="848"/>
    <n v="40"/>
    <d v="2025-01-28T00:00:00"/>
    <m/>
  </r>
  <r>
    <x v="2525"/>
    <s v="Germany"/>
    <s v="52.520008"/>
    <s v="13.404954"/>
    <s v="Professional Services  &amp; Consulting"/>
    <s v="Small (11-200)"/>
    <s v="Jessica Martinez"/>
    <d v="2024-05-12T00:00:00"/>
    <s v="SAAS"/>
    <x v="6"/>
    <x v="6"/>
    <m/>
    <m/>
    <n v="330"/>
    <n v="10"/>
    <d v="2025-03-29T00:00:00"/>
    <m/>
  </r>
  <r>
    <x v="2526"/>
    <s v="Italy"/>
    <s v="41.902782"/>
    <s v="12.496366"/>
    <s v="Energy &amp; Utilities"/>
    <s v="Small (11-200)"/>
    <s v="Laura Thompson"/>
    <d v="2024-02-15T00:00:00"/>
    <s v="SAAS"/>
    <x v="6"/>
    <x v="6"/>
    <m/>
    <m/>
    <n v="922"/>
    <n v="50"/>
    <d v="2024-04-20T00:00:00"/>
    <m/>
  </r>
  <r>
    <x v="2527"/>
    <s v="Spain"/>
    <s v="40.416775"/>
    <s v="-3.703790"/>
    <s v="Education &amp; Science"/>
    <s v="Small (11-200)"/>
    <s v="Sarah Davis"/>
    <d v="2024-04-16T00:00:00"/>
    <s v="Services"/>
    <x v="6"/>
    <x v="6"/>
    <m/>
    <m/>
    <n v="359"/>
    <n v="100"/>
    <d v="2024-12-20T00:00:00"/>
    <m/>
  </r>
  <r>
    <x v="2528"/>
    <s v="Austria"/>
    <s v="48.210033"/>
    <s v="16.363449"/>
    <s v="Professional Services  &amp; Consulting"/>
    <s v="Small (11-200)"/>
    <s v="Jessica Martinez"/>
    <d v="2024-01-16T00:00:00"/>
    <s v="SAAS"/>
    <x v="6"/>
    <x v="6"/>
    <m/>
    <m/>
    <n v="1991"/>
    <n v="30"/>
    <d v="2024-12-19T00:00:00"/>
    <m/>
  </r>
  <r>
    <x v="2529"/>
    <s v="Italy"/>
    <s v="41.902782"/>
    <s v="12.496366"/>
    <s v="Banking and Finance"/>
    <s v="Small (11-200)"/>
    <s v="Jessica Martinez"/>
    <d v="2024-03-24T00:00:00"/>
    <s v="Services"/>
    <x v="6"/>
    <x v="6"/>
    <m/>
    <m/>
    <n v="1851"/>
    <n v="20"/>
    <d v="2024-07-17T00:00:00"/>
    <m/>
  </r>
  <r>
    <x v="2530"/>
    <s v="Netherlands"/>
    <s v="52.370216"/>
    <s v="4.895168"/>
    <s v="Government Administration Healthcare"/>
    <s v="Small (11-200)"/>
    <s v="Emily Johnson"/>
    <d v="2024-05-07T00:00:00"/>
    <s v="SAAS"/>
    <x v="6"/>
    <x v="6"/>
    <m/>
    <m/>
    <n v="1313"/>
    <n v="10"/>
    <d v="2024-10-20T00:00:00"/>
    <m/>
  </r>
  <r>
    <x v="2531"/>
    <s v="Switzerland"/>
    <s v="46.204391"/>
    <s v="6.143158"/>
    <s v="IT &amp; IT Services"/>
    <s v="Small (11-200)"/>
    <s v="Kevin Anderson"/>
    <d v="2024-03-20T00:00:00"/>
    <s v="Services"/>
    <x v="6"/>
    <x v="6"/>
    <m/>
    <m/>
    <n v="1229"/>
    <n v="20"/>
    <d v="2024-08-30T00:00:00"/>
    <m/>
  </r>
  <r>
    <x v="2532"/>
    <s v="Portugal"/>
    <s v="38.736946"/>
    <s v="-9.142685"/>
    <s v="Government Administration Healthcare"/>
    <s v="Small (11-200)"/>
    <s v="Jessica Martinez"/>
    <d v="2024-05-07T00:00:00"/>
    <s v="SAAS"/>
    <x v="6"/>
    <x v="6"/>
    <m/>
    <m/>
    <n v="204"/>
    <n v="20"/>
    <d v="2025-03-03T00:00:00"/>
    <m/>
  </r>
  <r>
    <x v="2533"/>
    <s v="Netherlands"/>
    <s v="52.370216"/>
    <s v="4.895168"/>
    <s v="Government Administration Healthcare"/>
    <s v="Small (11-200)"/>
    <s v="Emily Johnson"/>
    <d v="2024-04-26T00:00:00"/>
    <s v="SAAS"/>
    <x v="6"/>
    <x v="6"/>
    <m/>
    <m/>
    <n v="871"/>
    <n v="50"/>
    <d v="2025-04-12T00:00:00"/>
    <m/>
  </r>
  <r>
    <x v="2534"/>
    <s v="France"/>
    <s v="48.864716"/>
    <s v="2.349014"/>
    <s v="Manufacturing &amp; Production"/>
    <s v="Small (11-200)"/>
    <s v="Emily Johnson"/>
    <d v="2024-04-20T00:00:00"/>
    <s v="Services"/>
    <x v="6"/>
    <x v="6"/>
    <m/>
    <m/>
    <n v="664"/>
    <n v="30"/>
    <d v="2024-09-26T00:00:00"/>
    <m/>
  </r>
  <r>
    <x v="2535"/>
    <s v="Switzerland"/>
    <s v="46.204391"/>
    <s v="6.143158"/>
    <s v="Professional Services  &amp; Consulting"/>
    <s v="Small (11-200)"/>
    <s v="Laura Thompson"/>
    <d v="2024-03-06T00:00:00"/>
    <s v="SAAS"/>
    <x v="6"/>
    <x v="6"/>
    <m/>
    <m/>
    <n v="1416"/>
    <n v="60"/>
    <d v="2024-04-29T00:00:00"/>
    <m/>
  </r>
  <r>
    <x v="2536"/>
    <s v="Germany"/>
    <s v="52.520008"/>
    <s v="13.404954"/>
    <s v="Transportation &amp; Logistics"/>
    <s v="Small (11-200)"/>
    <s v="Laura Thompson"/>
    <d v="2024-03-29T00:00:00"/>
    <s v="SAAS"/>
    <x v="6"/>
    <x v="6"/>
    <m/>
    <m/>
    <n v="1478"/>
    <n v="50"/>
    <d v="2024-06-01T00:00:00"/>
    <m/>
  </r>
  <r>
    <x v="2537"/>
    <s v="Italy"/>
    <s v="41.902782"/>
    <s v="12.496366"/>
    <s v="Agriculture &amp; Mining"/>
    <s v="Small (11-200)"/>
    <s v="David Wilson"/>
    <d v="2024-05-18T00:00:00"/>
    <s v="Services"/>
    <x v="6"/>
    <x v="6"/>
    <m/>
    <m/>
    <n v="1099"/>
    <n v="50"/>
    <d v="2024-07-18T00:00:00"/>
    <m/>
  </r>
  <r>
    <x v="2538"/>
    <s v="France"/>
    <s v="48.864716"/>
    <s v="2.349014"/>
    <s v="Construction &amp; Engineering"/>
    <s v="Small (11-200)"/>
    <s v="Emily Johnson"/>
    <d v="2024-02-28T00:00:00"/>
    <s v="SAAS"/>
    <x v="6"/>
    <x v="6"/>
    <m/>
    <m/>
    <n v="633"/>
    <n v="30"/>
    <d v="2025-02-19T00:00:00"/>
    <m/>
  </r>
  <r>
    <x v="2539"/>
    <s v="Switzerland"/>
    <s v="46.204391"/>
    <s v="6.143158"/>
    <s v="Retail &amp; Distribution"/>
    <s v="Small (11-200)"/>
    <s v="Laura Thompson"/>
    <d v="2024-03-12T00:00:00"/>
    <s v="Custom solution"/>
    <x v="6"/>
    <x v="6"/>
    <m/>
    <m/>
    <n v="502"/>
    <n v="30"/>
    <d v="2024-12-02T00:00:00"/>
    <m/>
  </r>
  <r>
    <x v="2540"/>
    <s v="Portugal"/>
    <s v="38.736946"/>
    <s v="-9.142685"/>
    <s v="Retail &amp; Distribution"/>
    <s v="Small (11-200)"/>
    <s v="Laura Thompson"/>
    <d v="2024-03-31T00:00:00"/>
    <s v="Services"/>
    <x v="6"/>
    <x v="6"/>
    <m/>
    <m/>
    <n v="759"/>
    <n v="100"/>
    <d v="2024-12-14T00:00:00"/>
    <m/>
  </r>
  <r>
    <x v="2541"/>
    <s v="Belgium"/>
    <s v="51.260197"/>
    <s v="4.402771"/>
    <s v="IT &amp; IT Services"/>
    <s v="Small (11-200)"/>
    <s v="Laura Thompson"/>
    <d v="2024-03-26T00:00:00"/>
    <s v="SAAS"/>
    <x v="6"/>
    <x v="6"/>
    <m/>
    <m/>
    <n v="1430"/>
    <n v="20"/>
    <d v="2024-12-09T00:00:00"/>
    <m/>
  </r>
  <r>
    <x v="2542"/>
    <s v="Switzerland"/>
    <s v="46.204391"/>
    <s v="6.143158"/>
    <s v="Banking and Finance"/>
    <s v="Small (11-200)"/>
    <s v="John Smith"/>
    <d v="2024-05-16T00:00:00"/>
    <s v="Services"/>
    <x v="6"/>
    <x v="6"/>
    <m/>
    <m/>
    <n v="607"/>
    <n v="30"/>
    <d v="2025-04-13T00:00:00"/>
    <m/>
  </r>
  <r>
    <x v="2543"/>
    <s v="Italy"/>
    <s v="41.902782"/>
    <s v="12.496366"/>
    <s v="Government Administration Healthcare"/>
    <s v="Small (11-200)"/>
    <s v="Kevin Anderson"/>
    <d v="2024-04-11T00:00:00"/>
    <s v="SAAS"/>
    <x v="6"/>
    <x v="6"/>
    <m/>
    <m/>
    <n v="271"/>
    <n v="40"/>
    <d v="2024-09-22T00:00:00"/>
    <m/>
  </r>
  <r>
    <x v="2544"/>
    <s v="Germany"/>
    <s v="52.520008"/>
    <s v="13.404954"/>
    <s v="Banking and Finance"/>
    <s v="Small (11-200)"/>
    <s v="John Smith"/>
    <d v="2024-02-18T00:00:00"/>
    <s v="Services"/>
    <x v="6"/>
    <x v="6"/>
    <m/>
    <m/>
    <n v="935"/>
    <n v="30"/>
    <d v="2025-02-05T00:00:00"/>
    <m/>
  </r>
  <r>
    <x v="2545"/>
    <s v="Switzerland"/>
    <s v="46.204391"/>
    <s v="6.143158"/>
    <s v="Education &amp; Science"/>
    <s v="Small (11-200)"/>
    <s v="David Wilson"/>
    <d v="2024-05-30T00:00:00"/>
    <s v="Services"/>
    <x v="6"/>
    <x v="6"/>
    <m/>
    <m/>
    <n v="1979"/>
    <n v="70"/>
    <d v="2024-11-14T00:00:00"/>
    <m/>
  </r>
  <r>
    <x v="2546"/>
    <s v="Italy"/>
    <s v="41.902782"/>
    <s v="12.496366"/>
    <s v="Transportation &amp; Logistics"/>
    <s v="Small (11-200)"/>
    <s v="Laura Thompson"/>
    <d v="2024-02-15T00:00:00"/>
    <s v="SAAS"/>
    <x v="6"/>
    <x v="6"/>
    <m/>
    <m/>
    <n v="1235"/>
    <n v="30"/>
    <d v="2024-03-13T00:00:00"/>
    <m/>
  </r>
  <r>
    <x v="2547"/>
    <s v="France"/>
    <s v="48.864716"/>
    <s v="2.349014"/>
    <s v="Entertainment &amp; Media &amp; Hospitality"/>
    <s v="Small (11-200)"/>
    <s v="Emily Johnson"/>
    <d v="2024-04-11T00:00:00"/>
    <s v="SAAS"/>
    <x v="6"/>
    <x v="6"/>
    <m/>
    <m/>
    <n v="563"/>
    <n v="30"/>
    <d v="2025-02-10T00:00:00"/>
    <m/>
  </r>
  <r>
    <x v="2548"/>
    <s v="Netherlands"/>
    <s v="52.370216"/>
    <s v="4.895168"/>
    <s v="Government Administration Healthcare"/>
    <s v="Small (11-200)"/>
    <s v="Kevin Anderson"/>
    <d v="2024-04-07T00:00:00"/>
    <s v="SAAS"/>
    <x v="6"/>
    <x v="6"/>
    <m/>
    <m/>
    <n v="1178"/>
    <n v="30"/>
    <d v="2024-08-06T00:00:00"/>
    <m/>
  </r>
  <r>
    <x v="2549"/>
    <s v="Italy"/>
    <s v="41.902782"/>
    <s v="12.496366"/>
    <s v="IT &amp; IT Services"/>
    <s v="Small (11-200)"/>
    <s v="Laura Thompson"/>
    <d v="2024-01-27T00:00:00"/>
    <s v="SAAS"/>
    <x v="6"/>
    <x v="6"/>
    <m/>
    <m/>
    <n v="1462"/>
    <n v="20"/>
    <d v="2024-11-18T00:00:00"/>
    <m/>
  </r>
  <r>
    <x v="2550"/>
    <s v="Portugal"/>
    <s v="38.736946"/>
    <s v="-9.142685"/>
    <s v="Entertainment &amp; Media &amp; Hospitality"/>
    <s v="Small (11-200)"/>
    <s v="Sarah Davis"/>
    <d v="2024-04-27T00:00:00"/>
    <s v="SAAS"/>
    <x v="6"/>
    <x v="6"/>
    <m/>
    <m/>
    <n v="210"/>
    <n v="40"/>
    <d v="2024-06-21T00:00:00"/>
    <m/>
  </r>
  <r>
    <x v="2551"/>
    <s v="Italy"/>
    <s v="41.902782"/>
    <s v="12.496366"/>
    <s v="Entertainment &amp; Media &amp; Hospitality"/>
    <s v="Small (11-200)"/>
    <s v="Jessica Martinez"/>
    <d v="2024-01-18T00:00:00"/>
    <s v="SAAS"/>
    <x v="6"/>
    <x v="6"/>
    <m/>
    <m/>
    <n v="1139"/>
    <n v="20"/>
    <d v="2024-04-08T00:00:00"/>
    <m/>
  </r>
  <r>
    <x v="2552"/>
    <s v="Spain"/>
    <s v="40.416775"/>
    <s v="-3.703790"/>
    <s v="Agriculture &amp; Mining"/>
    <s v="Small (11-200)"/>
    <s v="David Wilson"/>
    <d v="2024-04-08T00:00:00"/>
    <s v="Custom solution"/>
    <x v="6"/>
    <x v="6"/>
    <m/>
    <m/>
    <n v="1800"/>
    <n v="90"/>
    <d v="2024-08-22T00:00:00"/>
    <m/>
  </r>
  <r>
    <x v="2553"/>
    <s v="Portugal"/>
    <s v="38.736946"/>
    <s v="-9.142685"/>
    <s v="Education &amp; Science"/>
    <s v="Small (11-200)"/>
    <s v="Michael Brown"/>
    <d v="2024-05-25T00:00:00"/>
    <s v="Services"/>
    <x v="6"/>
    <x v="6"/>
    <m/>
    <m/>
    <n v="468"/>
    <n v="50"/>
    <d v="2025-03-10T00:00:00"/>
    <m/>
  </r>
  <r>
    <x v="2554"/>
    <s v="Italy"/>
    <s v="41.902782"/>
    <s v="12.496366"/>
    <s v="Transportation &amp; Logistics"/>
    <s v="Small (11-200)"/>
    <s v="Sarah Davis"/>
    <d v="2024-04-16T00:00:00"/>
    <s v="Services"/>
    <x v="6"/>
    <x v="6"/>
    <m/>
    <m/>
    <n v="642"/>
    <n v="50"/>
    <d v="2025-02-03T00:00:00"/>
    <m/>
  </r>
  <r>
    <x v="2555"/>
    <s v="Netherlands"/>
    <s v="52.370216"/>
    <s v="4.895168"/>
    <s v="Banking and Finance"/>
    <s v="Small (11-200)"/>
    <s v="Kevin Anderson"/>
    <d v="2024-02-24T00:00:00"/>
    <s v="SAAS"/>
    <x v="6"/>
    <x v="6"/>
    <m/>
    <m/>
    <n v="1798"/>
    <n v="30"/>
    <d v="2025-02-23T00:00:00"/>
    <m/>
  </r>
  <r>
    <x v="2556"/>
    <s v="Austria"/>
    <s v="48.210033"/>
    <s v="16.363449"/>
    <s v="Energy &amp; Utilities"/>
    <s v="Small (11-200)"/>
    <s v="Laura Thompson"/>
    <d v="2024-02-24T00:00:00"/>
    <s v="SAAS"/>
    <x v="6"/>
    <x v="6"/>
    <m/>
    <m/>
    <n v="1720"/>
    <n v="20"/>
    <d v="2024-11-10T00:00:00"/>
    <m/>
  </r>
  <r>
    <x v="2557"/>
    <s v="France"/>
    <s v="48.864716"/>
    <s v="2.349014"/>
    <s v="Construction &amp; Engineering"/>
    <s v="Small (11-200)"/>
    <s v="Jessica Martinez"/>
    <d v="2024-01-02T00:00:00"/>
    <s v="Custom solution"/>
    <x v="6"/>
    <x v="6"/>
    <m/>
    <m/>
    <n v="1336"/>
    <n v="30"/>
    <d v="2024-11-16T00:00:00"/>
    <m/>
  </r>
  <r>
    <x v="2558"/>
    <s v="Switzerland"/>
    <s v="46.204391"/>
    <s v="6.143158"/>
    <s v="Manufacturing &amp; Production"/>
    <s v="Small (11-200)"/>
    <s v="David Wilson"/>
    <d v="2024-04-27T00:00:00"/>
    <s v="SAAS"/>
    <x v="6"/>
    <x v="6"/>
    <m/>
    <m/>
    <n v="1544"/>
    <n v="20"/>
    <d v="2024-07-18T00:00:00"/>
    <m/>
  </r>
  <r>
    <x v="2559"/>
    <s v="France"/>
    <s v="48.864716"/>
    <s v="2.349014"/>
    <s v="IT &amp; IT Services"/>
    <s v="Small (11-200)"/>
    <s v="Kevin Anderson"/>
    <d v="2024-01-17T00:00:00"/>
    <s v="Services"/>
    <x v="6"/>
    <x v="6"/>
    <m/>
    <m/>
    <n v="828"/>
    <n v="50"/>
    <d v="2024-03-11T00:00:00"/>
    <m/>
  </r>
  <r>
    <x v="2560"/>
    <s v="Belgium"/>
    <s v="51.260197"/>
    <s v="4.402771"/>
    <s v="Recreation &amp; Sports"/>
    <s v="Small (11-200)"/>
    <s v="Laura Thompson"/>
    <d v="2024-03-05T00:00:00"/>
    <s v="Services"/>
    <x v="6"/>
    <x v="6"/>
    <m/>
    <m/>
    <n v="1570"/>
    <n v="40"/>
    <d v="2024-12-25T00:00:00"/>
    <m/>
  </r>
  <r>
    <x v="2561"/>
    <s v="France"/>
    <s v="48.864716"/>
    <s v="2.349014"/>
    <s v="Transportation &amp; Logistics"/>
    <s v="Small (11-200)"/>
    <s v="Jessica Martinez"/>
    <d v="2024-04-30T00:00:00"/>
    <s v="SAAS"/>
    <x v="6"/>
    <x v="6"/>
    <m/>
    <m/>
    <n v="1831"/>
    <n v="20"/>
    <d v="2024-09-21T00:00:00"/>
    <m/>
  </r>
  <r>
    <x v="2562"/>
    <s v="Netherlands"/>
    <s v="52.370216"/>
    <s v="4.895168"/>
    <s v="Transportation &amp; Logistics"/>
    <s v="Small (11-200)"/>
    <s v="Michael Brown"/>
    <d v="2024-03-25T00:00:00"/>
    <s v="SAAS"/>
    <x v="6"/>
    <x v="6"/>
    <m/>
    <m/>
    <n v="1616"/>
    <n v="20"/>
    <d v="2024-12-07T00:00:00"/>
    <m/>
  </r>
  <r>
    <x v="2563"/>
    <s v="France"/>
    <s v="48.864716"/>
    <s v="2.349014"/>
    <s v="Banking and Finance"/>
    <s v="Small (11-200)"/>
    <s v="Jessica Martinez"/>
    <d v="2024-03-30T00:00:00"/>
    <s v="Services"/>
    <x v="6"/>
    <x v="6"/>
    <m/>
    <m/>
    <n v="1210"/>
    <n v="40"/>
    <d v="2024-07-11T00:00:00"/>
    <m/>
  </r>
  <r>
    <x v="2564"/>
    <s v="Italy"/>
    <s v="41.902782"/>
    <s v="12.496366"/>
    <s v="Retail &amp; Distribution"/>
    <s v="Small (11-200)"/>
    <s v="Emily Johnson"/>
    <d v="2024-03-09T00:00:00"/>
    <s v="SAAS"/>
    <x v="6"/>
    <x v="6"/>
    <m/>
    <m/>
    <n v="1493"/>
    <n v="50"/>
    <d v="2025-01-31T00:00:00"/>
    <m/>
  </r>
  <r>
    <x v="2565"/>
    <s v="Germany"/>
    <s v="52.520008"/>
    <s v="13.404954"/>
    <s v="Transportation &amp; Logistics"/>
    <s v="Small (11-200)"/>
    <s v="Michael Brown"/>
    <d v="2024-02-02T00:00:00"/>
    <s v="Services"/>
    <x v="6"/>
    <x v="6"/>
    <m/>
    <m/>
    <n v="365"/>
    <n v="30"/>
    <d v="2024-08-25T00:00:00"/>
    <m/>
  </r>
  <r>
    <x v="2566"/>
    <s v="Switzerland"/>
    <s v="46.204391"/>
    <s v="6.143158"/>
    <s v="Professional Services  &amp; Consulting"/>
    <s v="Small (11-200)"/>
    <s v="Laura Thompson"/>
    <d v="2024-05-20T00:00:00"/>
    <s v="SAAS"/>
    <x v="6"/>
    <x v="6"/>
    <m/>
    <m/>
    <n v="550"/>
    <n v="60"/>
    <d v="2025-01-01T00:00:00"/>
    <m/>
  </r>
  <r>
    <x v="2567"/>
    <s v="Netherlands"/>
    <s v="52.370216"/>
    <s v="4.895168"/>
    <s v="Professional Services  &amp; Consulting"/>
    <s v="Small (11-200)"/>
    <s v="David Wilson"/>
    <d v="2024-04-25T00:00:00"/>
    <s v="Custom solution"/>
    <x v="6"/>
    <x v="6"/>
    <m/>
    <m/>
    <n v="931"/>
    <n v="20"/>
    <d v="2025-04-13T00:00:00"/>
    <m/>
  </r>
  <r>
    <x v="2568"/>
    <s v="Belgium"/>
    <s v="51.260197"/>
    <s v="4.402771"/>
    <s v="Government Administration Healthcare"/>
    <s v="Small (11-200)"/>
    <s v="Sarah Davis"/>
    <d v="2024-02-07T00:00:00"/>
    <s v="Custom solution"/>
    <x v="6"/>
    <x v="6"/>
    <m/>
    <m/>
    <n v="1626"/>
    <n v="30"/>
    <d v="2024-08-14T00:00:00"/>
    <m/>
  </r>
  <r>
    <x v="2569"/>
    <s v="Germany"/>
    <s v="52.520008"/>
    <s v="13.404954"/>
    <s v="Transportation &amp; Logistics"/>
    <s v="Small (11-200)"/>
    <s v="Kevin Anderson"/>
    <d v="2024-02-16T00:00:00"/>
    <s v="Services"/>
    <x v="6"/>
    <x v="6"/>
    <m/>
    <m/>
    <n v="1206"/>
    <n v="30"/>
    <d v="2024-11-21T00:00:00"/>
    <m/>
  </r>
  <r>
    <x v="2570"/>
    <s v="Portugal"/>
    <s v="38.736946"/>
    <s v="-9.142685"/>
    <s v="Transportation &amp; Logistics"/>
    <s v="Small (11-200)"/>
    <s v="Laura Thompson"/>
    <d v="2024-03-10T00:00:00"/>
    <s v="Services"/>
    <x v="6"/>
    <x v="6"/>
    <m/>
    <m/>
    <n v="885"/>
    <n v="20"/>
    <d v="2024-11-02T00:00:00"/>
    <m/>
  </r>
  <r>
    <x v="2571"/>
    <s v="Spain"/>
    <s v="40.416775"/>
    <s v="-3.703790"/>
    <s v="Government Administration Healthcare"/>
    <s v="Small (11-200)"/>
    <s v="Jessica Martinez"/>
    <d v="2024-02-03T00:00:00"/>
    <s v="SAAS"/>
    <x v="6"/>
    <x v="6"/>
    <m/>
    <m/>
    <n v="1709"/>
    <n v="20"/>
    <d v="2024-05-16T00:00:00"/>
    <m/>
  </r>
  <r>
    <x v="2572"/>
    <s v="Italy"/>
    <s v="41.902782"/>
    <s v="12.496366"/>
    <s v="Government Administration Healthcare"/>
    <s v="Small (11-200)"/>
    <s v="Michael Brown"/>
    <d v="2024-03-22T00:00:00"/>
    <s v="SAAS"/>
    <x v="6"/>
    <x v="6"/>
    <m/>
    <m/>
    <n v="642"/>
    <n v="30"/>
    <d v="2024-09-13T00:00:00"/>
    <m/>
  </r>
  <r>
    <x v="2573"/>
    <s v="Spain"/>
    <s v="40.416775"/>
    <s v="-3.703790"/>
    <s v="Manufacturing &amp; Production"/>
    <s v="Small (11-200)"/>
    <s v="Emily Johnson"/>
    <d v="2024-05-06T00:00:00"/>
    <s v="Services"/>
    <x v="6"/>
    <x v="6"/>
    <m/>
    <m/>
    <n v="1124"/>
    <n v="40"/>
    <d v="2024-11-16T00:00:00"/>
    <m/>
  </r>
  <r>
    <x v="2574"/>
    <s v="Italy"/>
    <s v="41.902782"/>
    <s v="12.496366"/>
    <s v="Government Administration Healthcare"/>
    <s v="Small (11-200)"/>
    <s v="Michael Brown"/>
    <d v="2024-05-29T00:00:00"/>
    <s v="SAAS"/>
    <x v="6"/>
    <x v="6"/>
    <m/>
    <m/>
    <n v="1397"/>
    <n v="80"/>
    <d v="2024-08-05T00:00:00"/>
    <m/>
  </r>
  <r>
    <x v="2575"/>
    <s v="Portugal"/>
    <s v="38.736946"/>
    <s v="-9.142685"/>
    <s v="Energy &amp; Utilities"/>
    <s v="Small (11-200)"/>
    <s v="Laura Thompson"/>
    <d v="2024-01-09T00:00:00"/>
    <s v="SAAS"/>
    <x v="6"/>
    <x v="6"/>
    <m/>
    <m/>
    <n v="1935"/>
    <n v="30"/>
    <d v="2024-04-14T00:00:00"/>
    <m/>
  </r>
  <r>
    <x v="2576"/>
    <s v="Italy"/>
    <s v="41.902782"/>
    <s v="12.496366"/>
    <s v="Banking and Finance"/>
    <s v="Small (11-200)"/>
    <s v="Kevin Anderson"/>
    <d v="2024-04-20T00:00:00"/>
    <s v="Services"/>
    <x v="6"/>
    <x v="6"/>
    <m/>
    <m/>
    <n v="1661"/>
    <n v="20"/>
    <d v="2025-03-21T00:00:00"/>
    <m/>
  </r>
  <r>
    <x v="2577"/>
    <s v="France"/>
    <s v="48.864716"/>
    <s v="2.349014"/>
    <s v="Professional Services  &amp; Consulting"/>
    <s v="Small (11-200)"/>
    <s v="David Wilson"/>
    <d v="2024-04-30T00:00:00"/>
    <s v="SAAS"/>
    <x v="6"/>
    <x v="6"/>
    <m/>
    <m/>
    <n v="1163"/>
    <n v="90"/>
    <d v="2025-03-27T00:00:00"/>
    <m/>
  </r>
  <r>
    <x v="2578"/>
    <s v="Italy"/>
    <s v="41.902782"/>
    <s v="12.496366"/>
    <s v="Telecommunications"/>
    <s v="Small (11-200)"/>
    <s v="Jessica Martinez"/>
    <d v="2024-02-22T00:00:00"/>
    <s v="SAAS"/>
    <x v="6"/>
    <x v="6"/>
    <m/>
    <m/>
    <n v="373"/>
    <n v="50"/>
    <d v="2024-05-05T00:00:00"/>
    <m/>
  </r>
  <r>
    <x v="2579"/>
    <s v="France"/>
    <s v="48.864716"/>
    <s v="2.349014"/>
    <s v="Recreation &amp; Sports"/>
    <s v="Small (11-200)"/>
    <s v="Michael Brown"/>
    <d v="2024-01-09T00:00:00"/>
    <s v="SAAS"/>
    <x v="6"/>
    <x v="6"/>
    <m/>
    <m/>
    <n v="388"/>
    <n v="40"/>
    <d v="2024-03-12T00:00:00"/>
    <m/>
  </r>
  <r>
    <x v="2580"/>
    <s v="Switzerland"/>
    <s v="46.204391"/>
    <s v="6.143158"/>
    <s v="IT &amp; IT Services"/>
    <s v="Small (11-200)"/>
    <s v="Laura Thompson"/>
    <d v="2024-03-23T00:00:00"/>
    <s v="SAAS"/>
    <x v="6"/>
    <x v="6"/>
    <m/>
    <m/>
    <n v="871"/>
    <n v="50"/>
    <d v="2024-11-28T00:00:00"/>
    <m/>
  </r>
  <r>
    <x v="2581"/>
    <s v="Switzerland"/>
    <s v="46.204391"/>
    <s v="6.143158"/>
    <s v="Transportation &amp; Logistics"/>
    <s v="Small (11-200)"/>
    <s v="John Smith"/>
    <d v="2024-02-15T00:00:00"/>
    <s v="SAAS"/>
    <x v="6"/>
    <x v="6"/>
    <m/>
    <m/>
    <n v="1917"/>
    <n v="30"/>
    <d v="2024-09-06T00:00:00"/>
    <m/>
  </r>
  <r>
    <x v="2582"/>
    <s v="Germany"/>
    <s v="52.520008"/>
    <s v="13.404954"/>
    <s v="Transportation &amp; Logistics"/>
    <s v="Small (11-200)"/>
    <s v="Laura Thompson"/>
    <d v="2024-02-05T00:00:00"/>
    <s v="Services"/>
    <x v="6"/>
    <x v="6"/>
    <m/>
    <m/>
    <n v="1362"/>
    <n v="40"/>
    <d v="2024-03-01T00:00:00"/>
    <m/>
  </r>
  <r>
    <x v="2583"/>
    <s v="Italy"/>
    <s v="41.902782"/>
    <s v="12.496366"/>
    <s v="Energy &amp; Utilities"/>
    <s v="Small (11-200)"/>
    <s v="John Smith"/>
    <d v="2024-02-05T00:00:00"/>
    <s v="Services"/>
    <x v="6"/>
    <x v="6"/>
    <m/>
    <m/>
    <n v="834"/>
    <n v="20"/>
    <d v="2025-01-14T00:00:00"/>
    <m/>
  </r>
  <r>
    <x v="2584"/>
    <s v="Italy"/>
    <s v="41.902782"/>
    <s v="12.496366"/>
    <s v="Government Administration Healthcare"/>
    <s v="Small (11-200)"/>
    <s v="John Smith"/>
    <d v="2024-04-23T00:00:00"/>
    <s v="SAAS"/>
    <x v="6"/>
    <x v="6"/>
    <m/>
    <m/>
    <n v="1846"/>
    <n v="80"/>
    <d v="2024-08-04T00:00:00"/>
    <m/>
  </r>
  <r>
    <x v="2585"/>
    <s v="Portugal"/>
    <s v="38.736946"/>
    <s v="-9.142685"/>
    <s v="Agriculture &amp; Mining"/>
    <s v="Small (11-200)"/>
    <s v="Laura Thompson"/>
    <d v="2024-04-19T00:00:00"/>
    <s v="SAAS"/>
    <x v="6"/>
    <x v="6"/>
    <m/>
    <m/>
    <n v="1583"/>
    <n v="40"/>
    <d v="2024-06-07T00:00:00"/>
    <m/>
  </r>
  <r>
    <x v="2586"/>
    <s v="Switzerland"/>
    <s v="46.204391"/>
    <s v="6.143158"/>
    <s v="Transportation &amp; Logistics"/>
    <s v="Small (11-200)"/>
    <s v="David Wilson"/>
    <d v="2024-04-30T00:00:00"/>
    <s v="SAAS"/>
    <x v="6"/>
    <x v="6"/>
    <m/>
    <m/>
    <n v="799"/>
    <n v="20"/>
    <d v="2024-07-18T00:00:00"/>
    <m/>
  </r>
  <r>
    <x v="2587"/>
    <s v="France"/>
    <s v="48.864716"/>
    <s v="2.349014"/>
    <s v="Banking and Finance"/>
    <s v="Small (11-200)"/>
    <s v="Emily Johnson"/>
    <d v="2024-03-18T00:00:00"/>
    <s v="SAAS"/>
    <x v="6"/>
    <x v="6"/>
    <m/>
    <m/>
    <n v="1320"/>
    <n v="90"/>
    <d v="2025-01-19T00:00:00"/>
    <m/>
  </r>
  <r>
    <x v="2588"/>
    <s v="Italy"/>
    <s v="41.902782"/>
    <s v="12.496366"/>
    <s v="Energy &amp; Utilities"/>
    <s v="Small (11-200)"/>
    <s v="Jessica Martinez"/>
    <d v="2024-01-10T00:00:00"/>
    <s v="SAAS"/>
    <x v="6"/>
    <x v="6"/>
    <m/>
    <m/>
    <n v="1730"/>
    <n v="90"/>
    <d v="2024-06-04T00:00:00"/>
    <m/>
  </r>
  <r>
    <x v="2589"/>
    <s v="France"/>
    <s v="48.864716"/>
    <s v="2.349014"/>
    <s v="Transportation &amp; Logistics"/>
    <s v="Small (11-200)"/>
    <s v="Sarah Davis"/>
    <d v="2024-02-20T00:00:00"/>
    <s v="Services"/>
    <x v="6"/>
    <x v="6"/>
    <m/>
    <m/>
    <n v="1805"/>
    <n v="60"/>
    <d v="2024-10-13T00:00:00"/>
    <m/>
  </r>
  <r>
    <x v="2590"/>
    <s v="Italy"/>
    <s v="41.902782"/>
    <s v="12.496366"/>
    <s v="Retail &amp; Distribution"/>
    <s v="Small (11-200)"/>
    <s v="Michael Brown"/>
    <d v="2024-05-11T00:00:00"/>
    <s v="Custom solution"/>
    <x v="6"/>
    <x v="6"/>
    <m/>
    <m/>
    <n v="1564"/>
    <n v="50"/>
    <d v="2024-11-11T00:00:00"/>
    <m/>
  </r>
  <r>
    <x v="2591"/>
    <s v="Portugal"/>
    <s v="38.736946"/>
    <s v="-9.142685"/>
    <s v="IT &amp; IT Services"/>
    <s v="Small (11-200)"/>
    <s v="Laura Thompson"/>
    <d v="2024-02-12T00:00:00"/>
    <s v="Custom solution"/>
    <x v="6"/>
    <x v="6"/>
    <m/>
    <m/>
    <n v="1373"/>
    <n v="20"/>
    <d v="2024-06-25T00:00:00"/>
    <m/>
  </r>
  <r>
    <x v="2592"/>
    <s v="Spain"/>
    <s v="40.416775"/>
    <s v="-3.703790"/>
    <s v="Recreation &amp; Sports"/>
    <s v="Small (11-200)"/>
    <s v="David Wilson"/>
    <d v="2024-03-31T00:00:00"/>
    <s v="SAAS"/>
    <x v="6"/>
    <x v="6"/>
    <m/>
    <m/>
    <n v="1364"/>
    <n v="40"/>
    <d v="2025-01-07T00:00:00"/>
    <m/>
  </r>
  <r>
    <x v="2593"/>
    <s v="Germany"/>
    <s v="52.520008"/>
    <s v="13.404954"/>
    <s v="Agriculture &amp; Mining"/>
    <s v="Small (11-200)"/>
    <s v="Kevin Anderson"/>
    <d v="2024-02-25T00:00:00"/>
    <s v="Services"/>
    <x v="6"/>
    <x v="6"/>
    <m/>
    <m/>
    <n v="1430"/>
    <n v="60"/>
    <d v="2024-11-13T00:00:00"/>
    <m/>
  </r>
  <r>
    <x v="2594"/>
    <s v="Austria"/>
    <s v="48.210033"/>
    <s v="16.363449"/>
    <s v="Education &amp; Science"/>
    <s v="Small (11-200)"/>
    <s v="Kevin Anderson"/>
    <d v="2024-02-22T00:00:00"/>
    <s v="Services"/>
    <x v="6"/>
    <x v="6"/>
    <m/>
    <m/>
    <n v="704"/>
    <n v="60"/>
    <d v="2024-10-22T00:00:00"/>
    <m/>
  </r>
  <r>
    <x v="2595"/>
    <s v="Portugal"/>
    <s v="38.736946"/>
    <s v="-9.142685"/>
    <s v="Transportation &amp; Logistics"/>
    <s v="Small (11-200)"/>
    <s v="John Smith"/>
    <d v="2024-03-08T00:00:00"/>
    <s v="Services"/>
    <x v="6"/>
    <x v="6"/>
    <m/>
    <m/>
    <n v="1907"/>
    <n v="40"/>
    <d v="2024-07-15T00:00:00"/>
    <m/>
  </r>
  <r>
    <x v="2596"/>
    <s v="Austria"/>
    <s v="48.210033"/>
    <s v="16.363449"/>
    <s v="Banking and Finance"/>
    <s v="Small (11-200)"/>
    <s v="David Wilson"/>
    <d v="2024-04-28T00:00:00"/>
    <s v="Services"/>
    <x v="6"/>
    <x v="6"/>
    <m/>
    <m/>
    <n v="1580"/>
    <n v="40"/>
    <d v="2024-12-07T00:00:00"/>
    <m/>
  </r>
  <r>
    <x v="2597"/>
    <s v="France"/>
    <s v="48.864716"/>
    <s v="2.349014"/>
    <s v="Telecommunications"/>
    <s v="Small (11-200)"/>
    <s v="John Smith"/>
    <d v="2024-03-18T00:00:00"/>
    <s v="SAAS"/>
    <x v="6"/>
    <x v="6"/>
    <m/>
    <m/>
    <n v="733"/>
    <n v="60"/>
    <d v="2024-05-27T00:00:00"/>
    <m/>
  </r>
  <r>
    <x v="2598"/>
    <s v="Italy"/>
    <s v="41.902782"/>
    <s v="12.496366"/>
    <s v="Agriculture &amp; Mining"/>
    <s v="Small (11-200)"/>
    <s v="Jessica Martinez"/>
    <d v="2024-02-28T00:00:00"/>
    <s v="SAAS"/>
    <x v="6"/>
    <x v="6"/>
    <m/>
    <m/>
    <n v="1890"/>
    <n v="40"/>
    <d v="2024-11-13T00:00:00"/>
    <m/>
  </r>
  <r>
    <x v="2599"/>
    <s v="Portugal"/>
    <s v="38.736946"/>
    <s v="-9.142685"/>
    <s v="Construction &amp; Engineering"/>
    <s v="Small (11-200)"/>
    <s v="Laura Thompson"/>
    <d v="2024-01-25T00:00:00"/>
    <s v="SAAS"/>
    <x v="6"/>
    <x v="6"/>
    <m/>
    <m/>
    <n v="684"/>
    <n v="40"/>
    <d v="2024-07-08T00:00:00"/>
    <m/>
  </r>
  <r>
    <x v="2600"/>
    <s v="Italy"/>
    <s v="41.902782"/>
    <s v="12.496366"/>
    <s v="Telecommunications"/>
    <s v="Small (11-200)"/>
    <s v="Emily Johnson"/>
    <d v="2024-03-10T00:00:00"/>
    <s v="SAAS"/>
    <x v="6"/>
    <x v="6"/>
    <m/>
    <m/>
    <n v="842"/>
    <n v="70"/>
    <d v="2024-08-03T00:00:00"/>
    <m/>
  </r>
  <r>
    <x v="2601"/>
    <s v="France"/>
    <s v="48.864716"/>
    <s v="2.349014"/>
    <s v="Government Administration Healthcare"/>
    <s v="Small (11-200)"/>
    <s v="Emily Johnson"/>
    <d v="2024-05-09T00:00:00"/>
    <s v="SAAS"/>
    <x v="6"/>
    <x v="6"/>
    <m/>
    <m/>
    <n v="596"/>
    <n v="40"/>
    <d v="2025-04-18T00:00:00"/>
    <m/>
  </r>
  <r>
    <x v="2602"/>
    <s v="Netherlands"/>
    <s v="52.370216"/>
    <s v="4.895168"/>
    <s v="Agriculture &amp; Mining"/>
    <s v="Small (11-200)"/>
    <s v="Laura Thompson"/>
    <d v="2024-03-26T00:00:00"/>
    <s v="Services"/>
    <x v="6"/>
    <x v="6"/>
    <m/>
    <m/>
    <n v="1579"/>
    <n v="50"/>
    <d v="2024-10-18T00:00:00"/>
    <m/>
  </r>
  <r>
    <x v="2603"/>
    <s v="Germany"/>
    <s v="52.520008"/>
    <s v="13.404954"/>
    <s v="Retail &amp; Distribution"/>
    <s v="Small (11-200)"/>
    <s v="Jessica Martinez"/>
    <d v="2024-03-27T00:00:00"/>
    <s v="Services"/>
    <x v="6"/>
    <x v="6"/>
    <m/>
    <m/>
    <n v="566"/>
    <n v="30"/>
    <d v="2024-04-25T00:00:00"/>
    <m/>
  </r>
  <r>
    <x v="2604"/>
    <s v="Spain"/>
    <s v="40.416775"/>
    <s v="-3.703790"/>
    <s v="Transportation &amp; Logistics"/>
    <s v="Small (11-200)"/>
    <s v="Michael Brown"/>
    <d v="2024-03-10T00:00:00"/>
    <s v="Custom solution"/>
    <x v="6"/>
    <x v="6"/>
    <m/>
    <m/>
    <n v="1973"/>
    <n v="40"/>
    <d v="2025-02-13T00:00:00"/>
    <m/>
  </r>
  <r>
    <x v="2605"/>
    <s v="Belgium"/>
    <s v="51.260197"/>
    <s v="4.402771"/>
    <s v="Transportation &amp; Logistics"/>
    <s v="Small (11-200)"/>
    <s v="Laura Thompson"/>
    <d v="2024-02-25T00:00:00"/>
    <s v="SAAS"/>
    <x v="6"/>
    <x v="6"/>
    <m/>
    <m/>
    <n v="599"/>
    <n v="80"/>
    <d v="2024-06-09T00:00:00"/>
    <m/>
  </r>
  <r>
    <x v="2606"/>
    <s v="Italy"/>
    <s v="41.902782"/>
    <s v="12.496366"/>
    <s v="Transportation &amp; Logistics"/>
    <s v="Small (11-200)"/>
    <s v="Laura Thompson"/>
    <d v="2024-03-27T00:00:00"/>
    <s v="Custom solution"/>
    <x v="6"/>
    <x v="6"/>
    <m/>
    <m/>
    <n v="769"/>
    <n v="50"/>
    <d v="2024-05-31T00:00:00"/>
    <m/>
  </r>
  <r>
    <x v="2607"/>
    <s v="Netherlands"/>
    <s v="52.370216"/>
    <s v="4.895168"/>
    <s v="IT &amp; IT Services"/>
    <s v="Small (11-200)"/>
    <s v="Michael Brown"/>
    <d v="2024-05-31T00:00:00"/>
    <s v="SAAS"/>
    <x v="6"/>
    <x v="6"/>
    <m/>
    <m/>
    <n v="1456"/>
    <n v="50"/>
    <d v="2024-11-17T00:00:00"/>
    <m/>
  </r>
  <r>
    <x v="2608"/>
    <s v="Belgium"/>
    <s v="51.260197"/>
    <s v="4.402771"/>
    <s v="Transportation &amp; Logistics"/>
    <s v="Small (11-200)"/>
    <s v="John Smith"/>
    <d v="2024-04-26T00:00:00"/>
    <s v="Custom solution"/>
    <x v="6"/>
    <x v="6"/>
    <m/>
    <m/>
    <n v="830"/>
    <n v="80"/>
    <d v="2025-04-03T00:00:00"/>
    <m/>
  </r>
  <r>
    <x v="2609"/>
    <s v="Italy"/>
    <s v="41.902782"/>
    <s v="12.496366"/>
    <s v="IT &amp; IT Services"/>
    <s v="Small (11-200)"/>
    <s v="Kevin Anderson"/>
    <d v="2024-05-29T00:00:00"/>
    <s v="SAAS"/>
    <x v="6"/>
    <x v="6"/>
    <m/>
    <m/>
    <n v="298"/>
    <n v="50"/>
    <d v="2025-04-14T00:00:00"/>
    <m/>
  </r>
  <r>
    <x v="2610"/>
    <s v="Portugal"/>
    <s v="38.736946"/>
    <s v="-9.142685"/>
    <s v="Banking and Finance"/>
    <s v="Small (11-200)"/>
    <s v="Michael Brown"/>
    <d v="2024-03-28T00:00:00"/>
    <s v="Services"/>
    <x v="6"/>
    <x v="6"/>
    <m/>
    <m/>
    <n v="943"/>
    <n v="60"/>
    <d v="2025-01-31T00:00:00"/>
    <m/>
  </r>
  <r>
    <x v="2611"/>
    <s v="France"/>
    <s v="48.864716"/>
    <s v="2.349014"/>
    <s v="IT &amp; IT Services"/>
    <s v="Small (11-200)"/>
    <s v="Michael Brown"/>
    <d v="2024-04-17T00:00:00"/>
    <s v="SAAS"/>
    <x v="6"/>
    <x v="6"/>
    <m/>
    <m/>
    <n v="909"/>
    <n v="30"/>
    <d v="2025-02-22T00:00:00"/>
    <m/>
  </r>
  <r>
    <x v="2612"/>
    <s v="Switzerland"/>
    <s v="46.204391"/>
    <s v="6.143158"/>
    <s v="Construction &amp; Engineering"/>
    <s v="Small (11-200)"/>
    <s v="Emily Johnson"/>
    <d v="2024-01-30T00:00:00"/>
    <s v="SAAS"/>
    <x v="6"/>
    <x v="6"/>
    <m/>
    <m/>
    <n v="227"/>
    <n v="30"/>
    <d v="2024-03-02T00:00:00"/>
    <m/>
  </r>
  <r>
    <x v="2613"/>
    <s v="Portugal"/>
    <s v="38.736946"/>
    <s v="-9.142685"/>
    <s v="Professional Services  &amp; Consulting"/>
    <s v="Small (11-200)"/>
    <s v="Laura Thompson"/>
    <d v="2024-04-30T00:00:00"/>
    <s v="Services"/>
    <x v="6"/>
    <x v="6"/>
    <m/>
    <m/>
    <n v="924"/>
    <n v="70"/>
    <d v="2025-04-24T00:00:00"/>
    <m/>
  </r>
  <r>
    <x v="2614"/>
    <s v="Germany"/>
    <s v="52.520008"/>
    <s v="13.404954"/>
    <s v="Government Administration Healthcare"/>
    <s v="Small (11-200)"/>
    <s v="Emily Johnson"/>
    <d v="2024-03-21T00:00:00"/>
    <s v="SAAS"/>
    <x v="6"/>
    <x v="6"/>
    <m/>
    <m/>
    <n v="1403"/>
    <n v="30"/>
    <d v="2024-12-18T00:00:00"/>
    <m/>
  </r>
  <r>
    <x v="2615"/>
    <s v="Germany"/>
    <s v="52.520008"/>
    <s v="13.404954"/>
    <s v="Agriculture &amp; Mining"/>
    <s v="Small (11-200)"/>
    <s v="Laura Thompson"/>
    <d v="2024-05-22T00:00:00"/>
    <s v="SAAS"/>
    <x v="6"/>
    <x v="6"/>
    <m/>
    <m/>
    <n v="1398"/>
    <n v="50"/>
    <d v="2024-10-10T00:00:00"/>
    <m/>
  </r>
  <r>
    <x v="2616"/>
    <s v="Switzerland"/>
    <s v="46.204391"/>
    <s v="6.143158"/>
    <s v="Banking and Finance"/>
    <s v="Small (11-200)"/>
    <s v="Laura Thompson"/>
    <d v="2024-05-15T00:00:00"/>
    <s v="Custom solution"/>
    <x v="6"/>
    <x v="6"/>
    <m/>
    <m/>
    <n v="1190"/>
    <n v="20"/>
    <d v="2025-05-01T00:00:00"/>
    <m/>
  </r>
  <r>
    <x v="2617"/>
    <s v="France"/>
    <s v="48.864716"/>
    <s v="2.349014"/>
    <s v="Banking and Finance"/>
    <s v="Small (11-200)"/>
    <s v="Michael Brown"/>
    <d v="2024-04-14T00:00:00"/>
    <s v="SAAS"/>
    <x v="6"/>
    <x v="6"/>
    <m/>
    <m/>
    <n v="654"/>
    <n v="50"/>
    <d v="2024-07-29T00:00:00"/>
    <m/>
  </r>
  <r>
    <x v="2618"/>
    <s v="Germany"/>
    <s v="52.520008"/>
    <s v="13.404954"/>
    <s v="Recreation &amp; Sports"/>
    <s v="Small (11-200)"/>
    <s v="Laura Thompson"/>
    <d v="2024-02-13T00:00:00"/>
    <s v="SAAS"/>
    <x v="6"/>
    <x v="6"/>
    <m/>
    <m/>
    <n v="517"/>
    <n v="30"/>
    <d v="2025-01-30T00:00:00"/>
    <m/>
  </r>
  <r>
    <x v="2619"/>
    <s v="Germany"/>
    <s v="52.520008"/>
    <s v="13.404954"/>
    <s v="Construction &amp; Engineering"/>
    <s v="Small (11-200)"/>
    <s v="John Smith"/>
    <d v="2024-04-24T00:00:00"/>
    <s v="SAAS"/>
    <x v="6"/>
    <x v="6"/>
    <m/>
    <m/>
    <n v="388"/>
    <n v="80"/>
    <d v="2024-10-05T00:00:00"/>
    <m/>
  </r>
  <r>
    <x v="2620"/>
    <s v="France"/>
    <s v="48.864716"/>
    <s v="2.349014"/>
    <s v="Entertainment &amp; Media &amp; Hospitality"/>
    <s v="Small (11-200)"/>
    <s v="Kevin Anderson"/>
    <d v="2024-05-07T00:00:00"/>
    <s v="SAAS"/>
    <x v="6"/>
    <x v="6"/>
    <m/>
    <m/>
    <n v="1147"/>
    <n v="80"/>
    <d v="2025-03-03T00:00:00"/>
    <m/>
  </r>
  <r>
    <x v="2621"/>
    <s v="Switzerland"/>
    <s v="46.204391"/>
    <s v="6.143158"/>
    <s v="Banking and Finance"/>
    <s v="Small (11-200)"/>
    <s v="Emily Johnson"/>
    <d v="2024-03-19T00:00:00"/>
    <s v="SAAS"/>
    <x v="6"/>
    <x v="6"/>
    <m/>
    <m/>
    <n v="1776"/>
    <n v="20"/>
    <d v="2024-12-07T00:00:00"/>
    <m/>
  </r>
  <r>
    <x v="2622"/>
    <s v="Portugal"/>
    <s v="38.736946"/>
    <s v="-9.142685"/>
    <s v="Banking and Finance"/>
    <s v="Small (11-200)"/>
    <s v="Michael Brown"/>
    <d v="2024-05-26T00:00:00"/>
    <s v="SAAS"/>
    <x v="6"/>
    <x v="6"/>
    <m/>
    <m/>
    <n v="1127"/>
    <n v="30"/>
    <d v="2025-02-15T00:00:00"/>
    <m/>
  </r>
  <r>
    <x v="2623"/>
    <s v="Switzerland"/>
    <s v="46.204391"/>
    <s v="6.143158"/>
    <s v="Entertainment &amp; Media &amp; Hospitality"/>
    <s v="Small (11-200)"/>
    <s v="David Wilson"/>
    <d v="2024-04-05T00:00:00"/>
    <s v="Services"/>
    <x v="6"/>
    <x v="6"/>
    <m/>
    <m/>
    <n v="258"/>
    <n v="40"/>
    <d v="2024-05-13T00:00:00"/>
    <m/>
  </r>
  <r>
    <x v="2624"/>
    <s v="Germany"/>
    <s v="52.520008"/>
    <s v="13.404954"/>
    <s v="Government Administration Healthcare"/>
    <s v="Small (11-200)"/>
    <s v="Emily Johnson"/>
    <d v="2024-03-01T00:00:00"/>
    <s v="Services"/>
    <x v="6"/>
    <x v="6"/>
    <m/>
    <m/>
    <n v="263"/>
    <n v="100"/>
    <d v="2024-10-06T00:00:00"/>
    <m/>
  </r>
  <r>
    <x v="2625"/>
    <s v="Spain"/>
    <s v="40.416775"/>
    <s v="-3.703790"/>
    <s v="Banking and Finance"/>
    <s v="Small (11-200)"/>
    <s v="Jessica Martinez"/>
    <d v="2024-03-02T00:00:00"/>
    <s v="SAAS"/>
    <x v="6"/>
    <x v="6"/>
    <m/>
    <m/>
    <n v="320"/>
    <n v="50"/>
    <d v="2024-10-10T00:00:00"/>
    <m/>
  </r>
  <r>
    <x v="2626"/>
    <s v="Switzerland"/>
    <s v="46.204391"/>
    <s v="6.143158"/>
    <s v="Retail &amp; Distribution"/>
    <s v="Small (11-200)"/>
    <s v="Jessica Martinez"/>
    <d v="2024-05-08T00:00:00"/>
    <s v="Services"/>
    <x v="6"/>
    <x v="6"/>
    <m/>
    <m/>
    <n v="758"/>
    <n v="40"/>
    <d v="2024-08-28T00:00:00"/>
    <m/>
  </r>
  <r>
    <x v="2627"/>
    <s v="Spain"/>
    <s v="40.416775"/>
    <s v="-3.703790"/>
    <s v="IT &amp; IT Services"/>
    <s v="Small (11-200)"/>
    <s v="Michael Brown"/>
    <d v="2024-01-24T00:00:00"/>
    <s v="Services"/>
    <x v="6"/>
    <x v="6"/>
    <m/>
    <m/>
    <n v="952"/>
    <n v="30"/>
    <d v="2024-04-08T00:00:00"/>
    <m/>
  </r>
  <r>
    <x v="2628"/>
    <s v="Spain"/>
    <s v="40.416775"/>
    <s v="-3.703790"/>
    <s v="Government Administration Healthcare"/>
    <s v="Micro (1-10)"/>
    <s v="Jessica Martinez"/>
    <d v="2024-04-13T00:00:00"/>
    <s v="SAAS"/>
    <x v="6"/>
    <x v="6"/>
    <m/>
    <m/>
    <n v="1082"/>
    <n v="50"/>
    <d v="2024-09-27T00:00:00"/>
    <m/>
  </r>
  <r>
    <x v="2629"/>
    <s v="France"/>
    <s v="48.864716"/>
    <s v="2.349014"/>
    <s v="Transportation &amp; Logistics"/>
    <s v="Micro (1-10)"/>
    <s v="John Smith"/>
    <d v="2024-03-05T00:00:00"/>
    <s v="SAAS"/>
    <x v="6"/>
    <x v="6"/>
    <m/>
    <m/>
    <n v="593"/>
    <n v="20"/>
    <d v="2025-01-16T00:00:00"/>
    <m/>
  </r>
  <r>
    <x v="2630"/>
    <s v="Belgium"/>
    <s v="51.260197"/>
    <s v="4.402771"/>
    <s v="Entertainment &amp; Media &amp; Hospitality"/>
    <s v="Micro (1-10)"/>
    <s v="John Smith"/>
    <d v="2024-03-31T00:00:00"/>
    <s v="Services"/>
    <x v="6"/>
    <x v="6"/>
    <m/>
    <m/>
    <n v="1032"/>
    <n v="50"/>
    <d v="2024-04-24T00:00:00"/>
    <m/>
  </r>
  <r>
    <x v="2631"/>
    <s v="Switzerland"/>
    <s v="46.204391"/>
    <s v="6.143158"/>
    <s v="Banking and Finance"/>
    <s v="Micro (1-10)"/>
    <s v="Michael Brown"/>
    <d v="2024-05-29T00:00:00"/>
    <s v="Services"/>
    <x v="6"/>
    <x v="6"/>
    <m/>
    <m/>
    <n v="928"/>
    <n v="20"/>
    <d v="2024-11-07T00:00:00"/>
    <m/>
  </r>
  <r>
    <x v="2632"/>
    <s v="Spain"/>
    <s v="40.416775"/>
    <s v="-3.703790"/>
    <s v="IT &amp; IT Services"/>
    <s v="Micro (1-10)"/>
    <s v="Emily Johnson"/>
    <d v="2024-03-18T00:00:00"/>
    <s v="Services"/>
    <x v="6"/>
    <x v="6"/>
    <m/>
    <m/>
    <n v="730"/>
    <n v="100"/>
    <d v="2024-08-17T00:00:00"/>
    <m/>
  </r>
  <r>
    <x v="2633"/>
    <s v="Spain"/>
    <s v="40.416775"/>
    <s v="-3.703790"/>
    <s v="Government Administration Healthcare"/>
    <s v="Micro (1-10)"/>
    <s v="Emily Johnson"/>
    <d v="2024-04-04T00:00:00"/>
    <s v="SAAS"/>
    <x v="6"/>
    <x v="6"/>
    <m/>
    <m/>
    <n v="926"/>
    <n v="20"/>
    <d v="2024-11-02T00:00:00"/>
    <m/>
  </r>
  <r>
    <x v="2634"/>
    <s v="Italy"/>
    <s v="41.902782"/>
    <s v="12.496366"/>
    <s v="IT &amp; IT Services"/>
    <s v="Micro (1-10)"/>
    <s v="Michael Brown"/>
    <d v="2024-04-30T00:00:00"/>
    <s v="SAAS"/>
    <x v="6"/>
    <x v="6"/>
    <m/>
    <m/>
    <n v="826"/>
    <n v="20"/>
    <d v="2025-03-18T00:00:00"/>
    <m/>
  </r>
  <r>
    <x v="2635"/>
    <s v="Austria"/>
    <s v="48.210033"/>
    <s v="16.363449"/>
    <s v="Banking and Finance"/>
    <s v="Micro (1-10)"/>
    <s v="Sarah Davis"/>
    <d v="2024-05-03T00:00:00"/>
    <s v="Custom solution"/>
    <x v="6"/>
    <x v="6"/>
    <m/>
    <m/>
    <n v="1094"/>
    <n v="100"/>
    <d v="2025-03-25T00:00:00"/>
    <m/>
  </r>
  <r>
    <x v="2636"/>
    <s v="France"/>
    <s v="48.864716"/>
    <s v="2.349014"/>
    <s v="Manufacturing &amp; Production"/>
    <s v="Micro (1-10)"/>
    <s v="David Wilson"/>
    <d v="2024-01-06T00:00:00"/>
    <s v="Services"/>
    <x v="6"/>
    <x v="6"/>
    <m/>
    <m/>
    <n v="256"/>
    <n v="30"/>
    <d v="2024-06-03T00:00:00"/>
    <m/>
  </r>
  <r>
    <x v="2637"/>
    <s v="Switzerland"/>
    <s v="46.204391"/>
    <s v="6.143158"/>
    <s v="Construction &amp; Engineering"/>
    <s v="Micro (1-10)"/>
    <s v="Jessica Martinez"/>
    <d v="2024-04-28T00:00:00"/>
    <s v="Services"/>
    <x v="6"/>
    <x v="6"/>
    <m/>
    <m/>
    <n v="656"/>
    <n v="40"/>
    <d v="2024-12-07T00:00:00"/>
    <m/>
  </r>
  <r>
    <x v="2638"/>
    <s v="Italy"/>
    <s v="41.902782"/>
    <s v="12.496366"/>
    <s v="Banking and Finance"/>
    <s v="Micro (1-10)"/>
    <s v="Michael Brown"/>
    <d v="2024-04-26T00:00:00"/>
    <s v="SAAS"/>
    <x v="6"/>
    <x v="6"/>
    <m/>
    <m/>
    <n v="1048"/>
    <n v="60"/>
    <d v="2024-10-21T00:00:00"/>
    <m/>
  </r>
  <r>
    <x v="2639"/>
    <s v="Italy"/>
    <s v="41.902782"/>
    <s v="12.496366"/>
    <s v="Entertainment &amp; Media &amp; Hospitality"/>
    <s v="Micro (1-10)"/>
    <s v="Laura Thompson"/>
    <d v="2024-02-22T00:00:00"/>
    <s v="SAAS"/>
    <x v="6"/>
    <x v="6"/>
    <m/>
    <m/>
    <n v="556"/>
    <n v="50"/>
    <d v="2024-10-20T00:00:00"/>
    <m/>
  </r>
  <r>
    <x v="2640"/>
    <s v="Spain"/>
    <s v="40.416775"/>
    <s v="-3.703790"/>
    <s v="Banking and Finance"/>
    <s v="Micro (1-10)"/>
    <s v="Laura Thompson"/>
    <d v="2024-02-06T00:00:00"/>
    <s v="SAAS"/>
    <x v="6"/>
    <x v="6"/>
    <m/>
    <m/>
    <n v="850"/>
    <n v="50"/>
    <d v="2024-05-07T00:00:00"/>
    <m/>
  </r>
  <r>
    <x v="2641"/>
    <s v="Italy"/>
    <s v="41.902782"/>
    <s v="12.496366"/>
    <s v="Transportation &amp; Logistics"/>
    <s v="Micro (1-10)"/>
    <s v="John Smith"/>
    <d v="2024-04-23T00:00:00"/>
    <s v="Services"/>
    <x v="6"/>
    <x v="6"/>
    <m/>
    <m/>
    <n v="1093"/>
    <n v="20"/>
    <d v="2024-08-11T00:00:00"/>
    <m/>
  </r>
  <r>
    <x v="2642"/>
    <s v="Italy"/>
    <s v="41.902782"/>
    <s v="12.496366"/>
    <s v="Education &amp; Science"/>
    <s v="Micro (1-10)"/>
    <s v="Emily Johnson"/>
    <d v="2024-03-11T00:00:00"/>
    <s v="Custom solution"/>
    <x v="6"/>
    <x v="6"/>
    <m/>
    <m/>
    <n v="314"/>
    <n v="60"/>
    <d v="2025-03-11T00:00:00"/>
    <m/>
  </r>
  <r>
    <x v="2643"/>
    <s v="Germany"/>
    <s v="52.520008"/>
    <s v="13.404954"/>
    <s v="Transportation &amp; Logistics"/>
    <s v="Micro (1-10)"/>
    <s v="Laura Thompson"/>
    <d v="2024-01-22T00:00:00"/>
    <s v="Services"/>
    <x v="6"/>
    <x v="6"/>
    <m/>
    <m/>
    <n v="642"/>
    <n v="50"/>
    <d v="2024-03-19T00:00:00"/>
    <m/>
  </r>
  <r>
    <x v="2644"/>
    <s v="Switzerland"/>
    <s v="46.204391"/>
    <s v="6.143158"/>
    <s v="Transportation &amp; Logistics"/>
    <s v="Micro (1-10)"/>
    <s v="Sarah Davis"/>
    <d v="2024-01-25T00:00:00"/>
    <s v="Services"/>
    <x v="6"/>
    <x v="6"/>
    <m/>
    <m/>
    <n v="858"/>
    <n v="40"/>
    <d v="2024-10-06T00:00:00"/>
    <m/>
  </r>
  <r>
    <x v="2645"/>
    <s v="France"/>
    <s v="48.864716"/>
    <s v="2.349014"/>
    <s v="Transportation &amp; Logistics"/>
    <s v="Micro (1-10)"/>
    <s v="Laura Thompson"/>
    <d v="2024-04-23T00:00:00"/>
    <s v="Services"/>
    <x v="6"/>
    <x v="6"/>
    <m/>
    <m/>
    <n v="828"/>
    <n v="40"/>
    <d v="2025-04-16T00:00:00"/>
    <m/>
  </r>
  <r>
    <x v="2646"/>
    <s v="France"/>
    <s v="48.864716"/>
    <s v="2.349014"/>
    <s v="Banking and Finance"/>
    <s v="Micro (1-10)"/>
    <s v="John Smith"/>
    <d v="2024-01-21T00:00:00"/>
    <s v="Services"/>
    <x v="6"/>
    <x v="6"/>
    <m/>
    <m/>
    <n v="482"/>
    <n v="100"/>
    <d v="2024-05-03T00:00:00"/>
    <m/>
  </r>
  <r>
    <x v="2647"/>
    <s v="Austria"/>
    <s v="48.210033"/>
    <s v="16.363449"/>
    <s v="Professional Services  &amp; Consulting"/>
    <s v="Micro (1-10)"/>
    <s v="Laura Thompson"/>
    <d v="2024-02-07T00:00:00"/>
    <s v="SAAS"/>
    <x v="6"/>
    <x v="6"/>
    <m/>
    <m/>
    <n v="367"/>
    <n v="50"/>
    <d v="2024-03-01T00:00:00"/>
    <m/>
  </r>
  <r>
    <x v="2648"/>
    <s v="France"/>
    <s v="48.864716"/>
    <s v="2.349014"/>
    <s v="Entertainment &amp; Media &amp; Hospitality"/>
    <s v="Micro (1-10)"/>
    <s v="Emily Johnson"/>
    <d v="2024-04-25T00:00:00"/>
    <s v="Services"/>
    <x v="6"/>
    <x v="6"/>
    <m/>
    <m/>
    <n v="471"/>
    <n v="20"/>
    <d v="2025-03-16T00:00:00"/>
    <m/>
  </r>
  <r>
    <x v="2649"/>
    <s v="Austria"/>
    <s v="48.210033"/>
    <s v="16.363449"/>
    <s v="IT &amp; IT Services"/>
    <s v="Micro (1-10)"/>
    <s v="Laura Thompson"/>
    <d v="2024-03-16T00:00:00"/>
    <s v="SAAS"/>
    <x v="6"/>
    <x v="6"/>
    <m/>
    <m/>
    <n v="1169"/>
    <n v="20"/>
    <d v="2024-07-19T00:00:00"/>
    <m/>
  </r>
  <r>
    <x v="2650"/>
    <s v="Belgium"/>
    <s v="51.260197"/>
    <s v="4.402771"/>
    <s v="Agriculture &amp; Mining"/>
    <s v="Micro (1-10)"/>
    <s v="David Wilson"/>
    <d v="2024-05-06T00:00:00"/>
    <s v="Custom solution"/>
    <x v="6"/>
    <x v="6"/>
    <m/>
    <m/>
    <n v="1140"/>
    <n v="40"/>
    <d v="2024-06-26T00:00:00"/>
    <m/>
  </r>
  <r>
    <x v="2651"/>
    <s v="Germany"/>
    <s v="52.520008"/>
    <s v="13.404954"/>
    <s v="Banking and Finance"/>
    <s v="Micro (1-10)"/>
    <s v="Jessica Martinez"/>
    <d v="2024-05-16T00:00:00"/>
    <s v="Custom solution"/>
    <x v="6"/>
    <x v="6"/>
    <m/>
    <m/>
    <n v="437"/>
    <n v="20"/>
    <d v="2024-06-05T00:00:00"/>
    <m/>
  </r>
  <r>
    <x v="2652"/>
    <s v="Italy"/>
    <s v="41.902782"/>
    <s v="12.496366"/>
    <s v="Transportation &amp; Logistics"/>
    <s v="Micro (1-10)"/>
    <s v="Kevin Anderson"/>
    <d v="2024-03-27T00:00:00"/>
    <s v="SAAS"/>
    <x v="6"/>
    <x v="6"/>
    <m/>
    <m/>
    <n v="1027"/>
    <n v="50"/>
    <d v="2025-01-08T00:00:00"/>
    <m/>
  </r>
  <r>
    <x v="2653"/>
    <s v="France"/>
    <s v="48.864716"/>
    <s v="2.349014"/>
    <s v="Retail &amp; Distribution"/>
    <s v="Micro (1-10)"/>
    <s v="Michael Brown"/>
    <d v="2024-01-13T00:00:00"/>
    <s v="Services"/>
    <x v="6"/>
    <x v="6"/>
    <m/>
    <m/>
    <n v="601"/>
    <n v="40"/>
    <d v="2024-12-14T00:00:00"/>
    <m/>
  </r>
  <r>
    <x v="2654"/>
    <s v="Spain"/>
    <s v="40.416775"/>
    <s v="-3.703790"/>
    <s v="Education &amp; Science"/>
    <s v="Micro (1-10)"/>
    <s v="Michael Brown"/>
    <d v="2024-04-19T00:00:00"/>
    <s v="Services"/>
    <x v="6"/>
    <x v="6"/>
    <m/>
    <m/>
    <n v="336"/>
    <n v="40"/>
    <d v="2025-03-22T00:00:00"/>
    <m/>
  </r>
  <r>
    <x v="2655"/>
    <s v="Switzerland"/>
    <s v="46.204391"/>
    <s v="6.143158"/>
    <s v="Banking and Finance"/>
    <s v="Micro (1-10)"/>
    <s v="Laura Thompson"/>
    <d v="2024-04-29T00:00:00"/>
    <s v="Services"/>
    <x v="6"/>
    <x v="6"/>
    <m/>
    <m/>
    <n v="822"/>
    <n v="40"/>
    <d v="2025-03-10T00:00:00"/>
    <m/>
  </r>
  <r>
    <x v="2656"/>
    <s v="Portugal"/>
    <s v="38.736946"/>
    <s v="-9.142685"/>
    <s v="Transportation &amp; Logistics"/>
    <s v="Micro (1-10)"/>
    <s v="Michael Brown"/>
    <d v="2024-02-03T00:00:00"/>
    <s v="SAAS"/>
    <x v="6"/>
    <x v="6"/>
    <m/>
    <m/>
    <n v="465"/>
    <n v="30"/>
    <d v="2024-02-28T00:00:00"/>
    <m/>
  </r>
  <r>
    <x v="2657"/>
    <s v="Germany"/>
    <s v="52.520008"/>
    <s v="13.404954"/>
    <s v="Government Administration Healthcare"/>
    <s v="Micro (1-10)"/>
    <s v="Laura Thompson"/>
    <d v="2024-05-12T00:00:00"/>
    <s v="Services"/>
    <x v="6"/>
    <x v="6"/>
    <m/>
    <m/>
    <n v="1146"/>
    <n v="20"/>
    <d v="2025-03-07T00:00:00"/>
    <m/>
  </r>
  <r>
    <x v="2658"/>
    <s v="Italy"/>
    <s v="41.902782"/>
    <s v="12.496366"/>
    <s v="Banking and Finance"/>
    <s v="Micro (1-10)"/>
    <s v="Jessica Martinez"/>
    <d v="2024-03-06T00:00:00"/>
    <s v="Services"/>
    <x v="6"/>
    <x v="6"/>
    <m/>
    <m/>
    <n v="794"/>
    <n v="70"/>
    <d v="2025-02-21T00:00:00"/>
    <m/>
  </r>
  <r>
    <x v="2659"/>
    <s v="Portugal"/>
    <s v="38.736946"/>
    <s v="-9.142685"/>
    <s v="Transportation &amp; Logistics"/>
    <s v="Micro (1-10)"/>
    <s v="Laura Thompson"/>
    <d v="2024-04-13T00:00:00"/>
    <s v="Custom solution"/>
    <x v="6"/>
    <x v="6"/>
    <m/>
    <m/>
    <n v="1164"/>
    <n v="10"/>
    <d v="2025-02-09T00:00:00"/>
    <m/>
  </r>
  <r>
    <x v="2660"/>
    <s v="Italy"/>
    <s v="41.902782"/>
    <s v="12.496366"/>
    <s v="Recreation &amp; Sports"/>
    <s v="Micro (1-10)"/>
    <s v="Kevin Anderson"/>
    <d v="2024-02-04T00:00:00"/>
    <s v="Custom solution"/>
    <x v="6"/>
    <x v="6"/>
    <m/>
    <m/>
    <n v="424"/>
    <n v="30"/>
    <d v="2024-03-13T00:00:00"/>
    <m/>
  </r>
  <r>
    <x v="2661"/>
    <s v="France"/>
    <s v="48.864716"/>
    <s v="2.349014"/>
    <s v="Transportation &amp; Logistics"/>
    <s v="Micro (1-10)"/>
    <s v="David Wilson"/>
    <d v="2024-01-08T00:00:00"/>
    <s v="SAAS"/>
    <x v="6"/>
    <x v="6"/>
    <m/>
    <m/>
    <n v="311"/>
    <n v="40"/>
    <d v="2024-04-13T00:00:00"/>
    <m/>
  </r>
  <r>
    <x v="2662"/>
    <s v="Switzerland"/>
    <s v="46.204391"/>
    <s v="6.143158"/>
    <s v="Manufacturing &amp; Production"/>
    <s v="Micro (1-10)"/>
    <s v="Laura Thompson"/>
    <d v="2024-01-02T00:00:00"/>
    <s v="Custom solution"/>
    <x v="6"/>
    <x v="6"/>
    <m/>
    <m/>
    <n v="899"/>
    <n v="40"/>
    <d v="2024-12-01T00:00:00"/>
    <m/>
  </r>
  <r>
    <x v="2663"/>
    <s v="Portugal"/>
    <s v="38.736946"/>
    <s v="-9.142685"/>
    <s v="Transportation &amp; Logistics"/>
    <s v="Micro (1-10)"/>
    <s v="Emily Johnson"/>
    <d v="2024-03-17T00:00:00"/>
    <s v="SAAS"/>
    <x v="6"/>
    <x v="6"/>
    <m/>
    <m/>
    <n v="405"/>
    <n v="20"/>
    <d v="2024-07-04T00:00:00"/>
    <m/>
  </r>
  <r>
    <x v="2664"/>
    <s v="Italy"/>
    <s v="41.902782"/>
    <s v="12.496366"/>
    <s v="Recreation &amp; Sports"/>
    <s v="Micro (1-10)"/>
    <s v="Sarah Davis"/>
    <d v="2024-05-26T00:00:00"/>
    <s v="SAAS"/>
    <x v="6"/>
    <x v="6"/>
    <m/>
    <m/>
    <n v="281"/>
    <n v="40"/>
    <d v="2024-11-11T00:00:00"/>
    <m/>
  </r>
  <r>
    <x v="2665"/>
    <s v="Italy"/>
    <s v="41.902782"/>
    <s v="12.496366"/>
    <s v="IT &amp; IT Services"/>
    <s v="Micro (1-10)"/>
    <s v="Emily Johnson"/>
    <d v="2024-05-28T00:00:00"/>
    <s v="Services"/>
    <x v="6"/>
    <x v="6"/>
    <m/>
    <m/>
    <n v="1144"/>
    <n v="20"/>
    <d v="2024-09-02T00:00:00"/>
    <m/>
  </r>
  <r>
    <x v="2666"/>
    <s v="Belgium"/>
    <s v="51.260197"/>
    <s v="4.402771"/>
    <s v="Government Administration Healthcare"/>
    <s v="Micro (1-10)"/>
    <s v="Sarah Davis"/>
    <d v="2024-02-27T00:00:00"/>
    <s v="SAAS"/>
    <x v="6"/>
    <x v="6"/>
    <m/>
    <m/>
    <n v="825"/>
    <n v="10"/>
    <d v="2024-05-31T00:00:00"/>
    <m/>
  </r>
  <r>
    <x v="2667"/>
    <s v="Portugal"/>
    <s v="38.736946"/>
    <s v="-9.142685"/>
    <s v="IT &amp; IT Services"/>
    <s v="Micro (1-10)"/>
    <s v="Laura Thompson"/>
    <d v="2024-02-14T00:00:00"/>
    <s v="Services"/>
    <x v="6"/>
    <x v="6"/>
    <m/>
    <m/>
    <n v="750"/>
    <n v="70"/>
    <d v="2024-12-27T00:00:00"/>
    <m/>
  </r>
  <r>
    <x v="2668"/>
    <s v="Spain"/>
    <s v="40.416775"/>
    <s v="-3.703790"/>
    <s v="Professional Services  &amp; Consulting"/>
    <s v="Micro (1-10)"/>
    <s v="Sarah Davis"/>
    <d v="2024-01-22T00:00:00"/>
    <s v="SAAS"/>
    <x v="6"/>
    <x v="6"/>
    <m/>
    <m/>
    <n v="1158"/>
    <n v="30"/>
    <d v="2024-08-30T00:00:00"/>
    <m/>
  </r>
  <r>
    <x v="2669"/>
    <s v="Germany"/>
    <s v="52.520008"/>
    <s v="13.404954"/>
    <s v="Telecommunications"/>
    <s v="Micro (1-10)"/>
    <s v="Michael Brown"/>
    <d v="2024-01-24T00:00:00"/>
    <s v="SAAS"/>
    <x v="6"/>
    <x v="6"/>
    <m/>
    <m/>
    <n v="918"/>
    <n v="30"/>
    <d v="2024-08-04T00:00:00"/>
    <m/>
  </r>
  <r>
    <x v="2670"/>
    <s v="Portugal"/>
    <s v="38.736946"/>
    <s v="-9.142685"/>
    <s v="Retail &amp; Distribution"/>
    <s v="Micro (1-10)"/>
    <s v="Emily Johnson"/>
    <d v="2024-03-09T00:00:00"/>
    <s v="Custom solution"/>
    <x v="6"/>
    <x v="6"/>
    <m/>
    <m/>
    <n v="215"/>
    <n v="40"/>
    <d v="2025-01-04T00:00:00"/>
    <m/>
  </r>
  <r>
    <x v="2671"/>
    <s v="Austria"/>
    <s v="48.210033"/>
    <s v="16.363449"/>
    <s v="Entertainment &amp; Media &amp; Hospitality"/>
    <s v="Micro (1-10)"/>
    <s v="Kevin Anderson"/>
    <d v="2024-02-15T00:00:00"/>
    <s v="Services"/>
    <x v="6"/>
    <x v="6"/>
    <m/>
    <m/>
    <n v="1060"/>
    <n v="30"/>
    <d v="2025-01-30T00:00:00"/>
    <m/>
  </r>
  <r>
    <x v="2672"/>
    <s v="Germany"/>
    <s v="52.520008"/>
    <s v="13.404954"/>
    <s v="Agriculture &amp; Mining"/>
    <s v="Micro (1-10)"/>
    <s v="Laura Thompson"/>
    <d v="2024-04-18T00:00:00"/>
    <s v="Services"/>
    <x v="6"/>
    <x v="6"/>
    <m/>
    <m/>
    <n v="493"/>
    <n v="30"/>
    <d v="2025-02-10T00:00:00"/>
    <m/>
  </r>
  <r>
    <x v="2673"/>
    <s v="Switzerland"/>
    <s v="46.204391"/>
    <s v="6.143158"/>
    <s v="Government Administration Healthcare"/>
    <s v="Micro (1-10)"/>
    <s v="David Wilson"/>
    <d v="2024-03-27T00:00:00"/>
    <s v="SAAS"/>
    <x v="6"/>
    <x v="6"/>
    <m/>
    <m/>
    <n v="815"/>
    <n v="20"/>
    <d v="2024-06-20T00:00:00"/>
    <m/>
  </r>
  <r>
    <x v="2674"/>
    <s v="Netherlands"/>
    <s v="52.370216"/>
    <s v="4.895168"/>
    <s v="Construction &amp; Engineering"/>
    <s v="Micro (1-10)"/>
    <s v="Jessica Martinez"/>
    <d v="2024-02-26T00:00:00"/>
    <s v="SAAS"/>
    <x v="6"/>
    <x v="6"/>
    <m/>
    <m/>
    <n v="595"/>
    <n v="70"/>
    <d v="2025-01-29T00:00:00"/>
    <m/>
  </r>
  <r>
    <x v="2675"/>
    <s v="Switzerland"/>
    <s v="46.204391"/>
    <s v="6.143158"/>
    <s v="Professional Services  &amp; Consulting"/>
    <s v="Micro (1-10)"/>
    <s v="Kevin Anderson"/>
    <d v="2024-01-20T00:00:00"/>
    <s v="SAAS"/>
    <x v="6"/>
    <x v="6"/>
    <m/>
    <m/>
    <n v="739"/>
    <n v="30"/>
    <d v="2024-03-02T00:00:00"/>
    <m/>
  </r>
  <r>
    <x v="2676"/>
    <s v="Netherlands"/>
    <s v="52.370216"/>
    <s v="4.895168"/>
    <s v="Banking and Finance"/>
    <s v="Micro (1-10)"/>
    <s v="Michael Brown"/>
    <d v="2024-01-29T00:00:00"/>
    <s v="Custom solution"/>
    <x v="6"/>
    <x v="6"/>
    <m/>
    <m/>
    <n v="571"/>
    <n v="40"/>
    <d v="2024-09-21T00:00:00"/>
    <m/>
  </r>
  <r>
    <x v="2677"/>
    <s v="Portugal"/>
    <s v="38.736946"/>
    <s v="-9.142685"/>
    <s v="IT &amp; IT Services"/>
    <s v="Micro (1-10)"/>
    <s v="Sarah Davis"/>
    <d v="2024-01-29T00:00:00"/>
    <s v="SAAS"/>
    <x v="6"/>
    <x v="6"/>
    <m/>
    <m/>
    <n v="313"/>
    <n v="100"/>
    <d v="2024-11-08T00:00:00"/>
    <m/>
  </r>
  <r>
    <x v="2678"/>
    <s v="Germany"/>
    <s v="52.520008"/>
    <s v="13.404954"/>
    <s v="Construction &amp; Engineering"/>
    <s v="Micro (1-10)"/>
    <s v="Michael Brown"/>
    <d v="2024-03-13T00:00:00"/>
    <s v="Services"/>
    <x v="6"/>
    <x v="6"/>
    <m/>
    <m/>
    <n v="924"/>
    <n v="30"/>
    <d v="2024-08-26T00:00:00"/>
    <m/>
  </r>
  <r>
    <x v="2679"/>
    <s v="Germany"/>
    <s v="52.520008"/>
    <s v="13.404954"/>
    <s v="Telecommunications"/>
    <s v="Micro (1-10)"/>
    <s v="Emily Johnson"/>
    <d v="2024-04-05T00:00:00"/>
    <s v="Custom solution"/>
    <x v="6"/>
    <x v="6"/>
    <m/>
    <m/>
    <n v="952"/>
    <n v="60"/>
    <d v="2024-10-13T00:00:00"/>
    <m/>
  </r>
  <r>
    <x v="2680"/>
    <s v="Portugal"/>
    <s v="38.736946"/>
    <s v="-9.142685"/>
    <s v="Professional Services  &amp; Consulting"/>
    <s v="Micro (1-10)"/>
    <s v="Jessica Martinez"/>
    <d v="2024-03-05T00:00:00"/>
    <s v="SAAS"/>
    <x v="6"/>
    <x v="6"/>
    <m/>
    <m/>
    <n v="202"/>
    <n v="20"/>
    <d v="2024-09-20T00:00:00"/>
    <m/>
  </r>
  <r>
    <x v="2681"/>
    <s v="Portugal"/>
    <s v="38.736946"/>
    <s v="-9.142685"/>
    <s v="Banking and Finance"/>
    <s v="Micro (1-10)"/>
    <s v="Emily Johnson"/>
    <d v="2024-04-20T00:00:00"/>
    <s v="Custom solution"/>
    <x v="6"/>
    <x v="6"/>
    <m/>
    <m/>
    <n v="660"/>
    <n v="50"/>
    <d v="2025-02-17T00:00:00"/>
    <m/>
  </r>
  <r>
    <x v="2682"/>
    <s v="Austria"/>
    <s v="48.210033"/>
    <s v="16.363449"/>
    <s v="Agriculture &amp; Mining"/>
    <s v="Micro (1-10)"/>
    <s v="Michael Brown"/>
    <d v="2024-05-08T00:00:00"/>
    <s v="SAAS"/>
    <x v="6"/>
    <x v="6"/>
    <m/>
    <m/>
    <n v="219"/>
    <n v="100"/>
    <d v="2024-07-03T00:00:00"/>
    <m/>
  </r>
  <r>
    <x v="2683"/>
    <s v="Italy"/>
    <s v="41.902782"/>
    <s v="12.496366"/>
    <s v="Professional Services  &amp; Consulting"/>
    <s v="Micro (1-10)"/>
    <s v="Laura Thompson"/>
    <d v="2024-02-05T00:00:00"/>
    <s v="SAAS"/>
    <x v="6"/>
    <x v="6"/>
    <m/>
    <m/>
    <n v="653"/>
    <n v="40"/>
    <d v="2024-06-07T00:00:00"/>
    <m/>
  </r>
  <r>
    <x v="2684"/>
    <s v="France"/>
    <s v="48.864716"/>
    <s v="2.349014"/>
    <s v="Transportation &amp; Logistics"/>
    <s v="Micro (1-10)"/>
    <s v="Michael Brown"/>
    <d v="2024-03-31T00:00:00"/>
    <s v="Services"/>
    <x v="6"/>
    <x v="6"/>
    <m/>
    <m/>
    <n v="816"/>
    <n v="90"/>
    <d v="2024-05-07T00:00:00"/>
    <m/>
  </r>
  <r>
    <x v="2685"/>
    <s v="France"/>
    <s v="48.864716"/>
    <s v="2.349014"/>
    <s v="Transportation &amp; Logistics"/>
    <s v="Micro (1-10)"/>
    <s v="Laura Thompson"/>
    <d v="2024-03-01T00:00:00"/>
    <s v="SAAS"/>
    <x v="6"/>
    <x v="6"/>
    <m/>
    <m/>
    <n v="344"/>
    <n v="30"/>
    <d v="2024-09-02T00:00:00"/>
    <m/>
  </r>
  <r>
    <x v="2686"/>
    <s v="Spain"/>
    <s v="40.416775"/>
    <s v="-3.703790"/>
    <s v="Transportation &amp; Logistics"/>
    <s v="Micro (1-10)"/>
    <s v="Laura Thompson"/>
    <d v="2024-03-18T00:00:00"/>
    <s v="Services"/>
    <x v="6"/>
    <x v="6"/>
    <m/>
    <m/>
    <n v="557"/>
    <n v="20"/>
    <d v="2025-03-14T00:00:00"/>
    <m/>
  </r>
  <r>
    <x v="2687"/>
    <s v="Netherlands"/>
    <s v="52.370216"/>
    <s v="4.895168"/>
    <s v="Banking and Finance"/>
    <s v="Micro (1-10)"/>
    <s v="Michael Brown"/>
    <d v="2024-05-31T00:00:00"/>
    <s v="Services"/>
    <x v="6"/>
    <x v="6"/>
    <m/>
    <m/>
    <n v="721"/>
    <n v="40"/>
    <d v="2024-08-21T00:00:00"/>
    <m/>
  </r>
  <r>
    <x v="2688"/>
    <s v="Italy"/>
    <s v="41.902782"/>
    <s v="12.496366"/>
    <s v="Professional Services  &amp; Consulting"/>
    <s v="Micro (1-10)"/>
    <s v="Jessica Martinez"/>
    <d v="2024-04-16T00:00:00"/>
    <s v="SAAS"/>
    <x v="6"/>
    <x v="6"/>
    <m/>
    <m/>
    <n v="964"/>
    <n v="40"/>
    <d v="2025-02-07T00:00:00"/>
    <m/>
  </r>
  <r>
    <x v="2689"/>
    <s v="Belgium"/>
    <s v="51.260197"/>
    <s v="4.402771"/>
    <s v="Agriculture &amp; Mining"/>
    <s v="Micro (1-10)"/>
    <s v="Laura Thompson"/>
    <d v="2024-04-08T00:00:00"/>
    <s v="SAAS"/>
    <x v="6"/>
    <x v="6"/>
    <m/>
    <m/>
    <n v="438"/>
    <n v="40"/>
    <d v="2024-08-22T00:00:00"/>
    <m/>
  </r>
  <r>
    <x v="2690"/>
    <s v="Germany"/>
    <s v="52.520008"/>
    <s v="13.404954"/>
    <s v="Agriculture &amp; Mining"/>
    <s v="Micro (1-10)"/>
    <s v="John Smith"/>
    <d v="2024-05-02T00:00:00"/>
    <s v="Custom solution"/>
    <x v="6"/>
    <x v="6"/>
    <m/>
    <m/>
    <n v="238"/>
    <n v="20"/>
    <d v="2024-09-17T00:00:00"/>
    <m/>
  </r>
  <r>
    <x v="2691"/>
    <s v="Germany"/>
    <s v="52.520008"/>
    <s v="13.404954"/>
    <s v="Transportation &amp; Logistics"/>
    <s v="Micro (1-10)"/>
    <s v="John Smith"/>
    <d v="2024-02-16T00:00:00"/>
    <s v="Services"/>
    <x v="6"/>
    <x v="6"/>
    <m/>
    <m/>
    <n v="381"/>
    <n v="30"/>
    <d v="2024-07-14T00:00:00"/>
    <m/>
  </r>
  <r>
    <x v="2692"/>
    <s v="Italy"/>
    <s v="41.902782"/>
    <s v="12.496366"/>
    <s v="Transportation &amp; Logistics"/>
    <s v="Micro (1-10)"/>
    <s v="David Wilson"/>
    <d v="2024-04-14T00:00:00"/>
    <s v="Custom solution"/>
    <x v="6"/>
    <x v="6"/>
    <m/>
    <m/>
    <n v="943"/>
    <n v="30"/>
    <d v="2024-08-16T00:00:00"/>
    <m/>
  </r>
  <r>
    <x v="2693"/>
    <s v="Switzerland"/>
    <s v="46.204391"/>
    <s v="6.143158"/>
    <s v="Banking and Finance"/>
    <s v="Micro (1-10)"/>
    <s v="Kevin Anderson"/>
    <d v="2024-05-08T00:00:00"/>
    <s v="SAAS"/>
    <x v="6"/>
    <x v="6"/>
    <m/>
    <m/>
    <n v="413"/>
    <n v="50"/>
    <d v="2024-06-04T00:00:00"/>
    <m/>
  </r>
  <r>
    <x v="2694"/>
    <s v="Netherlands"/>
    <s v="52.370216"/>
    <s v="4.895168"/>
    <s v="Construction &amp; Engineering"/>
    <s v="Micro (1-10)"/>
    <s v="Sarah Davis"/>
    <d v="2024-02-05T00:00:00"/>
    <s v="SAAS"/>
    <x v="6"/>
    <x v="6"/>
    <m/>
    <m/>
    <n v="1092"/>
    <n v="20"/>
    <d v="2024-08-06T00:00:00"/>
    <m/>
  </r>
  <r>
    <x v="2695"/>
    <s v="France"/>
    <s v="48.864716"/>
    <s v="2.349014"/>
    <s v="Telecommunications"/>
    <s v="Micro (1-10)"/>
    <s v="Jessica Martinez"/>
    <d v="2024-05-30T00:00:00"/>
    <s v="Services"/>
    <x v="6"/>
    <x v="6"/>
    <m/>
    <m/>
    <n v="429"/>
    <n v="40"/>
    <d v="2025-05-19T00:00:00"/>
    <m/>
  </r>
  <r>
    <x v="2696"/>
    <s v="Italy"/>
    <s v="41.902782"/>
    <s v="12.496366"/>
    <s v="Banking and Finance"/>
    <s v="Micro (1-10)"/>
    <s v="Jessica Martinez"/>
    <d v="2024-02-29T00:00:00"/>
    <s v="SAAS"/>
    <x v="6"/>
    <x v="6"/>
    <m/>
    <m/>
    <n v="952"/>
    <n v="30"/>
    <d v="2024-08-08T00:00:00"/>
    <m/>
  </r>
  <r>
    <x v="2697"/>
    <s v="Netherlands"/>
    <s v="52.370216"/>
    <s v="4.895168"/>
    <s v="Agriculture &amp; Mining"/>
    <s v="Micro (1-10)"/>
    <s v="Kevin Anderson"/>
    <d v="2024-03-22T00:00:00"/>
    <s v="SAAS"/>
    <x v="6"/>
    <x v="6"/>
    <m/>
    <m/>
    <n v="244"/>
    <n v="50"/>
    <d v="2025-01-03T00:00:00"/>
    <m/>
  </r>
  <r>
    <x v="2698"/>
    <s v="Portugal"/>
    <s v="38.736946"/>
    <s v="-9.142685"/>
    <s v="Retail &amp; Distribution"/>
    <s v="Micro (1-10)"/>
    <s v="David Wilson"/>
    <d v="2024-01-13T00:00:00"/>
    <s v="Custom solution"/>
    <x v="6"/>
    <x v="6"/>
    <m/>
    <m/>
    <n v="223"/>
    <n v="90"/>
    <d v="2024-09-13T00:00:00"/>
    <m/>
  </r>
  <r>
    <x v="2699"/>
    <s v="Austria"/>
    <s v="48.210033"/>
    <s v="16.363449"/>
    <s v="Transportation &amp; Logistics"/>
    <s v="Micro (1-10)"/>
    <s v="Michael Brown"/>
    <d v="2024-04-20T00:00:00"/>
    <s v="Services"/>
    <x v="6"/>
    <x v="6"/>
    <m/>
    <m/>
    <n v="370"/>
    <n v="40"/>
    <d v="2025-02-07T00:00:00"/>
    <m/>
  </r>
  <r>
    <x v="2700"/>
    <s v="Italy"/>
    <s v="41.902782"/>
    <s v="12.496366"/>
    <s v="IT &amp; IT Services"/>
    <s v="Micro (1-10)"/>
    <s v="John Smith"/>
    <d v="2024-04-24T00:00:00"/>
    <s v="Custom solution"/>
    <x v="6"/>
    <x v="6"/>
    <m/>
    <m/>
    <n v="1049"/>
    <n v="30"/>
    <d v="2024-10-07T00:00:00"/>
    <m/>
  </r>
  <r>
    <x v="2701"/>
    <s v="Portugal"/>
    <s v="38.736946"/>
    <s v="-9.142685"/>
    <s v="Manufacturing &amp; Production"/>
    <s v="Micro (1-10)"/>
    <s v="David Wilson"/>
    <d v="2024-05-02T00:00:00"/>
    <s v="Services"/>
    <x v="6"/>
    <x v="6"/>
    <m/>
    <m/>
    <n v="380"/>
    <n v="20"/>
    <d v="2024-09-19T00:00:00"/>
    <m/>
  </r>
  <r>
    <x v="2702"/>
    <s v="Germany"/>
    <s v="52.520008"/>
    <s v="13.404954"/>
    <s v="Professional Services  &amp; Consulting"/>
    <s v="Micro (1-10)"/>
    <s v="Laura Thompson"/>
    <d v="2024-02-25T00:00:00"/>
    <s v="Custom solution"/>
    <x v="6"/>
    <x v="6"/>
    <m/>
    <m/>
    <n v="1199"/>
    <n v="20"/>
    <d v="2024-08-06T00:00:00"/>
    <m/>
  </r>
  <r>
    <x v="2703"/>
    <s v="Netherlands"/>
    <s v="52.370216"/>
    <s v="4.895168"/>
    <s v="Telecommunications"/>
    <s v="Micro (1-10)"/>
    <s v="Laura Thompson"/>
    <d v="2024-02-25T00:00:00"/>
    <s v="SAAS"/>
    <x v="6"/>
    <x v="6"/>
    <m/>
    <m/>
    <n v="510"/>
    <n v="50"/>
    <d v="2024-08-22T00:00:00"/>
    <m/>
  </r>
  <r>
    <x v="2704"/>
    <s v="Switzerland"/>
    <s v="46.204391"/>
    <s v="6.143158"/>
    <s v="Government Administration Healthcare"/>
    <s v="Micro (1-10)"/>
    <s v="Emily Johnson"/>
    <d v="2024-01-29T00:00:00"/>
    <s v="SAAS"/>
    <x v="6"/>
    <x v="6"/>
    <m/>
    <m/>
    <n v="407"/>
    <n v="50"/>
    <d v="2024-02-19T00:00:00"/>
    <m/>
  </r>
  <r>
    <x v="2705"/>
    <s v="Italy"/>
    <s v="41.902782"/>
    <s v="12.496366"/>
    <s v="Energy &amp; Utilities"/>
    <s v="Micro (1-10)"/>
    <s v="Emily Johnson"/>
    <d v="2024-04-12T00:00:00"/>
    <s v="SAAS"/>
    <x v="6"/>
    <x v="6"/>
    <m/>
    <m/>
    <n v="299"/>
    <n v="30"/>
    <d v="2025-03-13T00:00:00"/>
    <m/>
  </r>
  <r>
    <x v="2706"/>
    <s v="Portugal"/>
    <s v="38.736946"/>
    <s v="-9.142685"/>
    <s v="Transportation &amp; Logistics"/>
    <s v="Micro (1-10)"/>
    <s v="Jessica Martinez"/>
    <d v="2024-01-17T00:00:00"/>
    <s v="SAAS"/>
    <x v="6"/>
    <x v="6"/>
    <m/>
    <m/>
    <n v="706"/>
    <n v="20"/>
    <d v="2024-05-11T00:00:00"/>
    <m/>
  </r>
  <r>
    <x v="2707"/>
    <s v="France"/>
    <s v="48.864716"/>
    <s v="2.349014"/>
    <s v="Transportation &amp; Logistics"/>
    <s v="Micro (1-10)"/>
    <s v="Laura Thompson"/>
    <d v="2024-05-02T00:00:00"/>
    <s v="SAAS"/>
    <x v="6"/>
    <x v="6"/>
    <m/>
    <m/>
    <n v="766"/>
    <n v="40"/>
    <d v="2024-06-18T00:00:00"/>
    <m/>
  </r>
  <r>
    <x v="2708"/>
    <s v="Switzerland"/>
    <s v="46.204391"/>
    <s v="6.143158"/>
    <s v="Transportation &amp; Logistics"/>
    <s v="Micro (1-10)"/>
    <s v="Jessica Martinez"/>
    <d v="2024-04-05T00:00:00"/>
    <s v="SAAS"/>
    <x v="6"/>
    <x v="6"/>
    <m/>
    <m/>
    <n v="496"/>
    <n v="60"/>
    <d v="2025-02-28T00:00:00"/>
    <m/>
  </r>
  <r>
    <x v="2709"/>
    <s v="Spain"/>
    <s v="40.416775"/>
    <s v="-3.703790"/>
    <s v="Professional Services  &amp; Consulting"/>
    <s v="Micro (1-10)"/>
    <s v="Jessica Martinez"/>
    <d v="2024-05-29T00:00:00"/>
    <s v="Services"/>
    <x v="6"/>
    <x v="6"/>
    <m/>
    <m/>
    <n v="917"/>
    <n v="20"/>
    <d v="2024-06-28T00:00:00"/>
    <m/>
  </r>
  <r>
    <x v="2710"/>
    <s v="Italy"/>
    <s v="41.902782"/>
    <s v="12.496366"/>
    <s v="Entertainment &amp; Media &amp; Hospitality"/>
    <s v="Micro (1-10)"/>
    <s v="Michael Brown"/>
    <d v="2024-05-08T00:00:00"/>
    <s v="SAAS"/>
    <x v="6"/>
    <x v="6"/>
    <m/>
    <m/>
    <n v="656"/>
    <n v="40"/>
    <d v="2024-06-08T00:00:00"/>
    <m/>
  </r>
  <r>
    <x v="2711"/>
    <s v="Italy"/>
    <s v="41.902782"/>
    <s v="12.496366"/>
    <s v="Transportation &amp; Logistics"/>
    <s v="Micro (1-10)"/>
    <s v="Kevin Anderson"/>
    <d v="2024-03-15T00:00:00"/>
    <s v="Custom solution"/>
    <x v="6"/>
    <x v="6"/>
    <m/>
    <m/>
    <n v="996"/>
    <n v="70"/>
    <d v="2024-12-27T00:00:00"/>
    <m/>
  </r>
  <r>
    <x v="2712"/>
    <s v="Switzerland"/>
    <s v="46.204391"/>
    <s v="6.143158"/>
    <s v="Professional Services  &amp; Consulting"/>
    <s v="Micro (1-10)"/>
    <s v="Sarah Davis"/>
    <d v="2024-05-14T00:00:00"/>
    <s v="Services"/>
    <x v="6"/>
    <x v="6"/>
    <m/>
    <m/>
    <n v="428"/>
    <n v="30"/>
    <d v="2024-09-05T00:00:00"/>
    <m/>
  </r>
  <r>
    <x v="2713"/>
    <s v="France"/>
    <s v="48.864716"/>
    <s v="2.349014"/>
    <s v="IT &amp; IT Services"/>
    <s v="Micro (1-10)"/>
    <s v="Michael Brown"/>
    <d v="2024-01-10T00:00:00"/>
    <s v="SAAS"/>
    <x v="6"/>
    <x v="6"/>
    <m/>
    <m/>
    <n v="562"/>
    <n v="20"/>
    <d v="2024-08-19T00:00:00"/>
    <m/>
  </r>
  <r>
    <x v="2714"/>
    <s v="Switzerland"/>
    <s v="46.204391"/>
    <s v="6.143158"/>
    <s v="IT &amp; IT Services"/>
    <s v="Micro (1-10)"/>
    <s v="Michael Brown"/>
    <d v="2024-01-08T00:00:00"/>
    <s v="Custom solution"/>
    <x v="6"/>
    <x v="6"/>
    <m/>
    <m/>
    <n v="786"/>
    <n v="50"/>
    <d v="2024-08-19T00:00:00"/>
    <m/>
  </r>
  <r>
    <x v="2715"/>
    <s v="Italy"/>
    <s v="41.902782"/>
    <s v="12.496366"/>
    <s v="Transportation &amp; Logistics"/>
    <s v="Micro (1-10)"/>
    <s v="Jessica Martinez"/>
    <d v="2024-04-04T00:00:00"/>
    <s v="SAAS"/>
    <x v="6"/>
    <x v="6"/>
    <m/>
    <m/>
    <n v="827"/>
    <n v="40"/>
    <d v="2025-02-17T00:00:00"/>
    <m/>
  </r>
  <r>
    <x v="2716"/>
    <s v="France"/>
    <s v="48.864716"/>
    <s v="2.349014"/>
    <s v="Transportation &amp; Logistics"/>
    <s v="Micro (1-10)"/>
    <s v="Emily Johnson"/>
    <d v="2024-04-13T00:00:00"/>
    <s v="Services"/>
    <x v="6"/>
    <x v="6"/>
    <m/>
    <m/>
    <n v="1021"/>
    <n v="60"/>
    <d v="2025-01-16T00:00:00"/>
    <m/>
  </r>
  <r>
    <x v="2717"/>
    <s v="Germany"/>
    <s v="52.520008"/>
    <s v="13.404954"/>
    <s v="Entertainment &amp; Media &amp; Hospitality"/>
    <s v="Micro (1-10)"/>
    <s v="Jessica Martinez"/>
    <d v="2024-01-25T00:00:00"/>
    <s v="Services"/>
    <x v="6"/>
    <x v="6"/>
    <m/>
    <m/>
    <n v="509"/>
    <n v="40"/>
    <d v="2024-03-13T00:00:00"/>
    <m/>
  </r>
  <r>
    <x v="2718"/>
    <s v="Germany"/>
    <s v="52.520008"/>
    <s v="13.404954"/>
    <s v="Banking and Finance"/>
    <s v="Micro (1-10)"/>
    <s v="Sarah Davis"/>
    <d v="2024-01-20T00:00:00"/>
    <s v="Services"/>
    <x v="6"/>
    <x v="6"/>
    <m/>
    <m/>
    <n v="883"/>
    <n v="40"/>
    <d v="2024-07-21T00:00:00"/>
    <m/>
  </r>
  <r>
    <x v="2719"/>
    <s v="Italy"/>
    <s v="41.902782"/>
    <s v="12.496366"/>
    <s v="Agriculture &amp; Mining"/>
    <s v="Micro (1-10)"/>
    <s v="Sarah Davis"/>
    <d v="2024-05-19T00:00:00"/>
    <s v="SAAS"/>
    <x v="6"/>
    <x v="6"/>
    <m/>
    <m/>
    <n v="500"/>
    <n v="30"/>
    <d v="2025-04-19T00:00:00"/>
    <m/>
  </r>
  <r>
    <x v="2720"/>
    <s v="Italy"/>
    <s v="41.902782"/>
    <s v="12.496366"/>
    <s v="Government Administration Healthcare"/>
    <s v="Micro (1-10)"/>
    <s v="Sarah Davis"/>
    <d v="2024-03-28T00:00:00"/>
    <s v="Custom solution"/>
    <x v="6"/>
    <x v="6"/>
    <m/>
    <m/>
    <n v="891"/>
    <n v="90"/>
    <d v="2025-03-07T00:00:00"/>
    <m/>
  </r>
  <r>
    <x v="2721"/>
    <s v="Italy"/>
    <s v="41.902782"/>
    <s v="12.496366"/>
    <s v="Banking and Finance"/>
    <s v="Micro (1-10)"/>
    <s v="Sarah Davis"/>
    <d v="2024-05-14T00:00:00"/>
    <s v="Custom solution"/>
    <x v="6"/>
    <x v="6"/>
    <m/>
    <m/>
    <n v="811"/>
    <n v="20"/>
    <d v="2025-04-10T00:00:00"/>
    <m/>
  </r>
  <r>
    <x v="2722"/>
    <s v="Germany"/>
    <s v="52.520008"/>
    <s v="13.404954"/>
    <s v="IT &amp; IT Services"/>
    <s v="Micro (1-10)"/>
    <s v="Laura Thompson"/>
    <d v="2024-01-29T00:00:00"/>
    <s v="Services"/>
    <x v="6"/>
    <x v="6"/>
    <m/>
    <m/>
    <n v="993"/>
    <n v="20"/>
    <d v="2024-08-19T00:00:00"/>
    <m/>
  </r>
  <r>
    <x v="2723"/>
    <s v="Italy"/>
    <s v="41.902782"/>
    <s v="12.496366"/>
    <s v="Professional Services  &amp; Consulting"/>
    <s v="Micro (1-10)"/>
    <s v="David Wilson"/>
    <d v="2024-04-30T00:00:00"/>
    <s v="Custom solution"/>
    <x v="6"/>
    <x v="6"/>
    <m/>
    <m/>
    <n v="1083"/>
    <n v="50"/>
    <d v="2025-01-03T00:00:00"/>
    <m/>
  </r>
  <r>
    <x v="2724"/>
    <s v="Spain"/>
    <s v="40.416775"/>
    <s v="-3.703790"/>
    <s v="Transportation &amp; Logistics"/>
    <s v="Micro (1-10)"/>
    <s v="Laura Thompson"/>
    <d v="2024-04-28T00:00:00"/>
    <s v="Services"/>
    <x v="6"/>
    <x v="6"/>
    <m/>
    <m/>
    <n v="928"/>
    <n v="50"/>
    <d v="2025-02-19T00:00:00"/>
    <m/>
  </r>
  <r>
    <x v="2725"/>
    <s v="Italy"/>
    <s v="41.902782"/>
    <s v="12.496366"/>
    <s v="Transportation &amp; Logistics"/>
    <s v="Micro (1-10)"/>
    <s v="Jessica Martinez"/>
    <d v="2024-04-19T00:00:00"/>
    <s v="SAAS"/>
    <x v="6"/>
    <x v="6"/>
    <m/>
    <m/>
    <n v="307"/>
    <n v="30"/>
    <d v="2025-01-10T00:00:00"/>
    <m/>
  </r>
  <r>
    <x v="2726"/>
    <s v="Italy"/>
    <s v="41.902782"/>
    <s v="12.496366"/>
    <s v="Transportation &amp; Logistics"/>
    <s v="Micro (1-10)"/>
    <s v="John Smith"/>
    <d v="2024-04-02T00:00:00"/>
    <s v="SAAS"/>
    <x v="6"/>
    <x v="6"/>
    <m/>
    <m/>
    <n v="697"/>
    <n v="60"/>
    <d v="2024-11-03T00:00:00"/>
    <m/>
  </r>
  <r>
    <x v="2727"/>
    <s v="Switzerland"/>
    <s v="46.204391"/>
    <s v="6.143158"/>
    <s v="IT &amp; IT Services"/>
    <s v="Micro (1-10)"/>
    <s v="Laura Thompson"/>
    <d v="2024-04-07T00:00:00"/>
    <s v="Services"/>
    <x v="6"/>
    <x v="6"/>
    <m/>
    <m/>
    <n v="451"/>
    <n v="30"/>
    <d v="2024-05-27T00:00:00"/>
    <m/>
  </r>
  <r>
    <x v="2728"/>
    <s v="Switzerland"/>
    <s v="46.204391"/>
    <s v="6.143158"/>
    <s v="Banking and Finance"/>
    <s v="Micro (1-10)"/>
    <s v="Laura Thompson"/>
    <d v="2024-01-25T00:00:00"/>
    <s v="Custom solution"/>
    <x v="6"/>
    <x v="6"/>
    <m/>
    <m/>
    <n v="1160"/>
    <n v="20"/>
    <d v="2024-07-29T00:00:00"/>
    <m/>
  </r>
  <r>
    <x v="2729"/>
    <s v="Italy"/>
    <s v="41.902782"/>
    <s v="12.496366"/>
    <s v="Transportation &amp; Logistics"/>
    <s v="Micro (1-10)"/>
    <s v="Laura Thompson"/>
    <d v="2024-05-12T00:00:00"/>
    <s v="SAAS"/>
    <x v="6"/>
    <x v="6"/>
    <m/>
    <m/>
    <n v="790"/>
    <n v="30"/>
    <d v="2025-03-19T00:00:00"/>
    <m/>
  </r>
  <r>
    <x v="2730"/>
    <s v="France"/>
    <s v="48.864716"/>
    <s v="2.349014"/>
    <s v="Banking and Finance"/>
    <s v="Micro (1-10)"/>
    <s v="Emily Johnson"/>
    <d v="2024-01-10T00:00:00"/>
    <s v="SAAS"/>
    <x v="6"/>
    <x v="6"/>
    <m/>
    <m/>
    <n v="1196"/>
    <n v="20"/>
    <d v="2024-07-04T00:00:00"/>
    <m/>
  </r>
  <r>
    <x v="2731"/>
    <s v="Italy"/>
    <s v="41.902782"/>
    <s v="12.496366"/>
    <s v="Government Administration Healthcare"/>
    <s v="Micro (1-10)"/>
    <s v="Emily Johnson"/>
    <d v="2024-02-28T00:00:00"/>
    <s v="Services"/>
    <x v="6"/>
    <x v="6"/>
    <m/>
    <m/>
    <n v="915"/>
    <n v="30"/>
    <d v="2024-12-18T00:00:00"/>
    <m/>
  </r>
  <r>
    <x v="2732"/>
    <s v="Austria"/>
    <s v="48.210033"/>
    <s v="16.363449"/>
    <s v="IT &amp; IT Services"/>
    <s v="Micro (1-10)"/>
    <s v="Laura Thompson"/>
    <d v="2024-03-27T00:00:00"/>
    <s v="Services"/>
    <x v="6"/>
    <x v="6"/>
    <m/>
    <m/>
    <n v="1075"/>
    <n v="30"/>
    <d v="2025-02-19T00:00:00"/>
    <m/>
  </r>
  <r>
    <x v="2733"/>
    <s v="Switzerland"/>
    <s v="46.204391"/>
    <s v="6.143158"/>
    <s v="Energy &amp; Utilities"/>
    <s v="Micro (1-10)"/>
    <s v="Jessica Martinez"/>
    <d v="2024-04-18T00:00:00"/>
    <s v="SAAS"/>
    <x v="6"/>
    <x v="6"/>
    <m/>
    <m/>
    <n v="789"/>
    <n v="20"/>
    <d v="2024-11-07T00:00:00"/>
    <m/>
  </r>
  <r>
    <x v="2734"/>
    <s v="Belgium"/>
    <s v="51.260197"/>
    <s v="4.402771"/>
    <s v="Professional Services  &amp; Consulting"/>
    <s v="Micro (1-10)"/>
    <s v="Jessica Martinez"/>
    <d v="2024-02-16T00:00:00"/>
    <s v="SAAS"/>
    <x v="6"/>
    <x v="6"/>
    <m/>
    <m/>
    <n v="492"/>
    <n v="30"/>
    <d v="2024-04-27T00:00:00"/>
    <m/>
  </r>
  <r>
    <x v="2735"/>
    <s v="Italy"/>
    <s v="41.902782"/>
    <s v="12.496366"/>
    <s v="Telecommunications"/>
    <s v="Medium (201-500)"/>
    <s v="Emily Johnson"/>
    <d v="2024-02-23T00:00:00"/>
    <s v="Services"/>
    <x v="6"/>
    <x v="6"/>
    <m/>
    <m/>
    <n v="1940"/>
    <n v="40"/>
    <d v="2024-12-08T00:00:00"/>
    <m/>
  </r>
  <r>
    <x v="2736"/>
    <s v="Germany"/>
    <s v="52.520008"/>
    <s v="13.404954"/>
    <s v="IT &amp; IT Services"/>
    <s v="Medium (201-500)"/>
    <s v="Michael Brown"/>
    <d v="2024-02-03T00:00:00"/>
    <s v="Custom solution"/>
    <x v="6"/>
    <x v="6"/>
    <m/>
    <m/>
    <n v="6881"/>
    <n v="20"/>
    <d v="2024-06-25T00:00:00"/>
    <m/>
  </r>
  <r>
    <x v="2737"/>
    <s v="Portugal"/>
    <s v="38.736946"/>
    <s v="-9.142685"/>
    <s v="Banking and Finance"/>
    <s v="Medium (201-500)"/>
    <s v="Kevin Anderson"/>
    <d v="2024-04-06T00:00:00"/>
    <s v="SAAS"/>
    <x v="6"/>
    <x v="6"/>
    <m/>
    <m/>
    <n v="1944"/>
    <n v="30"/>
    <d v="2025-01-16T00:00:00"/>
    <m/>
  </r>
  <r>
    <x v="2738"/>
    <s v="Belgium"/>
    <s v="51.260197"/>
    <s v="4.402771"/>
    <s v="Government Administration Healthcare"/>
    <s v="Medium (201-500)"/>
    <s v="Kevin Anderson"/>
    <d v="2024-03-29T00:00:00"/>
    <s v="Services"/>
    <x v="6"/>
    <x v="6"/>
    <m/>
    <m/>
    <n v="7599"/>
    <n v="60"/>
    <d v="2024-06-06T00:00:00"/>
    <m/>
  </r>
  <r>
    <x v="2739"/>
    <s v="Portugal"/>
    <s v="38.736946"/>
    <s v="-9.142685"/>
    <s v="IT &amp; IT Services"/>
    <s v="Medium (201-500)"/>
    <s v="Laura Thompson"/>
    <d v="2024-01-16T00:00:00"/>
    <s v="Custom solution"/>
    <x v="6"/>
    <x v="6"/>
    <m/>
    <m/>
    <n v="4083"/>
    <n v="10"/>
    <d v="2024-03-18T00:00:00"/>
    <m/>
  </r>
  <r>
    <x v="2740"/>
    <s v="Switzerland"/>
    <s v="46.204391"/>
    <s v="6.143158"/>
    <s v="IT &amp; IT Services"/>
    <s v="Medium (201-500)"/>
    <s v="John Smith"/>
    <d v="2024-03-26T00:00:00"/>
    <s v="Custom solution"/>
    <x v="6"/>
    <x v="6"/>
    <m/>
    <m/>
    <n v="6631"/>
    <n v="40"/>
    <d v="2024-12-08T00:00:00"/>
    <m/>
  </r>
  <r>
    <x v="2741"/>
    <s v="Italy"/>
    <s v="41.902782"/>
    <s v="12.496366"/>
    <s v="Education &amp; Science"/>
    <s v="Medium (201-500)"/>
    <s v="David Wilson"/>
    <d v="2024-04-18T00:00:00"/>
    <s v="SAAS"/>
    <x v="6"/>
    <x v="6"/>
    <m/>
    <m/>
    <n v="3675"/>
    <n v="60"/>
    <d v="2024-11-10T00:00:00"/>
    <m/>
  </r>
  <r>
    <x v="2742"/>
    <s v="Italy"/>
    <s v="41.902782"/>
    <s v="12.496366"/>
    <s v="Construction &amp; Engineering"/>
    <s v="Medium (201-500)"/>
    <s v="David Wilson"/>
    <d v="2024-03-18T00:00:00"/>
    <s v="Custom solution"/>
    <x v="6"/>
    <x v="6"/>
    <m/>
    <m/>
    <n v="6491"/>
    <n v="20"/>
    <d v="2024-12-07T00:00:00"/>
    <m/>
  </r>
  <r>
    <x v="2743"/>
    <s v="Italy"/>
    <s v="41.902782"/>
    <s v="12.496366"/>
    <s v="Banking and Finance"/>
    <s v="Medium (201-500)"/>
    <s v="Sarah Davis"/>
    <d v="2024-04-30T00:00:00"/>
    <s v="Services"/>
    <x v="6"/>
    <x v="6"/>
    <m/>
    <m/>
    <n v="666"/>
    <n v="90"/>
    <d v="2025-02-15T00:00:00"/>
    <m/>
  </r>
  <r>
    <x v="2744"/>
    <s v="Switzerland"/>
    <s v="46.204391"/>
    <s v="6.143158"/>
    <s v="IT &amp; IT Services"/>
    <s v="Medium (201-500)"/>
    <s v="Laura Thompson"/>
    <d v="2024-05-21T00:00:00"/>
    <s v="SAAS"/>
    <x v="6"/>
    <x v="6"/>
    <m/>
    <m/>
    <n v="6272"/>
    <n v="90"/>
    <d v="2024-09-20T00:00:00"/>
    <m/>
  </r>
  <r>
    <x v="2745"/>
    <s v="Switzerland"/>
    <s v="46.204391"/>
    <s v="6.143158"/>
    <s v="Energy &amp; Utilities"/>
    <s v="Medium (201-500)"/>
    <s v="Michael Brown"/>
    <d v="2024-05-14T00:00:00"/>
    <s v="Services"/>
    <x v="6"/>
    <x v="6"/>
    <m/>
    <m/>
    <n v="6217"/>
    <n v="90"/>
    <d v="2024-07-18T00:00:00"/>
    <m/>
  </r>
  <r>
    <x v="2746"/>
    <s v="France"/>
    <s v="48.864716"/>
    <s v="2.349014"/>
    <s v="IT &amp; IT Services"/>
    <s v="Medium (201-500)"/>
    <s v="Laura Thompson"/>
    <d v="2024-02-13T00:00:00"/>
    <s v="SAAS"/>
    <x v="6"/>
    <x v="6"/>
    <m/>
    <m/>
    <n v="3368"/>
    <n v="80"/>
    <d v="2024-07-11T00:00:00"/>
    <m/>
  </r>
  <r>
    <x v="2747"/>
    <s v="Italy"/>
    <s v="41.902782"/>
    <s v="12.496366"/>
    <s v="Construction &amp; Engineering"/>
    <s v="Medium (201-500)"/>
    <s v="Michael Brown"/>
    <d v="2024-05-27T00:00:00"/>
    <s v="Services"/>
    <x v="6"/>
    <x v="6"/>
    <m/>
    <m/>
    <n v="6401"/>
    <n v="40"/>
    <d v="2024-10-28T00:00:00"/>
    <m/>
  </r>
  <r>
    <x v="2748"/>
    <s v="France"/>
    <s v="48.864716"/>
    <s v="2.349014"/>
    <s v="Transportation &amp; Logistics"/>
    <s v="Medium (201-500)"/>
    <s v="Kevin Anderson"/>
    <d v="2024-02-17T00:00:00"/>
    <s v="Custom solution"/>
    <x v="6"/>
    <x v="6"/>
    <m/>
    <m/>
    <n v="6003"/>
    <n v="50"/>
    <d v="2024-07-26T00:00:00"/>
    <m/>
  </r>
  <r>
    <x v="2749"/>
    <s v="Austria"/>
    <s v="48.210033"/>
    <s v="16.363449"/>
    <s v="Transportation &amp; Logistics"/>
    <s v="Medium (201-500)"/>
    <s v="Laura Thompson"/>
    <d v="2024-01-27T00:00:00"/>
    <s v="Services"/>
    <x v="6"/>
    <x v="6"/>
    <m/>
    <m/>
    <n v="4630"/>
    <n v="60"/>
    <d v="2024-04-20T00:00:00"/>
    <m/>
  </r>
  <r>
    <x v="2750"/>
    <s v="Belgium"/>
    <s v="51.260197"/>
    <s v="4.402771"/>
    <s v="Manufacturing &amp; Production"/>
    <s v="Medium (201-500)"/>
    <s v="David Wilson"/>
    <d v="2024-05-29T00:00:00"/>
    <s v="Custom solution"/>
    <x v="6"/>
    <x v="6"/>
    <m/>
    <m/>
    <n v="1412"/>
    <n v="20"/>
    <d v="2025-05-12T00:00:00"/>
    <m/>
  </r>
  <r>
    <x v="2751"/>
    <s v="Germany"/>
    <s v="52.520008"/>
    <s v="13.404954"/>
    <s v="IT &amp; IT Services"/>
    <s v="Medium (201-500)"/>
    <s v="John Smith"/>
    <d v="2024-01-10T00:00:00"/>
    <s v="Custom solution"/>
    <x v="6"/>
    <x v="6"/>
    <m/>
    <m/>
    <n v="7814"/>
    <n v="50"/>
    <d v="2024-09-17T00:00:00"/>
    <m/>
  </r>
  <r>
    <x v="2752"/>
    <s v="Netherlands"/>
    <s v="52.370216"/>
    <s v="4.895168"/>
    <s v="Transportation &amp; Logistics"/>
    <s v="Medium (201-500)"/>
    <s v="Jessica Martinez"/>
    <d v="2024-05-22T00:00:00"/>
    <s v="SAAS"/>
    <x v="6"/>
    <x v="6"/>
    <m/>
    <m/>
    <n v="7896"/>
    <n v="20"/>
    <d v="2024-12-23T00:00:00"/>
    <m/>
  </r>
  <r>
    <x v="2753"/>
    <s v="Switzerland"/>
    <s v="46.204391"/>
    <s v="6.143158"/>
    <s v="Government Administration Healthcare"/>
    <s v="Medium (201-500)"/>
    <s v="Laura Thompson"/>
    <d v="2024-04-22T00:00:00"/>
    <s v="Custom solution"/>
    <x v="6"/>
    <x v="6"/>
    <m/>
    <m/>
    <n v="2922"/>
    <n v="30"/>
    <d v="2024-05-31T00:00:00"/>
    <m/>
  </r>
  <r>
    <x v="2754"/>
    <s v="France"/>
    <s v="48.864716"/>
    <s v="2.349014"/>
    <s v="Energy &amp; Utilities"/>
    <s v="Medium (201-500)"/>
    <s v="David Wilson"/>
    <d v="2024-01-17T00:00:00"/>
    <s v="SAAS"/>
    <x v="6"/>
    <x v="6"/>
    <m/>
    <m/>
    <n v="5709"/>
    <n v="30"/>
    <d v="2024-02-29T00:00:00"/>
    <m/>
  </r>
  <r>
    <x v="2755"/>
    <s v="Italy"/>
    <s v="41.902782"/>
    <s v="12.496366"/>
    <s v="Transportation &amp; Logistics"/>
    <s v="Medium (201-500)"/>
    <s v="Michael Brown"/>
    <d v="2024-02-02T00:00:00"/>
    <s v="Custom solution"/>
    <x v="6"/>
    <x v="6"/>
    <m/>
    <m/>
    <n v="1102"/>
    <n v="30"/>
    <d v="2024-10-26T00:00:00"/>
    <m/>
  </r>
  <r>
    <x v="2756"/>
    <s v="Germany"/>
    <s v="52.520008"/>
    <s v="13.404954"/>
    <s v="Banking and Finance"/>
    <s v="Medium (201-500)"/>
    <s v="Sarah Davis"/>
    <d v="2024-02-18T00:00:00"/>
    <s v="Custom solution"/>
    <x v="6"/>
    <x v="6"/>
    <m/>
    <m/>
    <n v="3809"/>
    <n v="30"/>
    <d v="2024-10-13T00:00:00"/>
    <m/>
  </r>
  <r>
    <x v="2757"/>
    <s v="Italy"/>
    <s v="41.902782"/>
    <s v="12.496366"/>
    <s v="Manufacturing &amp; Production"/>
    <s v="Medium (201-500)"/>
    <s v="John Smith"/>
    <d v="2024-05-04T00:00:00"/>
    <s v="Services"/>
    <x v="6"/>
    <x v="6"/>
    <m/>
    <m/>
    <n v="3896"/>
    <n v="20"/>
    <d v="2024-09-14T00:00:00"/>
    <m/>
  </r>
  <r>
    <x v="2758"/>
    <s v="Germany"/>
    <s v="52.520008"/>
    <s v="13.404954"/>
    <s v="IT &amp; IT Services"/>
    <s v="Medium (201-500)"/>
    <s v="Jessica Martinez"/>
    <d v="2024-05-22T00:00:00"/>
    <s v="Services"/>
    <x v="6"/>
    <x v="6"/>
    <m/>
    <m/>
    <n v="6990"/>
    <n v="50"/>
    <d v="2025-03-12T00:00:00"/>
    <m/>
  </r>
  <r>
    <x v="2759"/>
    <s v="Netherlands"/>
    <s v="52.370216"/>
    <s v="4.895168"/>
    <s v="Banking and Finance"/>
    <s v="Medium (201-500)"/>
    <s v="Michael Brown"/>
    <d v="2024-05-27T00:00:00"/>
    <s v="SAAS"/>
    <x v="6"/>
    <x v="6"/>
    <m/>
    <m/>
    <n v="6435"/>
    <n v="50"/>
    <d v="2025-04-12T00:00:00"/>
    <m/>
  </r>
  <r>
    <x v="2760"/>
    <s v="Switzerland"/>
    <s v="46.204391"/>
    <s v="6.143158"/>
    <s v="Transportation &amp; Logistics"/>
    <s v="Medium (201-500)"/>
    <s v="Laura Thompson"/>
    <d v="2024-01-19T00:00:00"/>
    <s v="Services"/>
    <x v="6"/>
    <x v="6"/>
    <m/>
    <m/>
    <n v="3314"/>
    <n v="40"/>
    <d v="2025-01-09T00:00:00"/>
    <m/>
  </r>
  <r>
    <x v="2761"/>
    <s v="Portugal"/>
    <s v="38.736946"/>
    <s v="-9.142685"/>
    <s v="Energy &amp; Utilities"/>
    <s v="Medium (201-500)"/>
    <s v="Jessica Martinez"/>
    <d v="2024-04-15T00:00:00"/>
    <s v="Services"/>
    <x v="6"/>
    <x v="6"/>
    <m/>
    <m/>
    <n v="5389"/>
    <n v="50"/>
    <d v="2024-07-15T00:00:00"/>
    <m/>
  </r>
  <r>
    <x v="2762"/>
    <s v="Portugal"/>
    <s v="38.736946"/>
    <s v="-9.142685"/>
    <s v="IT &amp; IT Services"/>
    <s v="Medium (201-500)"/>
    <s v="Laura Thompson"/>
    <d v="2024-05-24T00:00:00"/>
    <s v="SAAS"/>
    <x v="6"/>
    <x v="6"/>
    <m/>
    <m/>
    <n v="6440"/>
    <n v="30"/>
    <d v="2025-04-14T00:00:00"/>
    <m/>
  </r>
  <r>
    <x v="2763"/>
    <s v="Italy"/>
    <s v="41.902782"/>
    <s v="12.496366"/>
    <s v="Energy &amp; Utilities"/>
    <s v="Medium (201-500)"/>
    <s v="John Smith"/>
    <d v="2024-02-24T00:00:00"/>
    <s v="SAAS"/>
    <x v="6"/>
    <x v="6"/>
    <m/>
    <m/>
    <n v="6018"/>
    <n v="100"/>
    <d v="2024-05-05T00:00:00"/>
    <m/>
  </r>
  <r>
    <x v="2764"/>
    <s v="Italy"/>
    <s v="41.902782"/>
    <s v="12.496366"/>
    <s v="Retail &amp; Distribution"/>
    <s v="Medium (201-500)"/>
    <s v="Michael Brown"/>
    <d v="2024-03-23T00:00:00"/>
    <s v="Services"/>
    <x v="6"/>
    <x v="6"/>
    <m/>
    <m/>
    <n v="7288"/>
    <n v="30"/>
    <d v="2024-10-23T00:00:00"/>
    <m/>
  </r>
  <r>
    <x v="2765"/>
    <s v="Switzerland"/>
    <s v="46.204391"/>
    <s v="6.143158"/>
    <s v="Transportation &amp; Logistics"/>
    <s v="Medium (201-500)"/>
    <s v="Sarah Davis"/>
    <d v="2024-04-19T00:00:00"/>
    <s v="SAAS"/>
    <x v="6"/>
    <x v="6"/>
    <m/>
    <m/>
    <n v="1568"/>
    <n v="60"/>
    <d v="2024-11-25T00:00:00"/>
    <m/>
  </r>
  <r>
    <x v="2766"/>
    <s v="Germany"/>
    <s v="52.520008"/>
    <s v="13.404954"/>
    <s v="Transportation &amp; Logistics"/>
    <s v="Medium (201-500)"/>
    <s v="Michael Brown"/>
    <d v="2024-02-07T00:00:00"/>
    <s v="Custom solution"/>
    <x v="6"/>
    <x v="6"/>
    <m/>
    <m/>
    <n v="2820"/>
    <n v="90"/>
    <d v="2024-11-21T00:00:00"/>
    <m/>
  </r>
  <r>
    <x v="2767"/>
    <s v="France"/>
    <s v="48.864716"/>
    <s v="2.349014"/>
    <s v="IT &amp; IT Services"/>
    <s v="Medium (201-500)"/>
    <s v="Jessica Martinez"/>
    <d v="2024-02-24T00:00:00"/>
    <s v="Custom solution"/>
    <x v="6"/>
    <x v="6"/>
    <m/>
    <m/>
    <n v="556"/>
    <n v="50"/>
    <d v="2024-11-02T00:00:00"/>
    <m/>
  </r>
  <r>
    <x v="2768"/>
    <s v="Italy"/>
    <s v="41.902782"/>
    <s v="12.496366"/>
    <s v="Entertainment &amp; Media &amp; Hospitality"/>
    <s v="Medium (201-500)"/>
    <s v="Jessica Martinez"/>
    <d v="2024-04-20T00:00:00"/>
    <s v="Custom solution"/>
    <x v="6"/>
    <x v="6"/>
    <m/>
    <m/>
    <n v="3396"/>
    <n v="40"/>
    <d v="2024-10-02T00:00:00"/>
    <m/>
  </r>
  <r>
    <x v="2769"/>
    <s v="France"/>
    <s v="48.864716"/>
    <s v="2.349014"/>
    <s v="Telecommunications"/>
    <s v="Medium (201-500)"/>
    <s v="David Wilson"/>
    <d v="2024-01-07T00:00:00"/>
    <s v="SAAS"/>
    <x v="6"/>
    <x v="6"/>
    <m/>
    <m/>
    <n v="3793"/>
    <n v="100"/>
    <d v="2024-02-15T00:00:00"/>
    <m/>
  </r>
  <r>
    <x v="2770"/>
    <s v="France"/>
    <s v="48.864716"/>
    <s v="2.349014"/>
    <s v="Manufacturing &amp; Production"/>
    <s v="Medium (201-500)"/>
    <s v="Michael Brown"/>
    <d v="2024-01-25T00:00:00"/>
    <s v="Custom solution"/>
    <x v="6"/>
    <x v="6"/>
    <m/>
    <m/>
    <n v="3275"/>
    <n v="20"/>
    <d v="2024-09-16T00:00:00"/>
    <m/>
  </r>
  <r>
    <x v="2771"/>
    <s v="Netherlands"/>
    <s v="52.370216"/>
    <s v="4.895168"/>
    <s v="Professional Services  &amp; Consulting"/>
    <s v="Medium (201-500)"/>
    <s v="Laura Thompson"/>
    <d v="2024-05-22T00:00:00"/>
    <s v="Services"/>
    <x v="6"/>
    <x v="6"/>
    <m/>
    <m/>
    <n v="7618"/>
    <n v="30"/>
    <d v="2025-03-01T00:00:00"/>
    <m/>
  </r>
  <r>
    <x v="2772"/>
    <s v="Italy"/>
    <s v="41.902782"/>
    <s v="12.496366"/>
    <s v="Banking and Finance"/>
    <s v="Medium (201-500)"/>
    <s v="Michael Brown"/>
    <d v="2024-05-16T00:00:00"/>
    <s v="Custom solution"/>
    <x v="6"/>
    <x v="6"/>
    <m/>
    <m/>
    <n v="1240"/>
    <n v="70"/>
    <d v="2024-07-15T00:00:00"/>
    <m/>
  </r>
  <r>
    <x v="2773"/>
    <s v="Italy"/>
    <s v="41.902782"/>
    <s v="12.496366"/>
    <s v="IT &amp; IT Services"/>
    <s v="Medium (201-500)"/>
    <s v="David Wilson"/>
    <d v="2024-03-14T00:00:00"/>
    <s v="Custom solution"/>
    <x v="6"/>
    <x v="6"/>
    <m/>
    <m/>
    <n v="2040"/>
    <n v="40"/>
    <d v="2024-10-31T00:00:00"/>
    <m/>
  </r>
  <r>
    <x v="2774"/>
    <s v="Switzerland"/>
    <s v="46.204391"/>
    <s v="6.143158"/>
    <s v="Banking and Finance"/>
    <s v="Medium (201-500)"/>
    <s v="Michael Brown"/>
    <d v="2024-03-02T00:00:00"/>
    <s v="Custom solution"/>
    <x v="6"/>
    <x v="6"/>
    <m/>
    <m/>
    <n v="4371"/>
    <n v="10"/>
    <d v="2024-11-25T00:00:00"/>
    <m/>
  </r>
  <r>
    <x v="2775"/>
    <s v="Italy"/>
    <s v="41.902782"/>
    <s v="12.496366"/>
    <s v="Banking and Finance"/>
    <s v="Medium (201-500)"/>
    <s v="Michael Brown"/>
    <d v="2024-05-20T00:00:00"/>
    <s v="Services"/>
    <x v="6"/>
    <x v="6"/>
    <m/>
    <m/>
    <n v="6865"/>
    <n v="80"/>
    <d v="2024-12-25T00:00:00"/>
    <m/>
  </r>
  <r>
    <x v="2776"/>
    <s v="Netherlands"/>
    <s v="52.370216"/>
    <s v="4.895168"/>
    <s v="Professional Services  &amp; Consulting"/>
    <s v="Medium (201-500)"/>
    <s v="Kevin Anderson"/>
    <d v="2024-05-14T00:00:00"/>
    <s v="SAAS"/>
    <x v="6"/>
    <x v="6"/>
    <m/>
    <m/>
    <n v="1037"/>
    <n v="40"/>
    <d v="2024-11-13T00:00:00"/>
    <m/>
  </r>
  <r>
    <x v="2777"/>
    <s v="Netherlands"/>
    <s v="52.370216"/>
    <s v="4.895168"/>
    <s v="Manufacturing &amp; Production"/>
    <s v="Medium (201-500)"/>
    <s v="Laura Thompson"/>
    <d v="2024-05-14T00:00:00"/>
    <s v="Custom solution"/>
    <x v="6"/>
    <x v="6"/>
    <m/>
    <m/>
    <n v="3278"/>
    <n v="90"/>
    <d v="2024-06-30T00:00:00"/>
    <m/>
  </r>
  <r>
    <x v="2778"/>
    <s v="Portugal"/>
    <s v="38.736946"/>
    <s v="-9.142685"/>
    <s v="Banking and Finance"/>
    <s v="Medium (201-500)"/>
    <s v="Emily Johnson"/>
    <d v="2024-01-29T00:00:00"/>
    <s v="Services"/>
    <x v="6"/>
    <x v="6"/>
    <m/>
    <m/>
    <n v="7181"/>
    <n v="40"/>
    <d v="2024-05-30T00:00:00"/>
    <m/>
  </r>
  <r>
    <x v="2779"/>
    <s v="Spain"/>
    <s v="40.416775"/>
    <s v="-3.703790"/>
    <s v="Entertainment &amp; Media &amp; Hospitality"/>
    <s v="Medium (201-500)"/>
    <s v="Kevin Anderson"/>
    <d v="2024-05-02T00:00:00"/>
    <s v="SAAS"/>
    <x v="6"/>
    <x v="6"/>
    <m/>
    <m/>
    <n v="3474"/>
    <n v="70"/>
    <d v="2024-10-04T00:00:00"/>
    <m/>
  </r>
  <r>
    <x v="2780"/>
    <s v="Germany"/>
    <s v="52.520008"/>
    <s v="13.404954"/>
    <s v="Retail &amp; Distribution"/>
    <s v="Medium (201-500)"/>
    <s v="David Wilson"/>
    <d v="2024-01-27T00:00:00"/>
    <s v="Services"/>
    <x v="6"/>
    <x v="6"/>
    <m/>
    <m/>
    <n v="6180"/>
    <n v="40"/>
    <d v="2024-06-02T00:00:00"/>
    <m/>
  </r>
  <r>
    <x v="2781"/>
    <s v="Switzerland"/>
    <s v="46.204391"/>
    <s v="6.143158"/>
    <s v="Retail &amp; Distribution"/>
    <s v="Medium (201-500)"/>
    <s v="John Smith"/>
    <d v="2024-05-15T00:00:00"/>
    <s v="Services"/>
    <x v="6"/>
    <x v="6"/>
    <m/>
    <m/>
    <n v="2254"/>
    <n v="50"/>
    <d v="2024-12-03T00:00:00"/>
    <m/>
  </r>
  <r>
    <x v="2782"/>
    <s v="Belgium"/>
    <s v="51.260197"/>
    <s v="4.402771"/>
    <s v="Government Administration Healthcare"/>
    <s v="Medium (201-500)"/>
    <s v="John Smith"/>
    <d v="2024-01-15T00:00:00"/>
    <s v="SAAS"/>
    <x v="6"/>
    <x v="6"/>
    <m/>
    <m/>
    <n v="1610"/>
    <n v="60"/>
    <d v="2024-08-13T00:00:00"/>
    <m/>
  </r>
  <r>
    <x v="2783"/>
    <s v="Italy"/>
    <s v="41.902782"/>
    <s v="12.496366"/>
    <s v="Transportation &amp; Logistics"/>
    <s v="Medium (201-500)"/>
    <s v="Laura Thompson"/>
    <d v="2024-01-29T00:00:00"/>
    <s v="Services"/>
    <x v="6"/>
    <x v="6"/>
    <m/>
    <m/>
    <n v="2244"/>
    <n v="20"/>
    <d v="2024-03-01T00:00:00"/>
    <m/>
  </r>
  <r>
    <x v="2784"/>
    <s v="Belgium"/>
    <s v="51.260197"/>
    <s v="4.402771"/>
    <s v="Agriculture &amp; Mining"/>
    <s v="Medium (201-500)"/>
    <s v="Jessica Martinez"/>
    <d v="2024-05-05T00:00:00"/>
    <s v="SAAS"/>
    <x v="6"/>
    <x v="6"/>
    <m/>
    <m/>
    <n v="1607"/>
    <n v="50"/>
    <d v="2024-10-30T00:00:00"/>
    <m/>
  </r>
  <r>
    <x v="2785"/>
    <s v="Germany"/>
    <s v="52.520008"/>
    <s v="13.404954"/>
    <s v="Transportation &amp; Logistics"/>
    <s v="Medium (201-500)"/>
    <s v="Emily Johnson"/>
    <d v="2024-04-26T00:00:00"/>
    <s v="Custom solution"/>
    <x v="6"/>
    <x v="6"/>
    <m/>
    <m/>
    <n v="3843"/>
    <n v="30"/>
    <d v="2024-05-27T00:00:00"/>
    <m/>
  </r>
  <r>
    <x v="2786"/>
    <s v="Italy"/>
    <s v="41.902782"/>
    <s v="12.496366"/>
    <s v="Transportation &amp; Logistics"/>
    <s v="Medium (201-500)"/>
    <s v="Michael Brown"/>
    <d v="2024-02-24T00:00:00"/>
    <s v="SAAS"/>
    <x v="6"/>
    <x v="6"/>
    <m/>
    <m/>
    <n v="630"/>
    <n v="40"/>
    <d v="2025-01-31T00:00:00"/>
    <m/>
  </r>
  <r>
    <x v="2787"/>
    <s v="Germany"/>
    <s v="52.520008"/>
    <s v="13.404954"/>
    <s v="Transportation &amp; Logistics"/>
    <s v="Medium (201-500)"/>
    <s v="Jessica Martinez"/>
    <d v="2024-04-13T00:00:00"/>
    <s v="SAAS"/>
    <x v="6"/>
    <x v="6"/>
    <m/>
    <m/>
    <n v="3866"/>
    <n v="60"/>
    <d v="2024-05-06T00:00:00"/>
    <m/>
  </r>
  <r>
    <x v="2788"/>
    <s v="Italy"/>
    <s v="41.902782"/>
    <s v="12.496366"/>
    <s v="Transportation &amp; Logistics"/>
    <s v="Medium (201-500)"/>
    <s v="Michael Brown"/>
    <d v="2024-05-06T00:00:00"/>
    <s v="Services"/>
    <x v="6"/>
    <x v="6"/>
    <m/>
    <m/>
    <n v="4358"/>
    <n v="30"/>
    <d v="2024-06-07T00:00:00"/>
    <m/>
  </r>
  <r>
    <x v="2789"/>
    <s v="Netherlands"/>
    <s v="52.370216"/>
    <s v="4.895168"/>
    <s v="Government Administration Healthcare"/>
    <s v="Medium (201-500)"/>
    <s v="Michael Brown"/>
    <d v="2024-05-03T00:00:00"/>
    <s v="Services"/>
    <x v="6"/>
    <x v="6"/>
    <m/>
    <m/>
    <n v="1808"/>
    <n v="80"/>
    <d v="2025-01-07T00:00:00"/>
    <m/>
  </r>
  <r>
    <x v="2790"/>
    <s v="France"/>
    <s v="48.864716"/>
    <s v="2.349014"/>
    <s v="Recreation &amp; Sports"/>
    <s v="Medium (201-500)"/>
    <s v="David Wilson"/>
    <d v="2024-05-22T00:00:00"/>
    <s v="Custom solution"/>
    <x v="6"/>
    <x v="6"/>
    <m/>
    <m/>
    <n v="6476"/>
    <n v="20"/>
    <d v="2024-08-07T00:00:00"/>
    <m/>
  </r>
  <r>
    <x v="2791"/>
    <s v="France"/>
    <s v="48.864716"/>
    <s v="2.349014"/>
    <s v="IT &amp; IT Services"/>
    <s v="Medium (201-500)"/>
    <s v="Sarah Davis"/>
    <d v="2024-01-17T00:00:00"/>
    <s v="SAAS"/>
    <x v="6"/>
    <x v="6"/>
    <m/>
    <m/>
    <n v="4366"/>
    <n v="10"/>
    <d v="2024-06-08T00:00:00"/>
    <m/>
  </r>
  <r>
    <x v="2792"/>
    <s v="Portugal"/>
    <s v="38.736946"/>
    <s v="-9.142685"/>
    <s v="Professional Services  &amp; Consulting"/>
    <s v="Medium (201-500)"/>
    <s v="Laura Thompson"/>
    <d v="2024-05-19T00:00:00"/>
    <s v="Services"/>
    <x v="6"/>
    <x v="6"/>
    <m/>
    <m/>
    <n v="4420"/>
    <n v="30"/>
    <d v="2024-07-08T00:00:00"/>
    <m/>
  </r>
  <r>
    <x v="2793"/>
    <s v="Germany"/>
    <s v="52.520008"/>
    <s v="13.404954"/>
    <s v="Recreation &amp; Sports"/>
    <s v="Medium (201-500)"/>
    <s v="Michael Brown"/>
    <d v="2024-05-07T00:00:00"/>
    <s v="Services"/>
    <x v="6"/>
    <x v="6"/>
    <m/>
    <m/>
    <n v="1393"/>
    <n v="60"/>
    <d v="2024-12-20T00:00:00"/>
    <m/>
  </r>
  <r>
    <x v="2794"/>
    <s v="Italy"/>
    <s v="41.902782"/>
    <s v="12.496366"/>
    <s v="Retail &amp; Distribution"/>
    <s v="Medium (201-500)"/>
    <s v="Michael Brown"/>
    <d v="2024-01-05T00:00:00"/>
    <s v="Custom solution"/>
    <x v="6"/>
    <x v="6"/>
    <m/>
    <m/>
    <n v="3648"/>
    <n v="30"/>
    <d v="2024-02-03T00:00:00"/>
    <m/>
  </r>
  <r>
    <x v="2795"/>
    <s v="Germany"/>
    <s v="52.520008"/>
    <s v="13.404954"/>
    <s v="Banking and Finance"/>
    <s v="Medium (201-500)"/>
    <s v="Laura Thompson"/>
    <d v="2024-03-27T00:00:00"/>
    <s v="Services"/>
    <x v="6"/>
    <x v="6"/>
    <m/>
    <m/>
    <n v="4612"/>
    <n v="20"/>
    <d v="2024-09-05T00:00:00"/>
    <m/>
  </r>
  <r>
    <x v="2796"/>
    <s v="Germany"/>
    <s v="52.520008"/>
    <s v="13.404954"/>
    <s v="Government Administration Healthcare"/>
    <s v="Medium (201-500)"/>
    <s v="Michael Brown"/>
    <d v="2024-02-16T00:00:00"/>
    <s v="SAAS"/>
    <x v="6"/>
    <x v="6"/>
    <m/>
    <m/>
    <n v="5992"/>
    <n v="20"/>
    <d v="2024-03-31T00:00:00"/>
    <m/>
  </r>
  <r>
    <x v="2797"/>
    <s v="Belgium"/>
    <s v="51.260197"/>
    <s v="4.402771"/>
    <s v="Transportation &amp; Logistics"/>
    <s v="Medium (201-500)"/>
    <s v="Kevin Anderson"/>
    <d v="2024-04-29T00:00:00"/>
    <s v="SAAS"/>
    <x v="6"/>
    <x v="6"/>
    <m/>
    <m/>
    <n v="7591"/>
    <n v="30"/>
    <d v="2025-02-20T00:00:00"/>
    <m/>
  </r>
  <r>
    <x v="2798"/>
    <s v="Italy"/>
    <s v="41.902782"/>
    <s v="12.496366"/>
    <s v="IT &amp; IT Services"/>
    <s v="Medium (201-500)"/>
    <s v="Jessica Martinez"/>
    <d v="2024-02-14T00:00:00"/>
    <s v="Services"/>
    <x v="6"/>
    <x v="6"/>
    <m/>
    <m/>
    <n v="1158"/>
    <n v="20"/>
    <d v="2024-12-21T00:00:00"/>
    <m/>
  </r>
  <r>
    <x v="2799"/>
    <s v="Portugal"/>
    <s v="38.736946"/>
    <s v="-9.142685"/>
    <s v="Retail &amp; Distribution"/>
    <s v="Medium (201-500)"/>
    <s v="Jessica Martinez"/>
    <d v="2024-05-17T00:00:00"/>
    <s v="SAAS"/>
    <x v="6"/>
    <x v="6"/>
    <m/>
    <m/>
    <n v="5723"/>
    <n v="20"/>
    <d v="2024-11-02T00:00:00"/>
    <m/>
  </r>
  <r>
    <x v="2800"/>
    <s v="Belgium"/>
    <s v="51.260197"/>
    <s v="4.402771"/>
    <s v="IT &amp; IT Services"/>
    <s v="Medium (201-500)"/>
    <s v="Kevin Anderson"/>
    <d v="2024-04-24T00:00:00"/>
    <s v="Custom solution"/>
    <x v="6"/>
    <x v="6"/>
    <m/>
    <m/>
    <n v="4941"/>
    <n v="30"/>
    <d v="2024-10-21T00:00:00"/>
    <m/>
  </r>
  <r>
    <x v="2801"/>
    <s v="Spain"/>
    <s v="40.416775"/>
    <s v="-3.703790"/>
    <s v="Transportation &amp; Logistics"/>
    <s v="Medium (201-500)"/>
    <s v="Emily Johnson"/>
    <d v="2024-03-26T00:00:00"/>
    <s v="SAAS"/>
    <x v="6"/>
    <x v="6"/>
    <m/>
    <m/>
    <n v="3814"/>
    <n v="60"/>
    <d v="2024-05-16T00:00:00"/>
    <m/>
  </r>
  <r>
    <x v="2802"/>
    <s v="Netherlands"/>
    <s v="52.370216"/>
    <s v="4.895168"/>
    <s v="Transportation &amp; Logistics"/>
    <s v="Medium (201-500)"/>
    <s v="Jessica Martinez"/>
    <d v="2024-03-01T00:00:00"/>
    <s v="Services"/>
    <x v="6"/>
    <x v="6"/>
    <m/>
    <m/>
    <n v="6893"/>
    <n v="50"/>
    <d v="2024-09-21T00:00:00"/>
    <m/>
  </r>
  <r>
    <x v="2803"/>
    <s v="Switzerland"/>
    <s v="46.204391"/>
    <s v="6.143158"/>
    <s v="Telecommunications"/>
    <s v="Medium (201-500)"/>
    <s v="Michael Brown"/>
    <d v="2024-01-14T00:00:00"/>
    <s v="Services"/>
    <x v="6"/>
    <x v="6"/>
    <m/>
    <m/>
    <n v="3543"/>
    <n v="40"/>
    <d v="2024-07-31T00:00:00"/>
    <m/>
  </r>
  <r>
    <x v="2804"/>
    <s v="Italy"/>
    <s v="41.902782"/>
    <s v="12.496366"/>
    <s v="IT &amp; IT Services"/>
    <s v="Medium (201-500)"/>
    <s v="Laura Thompson"/>
    <d v="2024-05-30T00:00:00"/>
    <s v="Services"/>
    <x v="6"/>
    <x v="6"/>
    <m/>
    <m/>
    <n v="3909"/>
    <n v="40"/>
    <d v="2024-07-17T00:00:00"/>
    <m/>
  </r>
  <r>
    <x v="2805"/>
    <s v="Austria"/>
    <s v="48.210033"/>
    <s v="16.363449"/>
    <s v="Government Administration Healthcare"/>
    <s v="Medium (201-500)"/>
    <s v="Michael Brown"/>
    <d v="2024-01-03T00:00:00"/>
    <s v="Services"/>
    <x v="6"/>
    <x v="6"/>
    <m/>
    <m/>
    <n v="981"/>
    <n v="90"/>
    <d v="2024-09-05T00:00:00"/>
    <m/>
  </r>
  <r>
    <x v="2806"/>
    <s v="Switzerland"/>
    <s v="46.204391"/>
    <s v="6.143158"/>
    <s v="Banking and Finance"/>
    <s v="Medium (201-500)"/>
    <s v="Laura Thompson"/>
    <d v="2024-03-27T00:00:00"/>
    <s v="Services"/>
    <x v="6"/>
    <x v="6"/>
    <m/>
    <m/>
    <n v="784"/>
    <n v="20"/>
    <d v="2024-06-13T00:00:00"/>
    <m/>
  </r>
  <r>
    <x v="2807"/>
    <s v="Switzerland"/>
    <s v="46.204391"/>
    <s v="6.143158"/>
    <s v="Telecommunications"/>
    <s v="Medium (201-500)"/>
    <s v="Sarah Davis"/>
    <d v="2024-01-31T00:00:00"/>
    <s v="Services"/>
    <x v="6"/>
    <x v="6"/>
    <m/>
    <m/>
    <n v="3108"/>
    <n v="30"/>
    <d v="2024-03-23T00:00:00"/>
    <m/>
  </r>
  <r>
    <x v="2808"/>
    <s v="Germany"/>
    <s v="52.520008"/>
    <s v="13.404954"/>
    <s v="Agriculture &amp; Mining"/>
    <s v="Medium (201-500)"/>
    <s v="Michael Brown"/>
    <d v="2024-01-23T00:00:00"/>
    <s v="Services"/>
    <x v="6"/>
    <x v="6"/>
    <m/>
    <m/>
    <n v="5558"/>
    <n v="20"/>
    <d v="2024-09-20T00:00:00"/>
    <m/>
  </r>
  <r>
    <x v="2809"/>
    <s v="Belgium"/>
    <s v="51.260197"/>
    <s v="4.402771"/>
    <s v="Manufacturing &amp; Production"/>
    <s v="Medium (201-500)"/>
    <s v="Laura Thompson"/>
    <d v="2024-01-15T00:00:00"/>
    <s v="SAAS"/>
    <x v="6"/>
    <x v="6"/>
    <m/>
    <m/>
    <n v="1260"/>
    <n v="50"/>
    <d v="2024-04-08T00:00:00"/>
    <m/>
  </r>
  <r>
    <x v="2810"/>
    <s v="Switzerland"/>
    <s v="46.204391"/>
    <s v="6.143158"/>
    <s v="Banking and Finance"/>
    <s v="Medium (201-500)"/>
    <s v="Jessica Martinez"/>
    <d v="2024-05-03T00:00:00"/>
    <s v="Custom solution"/>
    <x v="6"/>
    <x v="6"/>
    <m/>
    <m/>
    <n v="5207"/>
    <n v="70"/>
    <d v="2025-03-11T00:00:00"/>
    <m/>
  </r>
  <r>
    <x v="2811"/>
    <s v="Switzerland"/>
    <s v="46.204391"/>
    <s v="6.143158"/>
    <s v="Energy &amp; Utilities"/>
    <s v="Medium (201-500)"/>
    <s v="Laura Thompson"/>
    <d v="2024-04-04T00:00:00"/>
    <s v="Custom solution"/>
    <x v="6"/>
    <x v="6"/>
    <m/>
    <m/>
    <n v="1503"/>
    <n v="80"/>
    <d v="2024-09-08T00:00:00"/>
    <m/>
  </r>
  <r>
    <x v="2812"/>
    <s v="Switzerland"/>
    <s v="46.204391"/>
    <s v="6.143158"/>
    <s v="IT &amp; IT Services"/>
    <s v="Medium (201-500)"/>
    <s v="John Smith"/>
    <d v="2024-02-10T00:00:00"/>
    <s v="SAAS"/>
    <x v="6"/>
    <x v="6"/>
    <m/>
    <m/>
    <n v="6987"/>
    <n v="30"/>
    <d v="2024-05-01T00:00:00"/>
    <m/>
  </r>
  <r>
    <x v="2813"/>
    <s v="Switzerland"/>
    <s v="46.204391"/>
    <s v="6.143158"/>
    <s v="Entertainment &amp; Media &amp; Hospitality"/>
    <s v="Medium (201-500)"/>
    <s v="Emily Johnson"/>
    <d v="2024-03-29T00:00:00"/>
    <s v="Services"/>
    <x v="6"/>
    <x v="6"/>
    <m/>
    <m/>
    <n v="357"/>
    <n v="80"/>
    <d v="2024-06-23T00:00:00"/>
    <m/>
  </r>
  <r>
    <x v="2814"/>
    <s v="France"/>
    <s v="48.864716"/>
    <s v="2.349014"/>
    <s v="Agriculture &amp; Mining"/>
    <s v="Medium (201-500)"/>
    <s v="Emily Johnson"/>
    <d v="2024-01-06T00:00:00"/>
    <s v="Custom solution"/>
    <x v="6"/>
    <x v="6"/>
    <m/>
    <m/>
    <n v="5253"/>
    <n v="50"/>
    <d v="2024-02-07T00:00:00"/>
    <m/>
  </r>
  <r>
    <x v="2815"/>
    <s v="France"/>
    <s v="48.864716"/>
    <s v="2.349014"/>
    <s v="Education &amp; Science"/>
    <s v="Medium (201-500)"/>
    <s v="Jessica Martinez"/>
    <d v="2024-01-15T00:00:00"/>
    <s v="Custom solution"/>
    <x v="6"/>
    <x v="6"/>
    <m/>
    <m/>
    <n v="5864"/>
    <n v="20"/>
    <d v="2024-07-29T00:00:00"/>
    <m/>
  </r>
  <r>
    <x v="2816"/>
    <s v="Portugal"/>
    <s v="38.736946"/>
    <s v="-9.142685"/>
    <s v="IT &amp; IT Services"/>
    <s v="Medium (201-500)"/>
    <s v="Jessica Martinez"/>
    <d v="2024-05-27T00:00:00"/>
    <s v="SAAS"/>
    <x v="6"/>
    <x v="6"/>
    <m/>
    <m/>
    <n v="2138"/>
    <n v="20"/>
    <d v="2024-08-16T00:00:00"/>
    <m/>
  </r>
  <r>
    <x v="2817"/>
    <s v="Italy"/>
    <s v="41.902782"/>
    <s v="12.496366"/>
    <s v="Banking and Finance"/>
    <s v="Medium (201-500)"/>
    <s v="Michael Brown"/>
    <d v="2024-03-09T00:00:00"/>
    <s v="SAAS"/>
    <x v="6"/>
    <x v="6"/>
    <m/>
    <m/>
    <n v="7070"/>
    <n v="20"/>
    <d v="2024-07-29T00:00:00"/>
    <m/>
  </r>
  <r>
    <x v="2818"/>
    <s v="Italy"/>
    <s v="41.902782"/>
    <s v="12.496366"/>
    <s v="Banking and Finance"/>
    <s v="Medium (201-500)"/>
    <s v="Jessica Martinez"/>
    <d v="2024-05-20T00:00:00"/>
    <s v="Services"/>
    <x v="6"/>
    <x v="6"/>
    <m/>
    <m/>
    <n v="3447"/>
    <n v="80"/>
    <d v="2024-07-04T00:00:00"/>
    <m/>
  </r>
  <r>
    <x v="2819"/>
    <s v="France"/>
    <s v="48.864716"/>
    <s v="2.349014"/>
    <s v="IT &amp; IT Services"/>
    <s v="Medium (201-500)"/>
    <s v="Laura Thompson"/>
    <d v="2024-05-09T00:00:00"/>
    <s v="SAAS"/>
    <x v="6"/>
    <x v="6"/>
    <m/>
    <m/>
    <n v="5824"/>
    <n v="50"/>
    <d v="2025-04-08T00:00:00"/>
    <m/>
  </r>
  <r>
    <x v="2820"/>
    <s v="Switzerland"/>
    <s v="46.204391"/>
    <s v="6.143158"/>
    <s v="Government Administration Healthcare"/>
    <s v="Medium (201-500)"/>
    <s v="John Smith"/>
    <d v="2024-04-11T00:00:00"/>
    <s v="SAAS"/>
    <x v="6"/>
    <x v="6"/>
    <m/>
    <m/>
    <n v="6573"/>
    <n v="20"/>
    <d v="2024-08-07T00:00:00"/>
    <m/>
  </r>
  <r>
    <x v="2821"/>
    <s v="Germany"/>
    <s v="52.520008"/>
    <s v="13.404954"/>
    <s v="Government Administration Healthcare"/>
    <s v="Medium (201-500)"/>
    <s v="Kevin Anderson"/>
    <d v="2024-02-28T00:00:00"/>
    <s v="SAAS"/>
    <x v="6"/>
    <x v="6"/>
    <m/>
    <m/>
    <n v="3855"/>
    <n v="100"/>
    <d v="2025-01-28T00:00:00"/>
    <m/>
  </r>
  <r>
    <x v="2822"/>
    <s v="Switzerland"/>
    <s v="46.204391"/>
    <s v="6.143158"/>
    <s v="Recreation &amp; Sports"/>
    <s v="Medium (201-500)"/>
    <s v="Jessica Martinez"/>
    <d v="2024-05-01T00:00:00"/>
    <s v="SAAS"/>
    <x v="6"/>
    <x v="6"/>
    <m/>
    <m/>
    <n v="6330"/>
    <n v="30"/>
    <d v="2024-06-20T00:00:00"/>
    <m/>
  </r>
  <r>
    <x v="2823"/>
    <s v="Austria"/>
    <s v="48.210033"/>
    <s v="16.363449"/>
    <s v="Transportation &amp; Logistics"/>
    <s v="Medium (201-500)"/>
    <s v="Laura Thompson"/>
    <d v="2024-01-19T00:00:00"/>
    <s v="SAAS"/>
    <x v="6"/>
    <x v="6"/>
    <m/>
    <m/>
    <n v="7787"/>
    <n v="40"/>
    <d v="2024-10-02T00:00:00"/>
    <m/>
  </r>
  <r>
    <x v="2824"/>
    <s v="Italy"/>
    <s v="41.902782"/>
    <s v="12.496366"/>
    <s v="Transportation &amp; Logistics"/>
    <s v="Medium (201-500)"/>
    <s v="John Smith"/>
    <d v="2024-05-11T00:00:00"/>
    <s v="Custom solution"/>
    <x v="6"/>
    <x v="6"/>
    <m/>
    <m/>
    <n v="4258"/>
    <n v="60"/>
    <d v="2024-12-03T00:00:00"/>
    <m/>
  </r>
  <r>
    <x v="2825"/>
    <s v="Switzerland"/>
    <s v="46.204391"/>
    <s v="6.143158"/>
    <s v="IT &amp; IT Services"/>
    <s v="Medium (201-500)"/>
    <s v="Laura Thompson"/>
    <d v="2024-02-13T00:00:00"/>
    <s v="Services"/>
    <x v="6"/>
    <x v="6"/>
    <m/>
    <m/>
    <n v="4736"/>
    <n v="50"/>
    <d v="2024-11-09T00:00:00"/>
    <m/>
  </r>
  <r>
    <x v="2826"/>
    <s v="France"/>
    <s v="48.864716"/>
    <s v="2.349014"/>
    <s v="Government Administration Healthcare"/>
    <s v="Medium (201-500)"/>
    <s v="Laura Thompson"/>
    <d v="2024-04-20T00:00:00"/>
    <s v="Custom solution"/>
    <x v="6"/>
    <x v="6"/>
    <m/>
    <m/>
    <n v="7314"/>
    <n v="60"/>
    <d v="2024-05-28T00:00:00"/>
    <m/>
  </r>
  <r>
    <x v="2827"/>
    <s v="Spain"/>
    <s v="40.416775"/>
    <s v="-3.703790"/>
    <s v="Agriculture &amp; Mining"/>
    <s v="Medium (201-500)"/>
    <s v="Jessica Martinez"/>
    <d v="2024-02-02T00:00:00"/>
    <s v="Custom solution"/>
    <x v="6"/>
    <x v="6"/>
    <m/>
    <m/>
    <n v="2102"/>
    <n v="50"/>
    <d v="2024-12-30T00:00:00"/>
    <m/>
  </r>
  <r>
    <x v="2828"/>
    <s v="Belgium"/>
    <s v="51.260197"/>
    <s v="4.402771"/>
    <s v="Agriculture &amp; Mining"/>
    <s v="Medium (201-500)"/>
    <s v="Laura Thompson"/>
    <d v="2024-03-17T00:00:00"/>
    <s v="Services"/>
    <x v="6"/>
    <x v="6"/>
    <m/>
    <m/>
    <n v="2771"/>
    <n v="20"/>
    <d v="2024-07-04T00:00:00"/>
    <m/>
  </r>
  <r>
    <x v="2829"/>
    <s v="Italy"/>
    <s v="41.902782"/>
    <s v="12.496366"/>
    <s v="Government Administration Healthcare"/>
    <s v="Medium (201-500)"/>
    <s v="Laura Thompson"/>
    <d v="2024-01-10T00:00:00"/>
    <s v="Services"/>
    <x v="6"/>
    <x v="6"/>
    <m/>
    <m/>
    <n v="4477"/>
    <n v="60"/>
    <d v="2024-07-05T00:00:00"/>
    <m/>
  </r>
  <r>
    <x v="2830"/>
    <s v="Italy"/>
    <s v="41.902782"/>
    <s v="12.496366"/>
    <s v="Government Administration Healthcare"/>
    <s v="Medium (201-500)"/>
    <s v="Laura Thompson"/>
    <d v="2024-02-15T00:00:00"/>
    <s v="Custom solution"/>
    <x v="6"/>
    <x v="6"/>
    <m/>
    <m/>
    <n v="4588"/>
    <n v="20"/>
    <d v="2024-08-02T00:00:00"/>
    <m/>
  </r>
  <r>
    <x v="2831"/>
    <s v="Switzerland"/>
    <s v="46.204391"/>
    <s v="6.143158"/>
    <s v="Construction &amp; Engineering"/>
    <s v="Medium (201-500)"/>
    <s v="Laura Thompson"/>
    <d v="2024-01-10T00:00:00"/>
    <s v="Custom solution"/>
    <x v="6"/>
    <x v="6"/>
    <m/>
    <m/>
    <n v="2496"/>
    <n v="90"/>
    <d v="2024-10-04T00:00:00"/>
    <m/>
  </r>
  <r>
    <x v="2832"/>
    <s v="Portugal"/>
    <s v="38.736946"/>
    <s v="-9.142685"/>
    <s v="Education &amp; Science"/>
    <s v="Medium (201-500)"/>
    <s v="Jessica Martinez"/>
    <d v="2024-02-13T00:00:00"/>
    <s v="Services"/>
    <x v="6"/>
    <x v="6"/>
    <m/>
    <m/>
    <n v="2404"/>
    <n v="70"/>
    <d v="2024-07-21T00:00:00"/>
    <m/>
  </r>
  <r>
    <x v="2833"/>
    <s v="Germany"/>
    <s v="52.520008"/>
    <s v="13.404954"/>
    <s v="Education &amp; Science"/>
    <s v="Medium (201-500)"/>
    <s v="John Smith"/>
    <d v="2024-01-23T00:00:00"/>
    <s v="Services"/>
    <x v="6"/>
    <x v="6"/>
    <m/>
    <m/>
    <n v="3681"/>
    <n v="30"/>
    <d v="2024-12-25T00:00:00"/>
    <m/>
  </r>
  <r>
    <x v="2834"/>
    <s v="France"/>
    <s v="48.864716"/>
    <s v="2.349014"/>
    <s v="Government Administration Healthcare"/>
    <s v="Medium (201-500)"/>
    <s v="Laura Thompson"/>
    <d v="2024-02-17T00:00:00"/>
    <s v="Services"/>
    <x v="6"/>
    <x v="6"/>
    <m/>
    <m/>
    <n v="4461"/>
    <n v="90"/>
    <d v="2024-05-30T00:00:00"/>
    <m/>
  </r>
  <r>
    <x v="2835"/>
    <s v="Portugal"/>
    <s v="38.736946"/>
    <s v="-9.142685"/>
    <s v="Banking and Finance"/>
    <s v="Medium (201-500)"/>
    <s v="Michael Brown"/>
    <d v="2024-04-19T00:00:00"/>
    <s v="SAAS"/>
    <x v="6"/>
    <x v="6"/>
    <m/>
    <m/>
    <n v="4787"/>
    <n v="30"/>
    <d v="2024-08-16T00:00:00"/>
    <m/>
  </r>
  <r>
    <x v="2836"/>
    <s v="Germany"/>
    <s v="52.520008"/>
    <s v="13.404954"/>
    <s v="Agriculture &amp; Mining"/>
    <s v="Medium (201-500)"/>
    <s v="Sarah Davis"/>
    <d v="2024-01-06T00:00:00"/>
    <s v="Services"/>
    <x v="6"/>
    <x v="6"/>
    <m/>
    <m/>
    <n v="6643"/>
    <n v="30"/>
    <d v="2024-03-11T00:00:00"/>
    <m/>
  </r>
  <r>
    <x v="2837"/>
    <s v="Switzerland"/>
    <s v="46.204391"/>
    <s v="6.143158"/>
    <s v="Transportation &amp; Logistics"/>
    <s v="Medium (201-500)"/>
    <s v="Emily Johnson"/>
    <d v="2024-03-18T00:00:00"/>
    <s v="Services"/>
    <x v="6"/>
    <x v="6"/>
    <m/>
    <m/>
    <n v="2087"/>
    <n v="50"/>
    <d v="2025-03-18T00:00:00"/>
    <m/>
  </r>
  <r>
    <x v="2838"/>
    <s v="Switzerland"/>
    <s v="46.204391"/>
    <s v="6.143158"/>
    <s v="Recreation &amp; Sports"/>
    <s v="Medium (201-500)"/>
    <s v="Jessica Martinez"/>
    <d v="2024-04-23T00:00:00"/>
    <s v="Services"/>
    <x v="6"/>
    <x v="6"/>
    <m/>
    <m/>
    <n v="5674"/>
    <n v="30"/>
    <d v="2024-10-16T00:00:00"/>
    <m/>
  </r>
  <r>
    <x v="2839"/>
    <s v="Netherlands"/>
    <s v="52.370216"/>
    <s v="4.895168"/>
    <s v="Manufacturing &amp; Production"/>
    <s v="Medium (201-500)"/>
    <s v="Jessica Martinez"/>
    <d v="2024-03-24T00:00:00"/>
    <s v="Services"/>
    <x v="6"/>
    <x v="6"/>
    <m/>
    <m/>
    <n v="6083"/>
    <n v="20"/>
    <d v="2024-04-20T00:00:00"/>
    <m/>
  </r>
  <r>
    <x v="2840"/>
    <s v="Switzerland"/>
    <s v="46.204391"/>
    <s v="6.143158"/>
    <s v="Retail &amp; Distribution"/>
    <s v="Medium (201-500)"/>
    <s v="Laura Thompson"/>
    <d v="2024-01-10T00:00:00"/>
    <s v="SAAS"/>
    <x v="6"/>
    <x v="6"/>
    <m/>
    <m/>
    <n v="4081"/>
    <n v="50"/>
    <d v="2024-12-28T00:00:00"/>
    <m/>
  </r>
  <r>
    <x v="2841"/>
    <s v="Netherlands"/>
    <s v="52.370216"/>
    <s v="4.895168"/>
    <s v="Education &amp; Science"/>
    <s v="Medium (201-500)"/>
    <s v="Sarah Davis"/>
    <d v="2024-05-12T00:00:00"/>
    <s v="Services"/>
    <x v="6"/>
    <x v="6"/>
    <m/>
    <m/>
    <n v="2431"/>
    <n v="50"/>
    <d v="2025-01-28T00:00:00"/>
    <m/>
  </r>
  <r>
    <x v="2842"/>
    <s v="Austria"/>
    <s v="48.210033"/>
    <s v="16.363449"/>
    <s v="Government Administration Healthcare"/>
    <s v="Medium (201-500)"/>
    <s v="Jessica Martinez"/>
    <d v="2024-04-06T00:00:00"/>
    <s v="SAAS"/>
    <x v="6"/>
    <x v="6"/>
    <m/>
    <m/>
    <n v="3478"/>
    <n v="60"/>
    <d v="2024-12-20T00:00:00"/>
    <m/>
  </r>
  <r>
    <x v="2843"/>
    <s v="Belgium"/>
    <s v="51.260197"/>
    <s v="4.402771"/>
    <s v="Telecommunications"/>
    <s v="Medium (201-500)"/>
    <s v="Michael Brown"/>
    <d v="2024-04-08T00:00:00"/>
    <s v="Services"/>
    <x v="6"/>
    <x v="6"/>
    <m/>
    <m/>
    <n v="2072"/>
    <n v="30"/>
    <d v="2024-10-08T00:00:00"/>
    <m/>
  </r>
  <r>
    <x v="2844"/>
    <s v="Switzerland"/>
    <s v="46.204391"/>
    <s v="6.143158"/>
    <s v="Agriculture &amp; Mining"/>
    <s v="Medium (201-500)"/>
    <s v="John Smith"/>
    <d v="2024-04-29T00:00:00"/>
    <s v="Custom solution"/>
    <x v="6"/>
    <x v="6"/>
    <m/>
    <m/>
    <n v="4837"/>
    <n v="40"/>
    <d v="2024-07-14T00:00:00"/>
    <m/>
  </r>
  <r>
    <x v="2845"/>
    <s v="Italy"/>
    <s v="41.902782"/>
    <s v="12.496366"/>
    <s v="Transportation &amp; Logistics"/>
    <s v="Medium (201-500)"/>
    <s v="Sarah Davis"/>
    <d v="2024-04-08T00:00:00"/>
    <s v="Services"/>
    <x v="6"/>
    <x v="6"/>
    <m/>
    <m/>
    <n v="4322"/>
    <n v="50"/>
    <d v="2025-02-10T00:00:00"/>
    <m/>
  </r>
  <r>
    <x v="2846"/>
    <s v="Switzerland"/>
    <s v="46.204391"/>
    <s v="6.143158"/>
    <s v="IT &amp; IT Services"/>
    <s v="Medium (201-500)"/>
    <s v="Laura Thompson"/>
    <d v="2024-02-12T00:00:00"/>
    <s v="Services"/>
    <x v="6"/>
    <x v="6"/>
    <m/>
    <m/>
    <n v="3220"/>
    <n v="30"/>
    <d v="2024-06-21T00:00:00"/>
    <m/>
  </r>
  <r>
    <x v="2847"/>
    <s v="Switzerland"/>
    <s v="46.204391"/>
    <s v="6.143158"/>
    <s v="Retail &amp; Distribution"/>
    <s v="Medium (201-500)"/>
    <s v="Jessica Martinez"/>
    <d v="2024-02-23T00:00:00"/>
    <s v="Custom solution"/>
    <x v="6"/>
    <x v="6"/>
    <m/>
    <m/>
    <n v="4427"/>
    <n v="10"/>
    <d v="2025-01-08T00:00:00"/>
    <m/>
  </r>
  <r>
    <x v="2848"/>
    <s v="Belgium"/>
    <s v="51.260197"/>
    <s v="4.402771"/>
    <s v="Recreation &amp; Sports"/>
    <s v="Medium (201-500)"/>
    <s v="Laura Thompson"/>
    <d v="2024-02-11T00:00:00"/>
    <s v="Custom solution"/>
    <x v="6"/>
    <x v="6"/>
    <m/>
    <m/>
    <n v="6006"/>
    <n v="40"/>
    <d v="2024-09-19T00:00:00"/>
    <m/>
  </r>
  <r>
    <x v="2849"/>
    <s v="Portugal"/>
    <s v="38.736946"/>
    <s v="-9.142685"/>
    <s v="Entertainment &amp; Media &amp; Hospitality"/>
    <s v="Medium (201-500)"/>
    <s v="Laura Thompson"/>
    <d v="2024-03-14T00:00:00"/>
    <s v="Services"/>
    <x v="6"/>
    <x v="6"/>
    <m/>
    <m/>
    <n v="5823"/>
    <n v="60"/>
    <d v="2024-12-12T00:00:00"/>
    <m/>
  </r>
  <r>
    <x v="2850"/>
    <s v="Portugal"/>
    <s v="38.736946"/>
    <s v="-9.142685"/>
    <s v="Transportation &amp; Logistics"/>
    <s v="Medium (201-500)"/>
    <s v="John Smith"/>
    <d v="2024-01-20T00:00:00"/>
    <s v="Services"/>
    <x v="6"/>
    <x v="6"/>
    <m/>
    <m/>
    <n v="6192"/>
    <n v="80"/>
    <d v="2024-08-29T00:00:00"/>
    <m/>
  </r>
  <r>
    <x v="2851"/>
    <s v="Portugal"/>
    <s v="38.736946"/>
    <s v="-9.142685"/>
    <s v="IT &amp; IT Services"/>
    <s v="Medium (201-500)"/>
    <s v="Michael Brown"/>
    <d v="2024-04-01T00:00:00"/>
    <s v="Custom solution"/>
    <x v="6"/>
    <x v="6"/>
    <m/>
    <m/>
    <n v="6839"/>
    <n v="80"/>
    <d v="2024-08-25T00:00:00"/>
    <m/>
  </r>
  <r>
    <x v="2852"/>
    <s v="Germany"/>
    <s v="52.520008"/>
    <s v="13.404954"/>
    <s v="Professional Services  &amp; Consulting"/>
    <s v="Medium (201-500)"/>
    <s v="Michael Brown"/>
    <d v="2024-03-21T00:00:00"/>
    <s v="Services"/>
    <x v="6"/>
    <x v="6"/>
    <m/>
    <m/>
    <n v="1169"/>
    <n v="40"/>
    <d v="2024-04-20T00:00:00"/>
    <m/>
  </r>
  <r>
    <x v="2853"/>
    <s v="Germany"/>
    <s v="52.520008"/>
    <s v="13.404954"/>
    <s v="Education &amp; Science"/>
    <s v="Medium (201-500)"/>
    <s v="John Smith"/>
    <d v="2024-04-17T00:00:00"/>
    <s v="Services"/>
    <x v="6"/>
    <x v="6"/>
    <m/>
    <m/>
    <n v="5999"/>
    <n v="50"/>
    <d v="2024-06-23T00:00:00"/>
    <m/>
  </r>
  <r>
    <x v="2854"/>
    <s v="Belgium"/>
    <s v="51.260197"/>
    <s v="4.402771"/>
    <s v="Transportation &amp; Logistics"/>
    <s v="Medium (201-500)"/>
    <s v="Laura Thompson"/>
    <d v="2024-03-25T00:00:00"/>
    <s v="Services"/>
    <x v="6"/>
    <x v="6"/>
    <m/>
    <m/>
    <n v="3010"/>
    <n v="10"/>
    <d v="2024-09-16T00:00:00"/>
    <m/>
  </r>
  <r>
    <x v="2855"/>
    <s v="Italy"/>
    <s v="41.902782"/>
    <s v="12.496366"/>
    <s v="IT &amp; IT Services"/>
    <s v="Medium (201-500)"/>
    <s v="Laura Thompson"/>
    <d v="2024-01-31T00:00:00"/>
    <s v="SAAS"/>
    <x v="6"/>
    <x v="6"/>
    <m/>
    <m/>
    <n v="7709"/>
    <n v="70"/>
    <d v="2024-03-31T00:00:00"/>
    <m/>
  </r>
  <r>
    <x v="2856"/>
    <s v="Austria"/>
    <s v="48.210033"/>
    <s v="16.363449"/>
    <s v="Government Administration Healthcare"/>
    <s v="Medium (201-500)"/>
    <s v="Kevin Anderson"/>
    <d v="2024-03-05T00:00:00"/>
    <s v="SAAS"/>
    <x v="6"/>
    <x v="6"/>
    <m/>
    <m/>
    <n v="7536"/>
    <n v="40"/>
    <d v="2024-09-10T00:00:00"/>
    <m/>
  </r>
  <r>
    <x v="2857"/>
    <s v="France"/>
    <s v="48.864716"/>
    <s v="2.349014"/>
    <s v="Transportation &amp; Logistics"/>
    <s v="Medium (201-500)"/>
    <s v="Kevin Anderson"/>
    <d v="2024-01-08T00:00:00"/>
    <s v="SAAS"/>
    <x v="6"/>
    <x v="6"/>
    <m/>
    <m/>
    <n v="1519"/>
    <n v="20"/>
    <d v="2024-04-25T00:00:00"/>
    <m/>
  </r>
  <r>
    <x v="2858"/>
    <s v="Italy"/>
    <s v="41.902782"/>
    <s v="12.496366"/>
    <s v="Manufacturing &amp; Production"/>
    <s v="Medium (201-500)"/>
    <s v="Laura Thompson"/>
    <d v="2024-05-12T00:00:00"/>
    <s v="Services"/>
    <x v="6"/>
    <x v="6"/>
    <m/>
    <m/>
    <n v="2395"/>
    <n v="40"/>
    <d v="2025-02-20T00:00:00"/>
    <m/>
  </r>
  <r>
    <x v="2859"/>
    <s v="Italy"/>
    <s v="41.902782"/>
    <s v="12.496366"/>
    <s v="Banking and Finance"/>
    <s v="Medium (201-500)"/>
    <s v="Michael Brown"/>
    <d v="2024-02-23T00:00:00"/>
    <s v="Services"/>
    <x v="6"/>
    <x v="6"/>
    <m/>
    <m/>
    <n v="233"/>
    <n v="20"/>
    <d v="2024-04-25T00:00:00"/>
    <m/>
  </r>
  <r>
    <x v="2860"/>
    <s v="Switzerland"/>
    <s v="46.204391"/>
    <s v="6.143158"/>
    <s v="Recreation &amp; Sports"/>
    <s v="Medium (201-500)"/>
    <s v="Jessica Martinez"/>
    <d v="2024-04-11T00:00:00"/>
    <s v="SAAS"/>
    <x v="6"/>
    <x v="6"/>
    <m/>
    <m/>
    <n v="7912"/>
    <n v="30"/>
    <d v="2024-12-01T00:00:00"/>
    <m/>
  </r>
  <r>
    <x v="2861"/>
    <s v="France"/>
    <s v="48.864716"/>
    <s v="2.349014"/>
    <s v="IT &amp; IT Services"/>
    <s v="Medium (201-500)"/>
    <s v="Michael Brown"/>
    <d v="2024-03-09T00:00:00"/>
    <s v="Services"/>
    <x v="6"/>
    <x v="6"/>
    <m/>
    <m/>
    <n v="6599"/>
    <n v="30"/>
    <d v="2024-12-27T00:00:00"/>
    <m/>
  </r>
  <r>
    <x v="2862"/>
    <s v="Spain"/>
    <s v="40.416775"/>
    <s v="-3.703790"/>
    <s v="Transportation &amp; Logistics"/>
    <s v="Medium (201-500)"/>
    <s v="Laura Thompson"/>
    <d v="2024-03-08T00:00:00"/>
    <s v="Services"/>
    <x v="6"/>
    <x v="6"/>
    <m/>
    <m/>
    <n v="3653"/>
    <n v="10"/>
    <d v="2024-08-13T00:00:00"/>
    <m/>
  </r>
  <r>
    <x v="2863"/>
    <s v="Portugal"/>
    <s v="38.736946"/>
    <s v="-9.142685"/>
    <s v="Banking and Finance"/>
    <s v="Medium (201-500)"/>
    <s v="Kevin Anderson"/>
    <d v="2024-04-15T00:00:00"/>
    <s v="SAAS"/>
    <x v="6"/>
    <x v="6"/>
    <m/>
    <m/>
    <n v="6335"/>
    <n v="40"/>
    <d v="2025-01-27T00:00:00"/>
    <m/>
  </r>
  <r>
    <x v="2864"/>
    <s v="Portugal"/>
    <s v="38.736946"/>
    <s v="-9.142685"/>
    <s v="Transportation &amp; Logistics"/>
    <s v="Medium (201-500)"/>
    <s v="Laura Thompson"/>
    <d v="2024-01-20T00:00:00"/>
    <s v="Services"/>
    <x v="6"/>
    <x v="6"/>
    <m/>
    <m/>
    <n v="5823"/>
    <n v="50"/>
    <d v="2024-09-10T00:00:00"/>
    <m/>
  </r>
  <r>
    <x v="2865"/>
    <s v="Spain"/>
    <s v="40.416775"/>
    <s v="-3.703790"/>
    <s v="Energy &amp; Utilities"/>
    <s v="Medium (201-500)"/>
    <s v="Laura Thompson"/>
    <d v="2024-04-19T00:00:00"/>
    <s v="Services"/>
    <x v="6"/>
    <x v="6"/>
    <m/>
    <m/>
    <n v="520"/>
    <n v="80"/>
    <d v="2024-07-19T00:00:00"/>
    <m/>
  </r>
  <r>
    <x v="2866"/>
    <s v="Italy"/>
    <s v="41.902782"/>
    <s v="12.496366"/>
    <s v="Banking and Finance"/>
    <s v="Medium (201-500)"/>
    <s v="Laura Thompson"/>
    <d v="2024-05-01T00:00:00"/>
    <s v="Services"/>
    <x v="6"/>
    <x v="6"/>
    <m/>
    <m/>
    <n v="2511"/>
    <n v="10"/>
    <d v="2025-03-22T00:00:00"/>
    <m/>
  </r>
  <r>
    <x v="2867"/>
    <s v="Switzerland"/>
    <s v="46.204391"/>
    <s v="6.143158"/>
    <s v="IT &amp; IT Services"/>
    <s v="Medium (201-500)"/>
    <s v="Laura Thompson"/>
    <d v="2024-01-03T00:00:00"/>
    <s v="SAAS"/>
    <x v="6"/>
    <x v="6"/>
    <m/>
    <m/>
    <n v="5998"/>
    <n v="100"/>
    <d v="2024-10-11T00:00:00"/>
    <m/>
  </r>
  <r>
    <x v="2868"/>
    <s v="Switzerland"/>
    <s v="46.204391"/>
    <s v="6.143158"/>
    <s v="Entertainment &amp; Media &amp; Hospitality"/>
    <s v="Medium (201-500)"/>
    <s v="Michael Brown"/>
    <d v="2024-04-19T00:00:00"/>
    <s v="SAAS"/>
    <x v="6"/>
    <x v="6"/>
    <m/>
    <m/>
    <n v="2733"/>
    <n v="30"/>
    <d v="2025-02-27T00:00:00"/>
    <m/>
  </r>
  <r>
    <x v="2869"/>
    <s v="Germany"/>
    <s v="52.520008"/>
    <s v="13.404954"/>
    <s v="Entertainment &amp; Media &amp; Hospitality"/>
    <s v="Medium (201-500)"/>
    <s v="Laura Thompson"/>
    <d v="2024-01-29T00:00:00"/>
    <s v="SAAS"/>
    <x v="6"/>
    <x v="6"/>
    <m/>
    <m/>
    <n v="7415"/>
    <n v="80"/>
    <d v="2024-06-14T00:00:00"/>
    <m/>
  </r>
  <r>
    <x v="2870"/>
    <s v="Portugal"/>
    <s v="38.736946"/>
    <s v="-9.142685"/>
    <s v="Education &amp; Science"/>
    <s v="Medium (201-500)"/>
    <s v="David Wilson"/>
    <d v="2024-03-06T00:00:00"/>
    <s v="Services"/>
    <x v="6"/>
    <x v="6"/>
    <m/>
    <m/>
    <n v="6237"/>
    <n v="30"/>
    <d v="2024-06-15T00:00:00"/>
    <m/>
  </r>
  <r>
    <x v="2871"/>
    <s v="Switzerland"/>
    <s v="46.204391"/>
    <s v="6.143158"/>
    <s v="Government Administration Healthcare"/>
    <s v="Medium (201-500)"/>
    <s v="John Smith"/>
    <d v="2024-05-28T00:00:00"/>
    <s v="Custom solution"/>
    <x v="6"/>
    <x v="6"/>
    <m/>
    <m/>
    <n v="822"/>
    <n v="20"/>
    <d v="2024-10-30T00:00:00"/>
    <m/>
  </r>
  <r>
    <x v="2872"/>
    <s v="France"/>
    <s v="48.864716"/>
    <s v="2.349014"/>
    <s v="Professional Services  &amp; Consulting"/>
    <s v="Medium (201-500)"/>
    <s v="Michael Brown"/>
    <d v="2024-05-02T00:00:00"/>
    <s v="Services"/>
    <x v="6"/>
    <x v="6"/>
    <m/>
    <m/>
    <n v="4686"/>
    <n v="30"/>
    <d v="2024-06-13T00:00:00"/>
    <m/>
  </r>
  <r>
    <x v="2873"/>
    <s v="Germany"/>
    <s v="52.520008"/>
    <s v="13.404954"/>
    <s v="Banking and Finance"/>
    <s v="Medium (201-500)"/>
    <s v="Jessica Martinez"/>
    <d v="2024-05-30T00:00:00"/>
    <s v="Services"/>
    <x v="6"/>
    <x v="6"/>
    <m/>
    <m/>
    <n v="6335"/>
    <n v="50"/>
    <d v="2025-01-05T00:00:00"/>
    <m/>
  </r>
  <r>
    <x v="2874"/>
    <s v="Spain"/>
    <s v="40.416775"/>
    <s v="-3.703790"/>
    <s v="IT &amp; IT Services"/>
    <s v="Medium (201-500)"/>
    <s v="Michael Brown"/>
    <d v="2024-01-09T00:00:00"/>
    <s v="SAAS"/>
    <x v="6"/>
    <x v="6"/>
    <m/>
    <m/>
    <n v="367"/>
    <n v="20"/>
    <d v="2024-12-15T00:00:00"/>
    <m/>
  </r>
  <r>
    <x v="2875"/>
    <s v="Switzerland"/>
    <s v="46.204391"/>
    <s v="6.143158"/>
    <s v="IT &amp; IT Services"/>
    <s v="Medium (201-500)"/>
    <s v="Emily Johnson"/>
    <d v="2024-01-16T00:00:00"/>
    <s v="SAAS"/>
    <x v="6"/>
    <x v="6"/>
    <m/>
    <m/>
    <n v="6868"/>
    <n v="50"/>
    <d v="2024-10-28T00:00:00"/>
    <m/>
  </r>
  <r>
    <x v="2876"/>
    <s v="Germany"/>
    <s v="52.520008"/>
    <s v="13.404954"/>
    <s v="Government Administration Healthcare"/>
    <s v="Medium (201-500)"/>
    <s v="John Smith"/>
    <d v="2024-03-11T00:00:00"/>
    <s v="Custom solution"/>
    <x v="6"/>
    <x v="6"/>
    <m/>
    <m/>
    <n v="4594"/>
    <n v="40"/>
    <d v="2024-05-20T00:00:00"/>
    <m/>
  </r>
  <r>
    <x v="2877"/>
    <s v="Belgium"/>
    <s v="51.260197"/>
    <s v="4.402771"/>
    <s v="Recreation &amp; Sports"/>
    <s v="Medium (201-500)"/>
    <s v="Kevin Anderson"/>
    <d v="2024-05-01T00:00:00"/>
    <s v="Custom solution"/>
    <x v="6"/>
    <x v="6"/>
    <m/>
    <m/>
    <n v="4181"/>
    <n v="50"/>
    <d v="2024-10-06T00:00:00"/>
    <m/>
  </r>
  <r>
    <x v="2878"/>
    <s v="Austria"/>
    <s v="48.210033"/>
    <s v="16.363449"/>
    <s v="Telecommunications"/>
    <s v="Medium (201-500)"/>
    <s v="Jessica Martinez"/>
    <d v="2024-03-11T00:00:00"/>
    <s v="Services"/>
    <x v="6"/>
    <x v="6"/>
    <m/>
    <m/>
    <n v="4962"/>
    <n v="50"/>
    <d v="2024-11-30T00:00:00"/>
    <m/>
  </r>
  <r>
    <x v="2879"/>
    <s v="Germany"/>
    <s v="52.520008"/>
    <s v="13.404954"/>
    <s v="IT &amp; IT Services"/>
    <s v="Medium (201-500)"/>
    <s v="Michael Brown"/>
    <d v="2024-05-25T00:00:00"/>
    <s v="Services"/>
    <x v="6"/>
    <x v="6"/>
    <m/>
    <m/>
    <n v="1517"/>
    <n v="60"/>
    <d v="2025-04-25T00:00:00"/>
    <m/>
  </r>
  <r>
    <x v="2880"/>
    <s v="Italy"/>
    <s v="41.902782"/>
    <s v="12.496366"/>
    <s v="Transportation &amp; Logistics"/>
    <s v="Medium (201-500)"/>
    <s v="John Smith"/>
    <d v="2024-01-27T00:00:00"/>
    <s v="SAAS"/>
    <x v="6"/>
    <x v="6"/>
    <m/>
    <m/>
    <n v="3352"/>
    <n v="100"/>
    <d v="2024-09-22T00:00:00"/>
    <m/>
  </r>
  <r>
    <x v="2881"/>
    <s v="Italy"/>
    <s v="41.902782"/>
    <s v="12.496366"/>
    <s v="Recreation &amp; Sports"/>
    <s v="Medium (201-500)"/>
    <s v="Laura Thompson"/>
    <d v="2024-02-02T00:00:00"/>
    <s v="SAAS"/>
    <x v="6"/>
    <x v="6"/>
    <m/>
    <m/>
    <n v="6861"/>
    <n v="40"/>
    <d v="2024-06-25T00:00:00"/>
    <m/>
  </r>
  <r>
    <x v="2882"/>
    <s v="Italy"/>
    <s v="41.902782"/>
    <s v="12.496366"/>
    <s v="Transportation &amp; Logistics"/>
    <s v="Medium (201-500)"/>
    <s v="Michael Brown"/>
    <d v="2024-02-21T00:00:00"/>
    <s v="SAAS"/>
    <x v="6"/>
    <x v="6"/>
    <m/>
    <m/>
    <n v="5533"/>
    <n v="20"/>
    <d v="2024-07-31T00:00:00"/>
    <m/>
  </r>
  <r>
    <x v="2883"/>
    <s v="Italy"/>
    <s v="41.902782"/>
    <s v="12.496366"/>
    <s v="Entertainment &amp; Media &amp; Hospitality"/>
    <s v="Medium (201-500)"/>
    <s v="Michael Brown"/>
    <d v="2024-02-22T00:00:00"/>
    <s v="Custom solution"/>
    <x v="6"/>
    <x v="6"/>
    <m/>
    <m/>
    <n v="1742"/>
    <n v="20"/>
    <d v="2024-07-04T00:00:00"/>
    <m/>
  </r>
  <r>
    <x v="2884"/>
    <s v="France"/>
    <s v="48.864716"/>
    <s v="2.349014"/>
    <s v="Energy &amp; Utilities"/>
    <s v="Medium (201-500)"/>
    <s v="Kevin Anderson"/>
    <d v="2024-05-03T00:00:00"/>
    <s v="Custom solution"/>
    <x v="6"/>
    <x v="6"/>
    <m/>
    <m/>
    <n v="7534"/>
    <n v="20"/>
    <d v="2024-12-22T00:00:00"/>
    <m/>
  </r>
  <r>
    <x v="2885"/>
    <s v="Netherlands"/>
    <s v="52.370216"/>
    <s v="4.895168"/>
    <s v="Telecommunications"/>
    <s v="Medium (201-500)"/>
    <s v="John Smith"/>
    <d v="2024-04-23T00:00:00"/>
    <s v="SAAS"/>
    <x v="6"/>
    <x v="6"/>
    <m/>
    <m/>
    <n v="787"/>
    <n v="30"/>
    <d v="2024-12-19T00:00:00"/>
    <m/>
  </r>
  <r>
    <x v="2886"/>
    <s v="Italy"/>
    <s v="41.902782"/>
    <s v="12.496366"/>
    <s v="Retail &amp; Distribution"/>
    <s v="Medium (201-500)"/>
    <s v="John Smith"/>
    <d v="2024-03-30T00:00:00"/>
    <s v="SAAS"/>
    <x v="6"/>
    <x v="6"/>
    <m/>
    <m/>
    <n v="6798"/>
    <n v="20"/>
    <d v="2025-01-20T00:00:00"/>
    <m/>
  </r>
  <r>
    <x v="2887"/>
    <s v="Belgium"/>
    <s v="51.260197"/>
    <s v="4.402771"/>
    <s v="Retail &amp; Distribution"/>
    <s v="Medium (201-500)"/>
    <s v="Michael Brown"/>
    <d v="2024-04-13T00:00:00"/>
    <s v="Services"/>
    <x v="6"/>
    <x v="6"/>
    <m/>
    <m/>
    <n v="1167"/>
    <n v="80"/>
    <d v="2025-03-29T00:00:00"/>
    <m/>
  </r>
  <r>
    <x v="2888"/>
    <s v="Italy"/>
    <s v="41.902782"/>
    <s v="12.496366"/>
    <s v="Banking and Finance"/>
    <s v="Medium (201-500)"/>
    <s v="David Wilson"/>
    <d v="2024-01-17T00:00:00"/>
    <s v="Custom solution"/>
    <x v="6"/>
    <x v="6"/>
    <m/>
    <m/>
    <n v="2117"/>
    <n v="40"/>
    <d v="2024-04-25T00:00:00"/>
    <m/>
  </r>
  <r>
    <x v="2889"/>
    <s v="Germany"/>
    <s v="52.520008"/>
    <s v="13.404954"/>
    <s v="Transportation &amp; Logistics"/>
    <s v="Medium (201-500)"/>
    <s v="Michael Brown"/>
    <d v="2024-03-09T00:00:00"/>
    <s v="Services"/>
    <x v="6"/>
    <x v="6"/>
    <m/>
    <m/>
    <n v="1669"/>
    <n v="30"/>
    <d v="2024-09-23T00:00:00"/>
    <m/>
  </r>
  <r>
    <x v="2890"/>
    <s v="France"/>
    <s v="48.864716"/>
    <s v="2.349014"/>
    <s v="IT &amp; IT Services"/>
    <s v="Medium (201-500)"/>
    <s v="Laura Thompson"/>
    <d v="2024-01-31T00:00:00"/>
    <s v="Services"/>
    <x v="6"/>
    <x v="6"/>
    <m/>
    <m/>
    <n v="4026"/>
    <n v="40"/>
    <d v="2024-08-26T00:00:00"/>
    <m/>
  </r>
  <r>
    <x v="2891"/>
    <s v="Belgium"/>
    <s v="51.260197"/>
    <s v="4.402771"/>
    <s v="Transportation &amp; Logistics"/>
    <s v="Medium (201-500)"/>
    <s v="Emily Johnson"/>
    <d v="2024-05-05T00:00:00"/>
    <s v="Custom solution"/>
    <x v="6"/>
    <x v="6"/>
    <m/>
    <m/>
    <n v="5321"/>
    <n v="10"/>
    <d v="2024-08-27T00:00:00"/>
    <m/>
  </r>
  <r>
    <x v="2892"/>
    <s v="Portugal"/>
    <s v="38.736946"/>
    <s v="-9.142685"/>
    <s v="Banking and Finance"/>
    <s v="Medium (201-500)"/>
    <s v="Laura Thompson"/>
    <d v="2024-03-25T00:00:00"/>
    <s v="Services"/>
    <x v="6"/>
    <x v="6"/>
    <m/>
    <m/>
    <n v="4667"/>
    <n v="60"/>
    <d v="2025-03-25T00:00:00"/>
    <m/>
  </r>
  <r>
    <x v="2893"/>
    <s v="Austria"/>
    <s v="48.210033"/>
    <s v="16.363449"/>
    <s v="Retail &amp; Distribution"/>
    <s v="Medium (201-500)"/>
    <s v="Laura Thompson"/>
    <d v="2024-03-30T00:00:00"/>
    <s v="Services"/>
    <x v="6"/>
    <x v="6"/>
    <m/>
    <m/>
    <n v="6981"/>
    <n v="60"/>
    <d v="2024-07-29T00:00:00"/>
    <m/>
  </r>
  <r>
    <x v="2894"/>
    <s v="Germany"/>
    <s v="52.520008"/>
    <s v="13.404954"/>
    <s v="Energy &amp; Utilities"/>
    <s v="Medium (201-500)"/>
    <s v="Kevin Anderson"/>
    <d v="2024-01-02T00:00:00"/>
    <s v="SAAS"/>
    <x v="6"/>
    <x v="6"/>
    <m/>
    <m/>
    <n v="1079"/>
    <n v="40"/>
    <d v="2024-11-11T00:00:00"/>
    <m/>
  </r>
  <r>
    <x v="2895"/>
    <s v="Austria"/>
    <s v="48.210033"/>
    <s v="16.363449"/>
    <s v="Banking and Finance"/>
    <s v="Medium (201-500)"/>
    <s v="Michael Brown"/>
    <d v="2024-04-20T00:00:00"/>
    <s v="Services"/>
    <x v="6"/>
    <x v="6"/>
    <m/>
    <m/>
    <n v="3445"/>
    <n v="20"/>
    <d v="2025-02-06T00:00:00"/>
    <m/>
  </r>
  <r>
    <x v="2896"/>
    <s v="Portugal"/>
    <s v="38.736946"/>
    <s v="-9.142685"/>
    <s v="Energy &amp; Utilities"/>
    <s v="Medium (201-500)"/>
    <s v="Michael Brown"/>
    <d v="2024-02-02T00:00:00"/>
    <s v="SAAS"/>
    <x v="6"/>
    <x v="6"/>
    <m/>
    <m/>
    <n v="2714"/>
    <n v="50"/>
    <d v="2024-08-05T00:00:00"/>
    <m/>
  </r>
  <r>
    <x v="2897"/>
    <s v="Belgium"/>
    <s v="51.260197"/>
    <s v="4.402771"/>
    <s v="Telecommunications"/>
    <s v="Medium (201-500)"/>
    <s v="Jessica Martinez"/>
    <d v="2024-05-03T00:00:00"/>
    <s v="Services"/>
    <x v="6"/>
    <x v="6"/>
    <m/>
    <m/>
    <n v="3341"/>
    <n v="70"/>
    <d v="2025-03-31T00:00:00"/>
    <m/>
  </r>
  <r>
    <x v="2898"/>
    <s v="Italy"/>
    <s v="41.902782"/>
    <s v="12.496366"/>
    <s v="Telecommunications"/>
    <s v="Medium (201-500)"/>
    <s v="Emily Johnson"/>
    <d v="2024-05-21T00:00:00"/>
    <s v="Services"/>
    <x v="6"/>
    <x v="6"/>
    <m/>
    <m/>
    <n v="3270"/>
    <n v="20"/>
    <d v="2024-09-01T00:00:00"/>
    <m/>
  </r>
  <r>
    <x v="2899"/>
    <s v="Belgium"/>
    <s v="51.260197"/>
    <s v="4.402771"/>
    <s v="Banking and Finance"/>
    <s v="Medium (201-500)"/>
    <s v="Jessica Martinez"/>
    <d v="2024-01-22T00:00:00"/>
    <s v="Services"/>
    <x v="6"/>
    <x v="6"/>
    <m/>
    <m/>
    <n v="5018"/>
    <n v="60"/>
    <d v="2024-08-29T00:00:00"/>
    <m/>
  </r>
  <r>
    <x v="2900"/>
    <s v="Netherlands"/>
    <s v="52.370216"/>
    <s v="4.895168"/>
    <s v="Agriculture &amp; Mining"/>
    <s v="Medium (201-500)"/>
    <s v="John Smith"/>
    <d v="2024-05-31T00:00:00"/>
    <s v="Custom solution"/>
    <x v="6"/>
    <x v="6"/>
    <m/>
    <m/>
    <n v="4354"/>
    <n v="60"/>
    <d v="2025-01-26T00:00:00"/>
    <m/>
  </r>
  <r>
    <x v="2901"/>
    <s v="Italy"/>
    <s v="41.902782"/>
    <s v="12.496366"/>
    <s v="Entertainment &amp; Media &amp; Hospitality"/>
    <s v="Medium (201-500)"/>
    <s v="Laura Thompson"/>
    <d v="2024-05-21T00:00:00"/>
    <s v="Custom solution"/>
    <x v="6"/>
    <x v="6"/>
    <m/>
    <m/>
    <n v="977"/>
    <n v="30"/>
    <d v="2024-11-09T00:00:00"/>
    <m/>
  </r>
  <r>
    <x v="2902"/>
    <s v="Austria"/>
    <s v="48.210033"/>
    <s v="16.363449"/>
    <s v="Government Administration Healthcare"/>
    <s v="Medium (201-500)"/>
    <s v="Michael Brown"/>
    <d v="2024-05-30T00:00:00"/>
    <s v="Custom solution"/>
    <x v="6"/>
    <x v="6"/>
    <m/>
    <m/>
    <n v="2695"/>
    <n v="40"/>
    <d v="2025-02-13T00:00:00"/>
    <m/>
  </r>
  <r>
    <x v="2903"/>
    <s v="Germany"/>
    <s v="52.520008"/>
    <s v="13.404954"/>
    <s v="Agriculture &amp; Mining"/>
    <s v="Medium (201-500)"/>
    <s v="David Wilson"/>
    <d v="2024-05-17T00:00:00"/>
    <s v="Custom solution"/>
    <x v="6"/>
    <x v="6"/>
    <m/>
    <m/>
    <n v="3064"/>
    <n v="20"/>
    <d v="2024-08-16T00:00:00"/>
    <m/>
  </r>
  <r>
    <x v="2904"/>
    <s v="Italy"/>
    <s v="41.902782"/>
    <s v="12.496366"/>
    <s v="IT &amp; IT Services"/>
    <s v="Medium (201-500)"/>
    <s v="Michael Brown"/>
    <d v="2024-04-27T00:00:00"/>
    <s v="Services"/>
    <x v="6"/>
    <x v="6"/>
    <m/>
    <m/>
    <n v="6161"/>
    <n v="40"/>
    <d v="2024-11-30T00:00:00"/>
    <m/>
  </r>
  <r>
    <x v="2905"/>
    <s v="Germany"/>
    <s v="52.520008"/>
    <s v="13.404954"/>
    <s v="Recreation &amp; Sports"/>
    <s v="Medium (201-500)"/>
    <s v="David Wilson"/>
    <d v="2024-05-19T00:00:00"/>
    <s v="SAAS"/>
    <x v="6"/>
    <x v="6"/>
    <m/>
    <m/>
    <n v="2689"/>
    <n v="30"/>
    <d v="2025-05-04T00:00:00"/>
    <m/>
  </r>
  <r>
    <x v="2906"/>
    <s v="Netherlands"/>
    <s v="52.370216"/>
    <s v="4.895168"/>
    <s v="Construction &amp; Engineering"/>
    <s v="Medium (201-500)"/>
    <s v="Laura Thompson"/>
    <d v="2024-01-03T00:00:00"/>
    <s v="Services"/>
    <x v="6"/>
    <x v="6"/>
    <m/>
    <m/>
    <n v="3957"/>
    <n v="30"/>
    <d v="2024-07-06T00:00:00"/>
    <m/>
  </r>
  <r>
    <x v="2907"/>
    <s v="Portugal"/>
    <s v="38.736946"/>
    <s v="-9.142685"/>
    <s v="Telecommunications"/>
    <s v="Medium (201-500)"/>
    <s v="Laura Thompson"/>
    <d v="2024-03-05T00:00:00"/>
    <s v="Services"/>
    <x v="6"/>
    <x v="6"/>
    <m/>
    <m/>
    <n v="6202"/>
    <n v="20"/>
    <d v="2024-09-11T00:00:00"/>
    <m/>
  </r>
  <r>
    <x v="2908"/>
    <s v="Spain"/>
    <s v="40.416775"/>
    <s v="-3.703790"/>
    <s v="Retail &amp; Distribution"/>
    <s v="Medium (201-500)"/>
    <s v="Kevin Anderson"/>
    <d v="2024-02-17T00:00:00"/>
    <s v="Custom solution"/>
    <x v="6"/>
    <x v="6"/>
    <m/>
    <m/>
    <n v="7087"/>
    <n v="50"/>
    <d v="2024-04-11T00:00:00"/>
    <m/>
  </r>
  <r>
    <x v="2909"/>
    <s v="Portugal"/>
    <s v="38.736946"/>
    <s v="-9.142685"/>
    <s v="Retail &amp; Distribution"/>
    <s v="Medium (201-500)"/>
    <s v="Michael Brown"/>
    <d v="2024-04-07T00:00:00"/>
    <s v="Custom solution"/>
    <x v="6"/>
    <x v="6"/>
    <m/>
    <m/>
    <n v="6058"/>
    <n v="10"/>
    <d v="2025-02-02T00:00:00"/>
    <m/>
  </r>
  <r>
    <x v="2910"/>
    <s v="France"/>
    <s v="48.864716"/>
    <s v="2.349014"/>
    <s v="Banking and Finance"/>
    <s v="Medium (201-500)"/>
    <s v="Jessica Martinez"/>
    <d v="2024-04-22T00:00:00"/>
    <s v="Custom solution"/>
    <x v="6"/>
    <x v="6"/>
    <m/>
    <m/>
    <n v="344"/>
    <n v="40"/>
    <d v="2024-09-15T00:00:00"/>
    <m/>
  </r>
  <r>
    <x v="2911"/>
    <s v="Netherlands"/>
    <s v="52.370216"/>
    <s v="4.895168"/>
    <s v="Construction &amp; Engineering"/>
    <s v="Medium (201-500)"/>
    <s v="Laura Thompson"/>
    <d v="2024-04-02T00:00:00"/>
    <s v="SAAS"/>
    <x v="6"/>
    <x v="6"/>
    <m/>
    <m/>
    <n v="6674"/>
    <n v="100"/>
    <d v="2024-08-27T00:00:00"/>
    <m/>
  </r>
  <r>
    <x v="2912"/>
    <s v="Belgium"/>
    <s v="51.260197"/>
    <s v="4.402771"/>
    <s v="IT &amp; IT Services"/>
    <s v="Medium (201-500)"/>
    <s v="Laura Thompson"/>
    <d v="2024-05-06T00:00:00"/>
    <s v="SAAS"/>
    <x v="6"/>
    <x v="6"/>
    <m/>
    <m/>
    <n v="3578"/>
    <n v="40"/>
    <d v="2025-04-30T00:00:00"/>
    <m/>
  </r>
  <r>
    <x v="2913"/>
    <s v="Switzerland"/>
    <s v="46.204391"/>
    <s v="6.143158"/>
    <s v="IT &amp; IT Services"/>
    <s v="Medium (201-500)"/>
    <s v="Sarah Davis"/>
    <d v="2024-04-13T00:00:00"/>
    <s v="Services"/>
    <x v="6"/>
    <x v="6"/>
    <m/>
    <m/>
    <n v="632"/>
    <n v="50"/>
    <d v="2024-06-18T00:00:00"/>
    <m/>
  </r>
  <r>
    <x v="2914"/>
    <s v="France"/>
    <s v="48.864716"/>
    <s v="2.349014"/>
    <s v="Transportation &amp; Logistics"/>
    <s v="Medium (201-500)"/>
    <s v="Sarah Davis"/>
    <d v="2024-01-10T00:00:00"/>
    <s v="Services"/>
    <x v="6"/>
    <x v="6"/>
    <m/>
    <m/>
    <n v="7338"/>
    <n v="20"/>
    <d v="2024-09-19T00:00:00"/>
    <m/>
  </r>
  <r>
    <x v="2915"/>
    <s v="Switzerland"/>
    <s v="46.204391"/>
    <s v="6.143158"/>
    <s v="Professional Services  &amp; Consulting"/>
    <s v="Medium (201-500)"/>
    <s v="Laura Thompson"/>
    <d v="2024-03-04T00:00:00"/>
    <s v="Services"/>
    <x v="6"/>
    <x v="6"/>
    <m/>
    <m/>
    <n v="1963"/>
    <n v="20"/>
    <d v="2024-08-10T00:00:00"/>
    <m/>
  </r>
  <r>
    <x v="2916"/>
    <s v="Germany"/>
    <s v="52.520008"/>
    <s v="13.404954"/>
    <s v="Transportation &amp; Logistics"/>
    <s v="Medium (201-500)"/>
    <s v="Laura Thompson"/>
    <d v="2024-02-18T00:00:00"/>
    <s v="SAAS"/>
    <x v="6"/>
    <x v="6"/>
    <m/>
    <m/>
    <n v="1230"/>
    <n v="60"/>
    <d v="2025-01-08T00:00:00"/>
    <m/>
  </r>
  <r>
    <x v="2917"/>
    <s v="Portugal"/>
    <s v="38.736946"/>
    <s v="-9.142685"/>
    <s v="Energy &amp; Utilities"/>
    <s v="Medium (201-500)"/>
    <s v="Laura Thompson"/>
    <d v="2024-03-21T00:00:00"/>
    <s v="Custom solution"/>
    <x v="6"/>
    <x v="6"/>
    <m/>
    <m/>
    <n v="2321"/>
    <n v="40"/>
    <d v="2025-02-02T00:00:00"/>
    <m/>
  </r>
  <r>
    <x v="2918"/>
    <s v="Italy"/>
    <s v="41.902782"/>
    <s v="12.496366"/>
    <s v="Banking and Finance"/>
    <s v="Medium (201-500)"/>
    <s v="Jessica Martinez"/>
    <d v="2024-02-06T00:00:00"/>
    <s v="Services"/>
    <x v="6"/>
    <x v="6"/>
    <m/>
    <m/>
    <n v="3026"/>
    <n v="30"/>
    <d v="2024-06-16T00:00:00"/>
    <m/>
  </r>
  <r>
    <x v="2919"/>
    <s v="Portugal"/>
    <s v="38.736946"/>
    <s v="-9.142685"/>
    <s v="Banking and Finance"/>
    <s v="Medium (201-500)"/>
    <s v="Michael Brown"/>
    <d v="2024-04-10T00:00:00"/>
    <s v="Services"/>
    <x v="6"/>
    <x v="6"/>
    <m/>
    <m/>
    <n v="527"/>
    <n v="40"/>
    <d v="2024-11-30T00:00:00"/>
    <m/>
  </r>
  <r>
    <x v="2920"/>
    <s v="France"/>
    <s v="48.864716"/>
    <s v="2.349014"/>
    <s v="Telecommunications"/>
    <s v="Medium (201-500)"/>
    <s v="Emily Johnson"/>
    <d v="2024-01-27T00:00:00"/>
    <s v="Services"/>
    <x v="6"/>
    <x v="6"/>
    <m/>
    <m/>
    <n v="7041"/>
    <n v="30"/>
    <d v="2025-01-01T00:00:00"/>
    <m/>
  </r>
  <r>
    <x v="2921"/>
    <s v="Switzerland"/>
    <s v="46.204391"/>
    <s v="6.143158"/>
    <s v="Professional Services  &amp; Consulting"/>
    <s v="Medium (201-500)"/>
    <s v="Kevin Anderson"/>
    <d v="2024-05-12T00:00:00"/>
    <s v="Services"/>
    <x v="6"/>
    <x v="6"/>
    <m/>
    <m/>
    <n v="3290"/>
    <n v="20"/>
    <d v="2024-10-23T00:00:00"/>
    <m/>
  </r>
  <r>
    <x v="2922"/>
    <s v="Switzerland"/>
    <s v="46.204391"/>
    <s v="6.143158"/>
    <s v="IT &amp; IT Services"/>
    <s v="Medium (201-500)"/>
    <s v="John Smith"/>
    <d v="2024-03-09T00:00:00"/>
    <s v="Services"/>
    <x v="6"/>
    <x v="6"/>
    <m/>
    <m/>
    <n v="1197"/>
    <n v="10"/>
    <d v="2024-06-23T00:00:00"/>
    <m/>
  </r>
  <r>
    <x v="2923"/>
    <s v="Austria"/>
    <s v="48.210033"/>
    <s v="16.363449"/>
    <s v="Transportation &amp; Logistics"/>
    <s v="Medium (201-500)"/>
    <s v="Jessica Martinez"/>
    <d v="2024-03-07T00:00:00"/>
    <s v="Services"/>
    <x v="6"/>
    <x v="6"/>
    <m/>
    <m/>
    <n v="4953"/>
    <n v="70"/>
    <d v="2024-04-03T00:00:00"/>
    <m/>
  </r>
  <r>
    <x v="2924"/>
    <s v="Germany"/>
    <s v="52.520008"/>
    <s v="13.404954"/>
    <s v="Agriculture &amp; Mining"/>
    <s v="Medium (201-500)"/>
    <s v="Kevin Anderson"/>
    <d v="2024-02-19T00:00:00"/>
    <s v="SAAS"/>
    <x v="6"/>
    <x v="6"/>
    <m/>
    <m/>
    <n v="7503"/>
    <n v="70"/>
    <d v="2024-04-03T00:00:00"/>
    <m/>
  </r>
  <r>
    <x v="2925"/>
    <s v="Portugal"/>
    <s v="38.736946"/>
    <s v="-9.142685"/>
    <s v="Transportation &amp; Logistics"/>
    <s v="Medium (201-500)"/>
    <s v="John Smith"/>
    <d v="2024-05-20T00:00:00"/>
    <s v="Services"/>
    <x v="6"/>
    <x v="6"/>
    <m/>
    <m/>
    <n v="7066"/>
    <n v="50"/>
    <d v="2025-03-11T00:00:00"/>
    <m/>
  </r>
  <r>
    <x v="2926"/>
    <s v="Italy"/>
    <s v="41.902782"/>
    <s v="12.496366"/>
    <s v="IT &amp; IT Services"/>
    <s v="Medium (201-500)"/>
    <s v="Jessica Martinez"/>
    <d v="2024-05-18T00:00:00"/>
    <s v="Services"/>
    <x v="6"/>
    <x v="6"/>
    <m/>
    <m/>
    <n v="4099"/>
    <n v="20"/>
    <d v="2025-03-29T00:00:00"/>
    <m/>
  </r>
  <r>
    <x v="2927"/>
    <s v="Germany"/>
    <s v="52.520008"/>
    <s v="13.404954"/>
    <s v="Telecommunications"/>
    <s v="Medium (201-500)"/>
    <s v="David Wilson"/>
    <d v="2024-03-01T00:00:00"/>
    <s v="Custom solution"/>
    <x v="6"/>
    <x v="6"/>
    <m/>
    <m/>
    <n v="1722"/>
    <n v="50"/>
    <d v="2024-08-10T00:00:00"/>
    <m/>
  </r>
  <r>
    <x v="2928"/>
    <s v="Italy"/>
    <s v="41.902782"/>
    <s v="12.496366"/>
    <s v="Telecommunications"/>
    <s v="Medium (201-500)"/>
    <s v="Michael Brown"/>
    <d v="2024-02-04T00:00:00"/>
    <s v="Custom solution"/>
    <x v="6"/>
    <x v="6"/>
    <m/>
    <m/>
    <n v="5168"/>
    <n v="20"/>
    <d v="2025-01-18T00:00:00"/>
    <m/>
  </r>
  <r>
    <x v="2929"/>
    <s v="Italy"/>
    <s v="41.902782"/>
    <s v="12.496366"/>
    <s v="Banking and Finance"/>
    <s v="Medium (201-500)"/>
    <s v="Emily Johnson"/>
    <d v="2024-02-22T00:00:00"/>
    <s v="SAAS"/>
    <x v="6"/>
    <x v="6"/>
    <m/>
    <m/>
    <n v="2891"/>
    <n v="30"/>
    <d v="2024-12-21T00:00:00"/>
    <m/>
  </r>
  <r>
    <x v="2930"/>
    <s v="Germany"/>
    <s v="52.520008"/>
    <s v="13.404954"/>
    <s v="Education &amp; Science"/>
    <s v="Medium (201-500)"/>
    <s v="Sarah Davis"/>
    <d v="2024-04-27T00:00:00"/>
    <s v="Custom solution"/>
    <x v="6"/>
    <x v="6"/>
    <m/>
    <m/>
    <n v="1649"/>
    <n v="50"/>
    <d v="2024-07-05T00:00:00"/>
    <m/>
  </r>
  <r>
    <x v="2931"/>
    <s v="Switzerland"/>
    <s v="46.204391"/>
    <s v="6.143158"/>
    <s v="Transportation &amp; Logistics"/>
    <s v="Medium (201-500)"/>
    <s v="Michael Brown"/>
    <d v="2024-01-31T00:00:00"/>
    <s v="Services"/>
    <x v="6"/>
    <x v="6"/>
    <m/>
    <m/>
    <n v="3200"/>
    <n v="30"/>
    <d v="2024-11-20T00:00:00"/>
    <m/>
  </r>
  <r>
    <x v="2932"/>
    <s v="Austria"/>
    <s v="48.210033"/>
    <s v="16.363449"/>
    <s v="Government Administration Healthcare"/>
    <s v="Medium (201-500)"/>
    <s v="David Wilson"/>
    <d v="2024-02-09T00:00:00"/>
    <s v="Services"/>
    <x v="6"/>
    <x v="6"/>
    <m/>
    <m/>
    <n v="3905"/>
    <n v="50"/>
    <d v="2024-11-20T00:00:00"/>
    <m/>
  </r>
  <r>
    <x v="2933"/>
    <s v="Portugal"/>
    <s v="38.736946"/>
    <s v="-9.142685"/>
    <s v="Telecommunications"/>
    <s v="Medium (201-500)"/>
    <s v="Laura Thompson"/>
    <d v="2024-05-08T00:00:00"/>
    <s v="Services"/>
    <x v="6"/>
    <x v="6"/>
    <m/>
    <m/>
    <n v="3917"/>
    <n v="40"/>
    <d v="2024-10-02T00:00:00"/>
    <m/>
  </r>
  <r>
    <x v="2934"/>
    <s v="Netherlands"/>
    <s v="52.370216"/>
    <s v="4.895168"/>
    <s v="Agriculture &amp; Mining"/>
    <s v="Medium (201-500)"/>
    <s v="Laura Thompson"/>
    <d v="2024-02-19T00:00:00"/>
    <s v="Custom solution"/>
    <x v="6"/>
    <x v="6"/>
    <m/>
    <m/>
    <n v="4027"/>
    <n v="10"/>
    <d v="2024-11-20T00:00:00"/>
    <m/>
  </r>
  <r>
    <x v="2935"/>
    <s v="Italy"/>
    <s v="41.902782"/>
    <s v="12.496366"/>
    <s v="Transportation &amp; Logistics"/>
    <s v="Medium (201-500)"/>
    <s v="Laura Thompson"/>
    <d v="2024-05-22T00:00:00"/>
    <s v="Custom solution"/>
    <x v="6"/>
    <x v="6"/>
    <m/>
    <m/>
    <n v="510"/>
    <n v="70"/>
    <d v="2024-09-11T00:00:00"/>
    <m/>
  </r>
  <r>
    <x v="2936"/>
    <s v="France"/>
    <s v="48.864716"/>
    <s v="2.349014"/>
    <s v="Education &amp; Science"/>
    <s v="Medium (201-500)"/>
    <s v="Jessica Martinez"/>
    <d v="2024-03-05T00:00:00"/>
    <s v="Services"/>
    <x v="6"/>
    <x v="6"/>
    <m/>
    <m/>
    <n v="1421"/>
    <n v="70"/>
    <d v="2024-10-05T00:00:00"/>
    <m/>
  </r>
  <r>
    <x v="2937"/>
    <s v="Italy"/>
    <s v="41.902782"/>
    <s v="12.496366"/>
    <s v="IT &amp; IT Services"/>
    <s v="Medium (201-500)"/>
    <s v="Michael Brown"/>
    <d v="2024-05-21T00:00:00"/>
    <s v="Services"/>
    <x v="6"/>
    <x v="6"/>
    <m/>
    <m/>
    <n v="6249"/>
    <n v="60"/>
    <d v="2025-02-24T00:00:00"/>
    <m/>
  </r>
  <r>
    <x v="2938"/>
    <s v="Austria"/>
    <s v="48.210033"/>
    <s v="16.363449"/>
    <s v="Banking and Finance"/>
    <s v="Medium (201-500)"/>
    <s v="David Wilson"/>
    <d v="2024-03-14T00:00:00"/>
    <s v="Services"/>
    <x v="6"/>
    <x v="6"/>
    <m/>
    <m/>
    <n v="3162"/>
    <n v="30"/>
    <d v="2025-03-07T00:00:00"/>
    <m/>
  </r>
  <r>
    <x v="2939"/>
    <s v="Italy"/>
    <s v="41.902782"/>
    <s v="12.496366"/>
    <s v="Banking and Finance"/>
    <s v="Medium (201-500)"/>
    <s v="Laura Thompson"/>
    <d v="2024-02-14T00:00:00"/>
    <s v="SAAS"/>
    <x v="6"/>
    <x v="6"/>
    <m/>
    <m/>
    <n v="2987"/>
    <n v="70"/>
    <d v="2024-05-04T00:00:00"/>
    <m/>
  </r>
  <r>
    <x v="2940"/>
    <s v="Austria"/>
    <s v="48.210033"/>
    <s v="16.363449"/>
    <s v="Transportation &amp; Logistics"/>
    <s v="Medium (201-500)"/>
    <s v="Michael Brown"/>
    <d v="2024-04-10T00:00:00"/>
    <s v="Custom solution"/>
    <x v="6"/>
    <x v="6"/>
    <m/>
    <m/>
    <n v="6703"/>
    <n v="60"/>
    <d v="2024-07-24T00:00:00"/>
    <m/>
  </r>
  <r>
    <x v="2941"/>
    <s v="Italy"/>
    <s v="41.902782"/>
    <s v="12.496366"/>
    <s v="Recreation &amp; Sports"/>
    <s v="Medium (201-500)"/>
    <s v="Emily Johnson"/>
    <d v="2024-04-04T00:00:00"/>
    <s v="Services"/>
    <x v="6"/>
    <x v="6"/>
    <m/>
    <m/>
    <n v="7574"/>
    <n v="70"/>
    <d v="2024-12-01T00:00:00"/>
    <m/>
  </r>
  <r>
    <x v="2942"/>
    <s v="Italy"/>
    <s v="41.902782"/>
    <s v="12.496366"/>
    <s v="Telecommunications"/>
    <s v="Medium (201-500)"/>
    <s v="Laura Thompson"/>
    <d v="2024-05-30T00:00:00"/>
    <s v="SAAS"/>
    <x v="6"/>
    <x v="6"/>
    <m/>
    <m/>
    <n v="4596"/>
    <n v="40"/>
    <d v="2025-03-02T00:00:00"/>
    <m/>
  </r>
  <r>
    <x v="2943"/>
    <s v="Italy"/>
    <s v="41.902782"/>
    <s v="12.496366"/>
    <s v="Transportation &amp; Logistics"/>
    <s v="Medium (201-500)"/>
    <s v="Laura Thompson"/>
    <d v="2024-03-14T00:00:00"/>
    <s v="Services"/>
    <x v="6"/>
    <x v="6"/>
    <m/>
    <m/>
    <n v="465"/>
    <n v="40"/>
    <d v="2025-03-03T00:00:00"/>
    <m/>
  </r>
  <r>
    <x v="2944"/>
    <s v="Belgium"/>
    <s v="51.260197"/>
    <s v="4.402771"/>
    <s v="Construction &amp; Engineering"/>
    <s v="Medium (201-500)"/>
    <s v="Sarah Davis"/>
    <d v="2024-04-21T00:00:00"/>
    <s v="Services"/>
    <x v="6"/>
    <x v="6"/>
    <m/>
    <m/>
    <n v="689"/>
    <n v="70"/>
    <d v="2025-01-05T00:00:00"/>
    <m/>
  </r>
  <r>
    <x v="2945"/>
    <s v="Germany"/>
    <s v="52.520008"/>
    <s v="13.404954"/>
    <s v="IT &amp; IT Services"/>
    <s v="Medium (201-500)"/>
    <s v="Jessica Martinez"/>
    <d v="2024-01-21T00:00:00"/>
    <s v="Services"/>
    <x v="6"/>
    <x v="6"/>
    <m/>
    <m/>
    <n v="3427"/>
    <n v="30"/>
    <d v="2024-05-17T00:00:00"/>
    <m/>
  </r>
  <r>
    <x v="2946"/>
    <s v="Belgium"/>
    <s v="51.260197"/>
    <s v="4.402771"/>
    <s v="Construction &amp; Engineering"/>
    <s v="Medium (201-500)"/>
    <s v="Sarah Davis"/>
    <d v="2024-02-11T00:00:00"/>
    <s v="Services"/>
    <x v="6"/>
    <x v="6"/>
    <m/>
    <m/>
    <n v="1182"/>
    <n v="40"/>
    <d v="2024-12-26T00:00:00"/>
    <m/>
  </r>
  <r>
    <x v="2947"/>
    <s v="France"/>
    <s v="48.864716"/>
    <s v="2.349014"/>
    <s v="Professional Services  &amp; Consulting"/>
    <s v="Medium (201-500)"/>
    <s v="Laura Thompson"/>
    <d v="2024-05-29T00:00:00"/>
    <s v="Custom solution"/>
    <x v="6"/>
    <x v="6"/>
    <m/>
    <m/>
    <n v="4395"/>
    <n v="50"/>
    <d v="2024-12-04T00:00:00"/>
    <m/>
  </r>
  <r>
    <x v="2948"/>
    <s v="Italy"/>
    <s v="41.902782"/>
    <s v="12.496366"/>
    <s v="Recreation &amp; Sports"/>
    <s v="Medium (201-500)"/>
    <s v="Kevin Anderson"/>
    <d v="2024-04-18T00:00:00"/>
    <s v="SAAS"/>
    <x v="6"/>
    <x v="6"/>
    <m/>
    <m/>
    <n v="5571"/>
    <n v="100"/>
    <d v="2024-08-13T00:00:00"/>
    <m/>
  </r>
  <r>
    <x v="2949"/>
    <s v="Portugal"/>
    <s v="38.736946"/>
    <s v="-9.142685"/>
    <s v="Construction &amp; Engineering"/>
    <s v="Medium (201-500)"/>
    <s v="Michael Brown"/>
    <d v="2024-04-12T00:00:00"/>
    <s v="Services"/>
    <x v="6"/>
    <x v="6"/>
    <m/>
    <m/>
    <n v="2940"/>
    <n v="50"/>
    <d v="2025-01-18T00:00:00"/>
    <m/>
  </r>
  <r>
    <x v="2950"/>
    <s v="Portugal"/>
    <s v="38.736946"/>
    <s v="-9.142685"/>
    <s v="Education &amp; Science"/>
    <s v="Medium (201-500)"/>
    <s v="Kevin Anderson"/>
    <d v="2024-01-25T00:00:00"/>
    <s v="SAAS"/>
    <x v="6"/>
    <x v="6"/>
    <m/>
    <m/>
    <n v="2791"/>
    <n v="40"/>
    <d v="2024-06-03T00:00:00"/>
    <m/>
  </r>
  <r>
    <x v="2951"/>
    <s v="Switzerland"/>
    <s v="46.204391"/>
    <s v="6.143158"/>
    <s v="Professional Services  &amp; Consulting"/>
    <s v="Medium (201-500)"/>
    <s v="John Smith"/>
    <d v="2024-04-18T00:00:00"/>
    <s v="Custom solution"/>
    <x v="6"/>
    <x v="6"/>
    <m/>
    <m/>
    <n v="2109"/>
    <n v="30"/>
    <d v="2024-12-16T00:00:00"/>
    <m/>
  </r>
  <r>
    <x v="2952"/>
    <s v="Portugal"/>
    <s v="38.736946"/>
    <s v="-9.142685"/>
    <s v="IT &amp; IT Services"/>
    <s v="Medium (201-500)"/>
    <s v="Michael Brown"/>
    <d v="2024-04-27T00:00:00"/>
    <s v="Services"/>
    <x v="6"/>
    <x v="6"/>
    <m/>
    <m/>
    <n v="6720"/>
    <n v="10"/>
    <d v="2024-08-28T00:00:00"/>
    <m/>
  </r>
  <r>
    <x v="2953"/>
    <s v="Germany"/>
    <s v="52.520008"/>
    <s v="13.404954"/>
    <s v="Transportation &amp; Logistics"/>
    <s v="Medium (201-500)"/>
    <s v="Jessica Martinez"/>
    <d v="2024-03-16T00:00:00"/>
    <s v="Services"/>
    <x v="6"/>
    <x v="6"/>
    <m/>
    <m/>
    <n v="4558"/>
    <n v="50"/>
    <d v="2024-12-05T00:00:00"/>
    <m/>
  </r>
  <r>
    <x v="2954"/>
    <s v="Portugal"/>
    <s v="38.736946"/>
    <s v="-9.142685"/>
    <s v="Banking and Finance"/>
    <s v="Medium (201-500)"/>
    <s v="Jessica Martinez"/>
    <d v="2024-01-02T00:00:00"/>
    <s v="SAAS"/>
    <x v="6"/>
    <x v="6"/>
    <m/>
    <m/>
    <n v="2950"/>
    <n v="30"/>
    <d v="2024-10-09T00:00:00"/>
    <m/>
  </r>
  <r>
    <x v="2955"/>
    <s v="Italy"/>
    <s v="41.902782"/>
    <s v="12.496366"/>
    <s v="Transportation &amp; Logistics"/>
    <s v="Medium (201-500)"/>
    <s v="Kevin Anderson"/>
    <d v="2024-01-19T00:00:00"/>
    <s v="Services"/>
    <x v="6"/>
    <x v="6"/>
    <m/>
    <m/>
    <n v="4249"/>
    <n v="40"/>
    <d v="2024-09-27T00:00:00"/>
    <m/>
  </r>
  <r>
    <x v="2956"/>
    <s v="Switzerland"/>
    <s v="46.204391"/>
    <s v="6.143158"/>
    <s v="Government Administration Healthcare"/>
    <s v="Medium (201-500)"/>
    <s v="Laura Thompson"/>
    <d v="2024-02-27T00:00:00"/>
    <s v="SAAS"/>
    <x v="6"/>
    <x v="6"/>
    <m/>
    <m/>
    <n v="4159"/>
    <n v="50"/>
    <d v="2024-10-20T00:00:00"/>
    <m/>
  </r>
  <r>
    <x v="2957"/>
    <s v="Germany"/>
    <s v="52.520008"/>
    <s v="13.404954"/>
    <s v="Government Administration Healthcare"/>
    <s v="Medium (201-500)"/>
    <s v="Laura Thompson"/>
    <d v="2024-04-08T00:00:00"/>
    <s v="Services"/>
    <x v="6"/>
    <x v="6"/>
    <m/>
    <m/>
    <n v="6175"/>
    <n v="50"/>
    <d v="2024-06-28T00:00:00"/>
    <m/>
  </r>
  <r>
    <x v="2958"/>
    <s v="Belgium"/>
    <s v="51.260197"/>
    <s v="4.402771"/>
    <s v="Transportation &amp; Logistics"/>
    <s v="Medium (201-500)"/>
    <s v="Laura Thompson"/>
    <d v="2024-02-21T00:00:00"/>
    <s v="Services"/>
    <x v="6"/>
    <x v="6"/>
    <m/>
    <m/>
    <n v="1800"/>
    <n v="80"/>
    <d v="2025-01-11T00:00:00"/>
    <m/>
  </r>
  <r>
    <x v="2959"/>
    <s v="Italy"/>
    <s v="41.902782"/>
    <s v="12.496366"/>
    <s v="Manufacturing &amp; Production"/>
    <s v="Medium (201-500)"/>
    <s v="Sarah Davis"/>
    <d v="2024-01-06T00:00:00"/>
    <s v="Custom solution"/>
    <x v="6"/>
    <x v="6"/>
    <m/>
    <m/>
    <n v="3218"/>
    <n v="10"/>
    <d v="2024-03-08T00:00:00"/>
    <m/>
  </r>
  <r>
    <x v="2960"/>
    <s v="Portugal"/>
    <s v="38.736946"/>
    <s v="-9.142685"/>
    <s v="Construction &amp; Engineering"/>
    <s v="Medium (201-500)"/>
    <s v="Michael Brown"/>
    <d v="2024-03-25T00:00:00"/>
    <s v="Services"/>
    <x v="6"/>
    <x v="6"/>
    <m/>
    <m/>
    <n v="5348"/>
    <n v="20"/>
    <d v="2025-03-23T00:00:00"/>
    <m/>
  </r>
  <r>
    <x v="2961"/>
    <s v="Portugal"/>
    <s v="38.736946"/>
    <s v="-9.142685"/>
    <s v="Energy &amp; Utilities"/>
    <s v="Medium (201-500)"/>
    <s v="Laura Thompson"/>
    <d v="2024-01-15T00:00:00"/>
    <s v="SAAS"/>
    <x v="6"/>
    <x v="6"/>
    <m/>
    <m/>
    <n v="5769"/>
    <n v="50"/>
    <d v="2024-06-16T00:00:00"/>
    <m/>
  </r>
  <r>
    <x v="2962"/>
    <s v="Austria"/>
    <s v="48.210033"/>
    <s v="16.363449"/>
    <s v="IT &amp; IT Services"/>
    <s v="Medium (201-500)"/>
    <s v="Emily Johnson"/>
    <d v="2024-02-08T00:00:00"/>
    <s v="SAAS"/>
    <x v="6"/>
    <x v="6"/>
    <m/>
    <m/>
    <n v="4554"/>
    <n v="50"/>
    <d v="2024-11-27T00:00:00"/>
    <m/>
  </r>
  <r>
    <x v="2963"/>
    <s v="Portugal"/>
    <s v="38.736946"/>
    <s v="-9.142685"/>
    <s v="Agriculture &amp; Mining"/>
    <s v="Medium (201-500)"/>
    <s v="Sarah Davis"/>
    <d v="2024-03-20T00:00:00"/>
    <s v="Services"/>
    <x v="6"/>
    <x v="6"/>
    <m/>
    <m/>
    <n v="7249"/>
    <n v="30"/>
    <d v="2024-11-11T00:00:00"/>
    <m/>
  </r>
  <r>
    <x v="2964"/>
    <s v="Germany"/>
    <s v="52.520008"/>
    <s v="13.404954"/>
    <s v="Banking and Finance"/>
    <s v="Medium (201-500)"/>
    <s v="Michael Brown"/>
    <d v="2024-05-11T00:00:00"/>
    <s v="Custom solution"/>
    <x v="6"/>
    <x v="6"/>
    <m/>
    <m/>
    <n v="4545"/>
    <n v="100"/>
    <d v="2024-09-22T00:00:00"/>
    <m/>
  </r>
  <r>
    <x v="2965"/>
    <s v="Portugal"/>
    <s v="38.736946"/>
    <s v="-9.142685"/>
    <s v="Transportation &amp; Logistics"/>
    <s v="Medium (201-500)"/>
    <s v="Laura Thompson"/>
    <d v="2024-01-25T00:00:00"/>
    <s v="Services"/>
    <x v="6"/>
    <x v="6"/>
    <m/>
    <m/>
    <n v="7593"/>
    <n v="50"/>
    <d v="2024-05-06T00:00:00"/>
    <m/>
  </r>
  <r>
    <x v="2966"/>
    <s v="France"/>
    <s v="48.864716"/>
    <s v="2.349014"/>
    <s v="Professional Services  &amp; Consulting"/>
    <s v="Medium (201-500)"/>
    <s v="Jessica Martinez"/>
    <d v="2024-03-29T00:00:00"/>
    <s v="SAAS"/>
    <x v="6"/>
    <x v="6"/>
    <m/>
    <m/>
    <n v="7630"/>
    <n v="100"/>
    <d v="2024-11-20T00:00:00"/>
    <m/>
  </r>
  <r>
    <x v="2967"/>
    <s v="Switzerland"/>
    <s v="46.204391"/>
    <s v="6.143158"/>
    <s v="Telecommunications"/>
    <s v="Medium (201-500)"/>
    <s v="Laura Thompson"/>
    <d v="2024-02-19T00:00:00"/>
    <s v="Services"/>
    <x v="6"/>
    <x v="6"/>
    <m/>
    <m/>
    <n v="6638"/>
    <n v="50"/>
    <d v="2024-05-21T00:00:00"/>
    <m/>
  </r>
  <r>
    <x v="2968"/>
    <s v="Spain"/>
    <s v="40.416775"/>
    <s v="-3.703790"/>
    <s v="Manufacturing &amp; Production"/>
    <s v="Medium (201-500)"/>
    <s v="Emily Johnson"/>
    <d v="2024-05-29T00:00:00"/>
    <s v="Services"/>
    <x v="6"/>
    <x v="6"/>
    <m/>
    <m/>
    <n v="7037"/>
    <n v="30"/>
    <d v="2024-11-08T00:00:00"/>
    <m/>
  </r>
  <r>
    <x v="2969"/>
    <s v="Italy"/>
    <s v="41.902782"/>
    <s v="12.496366"/>
    <s v="Telecommunications"/>
    <s v="Medium (201-500)"/>
    <s v="Kevin Anderson"/>
    <d v="2024-04-07T00:00:00"/>
    <s v="SAAS"/>
    <x v="6"/>
    <x v="6"/>
    <m/>
    <m/>
    <n v="2752"/>
    <n v="40"/>
    <d v="2024-08-20T00:00:00"/>
    <m/>
  </r>
  <r>
    <x v="2970"/>
    <s v="France"/>
    <s v="48.864716"/>
    <s v="2.349014"/>
    <s v="Transportation &amp; Logistics"/>
    <s v="Medium (201-500)"/>
    <s v="Laura Thompson"/>
    <d v="2024-05-19T00:00:00"/>
    <s v="Services"/>
    <x v="6"/>
    <x v="6"/>
    <m/>
    <m/>
    <n v="6155"/>
    <n v="50"/>
    <d v="2024-10-30T00:00:00"/>
    <m/>
  </r>
  <r>
    <x v="2971"/>
    <s v="Portugal"/>
    <s v="38.736946"/>
    <s v="-9.142685"/>
    <s v="Government Administration Healthcare"/>
    <s v="Medium (201-500)"/>
    <s v="Emily Johnson"/>
    <d v="2024-02-07T00:00:00"/>
    <s v="SAAS"/>
    <x v="6"/>
    <x v="6"/>
    <m/>
    <m/>
    <n v="922"/>
    <n v="60"/>
    <d v="2024-06-15T00:00:00"/>
    <m/>
  </r>
  <r>
    <x v="2972"/>
    <s v="Portugal"/>
    <s v="38.736946"/>
    <s v="-9.142685"/>
    <s v="IT &amp; IT Services"/>
    <s v="Medium (201-500)"/>
    <s v="David Wilson"/>
    <d v="2024-01-06T00:00:00"/>
    <s v="Services"/>
    <x v="6"/>
    <x v="6"/>
    <m/>
    <m/>
    <n v="7744"/>
    <n v="20"/>
    <d v="2024-12-01T00:00:00"/>
    <m/>
  </r>
  <r>
    <x v="2973"/>
    <s v="Germany"/>
    <s v="52.520008"/>
    <s v="13.404954"/>
    <s v="Telecommunications"/>
    <s v="Medium (201-500)"/>
    <s v="Michael Brown"/>
    <d v="2024-03-03T00:00:00"/>
    <s v="Services"/>
    <x v="6"/>
    <x v="6"/>
    <m/>
    <m/>
    <n v="4531"/>
    <n v="60"/>
    <d v="2025-02-17T00:00:00"/>
    <m/>
  </r>
  <r>
    <x v="2974"/>
    <s v="Spain"/>
    <s v="40.416775"/>
    <s v="-3.703790"/>
    <s v="Education &amp; Science"/>
    <s v="Medium (201-500)"/>
    <s v="Jessica Martinez"/>
    <d v="2024-04-18T00:00:00"/>
    <s v="SAAS"/>
    <x v="6"/>
    <x v="6"/>
    <m/>
    <m/>
    <n v="6998"/>
    <n v="50"/>
    <d v="2024-10-12T00:00:00"/>
    <m/>
  </r>
  <r>
    <x v="2975"/>
    <s v="Italy"/>
    <s v="41.902782"/>
    <s v="12.496366"/>
    <s v="Entertainment &amp; Media &amp; Hospitality"/>
    <s v="Medium (201-500)"/>
    <s v="John Smith"/>
    <d v="2024-04-20T00:00:00"/>
    <s v="Services"/>
    <x v="6"/>
    <x v="6"/>
    <m/>
    <m/>
    <n v="5694"/>
    <n v="30"/>
    <d v="2024-11-06T00:00:00"/>
    <m/>
  </r>
  <r>
    <x v="2976"/>
    <s v="Italy"/>
    <s v="41.902782"/>
    <s v="12.496366"/>
    <s v="Agriculture &amp; Mining"/>
    <s v="Medium (201-500)"/>
    <s v="John Smith"/>
    <d v="2024-04-24T00:00:00"/>
    <s v="Custom solution"/>
    <x v="6"/>
    <x v="6"/>
    <m/>
    <m/>
    <n v="1208"/>
    <n v="30"/>
    <d v="2024-12-09T00:00:00"/>
    <m/>
  </r>
  <r>
    <x v="2977"/>
    <s v="Austria"/>
    <s v="48.210033"/>
    <s v="16.363449"/>
    <s v="IT &amp; IT Services"/>
    <s v="Medium (201-500)"/>
    <s v="Laura Thompson"/>
    <d v="2024-04-19T00:00:00"/>
    <s v="Custom solution"/>
    <x v="6"/>
    <x v="6"/>
    <m/>
    <m/>
    <n v="4553"/>
    <n v="70"/>
    <d v="2024-08-22T00:00:00"/>
    <m/>
  </r>
  <r>
    <x v="2978"/>
    <s v="Switzerland"/>
    <s v="46.204391"/>
    <s v="6.143158"/>
    <s v="Agriculture &amp; Mining"/>
    <s v="Large (501-1000)"/>
    <s v="David Wilson"/>
    <d v="2024-03-11T00:00:00"/>
    <s v="SAAS"/>
    <x v="6"/>
    <x v="6"/>
    <m/>
    <m/>
    <n v="17269"/>
    <n v="80"/>
    <d v="2024-07-10T00:00:00"/>
    <m/>
  </r>
  <r>
    <x v="2979"/>
    <s v="Belgium"/>
    <s v="51.260197"/>
    <s v="4.402771"/>
    <s v="IT &amp; IT Services"/>
    <s v="Large (501-1000)"/>
    <s v="Laura Thompson"/>
    <d v="2024-05-29T00:00:00"/>
    <s v="SAAS"/>
    <x v="6"/>
    <x v="6"/>
    <m/>
    <m/>
    <n v="19776"/>
    <n v="40"/>
    <d v="2024-12-16T00:00:00"/>
    <m/>
  </r>
  <r>
    <x v="2980"/>
    <s v="Netherlands"/>
    <s v="52.370216"/>
    <s v="4.895168"/>
    <s v="Government Administration Healthcare"/>
    <s v="Large (501-1000)"/>
    <s v="Sarah Davis"/>
    <d v="2024-05-13T00:00:00"/>
    <s v="Custom solution"/>
    <x v="6"/>
    <x v="6"/>
    <m/>
    <m/>
    <n v="8387"/>
    <n v="80"/>
    <d v="2024-06-18T00:00:00"/>
    <m/>
  </r>
  <r>
    <x v="2981"/>
    <s v="Germany"/>
    <s v="52.520008"/>
    <s v="13.404954"/>
    <s v="Transportation &amp; Logistics"/>
    <s v="Large (501-1000)"/>
    <s v="John Smith"/>
    <d v="2024-03-23T00:00:00"/>
    <s v="Custom solution"/>
    <x v="6"/>
    <x v="6"/>
    <m/>
    <m/>
    <n v="2737"/>
    <n v="30"/>
    <d v="2024-12-22T00:00:00"/>
    <m/>
  </r>
  <r>
    <x v="2982"/>
    <s v="Spain"/>
    <s v="40.416775"/>
    <s v="-3.703790"/>
    <s v="Retail &amp; Distribution"/>
    <s v="Large (501-1000)"/>
    <s v="David Wilson"/>
    <d v="2024-03-06T00:00:00"/>
    <s v="Custom solution"/>
    <x v="6"/>
    <x v="6"/>
    <m/>
    <m/>
    <n v="11686"/>
    <n v="100"/>
    <d v="2024-12-30T00:00:00"/>
    <m/>
  </r>
  <r>
    <x v="2983"/>
    <s v="Italy"/>
    <s v="41.902782"/>
    <s v="12.496366"/>
    <s v="Energy &amp; Utilities"/>
    <s v="Large (501-1000)"/>
    <s v="John Smith"/>
    <d v="2024-03-20T00:00:00"/>
    <s v="Custom solution"/>
    <x v="6"/>
    <x v="6"/>
    <m/>
    <m/>
    <n v="17968"/>
    <n v="70"/>
    <d v="2024-04-27T00:00:00"/>
    <m/>
  </r>
  <r>
    <x v="2984"/>
    <s v="Germany"/>
    <s v="52.520008"/>
    <s v="13.404954"/>
    <s v="IT &amp; IT Services"/>
    <s v="Large (501-1000)"/>
    <s v="John Smith"/>
    <d v="2024-01-19T00:00:00"/>
    <s v="Custom solution"/>
    <x v="6"/>
    <x v="6"/>
    <m/>
    <m/>
    <n v="18418"/>
    <n v="30"/>
    <d v="2024-02-10T00:00:00"/>
    <m/>
  </r>
  <r>
    <x v="2985"/>
    <s v="Germany"/>
    <s v="52.520008"/>
    <s v="13.404954"/>
    <s v="Construction &amp; Engineering"/>
    <s v="Large (501-1000)"/>
    <s v="Michael Brown"/>
    <d v="2024-04-07T00:00:00"/>
    <s v="Custom solution"/>
    <x v="6"/>
    <x v="6"/>
    <m/>
    <m/>
    <n v="12543"/>
    <n v="40"/>
    <d v="2024-08-09T00:00:00"/>
    <m/>
  </r>
  <r>
    <x v="2986"/>
    <s v="Netherlands"/>
    <s v="52.370216"/>
    <s v="4.895168"/>
    <s v="Construction &amp; Engineering"/>
    <s v="Large (501-1000)"/>
    <s v="Jessica Martinez"/>
    <d v="2024-01-14T00:00:00"/>
    <s v="Services"/>
    <x v="6"/>
    <x v="6"/>
    <m/>
    <m/>
    <n v="4700"/>
    <n v="90"/>
    <d v="2024-12-25T00:00:00"/>
    <m/>
  </r>
  <r>
    <x v="2987"/>
    <s v="Spain"/>
    <s v="40.416775"/>
    <s v="-3.703790"/>
    <s v="IT &amp; IT Services"/>
    <s v="Large (501-1000)"/>
    <s v="Emily Johnson"/>
    <d v="2024-05-16T00:00:00"/>
    <s v="SAAS"/>
    <x v="6"/>
    <x v="6"/>
    <m/>
    <m/>
    <n v="14149"/>
    <n v="60"/>
    <d v="2024-09-06T00:00:00"/>
    <m/>
  </r>
  <r>
    <x v="2988"/>
    <s v="Netherlands"/>
    <s v="52.370216"/>
    <s v="4.895168"/>
    <s v="IT &amp; IT Services"/>
    <s v="Large (501-1000)"/>
    <s v="Laura Thompson"/>
    <d v="2024-01-25T00:00:00"/>
    <s v="Custom solution"/>
    <x v="6"/>
    <x v="6"/>
    <m/>
    <m/>
    <n v="11883"/>
    <n v="50"/>
    <d v="2024-10-20T00:00:00"/>
    <m/>
  </r>
  <r>
    <x v="2989"/>
    <s v="France"/>
    <s v="48.864716"/>
    <s v="2.349014"/>
    <s v="Professional Services  &amp; Consulting"/>
    <s v="Large (501-1000)"/>
    <s v="John Smith"/>
    <d v="2024-03-06T00:00:00"/>
    <s v="Services"/>
    <x v="6"/>
    <x v="6"/>
    <m/>
    <m/>
    <n v="17461"/>
    <n v="100"/>
    <d v="2024-11-02T00:00:00"/>
    <m/>
  </r>
  <r>
    <x v="2990"/>
    <s v="France"/>
    <s v="48.864716"/>
    <s v="2.349014"/>
    <s v="Government Administration Healthcare"/>
    <s v="Large (501-1000)"/>
    <s v="Emily Johnson"/>
    <d v="2024-05-15T00:00:00"/>
    <s v="Services"/>
    <x v="6"/>
    <x v="6"/>
    <m/>
    <m/>
    <n v="10548"/>
    <n v="40"/>
    <d v="2024-08-04T00:00:00"/>
    <m/>
  </r>
  <r>
    <x v="2991"/>
    <s v="Italy"/>
    <s v="41.902782"/>
    <s v="12.496366"/>
    <s v="Entertainment &amp; Media &amp; Hospitality"/>
    <s v="Large (501-1000)"/>
    <s v="Sarah Davis"/>
    <d v="2024-03-07T00:00:00"/>
    <s v="Services"/>
    <x v="6"/>
    <x v="6"/>
    <m/>
    <m/>
    <n v="19123"/>
    <n v="50"/>
    <d v="2024-05-07T00:00:00"/>
    <m/>
  </r>
  <r>
    <x v="2992"/>
    <s v="Portugal"/>
    <s v="38.736946"/>
    <s v="-9.142685"/>
    <s v="Recreation &amp; Sports"/>
    <s v="Enterprise (1001+)"/>
    <s v="Laura Thompson"/>
    <d v="2024-02-29T00:00:00"/>
    <s v="Custom solution"/>
    <x v="6"/>
    <x v="6"/>
    <m/>
    <m/>
    <n v="5885"/>
    <n v="60"/>
    <d v="2024-05-10T00:00:00"/>
    <m/>
  </r>
  <r>
    <x v="2993"/>
    <s v="Netherlands"/>
    <s v="52.370216"/>
    <s v="4.895168"/>
    <s v="Recreation &amp; Sports"/>
    <s v="Enterprise (1001+)"/>
    <s v="Michael Brown"/>
    <d v="2024-03-24T00:00:00"/>
    <s v="Custom solution"/>
    <x v="6"/>
    <x v="6"/>
    <m/>
    <m/>
    <n v="18768"/>
    <n v="50"/>
    <d v="2024-07-21T00:00:00"/>
    <m/>
  </r>
  <r>
    <x v="2994"/>
    <s v="Spain"/>
    <s v="40.416775"/>
    <s v="-3.703790"/>
    <s v="Retail &amp; Distribution"/>
    <s v="Enterprise (1001+)"/>
    <s v="John Smith"/>
    <d v="2024-04-12T00:00:00"/>
    <s v="Services"/>
    <x v="6"/>
    <x v="6"/>
    <m/>
    <m/>
    <n v="19868"/>
    <n v="40"/>
    <d v="2024-10-16T00:00:00"/>
    <m/>
  </r>
  <r>
    <x v="2995"/>
    <s v="Portugal"/>
    <s v="38.736946"/>
    <s v="-9.142685"/>
    <s v="Entertainment &amp; Media &amp; Hospitality"/>
    <s v="Enterprise (1001+)"/>
    <s v="Jessica Martinez"/>
    <d v="2024-05-06T00:00:00"/>
    <s v="SAAS"/>
    <x v="6"/>
    <x v="6"/>
    <m/>
    <m/>
    <n v="19105"/>
    <n v="40"/>
    <d v="2024-10-26T00:00:00"/>
    <m/>
  </r>
  <r>
    <x v="2996"/>
    <s v="Germany"/>
    <s v="52.520008"/>
    <s v="13.404954"/>
    <s v="Professional Services  &amp; Consulting"/>
    <s v="Enterprise (1001+)"/>
    <s v="Jessica Martinez"/>
    <d v="2024-03-28T00:00:00"/>
    <s v="Services"/>
    <x v="6"/>
    <x v="6"/>
    <m/>
    <m/>
    <n v="10835"/>
    <n v="20"/>
    <d v="2024-11-01T00:00:00"/>
    <m/>
  </r>
  <r>
    <x v="2997"/>
    <s v="Italy"/>
    <s v="41.902782"/>
    <s v="12.496366"/>
    <s v="Retail &amp; Distribution"/>
    <s v="Enterprise (1001+)"/>
    <s v="David Wilson"/>
    <d v="2024-02-12T00:00:00"/>
    <s v="SAAS"/>
    <x v="6"/>
    <x v="6"/>
    <m/>
    <m/>
    <n v="11636"/>
    <n v="40"/>
    <d v="2025-01-22T00:00:00"/>
    <m/>
  </r>
  <r>
    <x v="2998"/>
    <s v="Netherlands"/>
    <s v="52.370216"/>
    <s v="4.895168"/>
    <s v="Banking and Finance"/>
    <s v="Enterprise (1001+)"/>
    <s v="Laura Thompson"/>
    <d v="2024-04-19T00:00:00"/>
    <s v="Custom solution"/>
    <x v="6"/>
    <x v="6"/>
    <m/>
    <m/>
    <n v="18536"/>
    <n v="10"/>
    <d v="2024-06-01T00:00:00"/>
    <m/>
  </r>
  <r>
    <x v="2999"/>
    <s v="Switzerland"/>
    <s v="46.204391"/>
    <s v="6.143158"/>
    <s v="Banking and Finance"/>
    <s v="Enterprise (1001+)"/>
    <s v="Laura Thompson"/>
    <d v="2024-05-20T00:00:00"/>
    <s v="Custom solution"/>
    <x v="6"/>
    <x v="6"/>
    <m/>
    <m/>
    <n v="2680"/>
    <n v="20"/>
    <d v="2024-08-31T00:00:00"/>
    <m/>
  </r>
  <r>
    <x v="3000"/>
    <m/>
    <m/>
    <m/>
    <m/>
    <m/>
    <m/>
    <m/>
    <m/>
    <x v="7"/>
    <x v="7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s v="52.370216"/>
    <s v="4.895168"/>
    <x v="0"/>
    <s v="Small (11-200)"/>
    <x v="0"/>
    <d v="2024-04-20T00:00:00"/>
    <x v="0"/>
    <x v="0"/>
    <n v="7"/>
    <x v="0"/>
    <m/>
    <n v="833"/>
    <n v="90"/>
    <x v="0"/>
    <x v="0"/>
    <n v="-41"/>
  </r>
  <r>
    <x v="1"/>
    <x v="1"/>
    <s v="40.416775"/>
    <n v="-3.7037900000000001"/>
    <x v="1"/>
    <s v="Small (11-200)"/>
    <x v="1"/>
    <d v="2024-05-28T00:00:00"/>
    <x v="0"/>
    <x v="0"/>
    <n v="7"/>
    <x v="0"/>
    <m/>
    <n v="1623"/>
    <n v="30"/>
    <x v="1"/>
    <x v="1"/>
    <n v="-44"/>
  </r>
  <r>
    <x v="2"/>
    <x v="2"/>
    <s v="41.902782"/>
    <s v="12.496366"/>
    <x v="2"/>
    <s v="Small (11-200)"/>
    <x v="2"/>
    <d v="2024-03-17T00:00:00"/>
    <x v="0"/>
    <x v="0"/>
    <n v="7"/>
    <x v="0"/>
    <m/>
    <n v="1928"/>
    <n v="20"/>
    <x v="2"/>
    <x v="2"/>
    <n v="-310"/>
  </r>
  <r>
    <x v="3"/>
    <x v="3"/>
    <s v="52.520008"/>
    <s v="13.404954"/>
    <x v="3"/>
    <s v="Small (11-200)"/>
    <x v="2"/>
    <d v="2024-01-18T00:00:00"/>
    <x v="0"/>
    <x v="0"/>
    <n v="7"/>
    <x v="0"/>
    <m/>
    <n v="303"/>
    <n v="50"/>
    <x v="0"/>
    <x v="3"/>
    <n v="-93"/>
  </r>
  <r>
    <x v="4"/>
    <x v="3"/>
    <s v="52.520008"/>
    <s v="13.404954"/>
    <x v="1"/>
    <s v="Small (11-200)"/>
    <x v="2"/>
    <d v="2024-04-06T00:00:00"/>
    <x v="0"/>
    <x v="0"/>
    <n v="7"/>
    <x v="0"/>
    <m/>
    <n v="1911"/>
    <n v="30"/>
    <x v="3"/>
    <x v="4"/>
    <n v="-78"/>
  </r>
  <r>
    <x v="5"/>
    <x v="3"/>
    <s v="52.520008"/>
    <s v="13.404954"/>
    <x v="4"/>
    <s v="Small (11-200)"/>
    <x v="3"/>
    <d v="2024-02-21T00:00:00"/>
    <x v="1"/>
    <x v="0"/>
    <n v="7"/>
    <x v="0"/>
    <m/>
    <n v="455"/>
    <n v="20"/>
    <x v="4"/>
    <x v="2"/>
    <n v="-135"/>
  </r>
  <r>
    <x v="6"/>
    <x v="4"/>
    <s v="51.260197"/>
    <s v="4.402771"/>
    <x v="5"/>
    <s v="Small (11-200)"/>
    <x v="3"/>
    <d v="2024-02-13T00:00:00"/>
    <x v="0"/>
    <x v="0"/>
    <n v="7"/>
    <x v="0"/>
    <m/>
    <n v="351"/>
    <n v="30"/>
    <x v="5"/>
    <x v="5"/>
    <n v="30"/>
  </r>
  <r>
    <x v="7"/>
    <x v="5"/>
    <s v="46.204391"/>
    <s v="6.143158"/>
    <x v="5"/>
    <s v="Small (11-200)"/>
    <x v="4"/>
    <d v="2024-01-15T00:00:00"/>
    <x v="1"/>
    <x v="0"/>
    <n v="7"/>
    <x v="0"/>
    <m/>
    <n v="230"/>
    <n v="70"/>
    <x v="6"/>
    <x v="2"/>
    <n v="-6"/>
  </r>
  <r>
    <x v="8"/>
    <x v="6"/>
    <s v="48.864716"/>
    <s v="2.349014"/>
    <x v="6"/>
    <s v="Small (11-200)"/>
    <x v="2"/>
    <d v="2024-03-09T00:00:00"/>
    <x v="0"/>
    <x v="0"/>
    <n v="7"/>
    <x v="0"/>
    <m/>
    <n v="1697"/>
    <n v="80"/>
    <x v="7"/>
    <x v="6"/>
    <n v="-25"/>
  </r>
  <r>
    <x v="9"/>
    <x v="5"/>
    <s v="46.204391"/>
    <s v="6.143158"/>
    <x v="4"/>
    <s v="Small (11-200)"/>
    <x v="3"/>
    <d v="2024-04-01T00:00:00"/>
    <x v="2"/>
    <x v="0"/>
    <n v="7"/>
    <x v="0"/>
    <m/>
    <n v="320"/>
    <n v="60"/>
    <x v="8"/>
    <x v="7"/>
    <n v="38"/>
  </r>
  <r>
    <x v="10"/>
    <x v="3"/>
    <s v="52.520008"/>
    <s v="13.404954"/>
    <x v="7"/>
    <s v="Small (11-200)"/>
    <x v="1"/>
    <d v="2024-02-12T00:00:00"/>
    <x v="1"/>
    <x v="0"/>
    <n v="7"/>
    <x v="0"/>
    <m/>
    <n v="721"/>
    <n v="20"/>
    <x v="9"/>
    <x v="8"/>
    <n v="-285"/>
  </r>
  <r>
    <x v="11"/>
    <x v="2"/>
    <s v="41.902782"/>
    <s v="12.496366"/>
    <x v="4"/>
    <s v="Small (11-200)"/>
    <x v="2"/>
    <d v="2024-02-29T00:00:00"/>
    <x v="2"/>
    <x v="0"/>
    <n v="7"/>
    <x v="0"/>
    <m/>
    <n v="768"/>
    <n v="80"/>
    <x v="10"/>
    <x v="9"/>
    <n v="-64"/>
  </r>
  <r>
    <x v="12"/>
    <x v="7"/>
    <s v="48.210033"/>
    <s v="16.363449"/>
    <x v="3"/>
    <s v="Small (11-200)"/>
    <x v="5"/>
    <d v="2024-04-11T00:00:00"/>
    <x v="0"/>
    <x v="0"/>
    <n v="7"/>
    <x v="0"/>
    <m/>
    <n v="741"/>
    <n v="40"/>
    <x v="11"/>
    <x v="10"/>
    <n v="-129"/>
  </r>
  <r>
    <x v="13"/>
    <x v="6"/>
    <s v="48.864716"/>
    <s v="2.349014"/>
    <x v="8"/>
    <s v="Small (11-200)"/>
    <x v="3"/>
    <d v="2024-01-23T00:00:00"/>
    <x v="0"/>
    <x v="0"/>
    <n v="7"/>
    <x v="0"/>
    <m/>
    <n v="668"/>
    <n v="70"/>
    <x v="12"/>
    <x v="11"/>
    <n v="-188"/>
  </r>
  <r>
    <x v="14"/>
    <x v="8"/>
    <s v="38.736946"/>
    <s v="-9.142685"/>
    <x v="0"/>
    <s v="Small (11-200)"/>
    <x v="4"/>
    <d v="2024-03-10T00:00:00"/>
    <x v="1"/>
    <x v="0"/>
    <n v="7"/>
    <x v="0"/>
    <m/>
    <n v="406"/>
    <n v="30"/>
    <x v="8"/>
    <x v="3"/>
    <n v="-18"/>
  </r>
  <r>
    <x v="15"/>
    <x v="8"/>
    <s v="38.736946"/>
    <s v="-9.142685"/>
    <x v="5"/>
    <s v="Small (11-200)"/>
    <x v="3"/>
    <d v="2024-04-12T00:00:00"/>
    <x v="2"/>
    <x v="0"/>
    <n v="7"/>
    <x v="0"/>
    <m/>
    <n v="1686"/>
    <n v="40"/>
    <x v="13"/>
    <x v="12"/>
    <n v="-11"/>
  </r>
  <r>
    <x v="16"/>
    <x v="8"/>
    <s v="38.736946"/>
    <s v="-9.142685"/>
    <x v="8"/>
    <s v="Small (11-200)"/>
    <x v="2"/>
    <d v="2024-03-15T00:00:00"/>
    <x v="2"/>
    <x v="0"/>
    <n v="7"/>
    <x v="0"/>
    <m/>
    <n v="317"/>
    <n v="40"/>
    <x v="14"/>
    <x v="13"/>
    <n v="-64"/>
  </r>
  <r>
    <x v="17"/>
    <x v="0"/>
    <s v="52.370216"/>
    <s v="4.895168"/>
    <x v="9"/>
    <s v="Small (11-200)"/>
    <x v="6"/>
    <d v="2024-01-17T00:00:00"/>
    <x v="0"/>
    <x v="0"/>
    <n v="7"/>
    <x v="0"/>
    <m/>
    <n v="1813"/>
    <n v="40"/>
    <x v="15"/>
    <x v="14"/>
    <n v="-64"/>
  </r>
  <r>
    <x v="18"/>
    <x v="2"/>
    <s v="41.902782"/>
    <s v="12.496366"/>
    <x v="8"/>
    <s v="Small (11-200)"/>
    <x v="7"/>
    <d v="2024-01-24T00:00:00"/>
    <x v="2"/>
    <x v="0"/>
    <n v="7"/>
    <x v="0"/>
    <m/>
    <n v="1515"/>
    <n v="40"/>
    <x v="16"/>
    <x v="15"/>
    <n v="-262"/>
  </r>
  <r>
    <x v="19"/>
    <x v="4"/>
    <s v="51.260197"/>
    <s v="4.402771"/>
    <x v="4"/>
    <s v="Small (11-200)"/>
    <x v="4"/>
    <d v="2024-04-19T00:00:00"/>
    <x v="0"/>
    <x v="0"/>
    <n v="7"/>
    <x v="0"/>
    <m/>
    <n v="1569"/>
    <n v="50"/>
    <x v="17"/>
    <x v="16"/>
    <n v="-168"/>
  </r>
  <r>
    <x v="20"/>
    <x v="3"/>
    <s v="52.520008"/>
    <s v="13.404954"/>
    <x v="7"/>
    <s v="Small (11-200)"/>
    <x v="6"/>
    <d v="2024-05-06T00:00:00"/>
    <x v="1"/>
    <x v="0"/>
    <n v="7"/>
    <x v="0"/>
    <m/>
    <n v="405"/>
    <n v="40"/>
    <x v="18"/>
    <x v="17"/>
    <n v="-306"/>
  </r>
  <r>
    <x v="21"/>
    <x v="2"/>
    <s v="41.902782"/>
    <s v="12.496366"/>
    <x v="8"/>
    <s v="Small (11-200)"/>
    <x v="3"/>
    <d v="2024-05-30T00:00:00"/>
    <x v="0"/>
    <x v="0"/>
    <n v="7"/>
    <x v="0"/>
    <m/>
    <n v="1456"/>
    <n v="60"/>
    <x v="19"/>
    <x v="18"/>
    <n v="-58"/>
  </r>
  <r>
    <x v="22"/>
    <x v="6"/>
    <s v="48.864716"/>
    <s v="2.349014"/>
    <x v="8"/>
    <s v="Small (11-200)"/>
    <x v="7"/>
    <d v="2024-05-07T00:00:00"/>
    <x v="2"/>
    <x v="0"/>
    <n v="7"/>
    <x v="0"/>
    <m/>
    <n v="217"/>
    <n v="90"/>
    <x v="20"/>
    <x v="19"/>
    <n v="18"/>
  </r>
  <r>
    <x v="23"/>
    <x v="0"/>
    <s v="52.370216"/>
    <s v="4.895168"/>
    <x v="0"/>
    <s v="Small (11-200)"/>
    <x v="3"/>
    <d v="2024-02-28T00:00:00"/>
    <x v="2"/>
    <x v="0"/>
    <n v="7"/>
    <x v="0"/>
    <m/>
    <n v="426"/>
    <n v="40"/>
    <x v="21"/>
    <x v="20"/>
    <n v="-251"/>
  </r>
  <r>
    <x v="24"/>
    <x v="2"/>
    <s v="41.902782"/>
    <s v="12.496366"/>
    <x v="0"/>
    <s v="Small (11-200)"/>
    <x v="6"/>
    <d v="2024-04-25T00:00:00"/>
    <x v="0"/>
    <x v="0"/>
    <n v="7"/>
    <x v="0"/>
    <m/>
    <n v="1846"/>
    <n v="60"/>
    <x v="22"/>
    <x v="21"/>
    <n v="-262"/>
  </r>
  <r>
    <x v="25"/>
    <x v="2"/>
    <s v="41.902782"/>
    <s v="12.496366"/>
    <x v="6"/>
    <s v="Small (11-200)"/>
    <x v="2"/>
    <d v="2024-04-19T00:00:00"/>
    <x v="0"/>
    <x v="0"/>
    <n v="7"/>
    <x v="0"/>
    <m/>
    <n v="1515"/>
    <n v="40"/>
    <x v="23"/>
    <x v="22"/>
    <n v="-197"/>
  </r>
  <r>
    <x v="26"/>
    <x v="2"/>
    <s v="41.902782"/>
    <s v="12.496366"/>
    <x v="8"/>
    <s v="Small (11-200)"/>
    <x v="6"/>
    <d v="2024-02-21T00:00:00"/>
    <x v="2"/>
    <x v="0"/>
    <n v="7"/>
    <x v="0"/>
    <m/>
    <n v="1007"/>
    <n v="20"/>
    <x v="24"/>
    <x v="23"/>
    <n v="-188"/>
  </r>
  <r>
    <x v="27"/>
    <x v="5"/>
    <s v="46.204391"/>
    <s v="6.143158"/>
    <x v="2"/>
    <s v="Small (11-200)"/>
    <x v="5"/>
    <d v="2024-05-03T00:00:00"/>
    <x v="2"/>
    <x v="0"/>
    <n v="7"/>
    <x v="0"/>
    <m/>
    <n v="1895"/>
    <n v="80"/>
    <x v="25"/>
    <x v="24"/>
    <n v="-282"/>
  </r>
  <r>
    <x v="28"/>
    <x v="6"/>
    <s v="48.864716"/>
    <s v="2.349014"/>
    <x v="3"/>
    <s v="Small (11-200)"/>
    <x v="4"/>
    <d v="2024-03-27T00:00:00"/>
    <x v="2"/>
    <x v="0"/>
    <n v="7"/>
    <x v="0"/>
    <m/>
    <n v="748"/>
    <n v="50"/>
    <x v="26"/>
    <x v="25"/>
    <n v="-45"/>
  </r>
  <r>
    <x v="29"/>
    <x v="2"/>
    <s v="41.902782"/>
    <s v="12.496366"/>
    <x v="8"/>
    <s v="Small (11-200)"/>
    <x v="2"/>
    <d v="2024-01-05T00:00:00"/>
    <x v="0"/>
    <x v="0"/>
    <n v="7"/>
    <x v="0"/>
    <m/>
    <n v="726"/>
    <n v="10"/>
    <x v="27"/>
    <x v="26"/>
    <n v="-85"/>
  </r>
  <r>
    <x v="30"/>
    <x v="5"/>
    <s v="46.204391"/>
    <s v="6.143158"/>
    <x v="10"/>
    <s v="Small (11-200)"/>
    <x v="3"/>
    <d v="2024-02-12T00:00:00"/>
    <x v="0"/>
    <x v="0"/>
    <n v="7"/>
    <x v="0"/>
    <m/>
    <n v="634"/>
    <n v="60"/>
    <x v="28"/>
    <x v="27"/>
    <n v="-32"/>
  </r>
  <r>
    <x v="31"/>
    <x v="2"/>
    <s v="41.902782"/>
    <s v="12.496366"/>
    <x v="4"/>
    <s v="Small (11-200)"/>
    <x v="3"/>
    <d v="2024-02-19T00:00:00"/>
    <x v="1"/>
    <x v="0"/>
    <n v="7"/>
    <x v="0"/>
    <m/>
    <n v="586"/>
    <n v="60"/>
    <x v="29"/>
    <x v="28"/>
    <n v="-141"/>
  </r>
  <r>
    <x v="32"/>
    <x v="2"/>
    <s v="41.902782"/>
    <s v="12.496366"/>
    <x v="11"/>
    <s v="Small (11-200)"/>
    <x v="6"/>
    <d v="2024-05-13T00:00:00"/>
    <x v="2"/>
    <x v="0"/>
    <n v="7"/>
    <x v="0"/>
    <m/>
    <n v="1936"/>
    <n v="20"/>
    <x v="21"/>
    <x v="19"/>
    <n v="-117"/>
  </r>
  <r>
    <x v="33"/>
    <x v="3"/>
    <s v="52.520008"/>
    <s v="13.404954"/>
    <x v="3"/>
    <s v="Small (11-200)"/>
    <x v="2"/>
    <d v="2024-03-21T00:00:00"/>
    <x v="1"/>
    <x v="0"/>
    <n v="7"/>
    <x v="0"/>
    <m/>
    <n v="1620"/>
    <n v="40"/>
    <x v="30"/>
    <x v="10"/>
    <n v="-103"/>
  </r>
  <r>
    <x v="34"/>
    <x v="4"/>
    <s v="51.260197"/>
    <s v="4.402771"/>
    <x v="4"/>
    <s v="Small (11-200)"/>
    <x v="5"/>
    <d v="2024-02-04T00:00:00"/>
    <x v="0"/>
    <x v="0"/>
    <n v="7"/>
    <x v="0"/>
    <m/>
    <n v="287"/>
    <n v="10"/>
    <x v="31"/>
    <x v="29"/>
    <n v="-295"/>
  </r>
  <r>
    <x v="35"/>
    <x v="7"/>
    <s v="48.210033"/>
    <s v="16.363449"/>
    <x v="0"/>
    <s v="Small (11-200)"/>
    <x v="4"/>
    <d v="2024-05-15T00:00:00"/>
    <x v="1"/>
    <x v="0"/>
    <n v="7"/>
    <x v="0"/>
    <m/>
    <n v="1828"/>
    <n v="50"/>
    <x v="32"/>
    <x v="30"/>
    <n v="-39"/>
  </r>
  <r>
    <x v="36"/>
    <x v="2"/>
    <s v="41.902782"/>
    <s v="12.496366"/>
    <x v="9"/>
    <s v="Small (11-200)"/>
    <x v="3"/>
    <d v="2024-02-15T00:00:00"/>
    <x v="0"/>
    <x v="0"/>
    <n v="7"/>
    <x v="0"/>
    <m/>
    <n v="453"/>
    <n v="40"/>
    <x v="33"/>
    <x v="31"/>
    <n v="-221"/>
  </r>
  <r>
    <x v="37"/>
    <x v="6"/>
    <s v="48.864716"/>
    <s v="2.349014"/>
    <x v="2"/>
    <s v="Small (11-200)"/>
    <x v="3"/>
    <d v="2024-03-30T00:00:00"/>
    <x v="2"/>
    <x v="0"/>
    <n v="7"/>
    <x v="0"/>
    <m/>
    <n v="835"/>
    <n v="70"/>
    <x v="34"/>
    <x v="32"/>
    <n v="-83"/>
  </r>
  <r>
    <x v="38"/>
    <x v="5"/>
    <s v="46.204391"/>
    <s v="6.143158"/>
    <x v="4"/>
    <s v="Small (11-200)"/>
    <x v="4"/>
    <d v="2024-02-27T00:00:00"/>
    <x v="0"/>
    <x v="0"/>
    <n v="7"/>
    <x v="0"/>
    <m/>
    <n v="1924"/>
    <n v="30"/>
    <x v="35"/>
    <x v="33"/>
    <n v="91"/>
  </r>
  <r>
    <x v="39"/>
    <x v="2"/>
    <s v="41.902782"/>
    <s v="12.496366"/>
    <x v="0"/>
    <s v="Small (11-200)"/>
    <x v="1"/>
    <d v="2024-01-17T00:00:00"/>
    <x v="0"/>
    <x v="0"/>
    <n v="7"/>
    <x v="0"/>
    <m/>
    <n v="1020"/>
    <n v="20"/>
    <x v="36"/>
    <x v="34"/>
    <n v="-66"/>
  </r>
  <r>
    <x v="40"/>
    <x v="7"/>
    <s v="48.210033"/>
    <s v="16.363449"/>
    <x v="1"/>
    <s v="Small (11-200)"/>
    <x v="7"/>
    <d v="2024-04-30T00:00:00"/>
    <x v="0"/>
    <x v="0"/>
    <n v="7"/>
    <x v="0"/>
    <m/>
    <n v="543"/>
    <n v="30"/>
    <x v="37"/>
    <x v="22"/>
    <n v="21"/>
  </r>
  <r>
    <x v="41"/>
    <x v="5"/>
    <s v="46.204391"/>
    <s v="6.143158"/>
    <x v="10"/>
    <s v="Small (11-200)"/>
    <x v="3"/>
    <d v="2024-03-28T00:00:00"/>
    <x v="0"/>
    <x v="0"/>
    <n v="7"/>
    <x v="0"/>
    <m/>
    <n v="1984"/>
    <n v="20"/>
    <x v="38"/>
    <x v="35"/>
    <n v="-216"/>
  </r>
  <r>
    <x v="42"/>
    <x v="8"/>
    <s v="38.736946"/>
    <s v="-9.142685"/>
    <x v="0"/>
    <s v="Small (11-200)"/>
    <x v="1"/>
    <d v="2024-01-19T00:00:00"/>
    <x v="0"/>
    <x v="0"/>
    <n v="7"/>
    <x v="0"/>
    <m/>
    <n v="349"/>
    <n v="50"/>
    <x v="39"/>
    <x v="36"/>
    <n v="-75"/>
  </r>
  <r>
    <x v="43"/>
    <x v="5"/>
    <s v="46.204391"/>
    <s v="6.143158"/>
    <x v="11"/>
    <s v="Small (11-200)"/>
    <x v="2"/>
    <d v="2024-01-07T00:00:00"/>
    <x v="0"/>
    <x v="0"/>
    <n v="7"/>
    <x v="0"/>
    <m/>
    <n v="1790"/>
    <n v="90"/>
    <x v="40"/>
    <x v="37"/>
    <n v="-305"/>
  </r>
  <r>
    <x v="44"/>
    <x v="3"/>
    <s v="52.520008"/>
    <s v="13.404954"/>
    <x v="4"/>
    <s v="Small (11-200)"/>
    <x v="2"/>
    <d v="2024-02-13T00:00:00"/>
    <x v="0"/>
    <x v="0"/>
    <n v="7"/>
    <x v="0"/>
    <m/>
    <n v="1606"/>
    <n v="40"/>
    <x v="29"/>
    <x v="38"/>
    <n v="-176"/>
  </r>
  <r>
    <x v="45"/>
    <x v="5"/>
    <s v="46.204391"/>
    <s v="6.143158"/>
    <x v="6"/>
    <s v="Small (11-200)"/>
    <x v="3"/>
    <d v="2024-04-08T00:00:00"/>
    <x v="0"/>
    <x v="0"/>
    <n v="7"/>
    <x v="0"/>
    <m/>
    <n v="716"/>
    <n v="40"/>
    <x v="41"/>
    <x v="13"/>
    <n v="-241"/>
  </r>
  <r>
    <x v="46"/>
    <x v="3"/>
    <s v="52.520008"/>
    <s v="13.404954"/>
    <x v="4"/>
    <s v="Small (11-200)"/>
    <x v="7"/>
    <d v="2024-01-25T00:00:00"/>
    <x v="0"/>
    <x v="0"/>
    <n v="7"/>
    <x v="0"/>
    <m/>
    <n v="1883"/>
    <n v="20"/>
    <x v="42"/>
    <x v="5"/>
    <n v="-179"/>
  </r>
  <r>
    <x v="47"/>
    <x v="2"/>
    <s v="41.902782"/>
    <s v="12.496366"/>
    <x v="0"/>
    <s v="Small (11-200)"/>
    <x v="3"/>
    <d v="2024-01-06T00:00:00"/>
    <x v="2"/>
    <x v="0"/>
    <n v="7"/>
    <x v="0"/>
    <m/>
    <n v="233"/>
    <n v="10"/>
    <x v="43"/>
    <x v="39"/>
    <n v="-276"/>
  </r>
  <r>
    <x v="48"/>
    <x v="2"/>
    <s v="41.902782"/>
    <s v="12.496366"/>
    <x v="12"/>
    <s v="Small (11-200)"/>
    <x v="3"/>
    <d v="2024-05-06T00:00:00"/>
    <x v="0"/>
    <x v="0"/>
    <n v="7"/>
    <x v="0"/>
    <m/>
    <n v="854"/>
    <n v="60"/>
    <x v="44"/>
    <x v="40"/>
    <n v="-140"/>
  </r>
  <r>
    <x v="49"/>
    <x v="2"/>
    <s v="41.902782"/>
    <s v="12.496366"/>
    <x v="2"/>
    <s v="Small (11-200)"/>
    <x v="4"/>
    <d v="2024-05-21T00:00:00"/>
    <x v="2"/>
    <x v="0"/>
    <n v="7"/>
    <x v="0"/>
    <m/>
    <n v="1249"/>
    <n v="80"/>
    <x v="2"/>
    <x v="41"/>
    <n v="-261"/>
  </r>
  <r>
    <x v="50"/>
    <x v="5"/>
    <s v="46.204391"/>
    <s v="6.143158"/>
    <x v="10"/>
    <s v="Small (11-200)"/>
    <x v="3"/>
    <d v="2024-03-21T00:00:00"/>
    <x v="0"/>
    <x v="0"/>
    <n v="7"/>
    <x v="0"/>
    <m/>
    <n v="1125"/>
    <n v="30"/>
    <x v="45"/>
    <x v="42"/>
    <n v="51"/>
  </r>
  <r>
    <x v="51"/>
    <x v="5"/>
    <s v="46.204391"/>
    <s v="6.143158"/>
    <x v="13"/>
    <s v="Small (11-200)"/>
    <x v="0"/>
    <d v="2024-05-27T00:00:00"/>
    <x v="0"/>
    <x v="0"/>
    <n v="7"/>
    <x v="0"/>
    <m/>
    <n v="1411"/>
    <n v="40"/>
    <x v="46"/>
    <x v="30"/>
    <n v="-206"/>
  </r>
  <r>
    <x v="52"/>
    <x v="6"/>
    <s v="48.864716"/>
    <s v="2.349014"/>
    <x v="3"/>
    <s v="Small (11-200)"/>
    <x v="5"/>
    <d v="2024-02-03T00:00:00"/>
    <x v="0"/>
    <x v="0"/>
    <n v="7"/>
    <x v="0"/>
    <m/>
    <n v="1503"/>
    <n v="30"/>
    <x v="47"/>
    <x v="11"/>
    <n v="-259"/>
  </r>
  <r>
    <x v="53"/>
    <x v="3"/>
    <s v="52.520008"/>
    <s v="13.404954"/>
    <x v="0"/>
    <s v="Micro (1-10)"/>
    <x v="5"/>
    <d v="2024-05-31T00:00:00"/>
    <x v="1"/>
    <x v="0"/>
    <n v="7"/>
    <x v="0"/>
    <m/>
    <n v="206"/>
    <n v="80"/>
    <x v="48"/>
    <x v="43"/>
    <n v="-115"/>
  </r>
  <r>
    <x v="54"/>
    <x v="3"/>
    <s v="52.520008"/>
    <s v="13.404954"/>
    <x v="5"/>
    <s v="Micro (1-10)"/>
    <x v="5"/>
    <d v="2024-01-11T00:00:00"/>
    <x v="0"/>
    <x v="0"/>
    <n v="7"/>
    <x v="0"/>
    <m/>
    <n v="956"/>
    <n v="100"/>
    <x v="49"/>
    <x v="44"/>
    <n v="-50"/>
  </r>
  <r>
    <x v="55"/>
    <x v="0"/>
    <s v="52.370216"/>
    <s v="4.895168"/>
    <x v="4"/>
    <s v="Micro (1-10)"/>
    <x v="2"/>
    <d v="2024-04-09T00:00:00"/>
    <x v="0"/>
    <x v="0"/>
    <n v="7"/>
    <x v="0"/>
    <m/>
    <n v="668"/>
    <n v="40"/>
    <x v="50"/>
    <x v="45"/>
    <n v="-131"/>
  </r>
  <r>
    <x v="56"/>
    <x v="7"/>
    <s v="48.210033"/>
    <s v="16.363449"/>
    <x v="6"/>
    <s v="Micro (1-10)"/>
    <x v="5"/>
    <d v="2024-05-08T00:00:00"/>
    <x v="2"/>
    <x v="0"/>
    <n v="7"/>
    <x v="0"/>
    <m/>
    <n v="721"/>
    <n v="30"/>
    <x v="51"/>
    <x v="46"/>
    <n v="-217"/>
  </r>
  <r>
    <x v="57"/>
    <x v="3"/>
    <s v="52.520008"/>
    <s v="13.404954"/>
    <x v="4"/>
    <s v="Micro (1-10)"/>
    <x v="3"/>
    <d v="2024-03-03T00:00:00"/>
    <x v="2"/>
    <x v="0"/>
    <n v="7"/>
    <x v="0"/>
    <m/>
    <n v="320"/>
    <n v="20"/>
    <x v="52"/>
    <x v="47"/>
    <n v="-212"/>
  </r>
  <r>
    <x v="58"/>
    <x v="2"/>
    <s v="41.902782"/>
    <s v="12.496366"/>
    <x v="0"/>
    <s v="Micro (1-10)"/>
    <x v="7"/>
    <d v="2024-05-17T00:00:00"/>
    <x v="1"/>
    <x v="0"/>
    <n v="7"/>
    <x v="0"/>
    <m/>
    <n v="1074"/>
    <n v="90"/>
    <x v="53"/>
    <x v="48"/>
    <n v="-128"/>
  </r>
  <r>
    <x v="59"/>
    <x v="2"/>
    <s v="41.902782"/>
    <s v="12.496366"/>
    <x v="10"/>
    <s v="Micro (1-10)"/>
    <x v="0"/>
    <d v="2024-02-15T00:00:00"/>
    <x v="0"/>
    <x v="0"/>
    <n v="7"/>
    <x v="0"/>
    <m/>
    <n v="480"/>
    <n v="70"/>
    <x v="54"/>
    <x v="10"/>
    <n v="-270"/>
  </r>
  <r>
    <x v="60"/>
    <x v="1"/>
    <s v="40.416775"/>
    <s v="-3.703790"/>
    <x v="8"/>
    <s v="Micro (1-10)"/>
    <x v="3"/>
    <d v="2024-01-05T00:00:00"/>
    <x v="2"/>
    <x v="0"/>
    <n v="7"/>
    <x v="0"/>
    <m/>
    <n v="392"/>
    <n v="20"/>
    <x v="55"/>
    <x v="49"/>
    <n v="47"/>
  </r>
  <r>
    <x v="61"/>
    <x v="2"/>
    <s v="41.902782"/>
    <s v="12.496366"/>
    <x v="0"/>
    <s v="Micro (1-10)"/>
    <x v="2"/>
    <d v="2024-03-25T00:00:00"/>
    <x v="2"/>
    <x v="0"/>
    <n v="7"/>
    <x v="0"/>
    <m/>
    <n v="846"/>
    <n v="40"/>
    <x v="56"/>
    <x v="42"/>
    <n v="-86"/>
  </r>
  <r>
    <x v="62"/>
    <x v="5"/>
    <s v="46.204391"/>
    <s v="6.143158"/>
    <x v="5"/>
    <s v="Micro (1-10)"/>
    <x v="1"/>
    <d v="2024-04-30T00:00:00"/>
    <x v="0"/>
    <x v="0"/>
    <n v="7"/>
    <x v="0"/>
    <m/>
    <n v="968"/>
    <n v="50"/>
    <x v="57"/>
    <x v="50"/>
    <n v="-174"/>
  </r>
  <r>
    <x v="63"/>
    <x v="1"/>
    <s v="40.416775"/>
    <s v="-3.703790"/>
    <x v="7"/>
    <s v="Micro (1-10)"/>
    <x v="3"/>
    <d v="2024-01-04T00:00:00"/>
    <x v="2"/>
    <x v="0"/>
    <n v="7"/>
    <x v="0"/>
    <m/>
    <n v="1068"/>
    <n v="40"/>
    <x v="43"/>
    <x v="51"/>
    <n v="-239"/>
  </r>
  <r>
    <x v="64"/>
    <x v="6"/>
    <s v="48.864716"/>
    <s v="2.349014"/>
    <x v="7"/>
    <s v="Micro (1-10)"/>
    <x v="3"/>
    <d v="2024-03-27T00:00:00"/>
    <x v="2"/>
    <x v="0"/>
    <n v="7"/>
    <x v="0"/>
    <m/>
    <n v="617"/>
    <n v="30"/>
    <x v="58"/>
    <x v="23"/>
    <n v="-245"/>
  </r>
  <r>
    <x v="65"/>
    <x v="3"/>
    <s v="52.520008"/>
    <s v="13.404954"/>
    <x v="0"/>
    <s v="Micro (1-10)"/>
    <x v="5"/>
    <d v="2024-01-04T00:00:00"/>
    <x v="2"/>
    <x v="0"/>
    <n v="7"/>
    <x v="0"/>
    <m/>
    <n v="888"/>
    <n v="30"/>
    <x v="59"/>
    <x v="52"/>
    <n v="-94"/>
  </r>
  <r>
    <x v="66"/>
    <x v="1"/>
    <s v="40.416775"/>
    <s v="-3.703790"/>
    <x v="5"/>
    <s v="Micro (1-10)"/>
    <x v="2"/>
    <d v="2024-04-15T00:00:00"/>
    <x v="1"/>
    <x v="0"/>
    <n v="7"/>
    <x v="0"/>
    <m/>
    <n v="364"/>
    <n v="30"/>
    <x v="60"/>
    <x v="53"/>
    <n v="75"/>
  </r>
  <r>
    <x v="67"/>
    <x v="3"/>
    <s v="52.520008"/>
    <s v="13.404954"/>
    <x v="0"/>
    <s v="Micro (1-10)"/>
    <x v="4"/>
    <d v="2024-04-15T00:00:00"/>
    <x v="2"/>
    <x v="0"/>
    <n v="7"/>
    <x v="0"/>
    <m/>
    <n v="856"/>
    <n v="60"/>
    <x v="61"/>
    <x v="54"/>
    <n v="-80"/>
  </r>
  <r>
    <x v="68"/>
    <x v="4"/>
    <s v="51.260197"/>
    <s v="4.402771"/>
    <x v="0"/>
    <s v="Micro (1-10)"/>
    <x v="6"/>
    <d v="2024-02-10T00:00:00"/>
    <x v="0"/>
    <x v="0"/>
    <n v="7"/>
    <x v="0"/>
    <m/>
    <n v="555"/>
    <n v="40"/>
    <x v="62"/>
    <x v="51"/>
    <n v="-131"/>
  </r>
  <r>
    <x v="69"/>
    <x v="8"/>
    <s v="38.736946"/>
    <s v="-9.142685"/>
    <x v="4"/>
    <s v="Micro (1-10)"/>
    <x v="4"/>
    <d v="2024-04-04T00:00:00"/>
    <x v="2"/>
    <x v="0"/>
    <n v="7"/>
    <x v="0"/>
    <m/>
    <n v="1035"/>
    <n v="70"/>
    <x v="63"/>
    <x v="4"/>
    <n v="-26"/>
  </r>
  <r>
    <x v="70"/>
    <x v="8"/>
    <s v="38.736946"/>
    <s v="-9.142685"/>
    <x v="13"/>
    <s v="Micro (1-10)"/>
    <x v="4"/>
    <d v="2024-02-25T00:00:00"/>
    <x v="0"/>
    <x v="0"/>
    <n v="7"/>
    <x v="0"/>
    <m/>
    <n v="566"/>
    <n v="30"/>
    <x v="64"/>
    <x v="55"/>
    <n v="-191"/>
  </r>
  <r>
    <x v="71"/>
    <x v="0"/>
    <s v="52.370216"/>
    <s v="4.895168"/>
    <x v="11"/>
    <s v="Micro (1-10)"/>
    <x v="4"/>
    <d v="2024-01-18T00:00:00"/>
    <x v="2"/>
    <x v="0"/>
    <n v="7"/>
    <x v="0"/>
    <m/>
    <n v="722"/>
    <n v="90"/>
    <x v="65"/>
    <x v="56"/>
    <n v="-185"/>
  </r>
  <r>
    <x v="72"/>
    <x v="6"/>
    <s v="48.864716"/>
    <s v="2.349014"/>
    <x v="11"/>
    <s v="Micro (1-10)"/>
    <x v="3"/>
    <d v="2024-01-16T00:00:00"/>
    <x v="2"/>
    <x v="0"/>
    <n v="7"/>
    <x v="0"/>
    <m/>
    <n v="1000"/>
    <n v="80"/>
    <x v="66"/>
    <x v="15"/>
    <n v="-72"/>
  </r>
  <r>
    <x v="73"/>
    <x v="2"/>
    <s v="41.902782"/>
    <s v="12.496366"/>
    <x v="7"/>
    <s v="Micro (1-10)"/>
    <x v="2"/>
    <d v="2024-02-18T00:00:00"/>
    <x v="1"/>
    <x v="0"/>
    <n v="7"/>
    <x v="0"/>
    <m/>
    <n v="898"/>
    <n v="60"/>
    <x v="67"/>
    <x v="57"/>
    <n v="17"/>
  </r>
  <r>
    <x v="74"/>
    <x v="0"/>
    <s v="52.370216"/>
    <s v="4.895168"/>
    <x v="11"/>
    <s v="Micro (1-10)"/>
    <x v="3"/>
    <d v="2024-05-23T00:00:00"/>
    <x v="2"/>
    <x v="0"/>
    <n v="7"/>
    <x v="0"/>
    <m/>
    <n v="786"/>
    <n v="30"/>
    <x v="33"/>
    <x v="58"/>
    <n v="-84"/>
  </r>
  <r>
    <x v="75"/>
    <x v="5"/>
    <s v="46.204391"/>
    <s v="6.143158"/>
    <x v="4"/>
    <s v="Micro (1-10)"/>
    <x v="1"/>
    <d v="2024-02-23T00:00:00"/>
    <x v="0"/>
    <x v="0"/>
    <n v="7"/>
    <x v="0"/>
    <m/>
    <n v="843"/>
    <n v="40"/>
    <x v="68"/>
    <x v="59"/>
    <n v="-13"/>
  </r>
  <r>
    <x v="76"/>
    <x v="1"/>
    <s v="40.416775"/>
    <s v="-3.703790"/>
    <x v="5"/>
    <s v="Micro (1-10)"/>
    <x v="5"/>
    <d v="2024-05-01T00:00:00"/>
    <x v="0"/>
    <x v="0"/>
    <n v="7"/>
    <x v="0"/>
    <m/>
    <n v="608"/>
    <n v="20"/>
    <x v="69"/>
    <x v="60"/>
    <n v="-208"/>
  </r>
  <r>
    <x v="77"/>
    <x v="2"/>
    <s v="41.902782"/>
    <s v="12.496366"/>
    <x v="5"/>
    <s v="Micro (1-10)"/>
    <x v="3"/>
    <d v="2024-01-05T00:00:00"/>
    <x v="2"/>
    <x v="0"/>
    <n v="7"/>
    <x v="0"/>
    <m/>
    <n v="285"/>
    <n v="20"/>
    <x v="70"/>
    <x v="61"/>
    <n v="-176"/>
  </r>
  <r>
    <x v="78"/>
    <x v="8"/>
    <s v="38.736946"/>
    <s v="-9.142685"/>
    <x v="6"/>
    <s v="Micro (1-10)"/>
    <x v="4"/>
    <d v="2024-03-15T00:00:00"/>
    <x v="1"/>
    <x v="0"/>
    <n v="7"/>
    <x v="0"/>
    <m/>
    <n v="950"/>
    <n v="20"/>
    <x v="71"/>
    <x v="62"/>
    <n v="-172"/>
  </r>
  <r>
    <x v="79"/>
    <x v="3"/>
    <s v="52.520008"/>
    <s v="13.404954"/>
    <x v="4"/>
    <s v="Micro (1-10)"/>
    <x v="4"/>
    <d v="2024-04-06T00:00:00"/>
    <x v="0"/>
    <x v="0"/>
    <n v="7"/>
    <x v="0"/>
    <m/>
    <n v="1095"/>
    <n v="40"/>
    <x v="72"/>
    <x v="63"/>
    <n v="-167"/>
  </r>
  <r>
    <x v="80"/>
    <x v="6"/>
    <s v="48.864716"/>
    <s v="2.349014"/>
    <x v="3"/>
    <s v="Micro (1-10)"/>
    <x v="3"/>
    <d v="2024-05-21T00:00:00"/>
    <x v="2"/>
    <x v="0"/>
    <n v="7"/>
    <x v="0"/>
    <m/>
    <n v="668"/>
    <n v="90"/>
    <x v="63"/>
    <x v="64"/>
    <n v="-13"/>
  </r>
  <r>
    <x v="81"/>
    <x v="4"/>
    <s v="51.260197"/>
    <s v="4.402771"/>
    <x v="0"/>
    <s v="Micro (1-10)"/>
    <x v="3"/>
    <d v="2024-01-26T00:00:00"/>
    <x v="2"/>
    <x v="0"/>
    <n v="7"/>
    <x v="0"/>
    <m/>
    <n v="993"/>
    <n v="50"/>
    <x v="61"/>
    <x v="29"/>
    <n v="-228"/>
  </r>
  <r>
    <x v="82"/>
    <x v="3"/>
    <s v="52.520008"/>
    <s v="13.404954"/>
    <x v="0"/>
    <s v="Micro (1-10)"/>
    <x v="0"/>
    <d v="2024-02-07T00:00:00"/>
    <x v="0"/>
    <x v="0"/>
    <n v="7"/>
    <x v="0"/>
    <m/>
    <n v="670"/>
    <n v="50"/>
    <x v="73"/>
    <x v="23"/>
    <n v="-8"/>
  </r>
  <r>
    <x v="83"/>
    <x v="6"/>
    <s v="48.864716"/>
    <s v="2.349014"/>
    <x v="0"/>
    <s v="Micro (1-10)"/>
    <x v="4"/>
    <d v="2024-02-13T00:00:00"/>
    <x v="0"/>
    <x v="0"/>
    <n v="7"/>
    <x v="0"/>
    <m/>
    <n v="442"/>
    <n v="20"/>
    <x v="74"/>
    <x v="65"/>
    <n v="-107"/>
  </r>
  <r>
    <x v="84"/>
    <x v="3"/>
    <s v="52.520008"/>
    <s v="13.404954"/>
    <x v="4"/>
    <s v="Micro (1-10)"/>
    <x v="3"/>
    <d v="2024-01-31T00:00:00"/>
    <x v="1"/>
    <x v="0"/>
    <n v="7"/>
    <x v="0"/>
    <m/>
    <n v="375"/>
    <n v="70"/>
    <x v="70"/>
    <x v="49"/>
    <n v="-125"/>
  </r>
  <r>
    <x v="85"/>
    <x v="2"/>
    <s v="41.902782"/>
    <s v="12.496366"/>
    <x v="1"/>
    <s v="Micro (1-10)"/>
    <x v="5"/>
    <d v="2024-02-28T00:00:00"/>
    <x v="0"/>
    <x v="0"/>
    <n v="7"/>
    <x v="0"/>
    <m/>
    <n v="258"/>
    <n v="40"/>
    <x v="75"/>
    <x v="11"/>
    <n v="-268"/>
  </r>
  <r>
    <x v="86"/>
    <x v="8"/>
    <s v="38.736946"/>
    <s v="-9.142685"/>
    <x v="2"/>
    <s v="Micro (1-10)"/>
    <x v="2"/>
    <d v="2024-04-26T00:00:00"/>
    <x v="0"/>
    <x v="0"/>
    <n v="7"/>
    <x v="0"/>
    <m/>
    <n v="663"/>
    <n v="40"/>
    <x v="76"/>
    <x v="35"/>
    <n v="-264"/>
  </r>
  <r>
    <x v="87"/>
    <x v="5"/>
    <s v="46.204391"/>
    <s v="6.143158"/>
    <x v="4"/>
    <s v="Micro (1-10)"/>
    <x v="0"/>
    <d v="2024-03-11T00:00:00"/>
    <x v="2"/>
    <x v="0"/>
    <n v="7"/>
    <x v="0"/>
    <m/>
    <n v="1039"/>
    <n v="70"/>
    <x v="77"/>
    <x v="66"/>
    <n v="-182"/>
  </r>
  <r>
    <x v="88"/>
    <x v="7"/>
    <s v="48.210033"/>
    <s v="16.363449"/>
    <x v="0"/>
    <s v="Micro (1-10)"/>
    <x v="4"/>
    <d v="2024-01-13T00:00:00"/>
    <x v="0"/>
    <x v="0"/>
    <n v="7"/>
    <x v="0"/>
    <m/>
    <n v="991"/>
    <n v="40"/>
    <x v="78"/>
    <x v="34"/>
    <n v="-35"/>
  </r>
  <r>
    <x v="89"/>
    <x v="5"/>
    <s v="46.204391"/>
    <s v="6.143158"/>
    <x v="4"/>
    <s v="Micro (1-10)"/>
    <x v="4"/>
    <d v="2024-01-06T00:00:00"/>
    <x v="0"/>
    <x v="0"/>
    <n v="7"/>
    <x v="0"/>
    <m/>
    <n v="820"/>
    <n v="20"/>
    <x v="12"/>
    <x v="67"/>
    <n v="-258"/>
  </r>
  <r>
    <x v="90"/>
    <x v="8"/>
    <s v="38.736946"/>
    <s v="-9.142685"/>
    <x v="4"/>
    <s v="Micro (1-10)"/>
    <x v="3"/>
    <d v="2024-02-20T00:00:00"/>
    <x v="0"/>
    <x v="0"/>
    <n v="7"/>
    <x v="0"/>
    <m/>
    <n v="884"/>
    <n v="100"/>
    <x v="9"/>
    <x v="68"/>
    <n v="-282"/>
  </r>
  <r>
    <x v="91"/>
    <x v="0"/>
    <s v="52.370216"/>
    <s v="4.895168"/>
    <x v="1"/>
    <s v="Micro (1-10)"/>
    <x v="6"/>
    <d v="2024-02-22T00:00:00"/>
    <x v="1"/>
    <x v="0"/>
    <n v="7"/>
    <x v="0"/>
    <m/>
    <n v="1057"/>
    <n v="60"/>
    <x v="54"/>
    <x v="66"/>
    <n v="-238"/>
  </r>
  <r>
    <x v="92"/>
    <x v="6"/>
    <s v="48.864716"/>
    <s v="2.349014"/>
    <x v="4"/>
    <s v="Micro (1-10)"/>
    <x v="4"/>
    <d v="2024-05-30T00:00:00"/>
    <x v="2"/>
    <x v="0"/>
    <n v="7"/>
    <x v="0"/>
    <m/>
    <n v="654"/>
    <n v="20"/>
    <x v="79"/>
    <x v="69"/>
    <n v="-71"/>
  </r>
  <r>
    <x v="93"/>
    <x v="2"/>
    <s v="41.902782"/>
    <s v="12.496366"/>
    <x v="10"/>
    <s v="Micro (1-10)"/>
    <x v="4"/>
    <d v="2024-01-17T00:00:00"/>
    <x v="0"/>
    <x v="0"/>
    <n v="7"/>
    <x v="0"/>
    <m/>
    <n v="913"/>
    <n v="50"/>
    <x v="80"/>
    <x v="70"/>
    <n v="-23"/>
  </r>
  <r>
    <x v="94"/>
    <x v="1"/>
    <s v="40.416775"/>
    <s v="-3.703790"/>
    <x v="11"/>
    <s v="Medium (201-500)"/>
    <x v="0"/>
    <d v="2024-04-25T00:00:00"/>
    <x v="0"/>
    <x v="0"/>
    <n v="7"/>
    <x v="0"/>
    <m/>
    <n v="5555"/>
    <n v="50"/>
    <x v="81"/>
    <x v="71"/>
    <n v="-304"/>
  </r>
  <r>
    <x v="95"/>
    <x v="2"/>
    <s v="41.902782"/>
    <s v="12.496366"/>
    <x v="4"/>
    <s v="Medium (201-500)"/>
    <x v="1"/>
    <d v="2024-04-21T00:00:00"/>
    <x v="1"/>
    <x v="0"/>
    <n v="7"/>
    <x v="0"/>
    <m/>
    <n v="5916"/>
    <n v="10"/>
    <x v="42"/>
    <x v="72"/>
    <n v="-126"/>
  </r>
  <r>
    <x v="96"/>
    <x v="2"/>
    <s v="41.902782"/>
    <s v="12.496366"/>
    <x v="3"/>
    <s v="Medium (201-500)"/>
    <x v="2"/>
    <d v="2024-02-26T00:00:00"/>
    <x v="2"/>
    <x v="0"/>
    <n v="7"/>
    <x v="0"/>
    <m/>
    <n v="1352"/>
    <n v="20"/>
    <x v="82"/>
    <x v="12"/>
    <n v="-52"/>
  </r>
  <r>
    <x v="97"/>
    <x v="8"/>
    <s v="38.736946"/>
    <s v="-9.142685"/>
    <x v="9"/>
    <s v="Medium (201-500)"/>
    <x v="4"/>
    <d v="2024-05-04T00:00:00"/>
    <x v="1"/>
    <x v="0"/>
    <n v="7"/>
    <x v="0"/>
    <m/>
    <n v="7313"/>
    <n v="90"/>
    <x v="36"/>
    <x v="73"/>
    <n v="82"/>
  </r>
  <r>
    <x v="98"/>
    <x v="1"/>
    <s v="40.416775"/>
    <s v="-3.703790"/>
    <x v="10"/>
    <s v="Medium (201-500)"/>
    <x v="4"/>
    <d v="2024-05-13T00:00:00"/>
    <x v="1"/>
    <x v="0"/>
    <n v="7"/>
    <x v="0"/>
    <m/>
    <n v="481"/>
    <n v="50"/>
    <x v="83"/>
    <x v="74"/>
    <n v="14"/>
  </r>
  <r>
    <x v="99"/>
    <x v="6"/>
    <s v="48.864716"/>
    <s v="2.349014"/>
    <x v="6"/>
    <s v="Medium (201-500)"/>
    <x v="4"/>
    <d v="2024-02-23T00:00:00"/>
    <x v="2"/>
    <x v="0"/>
    <n v="7"/>
    <x v="0"/>
    <m/>
    <n v="5122"/>
    <n v="20"/>
    <x v="84"/>
    <x v="47"/>
    <n v="-130"/>
  </r>
  <r>
    <x v="100"/>
    <x v="7"/>
    <s v="48.210033"/>
    <s v="16.363449"/>
    <x v="2"/>
    <s v="Medium (201-500)"/>
    <x v="3"/>
    <d v="2024-02-01T00:00:00"/>
    <x v="0"/>
    <x v="0"/>
    <n v="7"/>
    <x v="0"/>
    <m/>
    <n v="7898"/>
    <n v="30"/>
    <x v="50"/>
    <x v="75"/>
    <n v="-187"/>
  </r>
  <r>
    <x v="101"/>
    <x v="5"/>
    <s v="46.204391"/>
    <s v="6.143158"/>
    <x v="5"/>
    <s v="Medium (201-500)"/>
    <x v="3"/>
    <d v="2024-03-18T00:00:00"/>
    <x v="1"/>
    <x v="0"/>
    <n v="7"/>
    <x v="0"/>
    <m/>
    <n v="5718"/>
    <n v="30"/>
    <x v="19"/>
    <x v="76"/>
    <n v="-56"/>
  </r>
  <r>
    <x v="102"/>
    <x v="5"/>
    <s v="46.204391"/>
    <s v="6.143158"/>
    <x v="2"/>
    <s v="Medium (201-500)"/>
    <x v="7"/>
    <d v="2024-02-10T00:00:00"/>
    <x v="2"/>
    <x v="0"/>
    <n v="7"/>
    <x v="0"/>
    <m/>
    <n v="2849"/>
    <n v="90"/>
    <x v="14"/>
    <x v="77"/>
    <n v="-212"/>
  </r>
  <r>
    <x v="103"/>
    <x v="1"/>
    <s v="40.416775"/>
    <s v="-3.703790"/>
    <x v="8"/>
    <s v="Medium (201-500)"/>
    <x v="4"/>
    <d v="2024-01-12T00:00:00"/>
    <x v="2"/>
    <x v="0"/>
    <n v="7"/>
    <x v="0"/>
    <m/>
    <n v="3612"/>
    <n v="40"/>
    <x v="85"/>
    <x v="78"/>
    <n v="-113"/>
  </r>
  <r>
    <x v="104"/>
    <x v="1"/>
    <s v="40.416775"/>
    <s v="-3.703790"/>
    <x v="4"/>
    <s v="Medium (201-500)"/>
    <x v="4"/>
    <d v="2024-04-05T00:00:00"/>
    <x v="0"/>
    <x v="0"/>
    <n v="7"/>
    <x v="0"/>
    <m/>
    <n v="1333"/>
    <n v="20"/>
    <x v="86"/>
    <x v="55"/>
    <n v="-27"/>
  </r>
  <r>
    <x v="105"/>
    <x v="5"/>
    <s v="46.204391"/>
    <s v="6.143158"/>
    <x v="0"/>
    <s v="Medium (201-500)"/>
    <x v="0"/>
    <d v="2024-01-18T00:00:00"/>
    <x v="2"/>
    <x v="0"/>
    <n v="7"/>
    <x v="0"/>
    <m/>
    <n v="2367"/>
    <n v="20"/>
    <x v="87"/>
    <x v="79"/>
    <n v="-240"/>
  </r>
  <r>
    <x v="106"/>
    <x v="3"/>
    <s v="52.520008"/>
    <s v="13.404954"/>
    <x v="8"/>
    <s v="Medium (201-500)"/>
    <x v="7"/>
    <d v="2024-04-07T00:00:00"/>
    <x v="2"/>
    <x v="0"/>
    <n v="7"/>
    <x v="0"/>
    <m/>
    <n v="3651"/>
    <n v="40"/>
    <x v="88"/>
    <x v="80"/>
    <n v="-107"/>
  </r>
  <r>
    <x v="107"/>
    <x v="2"/>
    <s v="41.902782"/>
    <s v="12.496366"/>
    <x v="3"/>
    <s v="Medium (201-500)"/>
    <x v="2"/>
    <d v="2024-02-23T00:00:00"/>
    <x v="0"/>
    <x v="0"/>
    <n v="7"/>
    <x v="0"/>
    <m/>
    <n v="1647"/>
    <n v="10"/>
    <x v="89"/>
    <x v="65"/>
    <n v="-222"/>
  </r>
  <r>
    <x v="108"/>
    <x v="1"/>
    <s v="40.416775"/>
    <s v="-3.703790"/>
    <x v="5"/>
    <s v="Medium (201-500)"/>
    <x v="0"/>
    <d v="2024-02-18T00:00:00"/>
    <x v="0"/>
    <x v="0"/>
    <n v="7"/>
    <x v="0"/>
    <m/>
    <n v="3098"/>
    <n v="40"/>
    <x v="43"/>
    <x v="81"/>
    <n v="-256"/>
  </r>
  <r>
    <x v="109"/>
    <x v="6"/>
    <s v="48.864716"/>
    <s v="2.349014"/>
    <x v="7"/>
    <s v="Medium (201-500)"/>
    <x v="5"/>
    <d v="2024-02-15T00:00:00"/>
    <x v="2"/>
    <x v="0"/>
    <n v="7"/>
    <x v="0"/>
    <m/>
    <n v="7604"/>
    <n v="40"/>
    <x v="90"/>
    <x v="75"/>
    <n v="-257"/>
  </r>
  <r>
    <x v="110"/>
    <x v="3"/>
    <s v="52.520008"/>
    <s v="13.404954"/>
    <x v="6"/>
    <s v="Medium (201-500)"/>
    <x v="5"/>
    <d v="2024-03-03T00:00:00"/>
    <x v="2"/>
    <x v="0"/>
    <n v="7"/>
    <x v="0"/>
    <m/>
    <n v="3858"/>
    <n v="50"/>
    <x v="91"/>
    <x v="23"/>
    <n v="-80"/>
  </r>
  <r>
    <x v="111"/>
    <x v="7"/>
    <s v="48.210033"/>
    <s v="16.363449"/>
    <x v="2"/>
    <s v="Medium (201-500)"/>
    <x v="1"/>
    <d v="2024-01-12T00:00:00"/>
    <x v="0"/>
    <x v="0"/>
    <n v="7"/>
    <x v="0"/>
    <m/>
    <n v="785"/>
    <n v="70"/>
    <x v="92"/>
    <x v="82"/>
    <n v="-94"/>
  </r>
  <r>
    <x v="112"/>
    <x v="1"/>
    <s v="40.416775"/>
    <s v="-3.703790"/>
    <x v="3"/>
    <s v="Medium (201-500)"/>
    <x v="4"/>
    <d v="2024-01-20T00:00:00"/>
    <x v="0"/>
    <x v="0"/>
    <n v="7"/>
    <x v="0"/>
    <m/>
    <n v="4410"/>
    <n v="40"/>
    <x v="93"/>
    <x v="44"/>
    <n v="-95"/>
  </r>
  <r>
    <x v="113"/>
    <x v="6"/>
    <s v="48.864716"/>
    <s v="2.349014"/>
    <x v="8"/>
    <s v="Medium (201-500)"/>
    <x v="3"/>
    <d v="2024-04-10T00:00:00"/>
    <x v="2"/>
    <x v="0"/>
    <n v="7"/>
    <x v="0"/>
    <m/>
    <n v="3455"/>
    <n v="100"/>
    <x v="94"/>
    <x v="83"/>
    <n v="-183"/>
  </r>
  <r>
    <x v="114"/>
    <x v="4"/>
    <s v="51.260197"/>
    <s v="4.402771"/>
    <x v="0"/>
    <s v="Medium (201-500)"/>
    <x v="3"/>
    <d v="2024-02-14T00:00:00"/>
    <x v="0"/>
    <x v="0"/>
    <n v="7"/>
    <x v="0"/>
    <m/>
    <n v="7486"/>
    <n v="40"/>
    <x v="95"/>
    <x v="2"/>
    <n v="-225"/>
  </r>
  <r>
    <x v="115"/>
    <x v="5"/>
    <s v="46.204391"/>
    <s v="6.143158"/>
    <x v="6"/>
    <s v="Medium (201-500)"/>
    <x v="2"/>
    <d v="2024-03-03T00:00:00"/>
    <x v="2"/>
    <x v="0"/>
    <n v="7"/>
    <x v="0"/>
    <m/>
    <n v="4521"/>
    <n v="90"/>
    <x v="96"/>
    <x v="84"/>
    <n v="-281"/>
  </r>
  <r>
    <x v="116"/>
    <x v="2"/>
    <s v="41.902782"/>
    <s v="12.496366"/>
    <x v="3"/>
    <s v="Medium (201-500)"/>
    <x v="7"/>
    <d v="2024-05-30T00:00:00"/>
    <x v="0"/>
    <x v="0"/>
    <n v="7"/>
    <x v="0"/>
    <m/>
    <n v="1641"/>
    <n v="20"/>
    <x v="97"/>
    <x v="85"/>
    <n v="59"/>
  </r>
  <r>
    <x v="117"/>
    <x v="2"/>
    <s v="41.902782"/>
    <s v="12.496366"/>
    <x v="2"/>
    <s v="Medium (201-500)"/>
    <x v="2"/>
    <d v="2024-01-02T00:00:00"/>
    <x v="0"/>
    <x v="0"/>
    <n v="7"/>
    <x v="0"/>
    <m/>
    <n v="3545"/>
    <n v="40"/>
    <x v="98"/>
    <x v="45"/>
    <n v="-77"/>
  </r>
  <r>
    <x v="118"/>
    <x v="2"/>
    <s v="41.902782"/>
    <s v="12.496366"/>
    <x v="12"/>
    <s v="Medium (201-500)"/>
    <x v="4"/>
    <d v="2024-05-18T00:00:00"/>
    <x v="0"/>
    <x v="0"/>
    <n v="7"/>
    <x v="0"/>
    <m/>
    <n v="5862"/>
    <n v="60"/>
    <x v="99"/>
    <x v="62"/>
    <n v="-83"/>
  </r>
  <r>
    <x v="119"/>
    <x v="0"/>
    <s v="52.370216"/>
    <s v="4.895168"/>
    <x v="5"/>
    <s v="Medium (201-500)"/>
    <x v="5"/>
    <d v="2024-03-17T00:00:00"/>
    <x v="2"/>
    <x v="0"/>
    <n v="7"/>
    <x v="0"/>
    <m/>
    <n v="6124"/>
    <n v="20"/>
    <x v="86"/>
    <x v="86"/>
    <n v="7"/>
  </r>
  <r>
    <x v="120"/>
    <x v="6"/>
    <s v="48.864716"/>
    <s v="2.349014"/>
    <x v="3"/>
    <s v="Medium (201-500)"/>
    <x v="3"/>
    <d v="2024-02-05T00:00:00"/>
    <x v="2"/>
    <x v="0"/>
    <n v="7"/>
    <x v="0"/>
    <m/>
    <n v="2002"/>
    <n v="30"/>
    <x v="100"/>
    <x v="26"/>
    <n v="-278"/>
  </r>
  <r>
    <x v="121"/>
    <x v="8"/>
    <s v="38.736946"/>
    <s v="-9.142685"/>
    <x v="3"/>
    <s v="Medium (201-500)"/>
    <x v="4"/>
    <d v="2024-01-02T00:00:00"/>
    <x v="2"/>
    <x v="0"/>
    <n v="7"/>
    <x v="0"/>
    <m/>
    <n v="3182"/>
    <n v="20"/>
    <x v="101"/>
    <x v="87"/>
    <n v="-63"/>
  </r>
  <r>
    <x v="122"/>
    <x v="4"/>
    <s v="51.260197"/>
    <s v="4.402771"/>
    <x v="7"/>
    <s v="Medium (201-500)"/>
    <x v="4"/>
    <d v="2024-02-04T00:00:00"/>
    <x v="0"/>
    <x v="0"/>
    <n v="7"/>
    <x v="0"/>
    <m/>
    <n v="7019"/>
    <n v="30"/>
    <x v="102"/>
    <x v="79"/>
    <n v="71"/>
  </r>
  <r>
    <x v="123"/>
    <x v="2"/>
    <s v="41.902782"/>
    <s v="12.496366"/>
    <x v="4"/>
    <s v="Medium (201-500)"/>
    <x v="0"/>
    <d v="2024-04-17T00:00:00"/>
    <x v="0"/>
    <x v="0"/>
    <n v="7"/>
    <x v="0"/>
    <m/>
    <n v="2816"/>
    <n v="70"/>
    <x v="20"/>
    <x v="88"/>
    <n v="-78"/>
  </r>
  <r>
    <x v="124"/>
    <x v="5"/>
    <s v="46.204391"/>
    <s v="6.143158"/>
    <x v="0"/>
    <s v="Medium (201-500)"/>
    <x v="1"/>
    <d v="2024-05-24T00:00:00"/>
    <x v="0"/>
    <x v="0"/>
    <n v="7"/>
    <x v="0"/>
    <m/>
    <n v="734"/>
    <n v="40"/>
    <x v="20"/>
    <x v="89"/>
    <n v="23"/>
  </r>
  <r>
    <x v="125"/>
    <x v="2"/>
    <s v="41.902782"/>
    <s v="12.496366"/>
    <x v="0"/>
    <s v="Medium (201-500)"/>
    <x v="2"/>
    <d v="2024-03-23T00:00:00"/>
    <x v="0"/>
    <x v="0"/>
    <n v="7"/>
    <x v="0"/>
    <m/>
    <n v="7204"/>
    <n v="20"/>
    <x v="103"/>
    <x v="90"/>
    <n v="-151"/>
  </r>
  <r>
    <x v="126"/>
    <x v="2"/>
    <s v="41.902782"/>
    <s v="12.496366"/>
    <x v="8"/>
    <s v="Medium (201-500)"/>
    <x v="4"/>
    <d v="2024-04-01T00:00:00"/>
    <x v="0"/>
    <x v="0"/>
    <n v="7"/>
    <x v="0"/>
    <m/>
    <n v="2921"/>
    <n v="60"/>
    <x v="104"/>
    <x v="42"/>
    <n v="-256"/>
  </r>
  <r>
    <x v="127"/>
    <x v="8"/>
    <s v="38.736946"/>
    <s v="-9.142685"/>
    <x v="3"/>
    <s v="Medium (201-500)"/>
    <x v="1"/>
    <d v="2024-03-09T00:00:00"/>
    <x v="2"/>
    <x v="0"/>
    <n v="7"/>
    <x v="0"/>
    <m/>
    <n v="2653"/>
    <n v="50"/>
    <x v="105"/>
    <x v="91"/>
    <n v="-246"/>
  </r>
  <r>
    <x v="128"/>
    <x v="6"/>
    <s v="48.864716"/>
    <s v="2.349014"/>
    <x v="11"/>
    <s v="Medium (201-500)"/>
    <x v="6"/>
    <d v="2024-05-29T00:00:00"/>
    <x v="1"/>
    <x v="0"/>
    <n v="7"/>
    <x v="0"/>
    <m/>
    <n v="4849"/>
    <n v="30"/>
    <x v="106"/>
    <x v="92"/>
    <n v="3"/>
  </r>
  <r>
    <x v="129"/>
    <x v="5"/>
    <s v="46.204391"/>
    <s v="6.143158"/>
    <x v="5"/>
    <s v="Medium (201-500)"/>
    <x v="3"/>
    <d v="2024-03-28T00:00:00"/>
    <x v="1"/>
    <x v="0"/>
    <n v="7"/>
    <x v="0"/>
    <m/>
    <n v="1092"/>
    <n v="40"/>
    <x v="107"/>
    <x v="13"/>
    <n v="-173"/>
  </r>
  <r>
    <x v="130"/>
    <x v="8"/>
    <s v="38.736946"/>
    <s v="-9.142685"/>
    <x v="13"/>
    <s v="Medium (201-500)"/>
    <x v="4"/>
    <d v="2024-05-10T00:00:00"/>
    <x v="1"/>
    <x v="0"/>
    <n v="7"/>
    <x v="0"/>
    <m/>
    <n v="5902"/>
    <n v="50"/>
    <x v="108"/>
    <x v="93"/>
    <n v="-276"/>
  </r>
  <r>
    <x v="131"/>
    <x v="2"/>
    <s v="41.902782"/>
    <s v="12.496366"/>
    <x v="11"/>
    <s v="Medium (201-500)"/>
    <x v="2"/>
    <d v="2024-05-04T00:00:00"/>
    <x v="1"/>
    <x v="0"/>
    <n v="7"/>
    <x v="0"/>
    <m/>
    <n v="625"/>
    <n v="40"/>
    <x v="109"/>
    <x v="50"/>
    <n v="-62"/>
  </r>
  <r>
    <x v="132"/>
    <x v="2"/>
    <s v="41.902782"/>
    <s v="12.496366"/>
    <x v="4"/>
    <s v="Medium (201-500)"/>
    <x v="1"/>
    <d v="2024-02-01T00:00:00"/>
    <x v="2"/>
    <x v="0"/>
    <n v="7"/>
    <x v="0"/>
    <m/>
    <n v="7655"/>
    <n v="60"/>
    <x v="110"/>
    <x v="45"/>
    <n v="27"/>
  </r>
  <r>
    <x v="133"/>
    <x v="2"/>
    <s v="41.902782"/>
    <s v="12.496366"/>
    <x v="5"/>
    <s v="Medium (201-500)"/>
    <x v="2"/>
    <d v="2024-04-14T00:00:00"/>
    <x v="1"/>
    <x v="0"/>
    <n v="7"/>
    <x v="0"/>
    <m/>
    <n v="7270"/>
    <n v="30"/>
    <x v="111"/>
    <x v="94"/>
    <n v="-69"/>
  </r>
  <r>
    <x v="134"/>
    <x v="2"/>
    <s v="41.902782"/>
    <s v="12.496366"/>
    <x v="11"/>
    <s v="Medium (201-500)"/>
    <x v="1"/>
    <d v="2024-01-12T00:00:00"/>
    <x v="1"/>
    <x v="0"/>
    <n v="7"/>
    <x v="0"/>
    <m/>
    <n v="6482"/>
    <n v="90"/>
    <x v="47"/>
    <x v="95"/>
    <n v="-285"/>
  </r>
  <r>
    <x v="135"/>
    <x v="4"/>
    <s v="51.260197"/>
    <s v="4.402771"/>
    <x v="4"/>
    <s v="Medium (201-500)"/>
    <x v="3"/>
    <d v="2024-01-10T00:00:00"/>
    <x v="2"/>
    <x v="0"/>
    <n v="7"/>
    <x v="0"/>
    <m/>
    <n v="3196"/>
    <n v="30"/>
    <x v="112"/>
    <x v="96"/>
    <n v="-61"/>
  </r>
  <r>
    <x v="136"/>
    <x v="2"/>
    <s v="41.902782"/>
    <s v="12.496366"/>
    <x v="12"/>
    <s v="Medium (201-500)"/>
    <x v="2"/>
    <d v="2024-02-01T00:00:00"/>
    <x v="2"/>
    <x v="0"/>
    <n v="7"/>
    <x v="0"/>
    <m/>
    <n v="5812"/>
    <n v="90"/>
    <x v="71"/>
    <x v="97"/>
    <n v="-272"/>
  </r>
  <r>
    <x v="137"/>
    <x v="1"/>
    <s v="40.416775"/>
    <s v="-3.703790"/>
    <x v="4"/>
    <s v="Medium (201-500)"/>
    <x v="0"/>
    <d v="2024-01-20T00:00:00"/>
    <x v="0"/>
    <x v="0"/>
    <n v="7"/>
    <x v="0"/>
    <m/>
    <n v="2015"/>
    <n v="100"/>
    <x v="107"/>
    <x v="98"/>
    <n v="-332"/>
  </r>
  <r>
    <x v="138"/>
    <x v="1"/>
    <s v="40.416775"/>
    <s v="-3.703790"/>
    <x v="7"/>
    <s v="Medium (201-500)"/>
    <x v="3"/>
    <d v="2024-01-12T00:00:00"/>
    <x v="2"/>
    <x v="0"/>
    <n v="7"/>
    <x v="0"/>
    <m/>
    <n v="3580"/>
    <n v="30"/>
    <x v="60"/>
    <x v="99"/>
    <n v="-95"/>
  </r>
  <r>
    <x v="139"/>
    <x v="7"/>
    <s v="48.210033"/>
    <s v="16.363449"/>
    <x v="3"/>
    <s v="Medium (201-500)"/>
    <x v="0"/>
    <d v="2024-03-01T00:00:00"/>
    <x v="0"/>
    <x v="0"/>
    <n v="7"/>
    <x v="0"/>
    <m/>
    <n v="1985"/>
    <n v="60"/>
    <x v="113"/>
    <x v="55"/>
    <n v="-239"/>
  </r>
  <r>
    <x v="140"/>
    <x v="8"/>
    <s v="38.736946"/>
    <s v="-9.142685"/>
    <x v="4"/>
    <s v="Medium (201-500)"/>
    <x v="5"/>
    <d v="2024-02-17T00:00:00"/>
    <x v="2"/>
    <x v="0"/>
    <n v="7"/>
    <x v="0"/>
    <m/>
    <n v="7799"/>
    <n v="60"/>
    <x v="37"/>
    <x v="100"/>
    <n v="-117"/>
  </r>
  <r>
    <x v="141"/>
    <x v="8"/>
    <s v="38.736946"/>
    <s v="-9.142685"/>
    <x v="5"/>
    <s v="Medium (201-500)"/>
    <x v="4"/>
    <d v="2024-05-01T00:00:00"/>
    <x v="2"/>
    <x v="0"/>
    <n v="7"/>
    <x v="0"/>
    <m/>
    <n v="1142"/>
    <n v="50"/>
    <x v="31"/>
    <x v="101"/>
    <n v="-141"/>
  </r>
  <r>
    <x v="142"/>
    <x v="4"/>
    <s v="51.260197"/>
    <s v="4.402771"/>
    <x v="3"/>
    <s v="Medium (201-500)"/>
    <x v="3"/>
    <d v="2024-03-17T00:00:00"/>
    <x v="2"/>
    <x v="0"/>
    <n v="7"/>
    <x v="0"/>
    <m/>
    <n v="5858"/>
    <n v="40"/>
    <x v="114"/>
    <x v="102"/>
    <n v="-17"/>
  </r>
  <r>
    <x v="143"/>
    <x v="2"/>
    <s v="41.902782"/>
    <s v="12.496366"/>
    <x v="10"/>
    <s v="Medium (201-500)"/>
    <x v="6"/>
    <d v="2024-02-10T00:00:00"/>
    <x v="0"/>
    <x v="0"/>
    <n v="7"/>
    <x v="0"/>
    <m/>
    <n v="2557"/>
    <n v="50"/>
    <x v="8"/>
    <x v="99"/>
    <n v="-90"/>
  </r>
  <r>
    <x v="144"/>
    <x v="8"/>
    <s v="38.736946"/>
    <s v="-9.142685"/>
    <x v="0"/>
    <s v="Medium (201-500)"/>
    <x v="0"/>
    <d v="2024-02-08T00:00:00"/>
    <x v="2"/>
    <x v="0"/>
    <n v="7"/>
    <x v="0"/>
    <m/>
    <n v="3207"/>
    <n v="60"/>
    <x v="115"/>
    <x v="17"/>
    <n v="-133"/>
  </r>
  <r>
    <x v="145"/>
    <x v="2"/>
    <s v="41.902782"/>
    <s v="12.496366"/>
    <x v="7"/>
    <s v="Medium (201-500)"/>
    <x v="2"/>
    <d v="2024-05-10T00:00:00"/>
    <x v="0"/>
    <x v="0"/>
    <n v="7"/>
    <x v="0"/>
    <m/>
    <n v="797"/>
    <n v="70"/>
    <x v="116"/>
    <x v="103"/>
    <n v="-120"/>
  </r>
  <r>
    <x v="146"/>
    <x v="3"/>
    <s v="52.520008"/>
    <s v="13.404954"/>
    <x v="0"/>
    <s v="Medium (201-500)"/>
    <x v="2"/>
    <d v="2024-01-03T00:00:00"/>
    <x v="2"/>
    <x v="0"/>
    <n v="7"/>
    <x v="0"/>
    <m/>
    <n v="6018"/>
    <n v="40"/>
    <x v="117"/>
    <x v="23"/>
    <n v="-98"/>
  </r>
  <r>
    <x v="147"/>
    <x v="0"/>
    <s v="52.370216"/>
    <s v="4.895168"/>
    <x v="0"/>
    <s v="Medium (201-500)"/>
    <x v="3"/>
    <d v="2024-02-25T00:00:00"/>
    <x v="1"/>
    <x v="0"/>
    <n v="7"/>
    <x v="0"/>
    <m/>
    <n v="3011"/>
    <n v="90"/>
    <x v="118"/>
    <x v="104"/>
    <n v="-94"/>
  </r>
  <r>
    <x v="148"/>
    <x v="8"/>
    <s v="38.736946"/>
    <s v="-9.142685"/>
    <x v="11"/>
    <s v="Medium (201-500)"/>
    <x v="3"/>
    <d v="2024-01-31T00:00:00"/>
    <x v="2"/>
    <x v="0"/>
    <n v="7"/>
    <x v="0"/>
    <m/>
    <n v="655"/>
    <n v="80"/>
    <x v="119"/>
    <x v="105"/>
    <n v="-101"/>
  </r>
  <r>
    <x v="149"/>
    <x v="1"/>
    <s v="40.416775"/>
    <s v="-3.703790"/>
    <x v="5"/>
    <s v="Medium (201-500)"/>
    <x v="1"/>
    <d v="2024-02-07T00:00:00"/>
    <x v="1"/>
    <x v="0"/>
    <n v="7"/>
    <x v="0"/>
    <m/>
    <n v="2589"/>
    <n v="60"/>
    <x v="120"/>
    <x v="106"/>
    <n v="-248"/>
  </r>
  <r>
    <x v="150"/>
    <x v="8"/>
    <s v="38.736946"/>
    <s v="-9.142685"/>
    <x v="0"/>
    <s v="Medium (201-500)"/>
    <x v="3"/>
    <d v="2024-05-11T00:00:00"/>
    <x v="0"/>
    <x v="0"/>
    <n v="7"/>
    <x v="0"/>
    <m/>
    <n v="2378"/>
    <n v="50"/>
    <x v="121"/>
    <x v="107"/>
    <n v="-14"/>
  </r>
  <r>
    <x v="151"/>
    <x v="8"/>
    <s v="38.736946"/>
    <s v="-9.142685"/>
    <x v="1"/>
    <s v="Medium (201-500)"/>
    <x v="3"/>
    <d v="2024-03-29T00:00:00"/>
    <x v="0"/>
    <x v="0"/>
    <n v="7"/>
    <x v="0"/>
    <m/>
    <n v="4592"/>
    <n v="40"/>
    <x v="71"/>
    <x v="108"/>
    <n v="-169"/>
  </r>
  <r>
    <x v="152"/>
    <x v="7"/>
    <s v="48.210033"/>
    <s v="16.363449"/>
    <x v="4"/>
    <s v="Medium (201-500)"/>
    <x v="1"/>
    <d v="2024-03-09T00:00:00"/>
    <x v="0"/>
    <x v="0"/>
    <n v="7"/>
    <x v="0"/>
    <m/>
    <n v="7969"/>
    <n v="30"/>
    <x v="122"/>
    <x v="62"/>
    <n v="21"/>
  </r>
  <r>
    <x v="153"/>
    <x v="0"/>
    <s v="52.370216"/>
    <s v="4.895168"/>
    <x v="4"/>
    <s v="Medium (201-500)"/>
    <x v="2"/>
    <d v="2024-04-28T00:00:00"/>
    <x v="0"/>
    <x v="0"/>
    <n v="7"/>
    <x v="0"/>
    <m/>
    <n v="1295"/>
    <n v="40"/>
    <x v="123"/>
    <x v="19"/>
    <n v="-124"/>
  </r>
  <r>
    <x v="154"/>
    <x v="0"/>
    <s v="52.370216"/>
    <s v="4.895168"/>
    <x v="7"/>
    <s v="Medium (201-500)"/>
    <x v="3"/>
    <d v="2024-02-13T00:00:00"/>
    <x v="1"/>
    <x v="0"/>
    <n v="7"/>
    <x v="0"/>
    <m/>
    <n v="3184"/>
    <n v="100"/>
    <x v="37"/>
    <x v="109"/>
    <n v="-127"/>
  </r>
  <r>
    <x v="155"/>
    <x v="8"/>
    <s v="38.736946"/>
    <s v="-9.142685"/>
    <x v="5"/>
    <s v="Medium (201-500)"/>
    <x v="1"/>
    <d v="2024-04-24T00:00:00"/>
    <x v="0"/>
    <x v="0"/>
    <n v="7"/>
    <x v="0"/>
    <m/>
    <n v="2931"/>
    <n v="80"/>
    <x v="31"/>
    <x v="110"/>
    <n v="-212"/>
  </r>
  <r>
    <x v="156"/>
    <x v="1"/>
    <s v="40.416775"/>
    <s v="-3.703790"/>
    <x v="2"/>
    <s v="Medium (201-500)"/>
    <x v="4"/>
    <d v="2024-01-30T00:00:00"/>
    <x v="0"/>
    <x v="0"/>
    <n v="7"/>
    <x v="0"/>
    <m/>
    <n v="7888"/>
    <n v="10"/>
    <x v="124"/>
    <x v="111"/>
    <n v="-163"/>
  </r>
  <r>
    <x v="157"/>
    <x v="3"/>
    <s v="52.520008"/>
    <s v="13.404954"/>
    <x v="6"/>
    <s v="Medium (201-500)"/>
    <x v="1"/>
    <d v="2024-03-30T00:00:00"/>
    <x v="0"/>
    <x v="0"/>
    <n v="7"/>
    <x v="0"/>
    <m/>
    <n v="6007"/>
    <n v="50"/>
    <x v="103"/>
    <x v="112"/>
    <n v="-137"/>
  </r>
  <r>
    <x v="158"/>
    <x v="3"/>
    <s v="52.520008"/>
    <s v="13.404954"/>
    <x v="9"/>
    <s v="Medium (201-500)"/>
    <x v="1"/>
    <d v="2024-01-19T00:00:00"/>
    <x v="0"/>
    <x v="0"/>
    <n v="7"/>
    <x v="0"/>
    <m/>
    <n v="6718"/>
    <n v="60"/>
    <x v="125"/>
    <x v="113"/>
    <n v="-11"/>
  </r>
  <r>
    <x v="159"/>
    <x v="2"/>
    <s v="41.902782"/>
    <s v="12.496366"/>
    <x v="3"/>
    <s v="Medium (201-500)"/>
    <x v="6"/>
    <d v="2024-01-31T00:00:00"/>
    <x v="0"/>
    <x v="0"/>
    <n v="7"/>
    <x v="0"/>
    <m/>
    <n v="4828"/>
    <n v="100"/>
    <x v="23"/>
    <x v="77"/>
    <n v="-344"/>
  </r>
  <r>
    <x v="160"/>
    <x v="8"/>
    <s v="38.736946"/>
    <s v="-9.142685"/>
    <x v="2"/>
    <s v="Medium (201-500)"/>
    <x v="1"/>
    <d v="2024-04-19T00:00:00"/>
    <x v="0"/>
    <x v="0"/>
    <n v="7"/>
    <x v="0"/>
    <m/>
    <n v="3672"/>
    <n v="90"/>
    <x v="30"/>
    <x v="93"/>
    <n v="-28"/>
  </r>
  <r>
    <x v="161"/>
    <x v="1"/>
    <s v="40.416775"/>
    <s v="-3.703790"/>
    <x v="4"/>
    <s v="Medium (201-500)"/>
    <x v="3"/>
    <d v="2024-03-23T00:00:00"/>
    <x v="1"/>
    <x v="0"/>
    <n v="7"/>
    <x v="0"/>
    <m/>
    <n v="4088"/>
    <n v="20"/>
    <x v="126"/>
    <x v="72"/>
    <n v="-172"/>
  </r>
  <r>
    <x v="162"/>
    <x v="8"/>
    <s v="38.736946"/>
    <s v="-9.142685"/>
    <x v="2"/>
    <s v="Medium (201-500)"/>
    <x v="7"/>
    <d v="2024-02-04T00:00:00"/>
    <x v="2"/>
    <x v="0"/>
    <n v="7"/>
    <x v="0"/>
    <m/>
    <n v="1748"/>
    <n v="60"/>
    <x v="127"/>
    <x v="113"/>
    <n v="-23"/>
  </r>
  <r>
    <x v="163"/>
    <x v="6"/>
    <s v="48.864716"/>
    <s v="2.349014"/>
    <x v="12"/>
    <s v="Medium (201-500)"/>
    <x v="6"/>
    <d v="2024-02-15T00:00:00"/>
    <x v="1"/>
    <x v="0"/>
    <n v="7"/>
    <x v="0"/>
    <m/>
    <n v="3420"/>
    <n v="80"/>
    <x v="109"/>
    <x v="114"/>
    <n v="-179"/>
  </r>
  <r>
    <x v="164"/>
    <x v="5"/>
    <s v="46.204391"/>
    <s v="6.143158"/>
    <x v="8"/>
    <s v="Medium (201-500)"/>
    <x v="4"/>
    <d v="2024-05-05T00:00:00"/>
    <x v="2"/>
    <x v="0"/>
    <n v="7"/>
    <x v="0"/>
    <m/>
    <n v="3736"/>
    <n v="90"/>
    <x v="32"/>
    <x v="115"/>
    <n v="-95"/>
  </r>
  <r>
    <x v="165"/>
    <x v="2"/>
    <s v="41.902782"/>
    <s v="12.496366"/>
    <x v="2"/>
    <s v="Large (501-1000)"/>
    <x v="2"/>
    <d v="2024-04-03T00:00:00"/>
    <x v="0"/>
    <x v="0"/>
    <n v="7"/>
    <x v="0"/>
    <m/>
    <n v="13020"/>
    <n v="30"/>
    <x v="42"/>
    <x v="2"/>
    <n v="-155"/>
  </r>
  <r>
    <x v="166"/>
    <x v="5"/>
    <s v="46.204391"/>
    <s v="6.143158"/>
    <x v="3"/>
    <s v="Large (501-1000)"/>
    <x v="6"/>
    <d v="2024-05-29T00:00:00"/>
    <x v="2"/>
    <x v="0"/>
    <n v="7"/>
    <x v="0"/>
    <m/>
    <n v="12088"/>
    <n v="60"/>
    <x v="128"/>
    <x v="116"/>
    <n v="-216"/>
  </r>
  <r>
    <x v="167"/>
    <x v="2"/>
    <s v="41.902782"/>
    <s v="12.496366"/>
    <x v="3"/>
    <s v="Large (501-1000)"/>
    <x v="0"/>
    <d v="2024-03-13T00:00:00"/>
    <x v="2"/>
    <x v="0"/>
    <n v="7"/>
    <x v="0"/>
    <m/>
    <n v="8026"/>
    <n v="100"/>
    <x v="129"/>
    <x v="117"/>
    <n v="-247"/>
  </r>
  <r>
    <x v="168"/>
    <x v="2"/>
    <s v="41.902782"/>
    <s v="12.496366"/>
    <x v="5"/>
    <s v="Large (501-1000)"/>
    <x v="2"/>
    <d v="2024-01-18T00:00:00"/>
    <x v="2"/>
    <x v="0"/>
    <n v="7"/>
    <x v="0"/>
    <m/>
    <n v="15725"/>
    <n v="10"/>
    <x v="97"/>
    <x v="118"/>
    <n v="-71"/>
  </r>
  <r>
    <x v="169"/>
    <x v="5"/>
    <s v="46.204391"/>
    <s v="6.143158"/>
    <x v="5"/>
    <s v="Large (501-1000)"/>
    <x v="4"/>
    <d v="2024-04-12T00:00:00"/>
    <x v="0"/>
    <x v="0"/>
    <n v="7"/>
    <x v="0"/>
    <m/>
    <n v="4292"/>
    <n v="20"/>
    <x v="130"/>
    <x v="110"/>
    <n v="-72"/>
  </r>
  <r>
    <x v="170"/>
    <x v="0"/>
    <s v="52.370216"/>
    <s v="4.895168"/>
    <x v="11"/>
    <s v="Large (501-1000)"/>
    <x v="3"/>
    <d v="2024-03-07T00:00:00"/>
    <x v="1"/>
    <x v="0"/>
    <n v="7"/>
    <x v="0"/>
    <m/>
    <n v="15281"/>
    <n v="30"/>
    <x v="92"/>
    <x v="51"/>
    <n v="-121"/>
  </r>
  <r>
    <x v="171"/>
    <x v="3"/>
    <s v="52.520008"/>
    <s v="13.404954"/>
    <x v="3"/>
    <s v="Enterprise (1001+)"/>
    <x v="1"/>
    <d v="2024-03-07T00:00:00"/>
    <x v="0"/>
    <x v="0"/>
    <n v="7"/>
    <x v="0"/>
    <m/>
    <n v="18599"/>
    <n v="30"/>
    <x v="62"/>
    <x v="83"/>
    <n v="-46"/>
  </r>
  <r>
    <x v="172"/>
    <x v="6"/>
    <s v="48.864716"/>
    <s v="2.349014"/>
    <x v="4"/>
    <s v="Enterprise (1001+)"/>
    <x v="3"/>
    <d v="2024-01-06T00:00:00"/>
    <x v="1"/>
    <x v="0"/>
    <n v="7"/>
    <x v="0"/>
    <m/>
    <n v="2916"/>
    <n v="20"/>
    <x v="131"/>
    <x v="119"/>
    <n v="-156"/>
  </r>
  <r>
    <x v="173"/>
    <x v="0"/>
    <s v="52.370216"/>
    <s v="4.895168"/>
    <x v="7"/>
    <s v="Enterprise (1001+)"/>
    <x v="3"/>
    <d v="2024-04-25T00:00:00"/>
    <x v="1"/>
    <x v="0"/>
    <n v="7"/>
    <x v="0"/>
    <m/>
    <n v="13151"/>
    <n v="100"/>
    <x v="132"/>
    <x v="120"/>
    <n v="53"/>
  </r>
  <r>
    <x v="174"/>
    <x v="8"/>
    <s v="38.736946"/>
    <s v="-9.142685"/>
    <x v="4"/>
    <s v="Enterprise (1001+)"/>
    <x v="0"/>
    <d v="2024-04-08T00:00:00"/>
    <x v="2"/>
    <x v="0"/>
    <n v="7"/>
    <x v="0"/>
    <m/>
    <n v="13724"/>
    <n v="40"/>
    <x v="133"/>
    <x v="104"/>
    <n v="30"/>
  </r>
  <r>
    <x v="175"/>
    <x v="2"/>
    <s v="41.902782"/>
    <s v="12.496366"/>
    <x v="4"/>
    <s v="Enterprise (1001+)"/>
    <x v="4"/>
    <d v="2024-02-28T00:00:00"/>
    <x v="1"/>
    <x v="0"/>
    <n v="7"/>
    <x v="0"/>
    <m/>
    <n v="2038"/>
    <n v="30"/>
    <x v="19"/>
    <x v="59"/>
    <n v="-48"/>
  </r>
  <r>
    <x v="176"/>
    <x v="3"/>
    <s v="52.520008"/>
    <s v="13.404954"/>
    <x v="2"/>
    <s v="Enterprise (1001+)"/>
    <x v="7"/>
    <d v="2024-05-14T00:00:00"/>
    <x v="2"/>
    <x v="0"/>
    <n v="7"/>
    <x v="0"/>
    <m/>
    <n v="16079"/>
    <n v="50"/>
    <x v="134"/>
    <x v="55"/>
    <n v="-232"/>
  </r>
  <r>
    <x v="177"/>
    <x v="6"/>
    <s v="48.864716"/>
    <s v="2.349014"/>
    <x v="0"/>
    <s v="Small (11-200)"/>
    <x v="6"/>
    <d v="2024-02-07T00:00:00"/>
    <x v="1"/>
    <x v="1"/>
    <n v="6"/>
    <x v="0"/>
    <m/>
    <n v="480"/>
    <n v="50"/>
    <x v="135"/>
    <x v="84"/>
    <n v="-246"/>
  </r>
  <r>
    <x v="178"/>
    <x v="8"/>
    <s v="38.736946"/>
    <s v="-9.142685"/>
    <x v="0"/>
    <s v="Small (11-200)"/>
    <x v="4"/>
    <d v="2024-03-29T00:00:00"/>
    <x v="2"/>
    <x v="1"/>
    <n v="6"/>
    <x v="0"/>
    <m/>
    <n v="1055"/>
    <n v="90"/>
    <x v="89"/>
    <x v="112"/>
    <n v="-177"/>
  </r>
  <r>
    <x v="179"/>
    <x v="4"/>
    <s v="51.260197"/>
    <s v="4.402771"/>
    <x v="7"/>
    <s v="Small (11-200)"/>
    <x v="3"/>
    <d v="2024-01-26T00:00:00"/>
    <x v="2"/>
    <x v="1"/>
    <n v="6"/>
    <x v="0"/>
    <m/>
    <n v="919"/>
    <n v="60"/>
    <x v="136"/>
    <x v="121"/>
    <n v="-29"/>
  </r>
  <r>
    <x v="180"/>
    <x v="7"/>
    <s v="48.210033"/>
    <s v="16.363449"/>
    <x v="3"/>
    <s v="Small (11-200)"/>
    <x v="4"/>
    <d v="2024-01-09T00:00:00"/>
    <x v="0"/>
    <x v="1"/>
    <n v="6"/>
    <x v="0"/>
    <m/>
    <n v="1130"/>
    <n v="50"/>
    <x v="137"/>
    <x v="122"/>
    <n v="-217"/>
  </r>
  <r>
    <x v="181"/>
    <x v="3"/>
    <s v="52.520008"/>
    <s v="13.404954"/>
    <x v="4"/>
    <s v="Small (11-200)"/>
    <x v="2"/>
    <d v="2024-04-20T00:00:00"/>
    <x v="0"/>
    <x v="1"/>
    <n v="6"/>
    <x v="0"/>
    <m/>
    <n v="1936"/>
    <n v="40"/>
    <x v="138"/>
    <x v="66"/>
    <n v="-252"/>
  </r>
  <r>
    <x v="182"/>
    <x v="2"/>
    <s v="41.902782"/>
    <s v="12.496366"/>
    <x v="0"/>
    <s v="Small (11-200)"/>
    <x v="3"/>
    <d v="2024-02-05T00:00:00"/>
    <x v="2"/>
    <x v="1"/>
    <n v="6"/>
    <x v="0"/>
    <m/>
    <n v="1643"/>
    <n v="30"/>
    <x v="139"/>
    <x v="91"/>
    <n v="-74"/>
  </r>
  <r>
    <x v="183"/>
    <x v="8"/>
    <s v="38.736946"/>
    <s v="-9.142685"/>
    <x v="0"/>
    <s v="Small (11-200)"/>
    <x v="0"/>
    <d v="2024-05-08T00:00:00"/>
    <x v="0"/>
    <x v="1"/>
    <n v="6"/>
    <x v="0"/>
    <m/>
    <n v="1023"/>
    <n v="20"/>
    <x v="57"/>
    <x v="91"/>
    <n v="-239"/>
  </r>
  <r>
    <x v="184"/>
    <x v="0"/>
    <s v="52.370216"/>
    <s v="4.895168"/>
    <x v="5"/>
    <s v="Small (11-200)"/>
    <x v="0"/>
    <d v="2024-04-27T00:00:00"/>
    <x v="0"/>
    <x v="1"/>
    <n v="6"/>
    <x v="0"/>
    <m/>
    <n v="1086"/>
    <n v="30"/>
    <x v="140"/>
    <x v="123"/>
    <n v="-40"/>
  </r>
  <r>
    <x v="185"/>
    <x v="2"/>
    <s v="41.902782"/>
    <s v="12.496366"/>
    <x v="4"/>
    <s v="Small (11-200)"/>
    <x v="3"/>
    <d v="2024-02-26T00:00:00"/>
    <x v="0"/>
    <x v="1"/>
    <n v="6"/>
    <x v="0"/>
    <m/>
    <n v="710"/>
    <n v="40"/>
    <x v="10"/>
    <x v="35"/>
    <n v="-81"/>
  </r>
  <r>
    <x v="186"/>
    <x v="8"/>
    <s v="38.736946"/>
    <s v="-9.142685"/>
    <x v="6"/>
    <s v="Small (11-200)"/>
    <x v="1"/>
    <d v="2024-02-17T00:00:00"/>
    <x v="2"/>
    <x v="1"/>
    <n v="6"/>
    <x v="0"/>
    <m/>
    <n v="1986"/>
    <n v="50"/>
    <x v="92"/>
    <x v="124"/>
    <n v="-131"/>
  </r>
  <r>
    <x v="187"/>
    <x v="8"/>
    <s v="38.736946"/>
    <s v="-9.142685"/>
    <x v="0"/>
    <s v="Small (11-200)"/>
    <x v="3"/>
    <d v="2024-01-22T00:00:00"/>
    <x v="2"/>
    <x v="1"/>
    <n v="6"/>
    <x v="0"/>
    <m/>
    <n v="765"/>
    <n v="50"/>
    <x v="141"/>
    <x v="119"/>
    <n v="-96"/>
  </r>
  <r>
    <x v="188"/>
    <x v="6"/>
    <s v="48.864716"/>
    <s v="2.349014"/>
    <x v="8"/>
    <s v="Small (11-200)"/>
    <x v="3"/>
    <d v="2024-03-18T00:00:00"/>
    <x v="2"/>
    <x v="1"/>
    <n v="6"/>
    <x v="0"/>
    <m/>
    <n v="1071"/>
    <n v="30"/>
    <x v="142"/>
    <x v="125"/>
    <n v="-9"/>
  </r>
  <r>
    <x v="189"/>
    <x v="6"/>
    <s v="48.864716"/>
    <s v="2.349014"/>
    <x v="0"/>
    <s v="Small (11-200)"/>
    <x v="4"/>
    <d v="2024-02-20T00:00:00"/>
    <x v="0"/>
    <x v="1"/>
    <n v="6"/>
    <x v="0"/>
    <m/>
    <n v="1189"/>
    <n v="20"/>
    <x v="13"/>
    <x v="80"/>
    <n v="-24"/>
  </r>
  <r>
    <x v="190"/>
    <x v="6"/>
    <s v="48.864716"/>
    <s v="2.349014"/>
    <x v="11"/>
    <s v="Small (11-200)"/>
    <x v="3"/>
    <d v="2024-03-05T00:00:00"/>
    <x v="0"/>
    <x v="1"/>
    <n v="6"/>
    <x v="0"/>
    <m/>
    <n v="387"/>
    <n v="40"/>
    <x v="119"/>
    <x v="43"/>
    <n v="25"/>
  </r>
  <r>
    <x v="191"/>
    <x v="7"/>
    <s v="48.210033"/>
    <s v="16.363449"/>
    <x v="12"/>
    <s v="Small (11-200)"/>
    <x v="0"/>
    <d v="2024-03-29T00:00:00"/>
    <x v="2"/>
    <x v="1"/>
    <n v="6"/>
    <x v="0"/>
    <m/>
    <n v="404"/>
    <n v="70"/>
    <x v="143"/>
    <x v="126"/>
    <n v="11"/>
  </r>
  <r>
    <x v="192"/>
    <x v="2"/>
    <s v="41.902782"/>
    <s v="12.496366"/>
    <x v="6"/>
    <s v="Small (11-200)"/>
    <x v="4"/>
    <d v="2024-04-22T00:00:00"/>
    <x v="0"/>
    <x v="1"/>
    <n v="6"/>
    <x v="0"/>
    <m/>
    <n v="789"/>
    <n v="50"/>
    <x v="144"/>
    <x v="76"/>
    <n v="-87"/>
  </r>
  <r>
    <x v="193"/>
    <x v="2"/>
    <s v="41.902782"/>
    <s v="12.496366"/>
    <x v="4"/>
    <s v="Small (11-200)"/>
    <x v="1"/>
    <d v="2024-02-26T00:00:00"/>
    <x v="2"/>
    <x v="1"/>
    <n v="6"/>
    <x v="0"/>
    <m/>
    <n v="371"/>
    <n v="40"/>
    <x v="145"/>
    <x v="38"/>
    <n v="-93"/>
  </r>
  <r>
    <x v="194"/>
    <x v="0"/>
    <s v="52.370216"/>
    <s v="4.895168"/>
    <x v="5"/>
    <s v="Small (11-200)"/>
    <x v="5"/>
    <d v="2024-05-13T00:00:00"/>
    <x v="0"/>
    <x v="1"/>
    <n v="6"/>
    <x v="0"/>
    <m/>
    <n v="202"/>
    <n v="50"/>
    <x v="48"/>
    <x v="127"/>
    <n v="-46"/>
  </r>
  <r>
    <x v="195"/>
    <x v="2"/>
    <s v="41.902782"/>
    <s v="12.496366"/>
    <x v="8"/>
    <s v="Small (11-200)"/>
    <x v="2"/>
    <d v="2024-05-12T00:00:00"/>
    <x v="1"/>
    <x v="1"/>
    <n v="6"/>
    <x v="0"/>
    <m/>
    <n v="951"/>
    <n v="30"/>
    <x v="146"/>
    <x v="16"/>
    <n v="-115"/>
  </r>
  <r>
    <x v="196"/>
    <x v="6"/>
    <s v="48.864716"/>
    <s v="2.349014"/>
    <x v="10"/>
    <s v="Small (11-200)"/>
    <x v="4"/>
    <d v="2024-04-16T00:00:00"/>
    <x v="2"/>
    <x v="1"/>
    <n v="6"/>
    <x v="0"/>
    <m/>
    <n v="633"/>
    <n v="30"/>
    <x v="88"/>
    <x v="35"/>
    <n v="-60"/>
  </r>
  <r>
    <x v="197"/>
    <x v="7"/>
    <s v="48.210033"/>
    <s v="16.363449"/>
    <x v="8"/>
    <s v="Small (11-200)"/>
    <x v="5"/>
    <d v="2024-04-20T00:00:00"/>
    <x v="0"/>
    <x v="1"/>
    <n v="6"/>
    <x v="0"/>
    <m/>
    <n v="971"/>
    <n v="90"/>
    <x v="98"/>
    <x v="18"/>
    <n v="-37"/>
  </r>
  <r>
    <x v="198"/>
    <x v="5"/>
    <s v="46.204391"/>
    <s v="6.143158"/>
    <x v="1"/>
    <s v="Small (11-200)"/>
    <x v="0"/>
    <d v="2024-02-21T00:00:00"/>
    <x v="0"/>
    <x v="1"/>
    <n v="6"/>
    <x v="0"/>
    <m/>
    <n v="1676"/>
    <n v="10"/>
    <x v="129"/>
    <x v="42"/>
    <n v="-169"/>
  </r>
  <r>
    <x v="199"/>
    <x v="6"/>
    <s v="48.864716"/>
    <s v="2.349014"/>
    <x v="5"/>
    <s v="Small (11-200)"/>
    <x v="4"/>
    <d v="2024-04-16T00:00:00"/>
    <x v="0"/>
    <x v="1"/>
    <n v="6"/>
    <x v="0"/>
    <m/>
    <n v="809"/>
    <n v="30"/>
    <x v="147"/>
    <x v="128"/>
    <n v="36"/>
  </r>
  <r>
    <x v="200"/>
    <x v="7"/>
    <s v="48.210033"/>
    <s v="16.363449"/>
    <x v="7"/>
    <s v="Small (11-200)"/>
    <x v="2"/>
    <d v="2024-02-28T00:00:00"/>
    <x v="1"/>
    <x v="1"/>
    <n v="6"/>
    <x v="0"/>
    <m/>
    <n v="304"/>
    <n v="90"/>
    <x v="148"/>
    <x v="129"/>
    <n v="-50"/>
  </r>
  <r>
    <x v="201"/>
    <x v="4"/>
    <s v="51.260197"/>
    <s v="4.402771"/>
    <x v="12"/>
    <s v="Small (11-200)"/>
    <x v="4"/>
    <d v="2024-04-12T00:00:00"/>
    <x v="0"/>
    <x v="1"/>
    <n v="6"/>
    <x v="0"/>
    <m/>
    <n v="1584"/>
    <n v="40"/>
    <x v="13"/>
    <x v="130"/>
    <n v="47"/>
  </r>
  <r>
    <x v="202"/>
    <x v="6"/>
    <s v="48.864716"/>
    <s v="2.349014"/>
    <x v="2"/>
    <s v="Small (11-200)"/>
    <x v="5"/>
    <d v="2024-05-22T00:00:00"/>
    <x v="1"/>
    <x v="1"/>
    <n v="6"/>
    <x v="0"/>
    <m/>
    <n v="894"/>
    <n v="30"/>
    <x v="149"/>
    <x v="131"/>
    <n v="-192"/>
  </r>
  <r>
    <x v="203"/>
    <x v="6"/>
    <s v="48.864716"/>
    <s v="2.349014"/>
    <x v="9"/>
    <s v="Small (11-200)"/>
    <x v="6"/>
    <d v="2024-04-17T00:00:00"/>
    <x v="0"/>
    <x v="1"/>
    <n v="6"/>
    <x v="0"/>
    <m/>
    <n v="1067"/>
    <n v="30"/>
    <x v="46"/>
    <x v="132"/>
    <n v="-335"/>
  </r>
  <r>
    <x v="204"/>
    <x v="0"/>
    <s v="52.370216"/>
    <s v="4.895168"/>
    <x v="8"/>
    <s v="Small (11-200)"/>
    <x v="3"/>
    <d v="2024-01-31T00:00:00"/>
    <x v="2"/>
    <x v="1"/>
    <n v="6"/>
    <x v="0"/>
    <m/>
    <n v="1313"/>
    <n v="40"/>
    <x v="150"/>
    <x v="133"/>
    <n v="-130"/>
  </r>
  <r>
    <x v="205"/>
    <x v="4"/>
    <s v="51.260197"/>
    <s v="4.402771"/>
    <x v="4"/>
    <s v="Small (11-200)"/>
    <x v="6"/>
    <d v="2024-01-19T00:00:00"/>
    <x v="2"/>
    <x v="1"/>
    <n v="6"/>
    <x v="0"/>
    <m/>
    <n v="1219"/>
    <n v="30"/>
    <x v="151"/>
    <x v="27"/>
    <n v="-38"/>
  </r>
  <r>
    <x v="206"/>
    <x v="5"/>
    <s v="46.204391"/>
    <s v="6.143158"/>
    <x v="5"/>
    <s v="Small (11-200)"/>
    <x v="3"/>
    <d v="2024-03-06T00:00:00"/>
    <x v="2"/>
    <x v="1"/>
    <n v="6"/>
    <x v="0"/>
    <m/>
    <n v="1363"/>
    <n v="30"/>
    <x v="152"/>
    <x v="96"/>
    <n v="-51"/>
  </r>
  <r>
    <x v="207"/>
    <x v="0"/>
    <s v="52.370216"/>
    <s v="4.895168"/>
    <x v="5"/>
    <s v="Small (11-200)"/>
    <x v="7"/>
    <d v="2024-01-10T00:00:00"/>
    <x v="1"/>
    <x v="1"/>
    <n v="6"/>
    <x v="0"/>
    <m/>
    <n v="1693"/>
    <n v="80"/>
    <x v="153"/>
    <x v="134"/>
    <n v="-295"/>
  </r>
  <r>
    <x v="208"/>
    <x v="2"/>
    <s v="41.902782"/>
    <s v="12.496366"/>
    <x v="6"/>
    <s v="Small (11-200)"/>
    <x v="6"/>
    <d v="2024-01-04T00:00:00"/>
    <x v="0"/>
    <x v="1"/>
    <n v="6"/>
    <x v="0"/>
    <m/>
    <n v="844"/>
    <n v="70"/>
    <x v="154"/>
    <x v="70"/>
    <n v="-303"/>
  </r>
  <r>
    <x v="209"/>
    <x v="1"/>
    <s v="40.416775"/>
    <s v="-3.703790"/>
    <x v="13"/>
    <s v="Small (11-200)"/>
    <x v="1"/>
    <d v="2024-05-23T00:00:00"/>
    <x v="1"/>
    <x v="1"/>
    <n v="6"/>
    <x v="0"/>
    <m/>
    <n v="1336"/>
    <n v="80"/>
    <x v="155"/>
    <x v="53"/>
    <n v="-154"/>
  </r>
  <r>
    <x v="210"/>
    <x v="5"/>
    <s v="46.204391"/>
    <s v="6.143158"/>
    <x v="4"/>
    <s v="Small (11-200)"/>
    <x v="1"/>
    <d v="2024-03-11T00:00:00"/>
    <x v="2"/>
    <x v="1"/>
    <n v="6"/>
    <x v="0"/>
    <m/>
    <n v="267"/>
    <n v="90"/>
    <x v="156"/>
    <x v="135"/>
    <n v="-7"/>
  </r>
  <r>
    <x v="211"/>
    <x v="8"/>
    <s v="38.736946"/>
    <s v="-9.142685"/>
    <x v="1"/>
    <s v="Small (11-200)"/>
    <x v="3"/>
    <d v="2024-01-11T00:00:00"/>
    <x v="1"/>
    <x v="1"/>
    <n v="6"/>
    <x v="0"/>
    <m/>
    <n v="559"/>
    <n v="40"/>
    <x v="157"/>
    <x v="136"/>
    <n v="-206"/>
  </r>
  <r>
    <x v="212"/>
    <x v="0"/>
    <s v="52.370216"/>
    <s v="4.895168"/>
    <x v="5"/>
    <s v="Small (11-200)"/>
    <x v="4"/>
    <d v="2024-03-26T00:00:00"/>
    <x v="1"/>
    <x v="1"/>
    <n v="6"/>
    <x v="0"/>
    <m/>
    <n v="1204"/>
    <n v="20"/>
    <x v="158"/>
    <x v="137"/>
    <n v="8"/>
  </r>
  <r>
    <x v="213"/>
    <x v="6"/>
    <s v="48.864716"/>
    <s v="2.349014"/>
    <x v="0"/>
    <s v="Small (11-200)"/>
    <x v="3"/>
    <d v="2024-02-21T00:00:00"/>
    <x v="2"/>
    <x v="1"/>
    <n v="6"/>
    <x v="0"/>
    <m/>
    <n v="1938"/>
    <n v="20"/>
    <x v="159"/>
    <x v="138"/>
    <n v="-332"/>
  </r>
  <r>
    <x v="214"/>
    <x v="2"/>
    <s v="41.902782"/>
    <s v="12.496366"/>
    <x v="4"/>
    <s v="Small (11-200)"/>
    <x v="2"/>
    <d v="2024-04-25T00:00:00"/>
    <x v="0"/>
    <x v="1"/>
    <n v="6"/>
    <x v="0"/>
    <m/>
    <n v="985"/>
    <n v="40"/>
    <x v="81"/>
    <x v="73"/>
    <n v="-191"/>
  </r>
  <r>
    <x v="215"/>
    <x v="6"/>
    <s v="48.864716"/>
    <s v="2.349014"/>
    <x v="11"/>
    <s v="Small (11-200)"/>
    <x v="2"/>
    <d v="2024-02-07T00:00:00"/>
    <x v="2"/>
    <x v="1"/>
    <n v="6"/>
    <x v="0"/>
    <m/>
    <n v="1787"/>
    <n v="60"/>
    <x v="10"/>
    <x v="139"/>
    <n v="-94"/>
  </r>
  <r>
    <x v="216"/>
    <x v="8"/>
    <s v="38.736946"/>
    <s v="-9.142685"/>
    <x v="4"/>
    <s v="Small (11-200)"/>
    <x v="2"/>
    <d v="2024-03-23T00:00:00"/>
    <x v="0"/>
    <x v="1"/>
    <n v="6"/>
    <x v="0"/>
    <m/>
    <n v="1949"/>
    <n v="50"/>
    <x v="2"/>
    <x v="38"/>
    <n v="-312"/>
  </r>
  <r>
    <x v="217"/>
    <x v="4"/>
    <s v="51.260197"/>
    <s v="4.402771"/>
    <x v="9"/>
    <s v="Small (11-200)"/>
    <x v="5"/>
    <d v="2024-01-19T00:00:00"/>
    <x v="2"/>
    <x v="1"/>
    <n v="6"/>
    <x v="0"/>
    <m/>
    <n v="1964"/>
    <n v="70"/>
    <x v="160"/>
    <x v="87"/>
    <n v="-219"/>
  </r>
  <r>
    <x v="218"/>
    <x v="2"/>
    <s v="41.902782"/>
    <s v="12.496366"/>
    <x v="10"/>
    <s v="Small (11-200)"/>
    <x v="3"/>
    <d v="2024-04-03T00:00:00"/>
    <x v="2"/>
    <x v="1"/>
    <n v="6"/>
    <x v="0"/>
    <m/>
    <n v="825"/>
    <n v="50"/>
    <x v="144"/>
    <x v="120"/>
    <n v="-33"/>
  </r>
  <r>
    <x v="219"/>
    <x v="6"/>
    <s v="48.864716"/>
    <s v="2.349014"/>
    <x v="0"/>
    <s v="Small (11-200)"/>
    <x v="3"/>
    <d v="2024-05-28T00:00:00"/>
    <x v="0"/>
    <x v="1"/>
    <n v="6"/>
    <x v="0"/>
    <m/>
    <n v="559"/>
    <n v="90"/>
    <x v="46"/>
    <x v="103"/>
    <n v="-233"/>
  </r>
  <r>
    <x v="220"/>
    <x v="3"/>
    <s v="52.520008"/>
    <s v="13.404954"/>
    <x v="11"/>
    <s v="Small (11-200)"/>
    <x v="2"/>
    <d v="2024-02-03T00:00:00"/>
    <x v="2"/>
    <x v="1"/>
    <n v="6"/>
    <x v="0"/>
    <m/>
    <n v="1905"/>
    <n v="30"/>
    <x v="161"/>
    <x v="42"/>
    <n v="-57"/>
  </r>
  <r>
    <x v="221"/>
    <x v="6"/>
    <s v="48.864716"/>
    <s v="2.349014"/>
    <x v="8"/>
    <s v="Small (11-200)"/>
    <x v="0"/>
    <d v="2024-03-14T00:00:00"/>
    <x v="0"/>
    <x v="1"/>
    <n v="6"/>
    <x v="0"/>
    <m/>
    <n v="1472"/>
    <n v="30"/>
    <x v="162"/>
    <x v="7"/>
    <n v="74"/>
  </r>
  <r>
    <x v="222"/>
    <x v="0"/>
    <s v="52.370216"/>
    <s v="4.895168"/>
    <x v="3"/>
    <s v="Small (11-200)"/>
    <x v="2"/>
    <d v="2024-01-10T00:00:00"/>
    <x v="0"/>
    <x v="1"/>
    <n v="6"/>
    <x v="0"/>
    <m/>
    <n v="623"/>
    <n v="30"/>
    <x v="1"/>
    <x v="81"/>
    <n v="-238"/>
  </r>
  <r>
    <x v="223"/>
    <x v="4"/>
    <s v="51.260197"/>
    <s v="4.402771"/>
    <x v="5"/>
    <s v="Small (11-200)"/>
    <x v="2"/>
    <d v="2024-03-16T00:00:00"/>
    <x v="2"/>
    <x v="1"/>
    <n v="6"/>
    <x v="0"/>
    <m/>
    <n v="555"/>
    <n v="50"/>
    <x v="25"/>
    <x v="140"/>
    <n v="-260"/>
  </r>
  <r>
    <x v="224"/>
    <x v="7"/>
    <s v="48.210033"/>
    <s v="16.363449"/>
    <x v="5"/>
    <s v="Small (11-200)"/>
    <x v="3"/>
    <d v="2024-05-04T00:00:00"/>
    <x v="0"/>
    <x v="1"/>
    <n v="6"/>
    <x v="0"/>
    <m/>
    <n v="1662"/>
    <n v="40"/>
    <x v="163"/>
    <x v="54"/>
    <n v="-81"/>
  </r>
  <r>
    <x v="225"/>
    <x v="6"/>
    <s v="48.864716"/>
    <s v="2.349014"/>
    <x v="11"/>
    <s v="Small (11-200)"/>
    <x v="4"/>
    <d v="2024-04-09T00:00:00"/>
    <x v="2"/>
    <x v="1"/>
    <n v="6"/>
    <x v="0"/>
    <m/>
    <n v="928"/>
    <n v="20"/>
    <x v="164"/>
    <x v="141"/>
    <n v="-200"/>
  </r>
  <r>
    <x v="226"/>
    <x v="1"/>
    <s v="40.416775"/>
    <s v="-3.703790"/>
    <x v="4"/>
    <s v="Small (11-200)"/>
    <x v="7"/>
    <d v="2024-04-11T00:00:00"/>
    <x v="2"/>
    <x v="1"/>
    <n v="6"/>
    <x v="0"/>
    <m/>
    <n v="901"/>
    <n v="10"/>
    <x v="165"/>
    <x v="76"/>
    <n v="-241"/>
  </r>
  <r>
    <x v="227"/>
    <x v="3"/>
    <s v="52.520008"/>
    <s v="13.404954"/>
    <x v="3"/>
    <s v="Small (11-200)"/>
    <x v="3"/>
    <d v="2024-03-20T00:00:00"/>
    <x v="0"/>
    <x v="1"/>
    <n v="6"/>
    <x v="0"/>
    <m/>
    <n v="954"/>
    <n v="70"/>
    <x v="166"/>
    <x v="108"/>
    <n v="31"/>
  </r>
  <r>
    <x v="228"/>
    <x v="6"/>
    <s v="48.864716"/>
    <s v="2.349014"/>
    <x v="13"/>
    <s v="Small (11-200)"/>
    <x v="1"/>
    <d v="2024-02-08T00:00:00"/>
    <x v="0"/>
    <x v="1"/>
    <n v="6"/>
    <x v="0"/>
    <m/>
    <n v="1328"/>
    <n v="40"/>
    <x v="167"/>
    <x v="23"/>
    <n v="25"/>
  </r>
  <r>
    <x v="229"/>
    <x v="4"/>
    <s v="51.260197"/>
    <s v="4.402771"/>
    <x v="4"/>
    <s v="Small (11-200)"/>
    <x v="2"/>
    <d v="2024-02-10T00:00:00"/>
    <x v="0"/>
    <x v="1"/>
    <n v="6"/>
    <x v="0"/>
    <m/>
    <n v="1707"/>
    <n v="100"/>
    <x v="103"/>
    <x v="31"/>
    <n v="-210"/>
  </r>
  <r>
    <x v="230"/>
    <x v="5"/>
    <s v="46.204391"/>
    <s v="6.143158"/>
    <x v="5"/>
    <s v="Small (11-200)"/>
    <x v="0"/>
    <d v="2024-01-07T00:00:00"/>
    <x v="0"/>
    <x v="1"/>
    <n v="6"/>
    <x v="0"/>
    <m/>
    <n v="513"/>
    <n v="90"/>
    <x v="80"/>
    <x v="47"/>
    <n v="10"/>
  </r>
  <r>
    <x v="231"/>
    <x v="6"/>
    <s v="48.864716"/>
    <s v="2.349014"/>
    <x v="8"/>
    <s v="Small (11-200)"/>
    <x v="3"/>
    <d v="2024-05-08T00:00:00"/>
    <x v="1"/>
    <x v="1"/>
    <n v="6"/>
    <x v="0"/>
    <m/>
    <n v="1563"/>
    <n v="20"/>
    <x v="168"/>
    <x v="140"/>
    <n v="-61"/>
  </r>
  <r>
    <x v="232"/>
    <x v="8"/>
    <s v="38.736946"/>
    <s v="-9.142685"/>
    <x v="8"/>
    <s v="Small (11-200)"/>
    <x v="4"/>
    <d v="2024-02-29T00:00:00"/>
    <x v="0"/>
    <x v="1"/>
    <n v="6"/>
    <x v="0"/>
    <m/>
    <n v="1898"/>
    <n v="40"/>
    <x v="12"/>
    <x v="142"/>
    <n v="-173"/>
  </r>
  <r>
    <x v="233"/>
    <x v="3"/>
    <s v="52.520008"/>
    <s v="13.404954"/>
    <x v="4"/>
    <s v="Small (11-200)"/>
    <x v="2"/>
    <d v="2024-03-25T00:00:00"/>
    <x v="1"/>
    <x v="1"/>
    <n v="6"/>
    <x v="0"/>
    <m/>
    <n v="480"/>
    <n v="40"/>
    <x v="169"/>
    <x v="143"/>
    <n v="42"/>
  </r>
  <r>
    <x v="234"/>
    <x v="4"/>
    <s v="51.260197"/>
    <s v="4.402771"/>
    <x v="4"/>
    <s v="Small (11-200)"/>
    <x v="4"/>
    <d v="2024-02-22T00:00:00"/>
    <x v="0"/>
    <x v="1"/>
    <n v="6"/>
    <x v="0"/>
    <m/>
    <n v="563"/>
    <n v="40"/>
    <x v="170"/>
    <x v="2"/>
    <n v="-280"/>
  </r>
  <r>
    <x v="235"/>
    <x v="8"/>
    <s v="38.736946"/>
    <s v="-9.142685"/>
    <x v="0"/>
    <s v="Small (11-200)"/>
    <x v="3"/>
    <d v="2024-01-07T00:00:00"/>
    <x v="1"/>
    <x v="1"/>
    <n v="6"/>
    <x v="0"/>
    <m/>
    <n v="583"/>
    <n v="60"/>
    <x v="171"/>
    <x v="26"/>
    <n v="-249"/>
  </r>
  <r>
    <x v="236"/>
    <x v="5"/>
    <s v="46.204391"/>
    <s v="6.143158"/>
    <x v="5"/>
    <s v="Micro (1-10)"/>
    <x v="6"/>
    <d v="2024-02-14T00:00:00"/>
    <x v="2"/>
    <x v="1"/>
    <n v="6"/>
    <x v="0"/>
    <m/>
    <n v="974"/>
    <n v="100"/>
    <x v="172"/>
    <x v="144"/>
    <n v="-247"/>
  </r>
  <r>
    <x v="237"/>
    <x v="3"/>
    <s v="52.520008"/>
    <s v="13.404954"/>
    <x v="5"/>
    <s v="Micro (1-10)"/>
    <x v="0"/>
    <d v="2024-04-18T00:00:00"/>
    <x v="0"/>
    <x v="1"/>
    <n v="6"/>
    <x v="0"/>
    <m/>
    <n v="595"/>
    <n v="20"/>
    <x v="113"/>
    <x v="145"/>
    <n v="-252"/>
  </r>
  <r>
    <x v="238"/>
    <x v="2"/>
    <s v="41.902782"/>
    <s v="12.496366"/>
    <x v="4"/>
    <s v="Micro (1-10)"/>
    <x v="1"/>
    <d v="2024-01-20T00:00:00"/>
    <x v="0"/>
    <x v="1"/>
    <n v="6"/>
    <x v="0"/>
    <m/>
    <n v="283"/>
    <n v="20"/>
    <x v="29"/>
    <x v="146"/>
    <n v="-195"/>
  </r>
  <r>
    <x v="239"/>
    <x v="5"/>
    <s v="46.204391"/>
    <s v="6.143158"/>
    <x v="12"/>
    <s v="Micro (1-10)"/>
    <x v="2"/>
    <d v="2024-03-10T00:00:00"/>
    <x v="0"/>
    <x v="1"/>
    <n v="6"/>
    <x v="0"/>
    <m/>
    <n v="545"/>
    <n v="30"/>
    <x v="173"/>
    <x v="91"/>
    <n v="-2"/>
  </r>
  <r>
    <x v="240"/>
    <x v="1"/>
    <s v="40.416775"/>
    <s v="-3.703790"/>
    <x v="4"/>
    <s v="Micro (1-10)"/>
    <x v="7"/>
    <d v="2024-02-24T00:00:00"/>
    <x v="2"/>
    <x v="1"/>
    <n v="6"/>
    <x v="0"/>
    <m/>
    <n v="1024"/>
    <n v="30"/>
    <x v="26"/>
    <x v="78"/>
    <n v="-150"/>
  </r>
  <r>
    <x v="241"/>
    <x v="8"/>
    <s v="38.736946"/>
    <s v="-9.142685"/>
    <x v="3"/>
    <s v="Micro (1-10)"/>
    <x v="4"/>
    <d v="2024-02-10T00:00:00"/>
    <x v="0"/>
    <x v="1"/>
    <n v="6"/>
    <x v="0"/>
    <m/>
    <n v="308"/>
    <n v="40"/>
    <x v="90"/>
    <x v="42"/>
    <n v="-165"/>
  </r>
  <r>
    <x v="242"/>
    <x v="4"/>
    <s v="51.260197"/>
    <s v="4.402771"/>
    <x v="0"/>
    <s v="Micro (1-10)"/>
    <x v="3"/>
    <d v="2024-05-23T00:00:00"/>
    <x v="2"/>
    <x v="1"/>
    <n v="6"/>
    <x v="0"/>
    <m/>
    <n v="828"/>
    <n v="60"/>
    <x v="174"/>
    <x v="147"/>
    <n v="-77"/>
  </r>
  <r>
    <x v="243"/>
    <x v="2"/>
    <s v="41.902782"/>
    <s v="12.496366"/>
    <x v="8"/>
    <s v="Micro (1-10)"/>
    <x v="0"/>
    <d v="2024-01-16T00:00:00"/>
    <x v="0"/>
    <x v="1"/>
    <n v="6"/>
    <x v="0"/>
    <m/>
    <n v="809"/>
    <n v="20"/>
    <x v="131"/>
    <x v="97"/>
    <n v="-166"/>
  </r>
  <r>
    <x v="244"/>
    <x v="2"/>
    <s v="41.902782"/>
    <s v="12.496366"/>
    <x v="4"/>
    <s v="Micro (1-10)"/>
    <x v="3"/>
    <d v="2024-04-22T00:00:00"/>
    <x v="0"/>
    <x v="1"/>
    <n v="6"/>
    <x v="0"/>
    <m/>
    <n v="535"/>
    <n v="20"/>
    <x v="175"/>
    <x v="137"/>
    <n v="-153"/>
  </r>
  <r>
    <x v="245"/>
    <x v="8"/>
    <s v="38.736946"/>
    <s v="-9.142685"/>
    <x v="4"/>
    <s v="Micro (1-10)"/>
    <x v="5"/>
    <d v="2024-04-03T00:00:00"/>
    <x v="0"/>
    <x v="1"/>
    <n v="6"/>
    <x v="0"/>
    <m/>
    <n v="1129"/>
    <n v="20"/>
    <x v="176"/>
    <x v="128"/>
    <n v="95"/>
  </r>
  <r>
    <x v="246"/>
    <x v="1"/>
    <s v="40.416775"/>
    <s v="-3.703790"/>
    <x v="8"/>
    <s v="Micro (1-10)"/>
    <x v="2"/>
    <d v="2024-04-04T00:00:00"/>
    <x v="0"/>
    <x v="1"/>
    <n v="6"/>
    <x v="0"/>
    <m/>
    <n v="1116"/>
    <n v="100"/>
    <x v="114"/>
    <x v="137"/>
    <n v="31"/>
  </r>
  <r>
    <x v="247"/>
    <x v="7"/>
    <s v="48.210033"/>
    <s v="16.363449"/>
    <x v="4"/>
    <s v="Micro (1-10)"/>
    <x v="2"/>
    <d v="2024-04-02T00:00:00"/>
    <x v="2"/>
    <x v="1"/>
    <n v="6"/>
    <x v="0"/>
    <m/>
    <n v="1039"/>
    <n v="80"/>
    <x v="115"/>
    <x v="148"/>
    <n v="-192"/>
  </r>
  <r>
    <x v="248"/>
    <x v="0"/>
    <s v="52.370216"/>
    <s v="4.895168"/>
    <x v="6"/>
    <s v="Micro (1-10)"/>
    <x v="4"/>
    <d v="2024-01-31T00:00:00"/>
    <x v="0"/>
    <x v="1"/>
    <n v="6"/>
    <x v="0"/>
    <m/>
    <n v="674"/>
    <n v="30"/>
    <x v="177"/>
    <x v="149"/>
    <n v="-73"/>
  </r>
  <r>
    <x v="249"/>
    <x v="5"/>
    <s v="46.204391"/>
    <s v="6.143158"/>
    <x v="7"/>
    <s v="Micro (1-10)"/>
    <x v="6"/>
    <d v="2024-05-18T00:00:00"/>
    <x v="1"/>
    <x v="1"/>
    <n v="6"/>
    <x v="0"/>
    <m/>
    <n v="1017"/>
    <n v="20"/>
    <x v="178"/>
    <x v="147"/>
    <n v="-83"/>
  </r>
  <r>
    <x v="250"/>
    <x v="8"/>
    <s v="38.736946"/>
    <s v="-9.142685"/>
    <x v="2"/>
    <s v="Micro (1-10)"/>
    <x v="3"/>
    <d v="2024-04-08T00:00:00"/>
    <x v="0"/>
    <x v="1"/>
    <n v="6"/>
    <x v="0"/>
    <m/>
    <n v="824"/>
    <n v="20"/>
    <x v="179"/>
    <x v="150"/>
    <n v="-124"/>
  </r>
  <r>
    <x v="251"/>
    <x v="1"/>
    <s v="40.416775"/>
    <s v="-3.703790"/>
    <x v="8"/>
    <s v="Micro (1-10)"/>
    <x v="7"/>
    <d v="2024-02-24T00:00:00"/>
    <x v="2"/>
    <x v="1"/>
    <n v="6"/>
    <x v="0"/>
    <m/>
    <n v="302"/>
    <n v="40"/>
    <x v="180"/>
    <x v="106"/>
    <n v="-24"/>
  </r>
  <r>
    <x v="252"/>
    <x v="4"/>
    <s v="51.260197"/>
    <s v="4.402771"/>
    <x v="4"/>
    <s v="Micro (1-10)"/>
    <x v="2"/>
    <d v="2024-05-02T00:00:00"/>
    <x v="0"/>
    <x v="1"/>
    <n v="6"/>
    <x v="0"/>
    <m/>
    <n v="1076"/>
    <n v="40"/>
    <x v="181"/>
    <x v="104"/>
    <n v="-12"/>
  </r>
  <r>
    <x v="253"/>
    <x v="7"/>
    <s v="48.210033"/>
    <s v="16.363449"/>
    <x v="8"/>
    <s v="Micro (1-10)"/>
    <x v="3"/>
    <d v="2024-04-17T00:00:00"/>
    <x v="0"/>
    <x v="1"/>
    <n v="6"/>
    <x v="0"/>
    <m/>
    <n v="724"/>
    <n v="60"/>
    <x v="182"/>
    <x v="10"/>
    <n v="-292"/>
  </r>
  <r>
    <x v="254"/>
    <x v="2"/>
    <s v="41.902782"/>
    <s v="12.496366"/>
    <x v="12"/>
    <s v="Micro (1-10)"/>
    <x v="3"/>
    <d v="2024-01-11T00:00:00"/>
    <x v="2"/>
    <x v="1"/>
    <n v="6"/>
    <x v="0"/>
    <m/>
    <n v="406"/>
    <n v="10"/>
    <x v="176"/>
    <x v="84"/>
    <n v="-49"/>
  </r>
  <r>
    <x v="255"/>
    <x v="2"/>
    <s v="41.902782"/>
    <s v="12.496366"/>
    <x v="5"/>
    <s v="Micro (1-10)"/>
    <x v="6"/>
    <d v="2024-01-29T00:00:00"/>
    <x v="2"/>
    <x v="1"/>
    <n v="6"/>
    <x v="0"/>
    <m/>
    <n v="622"/>
    <n v="10"/>
    <x v="183"/>
    <x v="151"/>
    <n v="-262"/>
  </r>
  <r>
    <x v="256"/>
    <x v="5"/>
    <s v="46.204391"/>
    <s v="6.143158"/>
    <x v="7"/>
    <s v="Micro (1-10)"/>
    <x v="2"/>
    <d v="2024-05-22T00:00:00"/>
    <x v="0"/>
    <x v="1"/>
    <n v="6"/>
    <x v="0"/>
    <m/>
    <n v="717"/>
    <n v="30"/>
    <x v="184"/>
    <x v="46"/>
    <n v="-292"/>
  </r>
  <r>
    <x v="257"/>
    <x v="0"/>
    <s v="52.370216"/>
    <s v="4.895168"/>
    <x v="4"/>
    <s v="Micro (1-10)"/>
    <x v="3"/>
    <d v="2024-03-17T00:00:00"/>
    <x v="1"/>
    <x v="1"/>
    <n v="6"/>
    <x v="0"/>
    <m/>
    <n v="1081"/>
    <n v="80"/>
    <x v="185"/>
    <x v="82"/>
    <n v="-15"/>
  </r>
  <r>
    <x v="258"/>
    <x v="8"/>
    <s v="38.736946"/>
    <s v="-9.142685"/>
    <x v="5"/>
    <s v="Micro (1-10)"/>
    <x v="3"/>
    <d v="2024-05-04T00:00:00"/>
    <x v="0"/>
    <x v="1"/>
    <n v="6"/>
    <x v="0"/>
    <m/>
    <n v="1127"/>
    <n v="80"/>
    <x v="147"/>
    <x v="152"/>
    <n v="3"/>
  </r>
  <r>
    <x v="259"/>
    <x v="0"/>
    <s v="52.370216"/>
    <s v="4.895168"/>
    <x v="2"/>
    <s v="Micro (1-10)"/>
    <x v="3"/>
    <d v="2024-05-08T00:00:00"/>
    <x v="2"/>
    <x v="1"/>
    <n v="6"/>
    <x v="0"/>
    <m/>
    <n v="667"/>
    <n v="60"/>
    <x v="186"/>
    <x v="153"/>
    <n v="-245"/>
  </r>
  <r>
    <x v="260"/>
    <x v="3"/>
    <s v="52.520008"/>
    <s v="13.404954"/>
    <x v="4"/>
    <s v="Micro (1-10)"/>
    <x v="5"/>
    <d v="2024-05-20T00:00:00"/>
    <x v="2"/>
    <x v="1"/>
    <n v="6"/>
    <x v="0"/>
    <m/>
    <n v="541"/>
    <n v="30"/>
    <x v="187"/>
    <x v="126"/>
    <n v="-218"/>
  </r>
  <r>
    <x v="261"/>
    <x v="2"/>
    <s v="41.902782"/>
    <s v="12.496366"/>
    <x v="5"/>
    <s v="Micro (1-10)"/>
    <x v="0"/>
    <d v="2024-01-19T00:00:00"/>
    <x v="0"/>
    <x v="1"/>
    <n v="6"/>
    <x v="0"/>
    <m/>
    <n v="988"/>
    <n v="60"/>
    <x v="122"/>
    <x v="154"/>
    <n v="-72"/>
  </r>
  <r>
    <x v="262"/>
    <x v="6"/>
    <s v="48.864716"/>
    <s v="2.349014"/>
    <x v="13"/>
    <s v="Micro (1-10)"/>
    <x v="3"/>
    <d v="2024-01-25T00:00:00"/>
    <x v="2"/>
    <x v="1"/>
    <n v="6"/>
    <x v="0"/>
    <m/>
    <n v="659"/>
    <n v="40"/>
    <x v="188"/>
    <x v="124"/>
    <n v="-248"/>
  </r>
  <r>
    <x v="263"/>
    <x v="2"/>
    <s v="41.902782"/>
    <s v="12.496366"/>
    <x v="0"/>
    <s v="Micro (1-10)"/>
    <x v="1"/>
    <d v="2024-02-19T00:00:00"/>
    <x v="1"/>
    <x v="1"/>
    <n v="6"/>
    <x v="0"/>
    <m/>
    <n v="214"/>
    <n v="30"/>
    <x v="189"/>
    <x v="122"/>
    <n v="-207"/>
  </r>
  <r>
    <x v="264"/>
    <x v="4"/>
    <s v="51.260197"/>
    <s v="4.402771"/>
    <x v="7"/>
    <s v="Micro (1-10)"/>
    <x v="3"/>
    <d v="2024-01-27T00:00:00"/>
    <x v="0"/>
    <x v="1"/>
    <n v="6"/>
    <x v="0"/>
    <m/>
    <n v="248"/>
    <n v="30"/>
    <x v="155"/>
    <x v="78"/>
    <n v="-286"/>
  </r>
  <r>
    <x v="265"/>
    <x v="7"/>
    <s v="48.210033"/>
    <s v="16.363449"/>
    <x v="9"/>
    <s v="Micro (1-10)"/>
    <x v="3"/>
    <d v="2024-03-13T00:00:00"/>
    <x v="2"/>
    <x v="1"/>
    <n v="6"/>
    <x v="0"/>
    <m/>
    <n v="609"/>
    <n v="30"/>
    <x v="8"/>
    <x v="90"/>
    <n v="31"/>
  </r>
  <r>
    <x v="266"/>
    <x v="2"/>
    <s v="41.902782"/>
    <s v="12.496366"/>
    <x v="4"/>
    <s v="Micro (1-10)"/>
    <x v="0"/>
    <d v="2024-04-22T00:00:00"/>
    <x v="2"/>
    <x v="1"/>
    <n v="6"/>
    <x v="0"/>
    <m/>
    <n v="651"/>
    <n v="20"/>
    <x v="190"/>
    <x v="18"/>
    <n v="-63"/>
  </r>
  <r>
    <x v="267"/>
    <x v="2"/>
    <s v="41.902782"/>
    <s v="12.496366"/>
    <x v="4"/>
    <s v="Micro (1-10)"/>
    <x v="3"/>
    <d v="2024-03-29T00:00:00"/>
    <x v="0"/>
    <x v="1"/>
    <n v="6"/>
    <x v="0"/>
    <m/>
    <n v="341"/>
    <n v="60"/>
    <x v="191"/>
    <x v="155"/>
    <n v="-28"/>
  </r>
  <r>
    <x v="268"/>
    <x v="4"/>
    <s v="51.260197"/>
    <s v="4.402771"/>
    <x v="8"/>
    <s v="Micro (1-10)"/>
    <x v="3"/>
    <d v="2024-05-18T00:00:00"/>
    <x v="0"/>
    <x v="1"/>
    <n v="6"/>
    <x v="0"/>
    <m/>
    <n v="1140"/>
    <n v="20"/>
    <x v="192"/>
    <x v="48"/>
    <n v="-263"/>
  </r>
  <r>
    <x v="269"/>
    <x v="8"/>
    <s v="38.736946"/>
    <s v="-9.142685"/>
    <x v="12"/>
    <s v="Micro (1-10)"/>
    <x v="7"/>
    <d v="2024-02-02T00:00:00"/>
    <x v="0"/>
    <x v="1"/>
    <n v="6"/>
    <x v="0"/>
    <m/>
    <n v="801"/>
    <n v="40"/>
    <x v="193"/>
    <x v="82"/>
    <n v="-23"/>
  </r>
  <r>
    <x v="270"/>
    <x v="0"/>
    <s v="52.370216"/>
    <s v="4.895168"/>
    <x v="5"/>
    <s v="Micro (1-10)"/>
    <x v="5"/>
    <d v="2024-05-17T00:00:00"/>
    <x v="2"/>
    <x v="1"/>
    <n v="6"/>
    <x v="0"/>
    <m/>
    <n v="200"/>
    <n v="20"/>
    <x v="141"/>
    <x v="53"/>
    <n v="31"/>
  </r>
  <r>
    <x v="271"/>
    <x v="2"/>
    <s v="41.902782"/>
    <s v="12.496366"/>
    <x v="3"/>
    <s v="Micro (1-10)"/>
    <x v="6"/>
    <d v="2024-02-21T00:00:00"/>
    <x v="2"/>
    <x v="1"/>
    <n v="6"/>
    <x v="0"/>
    <m/>
    <n v="1048"/>
    <n v="80"/>
    <x v="194"/>
    <x v="125"/>
    <n v="-140"/>
  </r>
  <r>
    <x v="272"/>
    <x v="8"/>
    <s v="38.736946"/>
    <s v="-9.142685"/>
    <x v="9"/>
    <s v="Micro (1-10)"/>
    <x v="3"/>
    <d v="2024-02-05T00:00:00"/>
    <x v="2"/>
    <x v="1"/>
    <n v="6"/>
    <x v="0"/>
    <m/>
    <n v="1130"/>
    <n v="40"/>
    <x v="195"/>
    <x v="156"/>
    <n v="-32"/>
  </r>
  <r>
    <x v="273"/>
    <x v="2"/>
    <s v="41.902782"/>
    <s v="12.496366"/>
    <x v="4"/>
    <s v="Micro (1-10)"/>
    <x v="5"/>
    <d v="2024-04-02T00:00:00"/>
    <x v="0"/>
    <x v="1"/>
    <n v="6"/>
    <x v="0"/>
    <m/>
    <n v="237"/>
    <n v="50"/>
    <x v="196"/>
    <x v="16"/>
    <n v="-166"/>
  </r>
  <r>
    <x v="274"/>
    <x v="8"/>
    <s v="38.736946"/>
    <s v="-9.142685"/>
    <x v="5"/>
    <s v="Medium (201-500)"/>
    <x v="5"/>
    <d v="2024-02-25T00:00:00"/>
    <x v="0"/>
    <x v="1"/>
    <n v="6"/>
    <x v="0"/>
    <m/>
    <n v="947"/>
    <n v="30"/>
    <x v="197"/>
    <x v="81"/>
    <n v="-169"/>
  </r>
  <r>
    <x v="275"/>
    <x v="2"/>
    <s v="41.902782"/>
    <s v="12.496366"/>
    <x v="4"/>
    <s v="Medium (201-500)"/>
    <x v="1"/>
    <d v="2024-02-16T00:00:00"/>
    <x v="0"/>
    <x v="1"/>
    <n v="6"/>
    <x v="0"/>
    <m/>
    <n v="562"/>
    <n v="40"/>
    <x v="126"/>
    <x v="8"/>
    <n v="-242"/>
  </r>
  <r>
    <x v="276"/>
    <x v="3"/>
    <s v="52.520008"/>
    <s v="13.404954"/>
    <x v="0"/>
    <s v="Medium (201-500)"/>
    <x v="5"/>
    <d v="2024-01-20T00:00:00"/>
    <x v="2"/>
    <x v="1"/>
    <n v="6"/>
    <x v="0"/>
    <m/>
    <n v="3729"/>
    <n v="40"/>
    <x v="198"/>
    <x v="11"/>
    <n v="15"/>
  </r>
  <r>
    <x v="277"/>
    <x v="7"/>
    <s v="48.210033"/>
    <s v="16.363449"/>
    <x v="5"/>
    <s v="Medium (201-500)"/>
    <x v="4"/>
    <d v="2024-03-06T00:00:00"/>
    <x v="2"/>
    <x v="1"/>
    <n v="6"/>
    <x v="0"/>
    <m/>
    <n v="762"/>
    <n v="20"/>
    <x v="118"/>
    <x v="55"/>
    <n v="-93"/>
  </r>
  <r>
    <x v="278"/>
    <x v="8"/>
    <s v="38.736946"/>
    <s v="-9.142685"/>
    <x v="4"/>
    <s v="Medium (201-500)"/>
    <x v="4"/>
    <d v="2024-01-10T00:00:00"/>
    <x v="1"/>
    <x v="1"/>
    <n v="6"/>
    <x v="0"/>
    <m/>
    <n v="350"/>
    <n v="30"/>
    <x v="199"/>
    <x v="56"/>
    <n v="-108"/>
  </r>
  <r>
    <x v="279"/>
    <x v="5"/>
    <s v="46.204391"/>
    <s v="6.143158"/>
    <x v="6"/>
    <s v="Medium (201-500)"/>
    <x v="7"/>
    <d v="2024-02-28T00:00:00"/>
    <x v="0"/>
    <x v="1"/>
    <n v="6"/>
    <x v="0"/>
    <m/>
    <n v="3350"/>
    <n v="10"/>
    <x v="7"/>
    <x v="157"/>
    <n v="-59"/>
  </r>
  <r>
    <x v="280"/>
    <x v="2"/>
    <s v="41.902782"/>
    <s v="12.496366"/>
    <x v="1"/>
    <s v="Medium (201-500)"/>
    <x v="4"/>
    <d v="2024-02-18T00:00:00"/>
    <x v="0"/>
    <x v="1"/>
    <n v="6"/>
    <x v="0"/>
    <m/>
    <n v="3290"/>
    <n v="30"/>
    <x v="200"/>
    <x v="158"/>
    <n v="-311"/>
  </r>
  <r>
    <x v="281"/>
    <x v="2"/>
    <s v="41.902782"/>
    <s v="12.496366"/>
    <x v="12"/>
    <s v="Medium (201-500)"/>
    <x v="3"/>
    <d v="2024-04-11T00:00:00"/>
    <x v="2"/>
    <x v="1"/>
    <n v="6"/>
    <x v="0"/>
    <m/>
    <n v="4608"/>
    <n v="50"/>
    <x v="133"/>
    <x v="59"/>
    <n v="46"/>
  </r>
  <r>
    <x v="282"/>
    <x v="2"/>
    <s v="41.902782"/>
    <s v="12.496366"/>
    <x v="13"/>
    <s v="Medium (201-500)"/>
    <x v="6"/>
    <d v="2024-03-11T00:00:00"/>
    <x v="1"/>
    <x v="1"/>
    <n v="6"/>
    <x v="0"/>
    <m/>
    <n v="6457"/>
    <n v="20"/>
    <x v="201"/>
    <x v="6"/>
    <n v="-189"/>
  </r>
  <r>
    <x v="283"/>
    <x v="1"/>
    <s v="40.416775"/>
    <s v="-3.703790"/>
    <x v="0"/>
    <s v="Medium (201-500)"/>
    <x v="4"/>
    <d v="2024-05-17T00:00:00"/>
    <x v="2"/>
    <x v="1"/>
    <n v="6"/>
    <x v="0"/>
    <m/>
    <n v="5322"/>
    <n v="100"/>
    <x v="202"/>
    <x v="89"/>
    <n v="-239"/>
  </r>
  <r>
    <x v="284"/>
    <x v="2"/>
    <s v="41.902782"/>
    <s v="12.496366"/>
    <x v="4"/>
    <s v="Medium (201-500)"/>
    <x v="5"/>
    <d v="2024-03-05T00:00:00"/>
    <x v="2"/>
    <x v="1"/>
    <n v="6"/>
    <x v="0"/>
    <m/>
    <n v="7996"/>
    <n v="60"/>
    <x v="16"/>
    <x v="12"/>
    <n v="-180"/>
  </r>
  <r>
    <x v="285"/>
    <x v="4"/>
    <s v="51.260197"/>
    <s v="4.402771"/>
    <x v="0"/>
    <s v="Medium (201-500)"/>
    <x v="3"/>
    <d v="2024-02-08T00:00:00"/>
    <x v="2"/>
    <x v="1"/>
    <n v="6"/>
    <x v="0"/>
    <m/>
    <n v="4561"/>
    <n v="10"/>
    <x v="52"/>
    <x v="16"/>
    <n v="-153"/>
  </r>
  <r>
    <x v="286"/>
    <x v="5"/>
    <s v="46.204391"/>
    <s v="6.143158"/>
    <x v="4"/>
    <s v="Medium (201-500)"/>
    <x v="7"/>
    <d v="2024-03-16T00:00:00"/>
    <x v="1"/>
    <x v="1"/>
    <n v="6"/>
    <x v="0"/>
    <m/>
    <n v="6800"/>
    <n v="30"/>
    <x v="58"/>
    <x v="159"/>
    <n v="-165"/>
  </r>
  <r>
    <x v="287"/>
    <x v="6"/>
    <s v="48.864716"/>
    <s v="2.349014"/>
    <x v="11"/>
    <s v="Medium (201-500)"/>
    <x v="2"/>
    <d v="2024-01-25T00:00:00"/>
    <x v="2"/>
    <x v="1"/>
    <n v="6"/>
    <x v="0"/>
    <m/>
    <n v="6490"/>
    <n v="30"/>
    <x v="203"/>
    <x v="95"/>
    <n v="-217"/>
  </r>
  <r>
    <x v="288"/>
    <x v="4"/>
    <s v="51.260197"/>
    <s v="4.402771"/>
    <x v="4"/>
    <s v="Medium (201-500)"/>
    <x v="5"/>
    <d v="2024-03-16T00:00:00"/>
    <x v="2"/>
    <x v="1"/>
    <n v="6"/>
    <x v="0"/>
    <m/>
    <n v="6698"/>
    <n v="60"/>
    <x v="140"/>
    <x v="154"/>
    <n v="-109"/>
  </r>
  <r>
    <x v="289"/>
    <x v="2"/>
    <s v="41.902782"/>
    <s v="12.496366"/>
    <x v="8"/>
    <s v="Medium (201-500)"/>
    <x v="3"/>
    <d v="2024-02-27T00:00:00"/>
    <x v="0"/>
    <x v="1"/>
    <n v="6"/>
    <x v="0"/>
    <m/>
    <n v="6609"/>
    <n v="30"/>
    <x v="204"/>
    <x v="124"/>
    <n v="-202"/>
  </r>
  <r>
    <x v="290"/>
    <x v="2"/>
    <s v="41.902782"/>
    <s v="12.496366"/>
    <x v="12"/>
    <s v="Medium (201-500)"/>
    <x v="3"/>
    <d v="2024-04-17T00:00:00"/>
    <x v="2"/>
    <x v="1"/>
    <n v="6"/>
    <x v="0"/>
    <m/>
    <n v="2507"/>
    <n v="10"/>
    <x v="194"/>
    <x v="153"/>
    <n v="-131"/>
  </r>
  <r>
    <x v="291"/>
    <x v="6"/>
    <s v="48.864716"/>
    <s v="2.349014"/>
    <x v="12"/>
    <s v="Medium (201-500)"/>
    <x v="3"/>
    <d v="2024-02-24T00:00:00"/>
    <x v="1"/>
    <x v="1"/>
    <n v="6"/>
    <x v="0"/>
    <m/>
    <n v="6240"/>
    <n v="20"/>
    <x v="198"/>
    <x v="160"/>
    <n v="7"/>
  </r>
  <r>
    <x v="292"/>
    <x v="5"/>
    <s v="46.204391"/>
    <s v="6.143158"/>
    <x v="5"/>
    <s v="Medium (201-500)"/>
    <x v="5"/>
    <d v="2024-04-01T00:00:00"/>
    <x v="0"/>
    <x v="1"/>
    <n v="6"/>
    <x v="0"/>
    <m/>
    <n v="6336"/>
    <n v="20"/>
    <x v="91"/>
    <x v="76"/>
    <n v="-12"/>
  </r>
  <r>
    <x v="293"/>
    <x v="2"/>
    <s v="41.902782"/>
    <s v="12.496366"/>
    <x v="0"/>
    <s v="Medium (201-500)"/>
    <x v="6"/>
    <d v="2024-02-06T00:00:00"/>
    <x v="1"/>
    <x v="1"/>
    <n v="6"/>
    <x v="0"/>
    <m/>
    <n v="7930"/>
    <n v="20"/>
    <x v="205"/>
    <x v="161"/>
    <n v="-81"/>
  </r>
  <r>
    <x v="294"/>
    <x v="5"/>
    <s v="46.204391"/>
    <s v="6.143158"/>
    <x v="0"/>
    <s v="Medium (201-500)"/>
    <x v="1"/>
    <d v="2024-04-11T00:00:00"/>
    <x v="0"/>
    <x v="1"/>
    <n v="6"/>
    <x v="0"/>
    <m/>
    <n v="2707"/>
    <n v="30"/>
    <x v="206"/>
    <x v="5"/>
    <n v="-335"/>
  </r>
  <r>
    <x v="295"/>
    <x v="1"/>
    <s v="40.416775"/>
    <s v="-3.703790"/>
    <x v="12"/>
    <s v="Medium (201-500)"/>
    <x v="2"/>
    <d v="2024-01-11T00:00:00"/>
    <x v="0"/>
    <x v="1"/>
    <n v="6"/>
    <x v="0"/>
    <m/>
    <n v="1865"/>
    <n v="40"/>
    <x v="198"/>
    <x v="68"/>
    <n v="-1"/>
  </r>
  <r>
    <x v="296"/>
    <x v="8"/>
    <s v="38.736946"/>
    <s v="-9.142685"/>
    <x v="4"/>
    <s v="Medium (201-500)"/>
    <x v="5"/>
    <d v="2024-01-11T00:00:00"/>
    <x v="2"/>
    <x v="1"/>
    <n v="6"/>
    <x v="0"/>
    <m/>
    <n v="209"/>
    <n v="50"/>
    <x v="122"/>
    <x v="38"/>
    <n v="-37"/>
  </r>
  <r>
    <x v="297"/>
    <x v="8"/>
    <s v="38.736946"/>
    <s v="-9.142685"/>
    <x v="13"/>
    <s v="Medium (201-500)"/>
    <x v="7"/>
    <d v="2024-03-03T00:00:00"/>
    <x v="0"/>
    <x v="1"/>
    <n v="6"/>
    <x v="0"/>
    <m/>
    <n v="212"/>
    <n v="20"/>
    <x v="16"/>
    <x v="47"/>
    <n v="-213"/>
  </r>
  <r>
    <x v="298"/>
    <x v="8"/>
    <s v="38.736946"/>
    <s v="-9.142685"/>
    <x v="13"/>
    <s v="Medium (201-500)"/>
    <x v="4"/>
    <d v="2024-04-11T00:00:00"/>
    <x v="0"/>
    <x v="1"/>
    <n v="6"/>
    <x v="0"/>
    <m/>
    <n v="2260"/>
    <n v="20"/>
    <x v="186"/>
    <x v="103"/>
    <n v="-185"/>
  </r>
  <r>
    <x v="299"/>
    <x v="1"/>
    <s v="40.416775"/>
    <s v="-3.703790"/>
    <x v="10"/>
    <s v="Medium (201-500)"/>
    <x v="4"/>
    <d v="2024-02-04T00:00:00"/>
    <x v="0"/>
    <x v="1"/>
    <n v="6"/>
    <x v="0"/>
    <m/>
    <n v="4224"/>
    <n v="40"/>
    <x v="207"/>
    <x v="162"/>
    <n v="-310"/>
  </r>
  <r>
    <x v="300"/>
    <x v="6"/>
    <s v="48.864716"/>
    <s v="2.349014"/>
    <x v="5"/>
    <s v="Medium (201-500)"/>
    <x v="6"/>
    <d v="2024-03-31T00:00:00"/>
    <x v="0"/>
    <x v="1"/>
    <n v="6"/>
    <x v="0"/>
    <m/>
    <n v="2344"/>
    <n v="100"/>
    <x v="144"/>
    <x v="62"/>
    <n v="-59"/>
  </r>
  <r>
    <x v="301"/>
    <x v="3"/>
    <s v="52.520008"/>
    <s v="13.404954"/>
    <x v="6"/>
    <s v="Medium (201-500)"/>
    <x v="0"/>
    <d v="2024-02-04T00:00:00"/>
    <x v="1"/>
    <x v="1"/>
    <n v="6"/>
    <x v="0"/>
    <m/>
    <n v="5852"/>
    <n v="60"/>
    <x v="208"/>
    <x v="161"/>
    <n v="-90"/>
  </r>
  <r>
    <x v="302"/>
    <x v="2"/>
    <s v="41.902782"/>
    <s v="12.496366"/>
    <x v="6"/>
    <s v="Medium (201-500)"/>
    <x v="3"/>
    <d v="2024-03-27T00:00:00"/>
    <x v="1"/>
    <x v="1"/>
    <n v="6"/>
    <x v="0"/>
    <m/>
    <n v="4156"/>
    <n v="30"/>
    <x v="209"/>
    <x v="22"/>
    <n v="-190"/>
  </r>
  <r>
    <x v="303"/>
    <x v="4"/>
    <s v="51.260197"/>
    <s v="4.402771"/>
    <x v="4"/>
    <s v="Medium (201-500)"/>
    <x v="5"/>
    <d v="2024-05-20T00:00:00"/>
    <x v="0"/>
    <x v="1"/>
    <n v="6"/>
    <x v="0"/>
    <m/>
    <n v="422"/>
    <n v="20"/>
    <x v="210"/>
    <x v="19"/>
    <n v="-212"/>
  </r>
  <r>
    <x v="304"/>
    <x v="3"/>
    <s v="52.520008"/>
    <s v="13.404954"/>
    <x v="1"/>
    <s v="Medium (201-500)"/>
    <x v="2"/>
    <d v="2024-03-10T00:00:00"/>
    <x v="0"/>
    <x v="1"/>
    <n v="6"/>
    <x v="0"/>
    <m/>
    <n v="2239"/>
    <n v="80"/>
    <x v="211"/>
    <x v="154"/>
    <n v="-177"/>
  </r>
  <r>
    <x v="305"/>
    <x v="3"/>
    <s v="52.520008"/>
    <s v="13.404954"/>
    <x v="12"/>
    <s v="Medium (201-500)"/>
    <x v="3"/>
    <d v="2024-01-19T00:00:00"/>
    <x v="1"/>
    <x v="1"/>
    <n v="6"/>
    <x v="0"/>
    <m/>
    <n v="4156"/>
    <n v="50"/>
    <x v="19"/>
    <x v="47"/>
    <n v="-133"/>
  </r>
  <r>
    <x v="306"/>
    <x v="3"/>
    <s v="52.520008"/>
    <s v="13.404954"/>
    <x v="5"/>
    <s v="Medium (201-500)"/>
    <x v="3"/>
    <d v="2024-02-01T00:00:00"/>
    <x v="2"/>
    <x v="1"/>
    <n v="6"/>
    <x v="0"/>
    <m/>
    <n v="1753"/>
    <n v="40"/>
    <x v="29"/>
    <x v="37"/>
    <n v="-262"/>
  </r>
  <r>
    <x v="307"/>
    <x v="3"/>
    <s v="52.520008"/>
    <s v="13.404954"/>
    <x v="13"/>
    <s v="Medium (201-500)"/>
    <x v="1"/>
    <d v="2024-01-12T00:00:00"/>
    <x v="2"/>
    <x v="1"/>
    <n v="6"/>
    <x v="0"/>
    <m/>
    <n v="4132"/>
    <n v="40"/>
    <x v="212"/>
    <x v="163"/>
    <n v="-315"/>
  </r>
  <r>
    <x v="308"/>
    <x v="0"/>
    <s v="52.370216"/>
    <s v="4.895168"/>
    <x v="13"/>
    <s v="Medium (201-500)"/>
    <x v="2"/>
    <d v="2024-05-26T00:00:00"/>
    <x v="2"/>
    <x v="1"/>
    <n v="6"/>
    <x v="0"/>
    <m/>
    <n v="7142"/>
    <n v="30"/>
    <x v="213"/>
    <x v="66"/>
    <n v="-199"/>
  </r>
  <r>
    <x v="309"/>
    <x v="0"/>
    <s v="52.370216"/>
    <s v="4.895168"/>
    <x v="7"/>
    <s v="Medium (201-500)"/>
    <x v="4"/>
    <d v="2024-03-10T00:00:00"/>
    <x v="2"/>
    <x v="1"/>
    <n v="6"/>
    <x v="0"/>
    <m/>
    <n v="4343"/>
    <n v="20"/>
    <x v="148"/>
    <x v="147"/>
    <n v="9"/>
  </r>
  <r>
    <x v="310"/>
    <x v="8"/>
    <s v="38.736946"/>
    <s v="-9.142685"/>
    <x v="13"/>
    <s v="Medium (201-500)"/>
    <x v="3"/>
    <d v="2024-03-13T00:00:00"/>
    <x v="0"/>
    <x v="1"/>
    <n v="6"/>
    <x v="0"/>
    <m/>
    <n v="7463"/>
    <n v="20"/>
    <x v="203"/>
    <x v="118"/>
    <n v="-181"/>
  </r>
  <r>
    <x v="311"/>
    <x v="8"/>
    <s v="38.736946"/>
    <s v="-9.142685"/>
    <x v="6"/>
    <s v="Medium (201-500)"/>
    <x v="3"/>
    <d v="2024-04-24T00:00:00"/>
    <x v="1"/>
    <x v="1"/>
    <n v="6"/>
    <x v="0"/>
    <m/>
    <n v="1872"/>
    <n v="40"/>
    <x v="153"/>
    <x v="79"/>
    <n v="-172"/>
  </r>
  <r>
    <x v="312"/>
    <x v="6"/>
    <s v="48.864716"/>
    <s v="2.349014"/>
    <x v="0"/>
    <s v="Medium (201-500)"/>
    <x v="2"/>
    <d v="2024-03-19T00:00:00"/>
    <x v="0"/>
    <x v="1"/>
    <n v="6"/>
    <x v="0"/>
    <m/>
    <n v="4220"/>
    <n v="40"/>
    <x v="214"/>
    <x v="80"/>
    <n v="-284"/>
  </r>
  <r>
    <x v="313"/>
    <x v="8"/>
    <s v="38.736946"/>
    <s v="-9.142685"/>
    <x v="4"/>
    <s v="Medium (201-500)"/>
    <x v="3"/>
    <d v="2024-04-29T00:00:00"/>
    <x v="2"/>
    <x v="1"/>
    <n v="6"/>
    <x v="0"/>
    <m/>
    <n v="2668"/>
    <n v="70"/>
    <x v="31"/>
    <x v="164"/>
    <n v="-151"/>
  </r>
  <r>
    <x v="314"/>
    <x v="3"/>
    <s v="52.520008"/>
    <s v="13.404954"/>
    <x v="3"/>
    <s v="Medium (201-500)"/>
    <x v="3"/>
    <d v="2024-02-12T00:00:00"/>
    <x v="2"/>
    <x v="1"/>
    <n v="6"/>
    <x v="0"/>
    <m/>
    <n v="7766"/>
    <n v="60"/>
    <x v="215"/>
    <x v="148"/>
    <n v="-126"/>
  </r>
  <r>
    <x v="315"/>
    <x v="3"/>
    <s v="52.520008"/>
    <s v="13.404954"/>
    <x v="6"/>
    <s v="Medium (201-500)"/>
    <x v="6"/>
    <d v="2024-04-14T00:00:00"/>
    <x v="1"/>
    <x v="1"/>
    <n v="6"/>
    <x v="0"/>
    <m/>
    <n v="379"/>
    <n v="50"/>
    <x v="216"/>
    <x v="35"/>
    <n v="-150"/>
  </r>
  <r>
    <x v="316"/>
    <x v="3"/>
    <s v="52.520008"/>
    <s v="13.404954"/>
    <x v="3"/>
    <s v="Medium (201-500)"/>
    <x v="2"/>
    <d v="2024-01-14T00:00:00"/>
    <x v="2"/>
    <x v="1"/>
    <n v="6"/>
    <x v="0"/>
    <m/>
    <n v="4188"/>
    <n v="50"/>
    <x v="211"/>
    <x v="47"/>
    <n v="-189"/>
  </r>
  <r>
    <x v="317"/>
    <x v="2"/>
    <s v="41.902782"/>
    <s v="12.496366"/>
    <x v="8"/>
    <s v="Medium (201-500)"/>
    <x v="2"/>
    <d v="2024-02-04T00:00:00"/>
    <x v="0"/>
    <x v="1"/>
    <n v="6"/>
    <x v="0"/>
    <m/>
    <n v="875"/>
    <n v="30"/>
    <x v="217"/>
    <x v="165"/>
    <n v="-279"/>
  </r>
  <r>
    <x v="318"/>
    <x v="6"/>
    <s v="48.864716"/>
    <s v="2.349014"/>
    <x v="7"/>
    <s v="Medium (201-500)"/>
    <x v="5"/>
    <d v="2024-05-17T00:00:00"/>
    <x v="1"/>
    <x v="1"/>
    <n v="6"/>
    <x v="0"/>
    <m/>
    <n v="3220"/>
    <n v="20"/>
    <x v="186"/>
    <x v="166"/>
    <n v="-171"/>
  </r>
  <r>
    <x v="319"/>
    <x v="0"/>
    <s v="52.370216"/>
    <s v="4.895168"/>
    <x v="2"/>
    <s v="Medium (201-500)"/>
    <x v="0"/>
    <d v="2024-03-04T00:00:00"/>
    <x v="2"/>
    <x v="1"/>
    <n v="6"/>
    <x v="0"/>
    <m/>
    <n v="6595"/>
    <n v="40"/>
    <x v="171"/>
    <x v="9"/>
    <n v="-162"/>
  </r>
  <r>
    <x v="320"/>
    <x v="2"/>
    <s v="41.902782"/>
    <s v="12.496366"/>
    <x v="0"/>
    <s v="Medium (201-500)"/>
    <x v="2"/>
    <d v="2024-01-31T00:00:00"/>
    <x v="0"/>
    <x v="1"/>
    <n v="6"/>
    <x v="0"/>
    <m/>
    <n v="7977"/>
    <n v="100"/>
    <x v="195"/>
    <x v="24"/>
    <n v="50"/>
  </r>
  <r>
    <x v="321"/>
    <x v="2"/>
    <s v="41.902782"/>
    <s v="12.496366"/>
    <x v="11"/>
    <s v="Medium (201-500)"/>
    <x v="4"/>
    <d v="2024-05-03T00:00:00"/>
    <x v="2"/>
    <x v="1"/>
    <n v="6"/>
    <x v="0"/>
    <m/>
    <n v="1374"/>
    <n v="50"/>
    <x v="218"/>
    <x v="28"/>
    <n v="-174"/>
  </r>
  <r>
    <x v="322"/>
    <x v="8"/>
    <s v="38.736946"/>
    <s v="-9.142685"/>
    <x v="12"/>
    <s v="Medium (201-500)"/>
    <x v="4"/>
    <d v="2024-02-25T00:00:00"/>
    <x v="0"/>
    <x v="1"/>
    <n v="6"/>
    <x v="0"/>
    <m/>
    <n v="1932"/>
    <n v="50"/>
    <x v="132"/>
    <x v="142"/>
    <n v="-36"/>
  </r>
  <r>
    <x v="323"/>
    <x v="3"/>
    <s v="52.520008"/>
    <s v="13.404954"/>
    <x v="3"/>
    <s v="Medium (201-500)"/>
    <x v="4"/>
    <d v="2024-03-12T00:00:00"/>
    <x v="1"/>
    <x v="1"/>
    <n v="6"/>
    <x v="0"/>
    <m/>
    <n v="4067"/>
    <n v="90"/>
    <x v="219"/>
    <x v="167"/>
    <n v="-244"/>
  </r>
  <r>
    <x v="324"/>
    <x v="6"/>
    <s v="48.864716"/>
    <s v="2.349014"/>
    <x v="12"/>
    <s v="Medium (201-500)"/>
    <x v="2"/>
    <d v="2024-02-21T00:00:00"/>
    <x v="2"/>
    <x v="1"/>
    <n v="6"/>
    <x v="0"/>
    <m/>
    <n v="7596"/>
    <n v="70"/>
    <x v="220"/>
    <x v="9"/>
    <n v="-227"/>
  </r>
  <r>
    <x v="325"/>
    <x v="6"/>
    <s v="48.864716"/>
    <s v="2.349014"/>
    <x v="5"/>
    <s v="Medium (201-500)"/>
    <x v="4"/>
    <d v="2024-05-14T00:00:00"/>
    <x v="2"/>
    <x v="1"/>
    <n v="6"/>
    <x v="0"/>
    <m/>
    <n v="425"/>
    <n v="60"/>
    <x v="1"/>
    <x v="168"/>
    <n v="-121"/>
  </r>
  <r>
    <x v="326"/>
    <x v="6"/>
    <s v="48.864716"/>
    <s v="2.349014"/>
    <x v="2"/>
    <s v="Medium (201-500)"/>
    <x v="2"/>
    <d v="2024-02-12T00:00:00"/>
    <x v="0"/>
    <x v="1"/>
    <n v="6"/>
    <x v="0"/>
    <m/>
    <n v="6071"/>
    <n v="10"/>
    <x v="221"/>
    <x v="169"/>
    <n v="-267"/>
  </r>
  <r>
    <x v="327"/>
    <x v="0"/>
    <s v="52.370216"/>
    <s v="4.895168"/>
    <x v="8"/>
    <s v="Medium (201-500)"/>
    <x v="3"/>
    <d v="2024-04-08T00:00:00"/>
    <x v="2"/>
    <x v="1"/>
    <n v="6"/>
    <x v="0"/>
    <m/>
    <n v="2584"/>
    <n v="30"/>
    <x v="54"/>
    <x v="80"/>
    <n v="-301"/>
  </r>
  <r>
    <x v="328"/>
    <x v="7"/>
    <s v="48.210033"/>
    <s v="16.363449"/>
    <x v="10"/>
    <s v="Medium (201-500)"/>
    <x v="5"/>
    <d v="2024-04-10T00:00:00"/>
    <x v="2"/>
    <x v="1"/>
    <n v="6"/>
    <x v="0"/>
    <m/>
    <n v="1589"/>
    <n v="10"/>
    <x v="222"/>
    <x v="24"/>
    <n v="-62"/>
  </r>
  <r>
    <x v="329"/>
    <x v="8"/>
    <s v="38.736946"/>
    <s v="-9.142685"/>
    <x v="4"/>
    <s v="Medium (201-500)"/>
    <x v="2"/>
    <d v="2024-05-30T00:00:00"/>
    <x v="0"/>
    <x v="1"/>
    <n v="6"/>
    <x v="0"/>
    <m/>
    <n v="2197"/>
    <n v="50"/>
    <x v="223"/>
    <x v="170"/>
    <n v="-138"/>
  </r>
  <r>
    <x v="330"/>
    <x v="2"/>
    <s v="41.902782"/>
    <s v="12.496366"/>
    <x v="0"/>
    <s v="Medium (201-500)"/>
    <x v="3"/>
    <d v="2024-03-19T00:00:00"/>
    <x v="0"/>
    <x v="1"/>
    <n v="6"/>
    <x v="0"/>
    <m/>
    <n v="3231"/>
    <n v="70"/>
    <x v="61"/>
    <x v="146"/>
    <n v="-162"/>
  </r>
  <r>
    <x v="331"/>
    <x v="8"/>
    <s v="38.736946"/>
    <s v="-9.142685"/>
    <x v="4"/>
    <s v="Medium (201-500)"/>
    <x v="6"/>
    <d v="2024-02-16T00:00:00"/>
    <x v="2"/>
    <x v="1"/>
    <n v="6"/>
    <x v="0"/>
    <m/>
    <n v="5655"/>
    <n v="50"/>
    <x v="224"/>
    <x v="113"/>
    <n v="-344"/>
  </r>
  <r>
    <x v="332"/>
    <x v="2"/>
    <s v="41.902782"/>
    <s v="12.496366"/>
    <x v="4"/>
    <s v="Medium (201-500)"/>
    <x v="3"/>
    <d v="2024-05-02T00:00:00"/>
    <x v="0"/>
    <x v="1"/>
    <n v="6"/>
    <x v="0"/>
    <m/>
    <n v="5044"/>
    <n v="20"/>
    <x v="225"/>
    <x v="143"/>
    <n v="-257"/>
  </r>
  <r>
    <x v="333"/>
    <x v="2"/>
    <s v="41.902782"/>
    <s v="12.496366"/>
    <x v="2"/>
    <s v="Medium (201-500)"/>
    <x v="2"/>
    <d v="2024-03-04T00:00:00"/>
    <x v="0"/>
    <x v="1"/>
    <n v="6"/>
    <x v="0"/>
    <m/>
    <n v="2271"/>
    <n v="20"/>
    <x v="105"/>
    <x v="171"/>
    <n v="-278"/>
  </r>
  <r>
    <x v="334"/>
    <x v="2"/>
    <s v="41.902782"/>
    <s v="12.496366"/>
    <x v="5"/>
    <s v="Medium (201-500)"/>
    <x v="4"/>
    <d v="2024-03-24T00:00:00"/>
    <x v="1"/>
    <x v="1"/>
    <n v="6"/>
    <x v="0"/>
    <m/>
    <n v="3884"/>
    <n v="30"/>
    <x v="88"/>
    <x v="54"/>
    <n v="-17"/>
  </r>
  <r>
    <x v="335"/>
    <x v="8"/>
    <s v="38.736946"/>
    <s v="-9.142685"/>
    <x v="4"/>
    <s v="Medium (201-500)"/>
    <x v="6"/>
    <d v="2024-04-10T00:00:00"/>
    <x v="2"/>
    <x v="1"/>
    <n v="6"/>
    <x v="0"/>
    <m/>
    <n v="3216"/>
    <n v="30"/>
    <x v="226"/>
    <x v="45"/>
    <n v="-158"/>
  </r>
  <r>
    <x v="336"/>
    <x v="2"/>
    <s v="41.902782"/>
    <s v="12.496366"/>
    <x v="3"/>
    <s v="Medium (201-500)"/>
    <x v="3"/>
    <d v="2024-03-02T00:00:00"/>
    <x v="0"/>
    <x v="1"/>
    <n v="6"/>
    <x v="0"/>
    <m/>
    <n v="4219"/>
    <n v="50"/>
    <x v="71"/>
    <x v="32"/>
    <n v="-216"/>
  </r>
  <r>
    <x v="337"/>
    <x v="4"/>
    <s v="51.260197"/>
    <s v="4.402771"/>
    <x v="3"/>
    <s v="Medium (201-500)"/>
    <x v="1"/>
    <d v="2024-01-08T00:00:00"/>
    <x v="2"/>
    <x v="1"/>
    <n v="6"/>
    <x v="0"/>
    <m/>
    <n v="5815"/>
    <n v="40"/>
    <x v="181"/>
    <x v="151"/>
    <n v="-95"/>
  </r>
  <r>
    <x v="338"/>
    <x v="2"/>
    <s v="41.902782"/>
    <s v="12.496366"/>
    <x v="3"/>
    <s v="Medium (201-500)"/>
    <x v="5"/>
    <d v="2024-01-17T00:00:00"/>
    <x v="2"/>
    <x v="1"/>
    <n v="6"/>
    <x v="0"/>
    <m/>
    <n v="4191"/>
    <n v="20"/>
    <x v="110"/>
    <x v="99"/>
    <n v="-36"/>
  </r>
  <r>
    <x v="339"/>
    <x v="5"/>
    <s v="46.204391"/>
    <s v="6.143158"/>
    <x v="5"/>
    <s v="Medium (201-500)"/>
    <x v="6"/>
    <d v="2024-05-09T00:00:00"/>
    <x v="0"/>
    <x v="1"/>
    <n v="6"/>
    <x v="0"/>
    <m/>
    <n v="3415"/>
    <n v="20"/>
    <x v="227"/>
    <x v="172"/>
    <n v="-284"/>
  </r>
  <r>
    <x v="340"/>
    <x v="1"/>
    <s v="40.416775"/>
    <s v="-3.703790"/>
    <x v="11"/>
    <s v="Medium (201-500)"/>
    <x v="4"/>
    <d v="2024-02-07T00:00:00"/>
    <x v="2"/>
    <x v="1"/>
    <n v="6"/>
    <x v="0"/>
    <m/>
    <n v="2133"/>
    <n v="100"/>
    <x v="162"/>
    <x v="173"/>
    <n v="-67"/>
  </r>
  <r>
    <x v="341"/>
    <x v="8"/>
    <s v="38.736946"/>
    <s v="-9.142685"/>
    <x v="4"/>
    <s v="Large (501-1000)"/>
    <x v="4"/>
    <d v="2024-02-09T00:00:00"/>
    <x v="0"/>
    <x v="1"/>
    <n v="6"/>
    <x v="0"/>
    <m/>
    <n v="14918"/>
    <n v="20"/>
    <x v="228"/>
    <x v="146"/>
    <n v="-47"/>
  </r>
  <r>
    <x v="342"/>
    <x v="3"/>
    <s v="52.520008"/>
    <s v="13.404954"/>
    <x v="8"/>
    <s v="Large (501-1000)"/>
    <x v="3"/>
    <d v="2024-02-27T00:00:00"/>
    <x v="0"/>
    <x v="1"/>
    <n v="6"/>
    <x v="0"/>
    <m/>
    <n v="7279"/>
    <n v="60"/>
    <x v="90"/>
    <x v="111"/>
    <n v="-260"/>
  </r>
  <r>
    <x v="343"/>
    <x v="8"/>
    <s v="38.736946"/>
    <s v="-9.142685"/>
    <x v="3"/>
    <s v="Enterprise (1001+)"/>
    <x v="3"/>
    <d v="2024-04-16T00:00:00"/>
    <x v="2"/>
    <x v="1"/>
    <n v="6"/>
    <x v="0"/>
    <m/>
    <n v="5064"/>
    <n v="20"/>
    <x v="85"/>
    <x v="46"/>
    <n v="-4"/>
  </r>
  <r>
    <x v="344"/>
    <x v="5"/>
    <s v="46.204391"/>
    <s v="6.143158"/>
    <x v="0"/>
    <s v="Enterprise (1001+)"/>
    <x v="5"/>
    <d v="2024-05-06T00:00:00"/>
    <x v="2"/>
    <x v="1"/>
    <n v="6"/>
    <x v="0"/>
    <m/>
    <n v="5325"/>
    <n v="50"/>
    <x v="194"/>
    <x v="174"/>
    <n v="-89"/>
  </r>
  <r>
    <x v="345"/>
    <x v="5"/>
    <s v="46.204391"/>
    <s v="6.143158"/>
    <x v="4"/>
    <s v="Enterprise (1001+)"/>
    <x v="1"/>
    <d v="2024-03-07T00:00:00"/>
    <x v="1"/>
    <x v="1"/>
    <n v="6"/>
    <x v="0"/>
    <m/>
    <n v="17797"/>
    <n v="60"/>
    <x v="229"/>
    <x v="175"/>
    <n v="-201"/>
  </r>
  <r>
    <x v="346"/>
    <x v="4"/>
    <s v="51.260197"/>
    <s v="4.402771"/>
    <x v="0"/>
    <s v="Enterprise (1001+)"/>
    <x v="2"/>
    <d v="2024-03-10T00:00:00"/>
    <x v="1"/>
    <x v="1"/>
    <n v="6"/>
    <x v="0"/>
    <m/>
    <n v="19852"/>
    <n v="10"/>
    <x v="230"/>
    <x v="56"/>
    <n v="-115"/>
  </r>
  <r>
    <x v="347"/>
    <x v="7"/>
    <s v="48.210033"/>
    <s v="16.363449"/>
    <x v="3"/>
    <s v="Enterprise (1001+)"/>
    <x v="0"/>
    <d v="2024-03-19T00:00:00"/>
    <x v="1"/>
    <x v="1"/>
    <n v="6"/>
    <x v="0"/>
    <m/>
    <n v="6762"/>
    <n v="100"/>
    <x v="141"/>
    <x v="10"/>
    <n v="-60"/>
  </r>
  <r>
    <x v="348"/>
    <x v="5"/>
    <s v="46.204391"/>
    <s v="6.143158"/>
    <x v="4"/>
    <s v="Small (11-200)"/>
    <x v="7"/>
    <d v="2024-01-31T00:00:00"/>
    <x v="2"/>
    <x v="2"/>
    <n v="3"/>
    <x v="0"/>
    <m/>
    <n v="1214"/>
    <n v="60"/>
    <x v="231"/>
    <x v="176"/>
    <s v=""/>
  </r>
  <r>
    <x v="349"/>
    <x v="2"/>
    <s v="41.902782"/>
    <s v="12.496366"/>
    <x v="12"/>
    <s v="Small (11-200)"/>
    <x v="6"/>
    <d v="2024-05-05T00:00:00"/>
    <x v="2"/>
    <x v="2"/>
    <n v="3"/>
    <x v="0"/>
    <m/>
    <n v="1916"/>
    <n v="20"/>
    <x v="232"/>
    <x v="176"/>
    <s v=""/>
  </r>
  <r>
    <x v="350"/>
    <x v="8"/>
    <s v="38.736946"/>
    <s v="-9.142685"/>
    <x v="0"/>
    <s v="Small (11-200)"/>
    <x v="3"/>
    <d v="2024-05-30T00:00:00"/>
    <x v="2"/>
    <x v="2"/>
    <n v="3"/>
    <x v="0"/>
    <m/>
    <n v="1918"/>
    <n v="20"/>
    <x v="233"/>
    <x v="176"/>
    <s v=""/>
  </r>
  <r>
    <x v="351"/>
    <x v="4"/>
    <s v="51.260197"/>
    <s v="4.402771"/>
    <x v="9"/>
    <s v="Small (11-200)"/>
    <x v="1"/>
    <d v="2024-04-25T00:00:00"/>
    <x v="2"/>
    <x v="2"/>
    <n v="3"/>
    <x v="0"/>
    <m/>
    <n v="685"/>
    <n v="60"/>
    <x v="234"/>
    <x v="176"/>
    <s v=""/>
  </r>
  <r>
    <x v="352"/>
    <x v="5"/>
    <s v="46.204391"/>
    <s v="6.143158"/>
    <x v="0"/>
    <s v="Small (11-200)"/>
    <x v="0"/>
    <d v="2024-03-13T00:00:00"/>
    <x v="2"/>
    <x v="2"/>
    <n v="3"/>
    <x v="0"/>
    <m/>
    <n v="315"/>
    <n v="40"/>
    <x v="235"/>
    <x v="176"/>
    <s v=""/>
  </r>
  <r>
    <x v="353"/>
    <x v="2"/>
    <s v="41.902782"/>
    <s v="12.496366"/>
    <x v="0"/>
    <s v="Small (11-200)"/>
    <x v="7"/>
    <d v="2024-01-03T00:00:00"/>
    <x v="1"/>
    <x v="2"/>
    <n v="3"/>
    <x v="0"/>
    <m/>
    <n v="810"/>
    <n v="50"/>
    <x v="35"/>
    <x v="176"/>
    <s v=""/>
  </r>
  <r>
    <x v="354"/>
    <x v="2"/>
    <s v="41.902782"/>
    <s v="12.496366"/>
    <x v="5"/>
    <s v="Small (11-200)"/>
    <x v="3"/>
    <d v="2024-02-22T00:00:00"/>
    <x v="0"/>
    <x v="2"/>
    <n v="3"/>
    <x v="0"/>
    <m/>
    <n v="717"/>
    <n v="70"/>
    <x v="136"/>
    <x v="176"/>
    <s v=""/>
  </r>
  <r>
    <x v="355"/>
    <x v="0"/>
    <s v="52.370216"/>
    <s v="4.895168"/>
    <x v="1"/>
    <s v="Small (11-200)"/>
    <x v="6"/>
    <d v="2024-04-21T00:00:00"/>
    <x v="2"/>
    <x v="2"/>
    <n v="3"/>
    <x v="0"/>
    <m/>
    <n v="1789"/>
    <n v="20"/>
    <x v="148"/>
    <x v="176"/>
    <s v=""/>
  </r>
  <r>
    <x v="356"/>
    <x v="6"/>
    <s v="48.864716"/>
    <s v="2.349014"/>
    <x v="10"/>
    <s v="Small (11-200)"/>
    <x v="2"/>
    <d v="2024-02-29T00:00:00"/>
    <x v="0"/>
    <x v="2"/>
    <n v="3"/>
    <x v="0"/>
    <m/>
    <n v="1311"/>
    <n v="30"/>
    <x v="42"/>
    <x v="176"/>
    <s v=""/>
  </r>
  <r>
    <x v="357"/>
    <x v="8"/>
    <s v="38.736946"/>
    <s v="-9.142685"/>
    <x v="9"/>
    <s v="Small (11-200)"/>
    <x v="3"/>
    <d v="2024-05-17T00:00:00"/>
    <x v="2"/>
    <x v="2"/>
    <n v="3"/>
    <x v="0"/>
    <m/>
    <n v="1025"/>
    <n v="20"/>
    <x v="91"/>
    <x v="176"/>
    <s v=""/>
  </r>
  <r>
    <x v="358"/>
    <x v="3"/>
    <s v="52.520008"/>
    <s v="13.404954"/>
    <x v="5"/>
    <s v="Small (11-200)"/>
    <x v="4"/>
    <d v="2024-03-19T00:00:00"/>
    <x v="0"/>
    <x v="2"/>
    <n v="3"/>
    <x v="0"/>
    <m/>
    <n v="1330"/>
    <n v="30"/>
    <x v="236"/>
    <x v="176"/>
    <s v=""/>
  </r>
  <r>
    <x v="359"/>
    <x v="2"/>
    <s v="41.902782"/>
    <s v="12.496366"/>
    <x v="9"/>
    <s v="Small (11-200)"/>
    <x v="2"/>
    <d v="2024-05-30T00:00:00"/>
    <x v="2"/>
    <x v="2"/>
    <n v="3"/>
    <x v="0"/>
    <m/>
    <n v="924"/>
    <n v="20"/>
    <x v="237"/>
    <x v="176"/>
    <s v=""/>
  </r>
  <r>
    <x v="360"/>
    <x v="3"/>
    <s v="52.520008"/>
    <s v="13.404954"/>
    <x v="4"/>
    <s v="Small (11-200)"/>
    <x v="4"/>
    <d v="2024-04-21T00:00:00"/>
    <x v="2"/>
    <x v="2"/>
    <n v="3"/>
    <x v="0"/>
    <m/>
    <n v="352"/>
    <n v="20"/>
    <x v="213"/>
    <x v="176"/>
    <s v=""/>
  </r>
  <r>
    <x v="361"/>
    <x v="5"/>
    <s v="46.204391"/>
    <s v="6.143158"/>
    <x v="1"/>
    <s v="Small (11-200)"/>
    <x v="2"/>
    <d v="2024-03-05T00:00:00"/>
    <x v="2"/>
    <x v="2"/>
    <n v="3"/>
    <x v="0"/>
    <m/>
    <n v="779"/>
    <n v="30"/>
    <x v="238"/>
    <x v="176"/>
    <s v=""/>
  </r>
  <r>
    <x v="362"/>
    <x v="8"/>
    <s v="38.736946"/>
    <s v="-9.142685"/>
    <x v="0"/>
    <s v="Small (11-200)"/>
    <x v="6"/>
    <d v="2024-04-18T00:00:00"/>
    <x v="0"/>
    <x v="2"/>
    <n v="3"/>
    <x v="0"/>
    <m/>
    <n v="1369"/>
    <n v="10"/>
    <x v="239"/>
    <x v="176"/>
    <s v=""/>
  </r>
  <r>
    <x v="363"/>
    <x v="6"/>
    <s v="48.864716"/>
    <s v="2.349014"/>
    <x v="10"/>
    <s v="Small (11-200)"/>
    <x v="3"/>
    <d v="2024-04-27T00:00:00"/>
    <x v="0"/>
    <x v="2"/>
    <n v="3"/>
    <x v="0"/>
    <m/>
    <n v="585"/>
    <n v="50"/>
    <x v="132"/>
    <x v="176"/>
    <s v=""/>
  </r>
  <r>
    <x v="364"/>
    <x v="5"/>
    <s v="46.204391"/>
    <s v="6.143158"/>
    <x v="0"/>
    <s v="Small (11-200)"/>
    <x v="0"/>
    <d v="2024-05-09T00:00:00"/>
    <x v="2"/>
    <x v="2"/>
    <n v="3"/>
    <x v="0"/>
    <m/>
    <n v="372"/>
    <n v="100"/>
    <x v="240"/>
    <x v="176"/>
    <s v=""/>
  </r>
  <r>
    <x v="365"/>
    <x v="6"/>
    <s v="48.864716"/>
    <s v="2.349014"/>
    <x v="12"/>
    <s v="Small (11-200)"/>
    <x v="3"/>
    <d v="2024-04-27T00:00:00"/>
    <x v="2"/>
    <x v="2"/>
    <n v="3"/>
    <x v="0"/>
    <m/>
    <n v="1915"/>
    <n v="30"/>
    <x v="52"/>
    <x v="176"/>
    <s v=""/>
  </r>
  <r>
    <x v="366"/>
    <x v="3"/>
    <s v="52.520008"/>
    <s v="13.404954"/>
    <x v="3"/>
    <s v="Small (11-200)"/>
    <x v="0"/>
    <d v="2024-02-24T00:00:00"/>
    <x v="2"/>
    <x v="2"/>
    <n v="3"/>
    <x v="0"/>
    <m/>
    <n v="1932"/>
    <n v="90"/>
    <x v="204"/>
    <x v="176"/>
    <s v=""/>
  </r>
  <r>
    <x v="367"/>
    <x v="6"/>
    <s v="48.864716"/>
    <s v="2.349014"/>
    <x v="3"/>
    <s v="Small (11-200)"/>
    <x v="3"/>
    <d v="2024-04-15T00:00:00"/>
    <x v="2"/>
    <x v="2"/>
    <n v="3"/>
    <x v="0"/>
    <m/>
    <n v="1366"/>
    <n v="40"/>
    <x v="139"/>
    <x v="176"/>
    <s v=""/>
  </r>
  <r>
    <x v="368"/>
    <x v="2"/>
    <s v="41.902782"/>
    <s v="12.496366"/>
    <x v="4"/>
    <s v="Small (11-200)"/>
    <x v="7"/>
    <d v="2024-05-19T00:00:00"/>
    <x v="0"/>
    <x v="2"/>
    <n v="3"/>
    <x v="0"/>
    <m/>
    <n v="1379"/>
    <n v="60"/>
    <x v="201"/>
    <x v="176"/>
    <s v=""/>
  </r>
  <r>
    <x v="369"/>
    <x v="3"/>
    <s v="52.520008"/>
    <s v="13.404954"/>
    <x v="0"/>
    <s v="Small (11-200)"/>
    <x v="3"/>
    <d v="2024-01-03T00:00:00"/>
    <x v="0"/>
    <x v="2"/>
    <n v="3"/>
    <x v="0"/>
    <m/>
    <n v="689"/>
    <n v="90"/>
    <x v="90"/>
    <x v="176"/>
    <s v=""/>
  </r>
  <r>
    <x v="370"/>
    <x v="7"/>
    <s v="48.210033"/>
    <s v="16.363449"/>
    <x v="5"/>
    <s v="Small (11-200)"/>
    <x v="7"/>
    <d v="2024-03-24T00:00:00"/>
    <x v="0"/>
    <x v="2"/>
    <n v="3"/>
    <x v="0"/>
    <m/>
    <n v="791"/>
    <n v="50"/>
    <x v="178"/>
    <x v="176"/>
    <s v=""/>
  </r>
  <r>
    <x v="371"/>
    <x v="7"/>
    <s v="48.210033"/>
    <s v="16.363449"/>
    <x v="7"/>
    <s v="Small (11-200)"/>
    <x v="4"/>
    <d v="2024-01-25T00:00:00"/>
    <x v="2"/>
    <x v="2"/>
    <n v="3"/>
    <x v="0"/>
    <m/>
    <n v="680"/>
    <n v="20"/>
    <x v="178"/>
    <x v="176"/>
    <s v=""/>
  </r>
  <r>
    <x v="372"/>
    <x v="2"/>
    <s v="41.902782"/>
    <s v="12.496366"/>
    <x v="0"/>
    <s v="Small (11-200)"/>
    <x v="7"/>
    <d v="2024-01-28T00:00:00"/>
    <x v="2"/>
    <x v="2"/>
    <n v="3"/>
    <x v="0"/>
    <m/>
    <n v="655"/>
    <n v="90"/>
    <x v="94"/>
    <x v="176"/>
    <s v=""/>
  </r>
  <r>
    <x v="373"/>
    <x v="7"/>
    <s v="48.210033"/>
    <s v="16.363449"/>
    <x v="3"/>
    <s v="Small (11-200)"/>
    <x v="5"/>
    <d v="2024-01-13T00:00:00"/>
    <x v="2"/>
    <x v="2"/>
    <n v="3"/>
    <x v="0"/>
    <m/>
    <n v="1273"/>
    <n v="20"/>
    <x v="241"/>
    <x v="176"/>
    <s v=""/>
  </r>
  <r>
    <x v="374"/>
    <x v="8"/>
    <s v="38.736946"/>
    <s v="-9.142685"/>
    <x v="4"/>
    <s v="Small (11-200)"/>
    <x v="4"/>
    <d v="2024-05-19T00:00:00"/>
    <x v="2"/>
    <x v="2"/>
    <n v="3"/>
    <x v="0"/>
    <m/>
    <n v="556"/>
    <n v="20"/>
    <x v="242"/>
    <x v="176"/>
    <s v=""/>
  </r>
  <r>
    <x v="375"/>
    <x v="2"/>
    <s v="41.902782"/>
    <s v="12.496366"/>
    <x v="2"/>
    <s v="Small (11-200)"/>
    <x v="3"/>
    <d v="2024-02-18T00:00:00"/>
    <x v="2"/>
    <x v="2"/>
    <n v="3"/>
    <x v="0"/>
    <m/>
    <n v="281"/>
    <n v="20"/>
    <x v="179"/>
    <x v="176"/>
    <s v=""/>
  </r>
  <r>
    <x v="376"/>
    <x v="5"/>
    <s v="46.204391"/>
    <s v="6.143158"/>
    <x v="13"/>
    <s v="Small (11-200)"/>
    <x v="0"/>
    <d v="2024-05-10T00:00:00"/>
    <x v="0"/>
    <x v="2"/>
    <n v="3"/>
    <x v="0"/>
    <m/>
    <n v="598"/>
    <n v="40"/>
    <x v="94"/>
    <x v="176"/>
    <s v=""/>
  </r>
  <r>
    <x v="377"/>
    <x v="5"/>
    <s v="46.204391"/>
    <s v="6.143158"/>
    <x v="0"/>
    <s v="Small (11-200)"/>
    <x v="1"/>
    <d v="2024-04-04T00:00:00"/>
    <x v="2"/>
    <x v="2"/>
    <n v="3"/>
    <x v="0"/>
    <m/>
    <n v="1896"/>
    <n v="100"/>
    <x v="44"/>
    <x v="176"/>
    <s v=""/>
  </r>
  <r>
    <x v="378"/>
    <x v="1"/>
    <s v="40.416775"/>
    <s v="-3.703790"/>
    <x v="8"/>
    <s v="Small (11-200)"/>
    <x v="1"/>
    <d v="2024-02-29T00:00:00"/>
    <x v="0"/>
    <x v="2"/>
    <n v="3"/>
    <x v="0"/>
    <m/>
    <n v="1206"/>
    <n v="70"/>
    <x v="57"/>
    <x v="176"/>
    <s v=""/>
  </r>
  <r>
    <x v="379"/>
    <x v="1"/>
    <s v="40.416775"/>
    <s v="-3.703790"/>
    <x v="3"/>
    <s v="Small (11-200)"/>
    <x v="3"/>
    <d v="2024-03-16T00:00:00"/>
    <x v="2"/>
    <x v="2"/>
    <n v="3"/>
    <x v="0"/>
    <m/>
    <n v="1915"/>
    <n v="10"/>
    <x v="243"/>
    <x v="176"/>
    <s v=""/>
  </r>
  <r>
    <x v="380"/>
    <x v="5"/>
    <s v="46.204391"/>
    <s v="6.143158"/>
    <x v="13"/>
    <s v="Small (11-200)"/>
    <x v="3"/>
    <d v="2024-02-11T00:00:00"/>
    <x v="2"/>
    <x v="2"/>
    <n v="3"/>
    <x v="0"/>
    <m/>
    <n v="766"/>
    <n v="30"/>
    <x v="60"/>
    <x v="176"/>
    <s v=""/>
  </r>
  <r>
    <x v="381"/>
    <x v="1"/>
    <s v="40.416775"/>
    <s v="-3.703790"/>
    <x v="0"/>
    <s v="Small (11-200)"/>
    <x v="2"/>
    <d v="2024-04-18T00:00:00"/>
    <x v="0"/>
    <x v="2"/>
    <n v="3"/>
    <x v="0"/>
    <m/>
    <n v="1609"/>
    <n v="80"/>
    <x v="244"/>
    <x v="176"/>
    <s v=""/>
  </r>
  <r>
    <x v="382"/>
    <x v="7"/>
    <s v="48.210033"/>
    <s v="16.363449"/>
    <x v="1"/>
    <s v="Small (11-200)"/>
    <x v="4"/>
    <d v="2024-03-23T00:00:00"/>
    <x v="0"/>
    <x v="2"/>
    <n v="3"/>
    <x v="0"/>
    <m/>
    <n v="560"/>
    <n v="60"/>
    <x v="133"/>
    <x v="176"/>
    <s v=""/>
  </r>
  <r>
    <x v="383"/>
    <x v="6"/>
    <s v="48.864716"/>
    <s v="2.349014"/>
    <x v="1"/>
    <s v="Small (11-200)"/>
    <x v="2"/>
    <d v="2024-01-02T00:00:00"/>
    <x v="2"/>
    <x v="2"/>
    <n v="3"/>
    <x v="0"/>
    <m/>
    <n v="432"/>
    <n v="20"/>
    <x v="204"/>
    <x v="176"/>
    <s v=""/>
  </r>
  <r>
    <x v="384"/>
    <x v="5"/>
    <s v="46.204391"/>
    <s v="6.143158"/>
    <x v="0"/>
    <s v="Small (11-200)"/>
    <x v="1"/>
    <d v="2024-05-20T00:00:00"/>
    <x v="0"/>
    <x v="2"/>
    <n v="3"/>
    <x v="0"/>
    <m/>
    <n v="625"/>
    <n v="90"/>
    <x v="148"/>
    <x v="176"/>
    <s v=""/>
  </r>
  <r>
    <x v="385"/>
    <x v="4"/>
    <s v="51.260197"/>
    <s v="4.402771"/>
    <x v="11"/>
    <s v="Small (11-200)"/>
    <x v="2"/>
    <d v="2024-04-04T00:00:00"/>
    <x v="2"/>
    <x v="2"/>
    <n v="3"/>
    <x v="0"/>
    <m/>
    <n v="980"/>
    <n v="30"/>
    <x v="245"/>
    <x v="176"/>
    <s v=""/>
  </r>
  <r>
    <x v="386"/>
    <x v="2"/>
    <s v="41.902782"/>
    <s v="12.496366"/>
    <x v="4"/>
    <s v="Small (11-200)"/>
    <x v="6"/>
    <d v="2024-04-02T00:00:00"/>
    <x v="0"/>
    <x v="2"/>
    <n v="3"/>
    <x v="0"/>
    <m/>
    <n v="1471"/>
    <n v="40"/>
    <x v="246"/>
    <x v="176"/>
    <s v=""/>
  </r>
  <r>
    <x v="387"/>
    <x v="1"/>
    <s v="40.416775"/>
    <s v="-3.703790"/>
    <x v="11"/>
    <s v="Small (11-200)"/>
    <x v="2"/>
    <d v="2024-04-20T00:00:00"/>
    <x v="0"/>
    <x v="2"/>
    <n v="3"/>
    <x v="0"/>
    <m/>
    <n v="900"/>
    <n v="40"/>
    <x v="247"/>
    <x v="176"/>
    <s v=""/>
  </r>
  <r>
    <x v="388"/>
    <x v="3"/>
    <s v="52.520008"/>
    <s v="13.404954"/>
    <x v="8"/>
    <s v="Small (11-200)"/>
    <x v="6"/>
    <d v="2024-01-28T00:00:00"/>
    <x v="0"/>
    <x v="2"/>
    <n v="3"/>
    <x v="0"/>
    <m/>
    <n v="1289"/>
    <n v="60"/>
    <x v="7"/>
    <x v="176"/>
    <s v=""/>
  </r>
  <r>
    <x v="389"/>
    <x v="6"/>
    <s v="48.864716"/>
    <s v="2.349014"/>
    <x v="10"/>
    <s v="Small (11-200)"/>
    <x v="0"/>
    <d v="2024-05-31T00:00:00"/>
    <x v="1"/>
    <x v="2"/>
    <n v="3"/>
    <x v="0"/>
    <m/>
    <n v="250"/>
    <n v="20"/>
    <x v="107"/>
    <x v="176"/>
    <s v=""/>
  </r>
  <r>
    <x v="390"/>
    <x v="6"/>
    <s v="48.864716"/>
    <s v="2.349014"/>
    <x v="5"/>
    <s v="Small (11-200)"/>
    <x v="7"/>
    <d v="2024-02-05T00:00:00"/>
    <x v="2"/>
    <x v="2"/>
    <n v="3"/>
    <x v="0"/>
    <m/>
    <n v="657"/>
    <n v="40"/>
    <x v="169"/>
    <x v="176"/>
    <s v=""/>
  </r>
  <r>
    <x v="391"/>
    <x v="3"/>
    <s v="52.520008"/>
    <s v="13.404954"/>
    <x v="8"/>
    <s v="Small (11-200)"/>
    <x v="6"/>
    <d v="2024-01-18T00:00:00"/>
    <x v="2"/>
    <x v="2"/>
    <n v="3"/>
    <x v="0"/>
    <m/>
    <n v="1258"/>
    <n v="60"/>
    <x v="173"/>
    <x v="176"/>
    <s v=""/>
  </r>
  <r>
    <x v="392"/>
    <x v="8"/>
    <s v="38.736946"/>
    <s v="-9.142685"/>
    <x v="2"/>
    <s v="Small (11-200)"/>
    <x v="4"/>
    <d v="2024-05-03T00:00:00"/>
    <x v="2"/>
    <x v="2"/>
    <n v="3"/>
    <x v="0"/>
    <m/>
    <n v="360"/>
    <n v="30"/>
    <x v="147"/>
    <x v="176"/>
    <s v=""/>
  </r>
  <r>
    <x v="393"/>
    <x v="6"/>
    <s v="48.864716"/>
    <s v="2.349014"/>
    <x v="13"/>
    <s v="Small (11-200)"/>
    <x v="2"/>
    <d v="2024-04-18T00:00:00"/>
    <x v="0"/>
    <x v="2"/>
    <n v="3"/>
    <x v="0"/>
    <m/>
    <n v="1626"/>
    <n v="50"/>
    <x v="34"/>
    <x v="176"/>
    <s v=""/>
  </r>
  <r>
    <x v="394"/>
    <x v="2"/>
    <s v="41.902782"/>
    <s v="12.496366"/>
    <x v="9"/>
    <s v="Small (11-200)"/>
    <x v="4"/>
    <d v="2024-02-15T00:00:00"/>
    <x v="0"/>
    <x v="2"/>
    <n v="3"/>
    <x v="0"/>
    <m/>
    <n v="472"/>
    <n v="50"/>
    <x v="24"/>
    <x v="176"/>
    <s v=""/>
  </r>
  <r>
    <x v="395"/>
    <x v="7"/>
    <s v="48.210033"/>
    <s v="16.363449"/>
    <x v="4"/>
    <s v="Small (11-200)"/>
    <x v="1"/>
    <d v="2024-05-08T00:00:00"/>
    <x v="2"/>
    <x v="2"/>
    <n v="3"/>
    <x v="0"/>
    <m/>
    <n v="727"/>
    <n v="40"/>
    <x v="248"/>
    <x v="176"/>
    <s v=""/>
  </r>
  <r>
    <x v="396"/>
    <x v="5"/>
    <s v="46.204391"/>
    <s v="6.143158"/>
    <x v="3"/>
    <s v="Small (11-200)"/>
    <x v="4"/>
    <d v="2024-01-29T00:00:00"/>
    <x v="1"/>
    <x v="2"/>
    <n v="3"/>
    <x v="0"/>
    <m/>
    <n v="1801"/>
    <n v="90"/>
    <x v="249"/>
    <x v="176"/>
    <s v=""/>
  </r>
  <r>
    <x v="397"/>
    <x v="5"/>
    <s v="46.204391"/>
    <s v="6.143158"/>
    <x v="12"/>
    <s v="Micro (1-10)"/>
    <x v="3"/>
    <d v="2024-03-19T00:00:00"/>
    <x v="0"/>
    <x v="2"/>
    <n v="3"/>
    <x v="0"/>
    <m/>
    <n v="926"/>
    <n v="30"/>
    <x v="250"/>
    <x v="176"/>
    <s v=""/>
  </r>
  <r>
    <x v="398"/>
    <x v="2"/>
    <s v="41.902782"/>
    <s v="12.496366"/>
    <x v="11"/>
    <s v="Micro (1-10)"/>
    <x v="3"/>
    <d v="2024-03-04T00:00:00"/>
    <x v="2"/>
    <x v="2"/>
    <n v="3"/>
    <x v="0"/>
    <m/>
    <n v="438"/>
    <n v="30"/>
    <x v="251"/>
    <x v="176"/>
    <s v=""/>
  </r>
  <r>
    <x v="399"/>
    <x v="2"/>
    <s v="41.902782"/>
    <s v="12.496366"/>
    <x v="9"/>
    <s v="Micro (1-10)"/>
    <x v="4"/>
    <d v="2024-01-05T00:00:00"/>
    <x v="2"/>
    <x v="2"/>
    <n v="3"/>
    <x v="0"/>
    <m/>
    <n v="577"/>
    <n v="30"/>
    <x v="68"/>
    <x v="176"/>
    <s v=""/>
  </r>
  <r>
    <x v="400"/>
    <x v="3"/>
    <s v="52.520008"/>
    <s v="13.404954"/>
    <x v="8"/>
    <s v="Micro (1-10)"/>
    <x v="2"/>
    <d v="2024-03-18T00:00:00"/>
    <x v="2"/>
    <x v="2"/>
    <n v="3"/>
    <x v="0"/>
    <m/>
    <n v="530"/>
    <n v="40"/>
    <x v="219"/>
    <x v="176"/>
    <s v=""/>
  </r>
  <r>
    <x v="401"/>
    <x v="7"/>
    <s v="48.210033"/>
    <s v="16.363449"/>
    <x v="11"/>
    <s v="Micro (1-10)"/>
    <x v="2"/>
    <d v="2024-01-02T00:00:00"/>
    <x v="0"/>
    <x v="2"/>
    <n v="3"/>
    <x v="0"/>
    <m/>
    <n v="696"/>
    <n v="60"/>
    <x v="154"/>
    <x v="176"/>
    <s v=""/>
  </r>
  <r>
    <x v="402"/>
    <x v="4"/>
    <s v="51.260197"/>
    <s v="4.402771"/>
    <x v="0"/>
    <s v="Micro (1-10)"/>
    <x v="3"/>
    <d v="2024-04-29T00:00:00"/>
    <x v="0"/>
    <x v="2"/>
    <n v="3"/>
    <x v="0"/>
    <m/>
    <n v="214"/>
    <n v="20"/>
    <x v="112"/>
    <x v="176"/>
    <s v=""/>
  </r>
  <r>
    <x v="403"/>
    <x v="2"/>
    <s v="41.902782"/>
    <s v="12.496366"/>
    <x v="7"/>
    <s v="Micro (1-10)"/>
    <x v="6"/>
    <d v="2024-04-16T00:00:00"/>
    <x v="0"/>
    <x v="2"/>
    <n v="3"/>
    <x v="0"/>
    <m/>
    <n v="744"/>
    <n v="30"/>
    <x v="95"/>
    <x v="176"/>
    <s v=""/>
  </r>
  <r>
    <x v="404"/>
    <x v="4"/>
    <s v="51.260197"/>
    <s v="4.402771"/>
    <x v="1"/>
    <s v="Micro (1-10)"/>
    <x v="4"/>
    <d v="2024-02-14T00:00:00"/>
    <x v="2"/>
    <x v="2"/>
    <n v="3"/>
    <x v="0"/>
    <m/>
    <n v="368"/>
    <n v="50"/>
    <x v="252"/>
    <x v="176"/>
    <s v=""/>
  </r>
  <r>
    <x v="405"/>
    <x v="0"/>
    <s v="52.370216"/>
    <s v="4.895168"/>
    <x v="0"/>
    <s v="Micro (1-10)"/>
    <x v="5"/>
    <d v="2024-04-15T00:00:00"/>
    <x v="2"/>
    <x v="2"/>
    <n v="3"/>
    <x v="0"/>
    <m/>
    <n v="963"/>
    <n v="30"/>
    <x v="253"/>
    <x v="176"/>
    <s v=""/>
  </r>
  <r>
    <x v="406"/>
    <x v="3"/>
    <s v="52.520008"/>
    <s v="13.404954"/>
    <x v="4"/>
    <s v="Micro (1-10)"/>
    <x v="3"/>
    <d v="2024-05-08T00:00:00"/>
    <x v="2"/>
    <x v="2"/>
    <n v="3"/>
    <x v="0"/>
    <m/>
    <n v="960"/>
    <n v="50"/>
    <x v="159"/>
    <x v="176"/>
    <s v=""/>
  </r>
  <r>
    <x v="407"/>
    <x v="6"/>
    <s v="48.864716"/>
    <s v="2.349014"/>
    <x v="13"/>
    <s v="Micro (1-10)"/>
    <x v="2"/>
    <d v="2024-04-20T00:00:00"/>
    <x v="0"/>
    <x v="2"/>
    <n v="3"/>
    <x v="0"/>
    <m/>
    <n v="1053"/>
    <n v="10"/>
    <x v="254"/>
    <x v="176"/>
    <s v=""/>
  </r>
  <r>
    <x v="408"/>
    <x v="5"/>
    <s v="46.204391"/>
    <s v="6.143158"/>
    <x v="12"/>
    <s v="Micro (1-10)"/>
    <x v="6"/>
    <d v="2024-05-13T00:00:00"/>
    <x v="0"/>
    <x v="2"/>
    <n v="3"/>
    <x v="0"/>
    <m/>
    <n v="1035"/>
    <n v="50"/>
    <x v="201"/>
    <x v="176"/>
    <s v=""/>
  </r>
  <r>
    <x v="409"/>
    <x v="6"/>
    <s v="48.864716"/>
    <s v="2.349014"/>
    <x v="9"/>
    <s v="Micro (1-10)"/>
    <x v="7"/>
    <d v="2024-04-03T00:00:00"/>
    <x v="0"/>
    <x v="2"/>
    <n v="3"/>
    <x v="0"/>
    <m/>
    <n v="951"/>
    <n v="50"/>
    <x v="255"/>
    <x v="176"/>
    <s v=""/>
  </r>
  <r>
    <x v="410"/>
    <x v="5"/>
    <s v="46.204391"/>
    <s v="6.143158"/>
    <x v="3"/>
    <s v="Micro (1-10)"/>
    <x v="3"/>
    <d v="2024-05-05T00:00:00"/>
    <x v="0"/>
    <x v="2"/>
    <n v="3"/>
    <x v="0"/>
    <m/>
    <n v="788"/>
    <n v="20"/>
    <x v="255"/>
    <x v="176"/>
    <s v=""/>
  </r>
  <r>
    <x v="411"/>
    <x v="6"/>
    <s v="48.864716"/>
    <s v="2.349014"/>
    <x v="0"/>
    <s v="Micro (1-10)"/>
    <x v="3"/>
    <d v="2024-01-23T00:00:00"/>
    <x v="1"/>
    <x v="2"/>
    <n v="3"/>
    <x v="0"/>
    <m/>
    <n v="674"/>
    <n v="50"/>
    <x v="256"/>
    <x v="176"/>
    <s v=""/>
  </r>
  <r>
    <x v="412"/>
    <x v="6"/>
    <s v="48.864716"/>
    <s v="2.349014"/>
    <x v="10"/>
    <s v="Micro (1-10)"/>
    <x v="0"/>
    <d v="2024-01-28T00:00:00"/>
    <x v="2"/>
    <x v="2"/>
    <n v="3"/>
    <x v="0"/>
    <m/>
    <n v="1140"/>
    <n v="20"/>
    <x v="167"/>
    <x v="176"/>
    <s v=""/>
  </r>
  <r>
    <x v="413"/>
    <x v="5"/>
    <s v="46.204391"/>
    <s v="6.143158"/>
    <x v="11"/>
    <s v="Micro (1-10)"/>
    <x v="5"/>
    <d v="2024-04-22T00:00:00"/>
    <x v="2"/>
    <x v="2"/>
    <n v="3"/>
    <x v="0"/>
    <m/>
    <n v="1087"/>
    <n v="90"/>
    <x v="79"/>
    <x v="176"/>
    <s v=""/>
  </r>
  <r>
    <x v="414"/>
    <x v="2"/>
    <s v="41.902782"/>
    <s v="12.496366"/>
    <x v="2"/>
    <s v="Micro (1-10)"/>
    <x v="2"/>
    <d v="2024-05-03T00:00:00"/>
    <x v="2"/>
    <x v="2"/>
    <n v="3"/>
    <x v="0"/>
    <m/>
    <n v="1110"/>
    <n v="30"/>
    <x v="213"/>
    <x v="176"/>
    <s v=""/>
  </r>
  <r>
    <x v="415"/>
    <x v="6"/>
    <s v="48.864716"/>
    <s v="2.349014"/>
    <x v="4"/>
    <s v="Micro (1-10)"/>
    <x v="5"/>
    <d v="2024-02-07T00:00:00"/>
    <x v="0"/>
    <x v="2"/>
    <n v="3"/>
    <x v="0"/>
    <m/>
    <n v="885"/>
    <n v="70"/>
    <x v="176"/>
    <x v="176"/>
    <s v=""/>
  </r>
  <r>
    <x v="416"/>
    <x v="6"/>
    <s v="48.864716"/>
    <s v="2.349014"/>
    <x v="4"/>
    <s v="Micro (1-10)"/>
    <x v="2"/>
    <d v="2024-01-23T00:00:00"/>
    <x v="0"/>
    <x v="2"/>
    <n v="3"/>
    <x v="0"/>
    <m/>
    <n v="1174"/>
    <n v="60"/>
    <x v="47"/>
    <x v="176"/>
    <s v=""/>
  </r>
  <r>
    <x v="417"/>
    <x v="6"/>
    <s v="48.864716"/>
    <s v="2.349014"/>
    <x v="5"/>
    <s v="Micro (1-10)"/>
    <x v="7"/>
    <d v="2024-02-08T00:00:00"/>
    <x v="0"/>
    <x v="2"/>
    <n v="3"/>
    <x v="0"/>
    <m/>
    <n v="350"/>
    <n v="50"/>
    <x v="257"/>
    <x v="176"/>
    <s v=""/>
  </r>
  <r>
    <x v="418"/>
    <x v="2"/>
    <s v="41.902782"/>
    <s v="12.496366"/>
    <x v="10"/>
    <s v="Micro (1-10)"/>
    <x v="4"/>
    <d v="2024-04-03T00:00:00"/>
    <x v="2"/>
    <x v="2"/>
    <n v="3"/>
    <x v="0"/>
    <m/>
    <n v="552"/>
    <n v="30"/>
    <x v="9"/>
    <x v="176"/>
    <s v=""/>
  </r>
  <r>
    <x v="419"/>
    <x v="8"/>
    <s v="38.736946"/>
    <s v="-9.142685"/>
    <x v="8"/>
    <s v="Micro (1-10)"/>
    <x v="7"/>
    <d v="2024-05-19T00:00:00"/>
    <x v="1"/>
    <x v="2"/>
    <n v="3"/>
    <x v="0"/>
    <m/>
    <n v="595"/>
    <n v="40"/>
    <x v="100"/>
    <x v="176"/>
    <s v=""/>
  </r>
  <r>
    <x v="420"/>
    <x v="2"/>
    <s v="41.902782"/>
    <s v="12.496366"/>
    <x v="4"/>
    <s v="Micro (1-10)"/>
    <x v="2"/>
    <d v="2024-05-14T00:00:00"/>
    <x v="0"/>
    <x v="2"/>
    <n v="3"/>
    <x v="0"/>
    <m/>
    <n v="341"/>
    <n v="90"/>
    <x v="258"/>
    <x v="176"/>
    <s v=""/>
  </r>
  <r>
    <x v="421"/>
    <x v="5"/>
    <s v="46.204391"/>
    <s v="6.143158"/>
    <x v="2"/>
    <s v="Micro (1-10)"/>
    <x v="6"/>
    <d v="2024-03-06T00:00:00"/>
    <x v="0"/>
    <x v="2"/>
    <n v="3"/>
    <x v="0"/>
    <m/>
    <n v="586"/>
    <n v="100"/>
    <x v="259"/>
    <x v="176"/>
    <s v=""/>
  </r>
  <r>
    <x v="422"/>
    <x v="2"/>
    <s v="41.902782"/>
    <s v="12.496366"/>
    <x v="12"/>
    <s v="Micro (1-10)"/>
    <x v="6"/>
    <d v="2024-01-18T00:00:00"/>
    <x v="2"/>
    <x v="2"/>
    <n v="3"/>
    <x v="0"/>
    <m/>
    <n v="798"/>
    <n v="20"/>
    <x v="260"/>
    <x v="176"/>
    <s v=""/>
  </r>
  <r>
    <x v="423"/>
    <x v="5"/>
    <s v="46.204391"/>
    <s v="6.143158"/>
    <x v="10"/>
    <s v="Micro (1-10)"/>
    <x v="6"/>
    <d v="2024-04-15T00:00:00"/>
    <x v="0"/>
    <x v="2"/>
    <n v="3"/>
    <x v="0"/>
    <m/>
    <n v="1038"/>
    <n v="50"/>
    <x v="259"/>
    <x v="176"/>
    <s v=""/>
  </r>
  <r>
    <x v="424"/>
    <x v="6"/>
    <s v="48.864716"/>
    <s v="2.349014"/>
    <x v="9"/>
    <s v="Micro (1-10)"/>
    <x v="3"/>
    <d v="2024-02-14T00:00:00"/>
    <x v="1"/>
    <x v="2"/>
    <n v="3"/>
    <x v="0"/>
    <m/>
    <n v="461"/>
    <n v="40"/>
    <x v="261"/>
    <x v="176"/>
    <s v=""/>
  </r>
  <r>
    <x v="425"/>
    <x v="7"/>
    <s v="48.210033"/>
    <s v="16.363449"/>
    <x v="9"/>
    <s v="Micro (1-10)"/>
    <x v="4"/>
    <d v="2024-04-28T00:00:00"/>
    <x v="0"/>
    <x v="2"/>
    <n v="3"/>
    <x v="0"/>
    <m/>
    <n v="726"/>
    <n v="40"/>
    <x v="262"/>
    <x v="176"/>
    <s v=""/>
  </r>
  <r>
    <x v="426"/>
    <x v="2"/>
    <s v="41.902782"/>
    <s v="12.496366"/>
    <x v="5"/>
    <s v="Micro (1-10)"/>
    <x v="2"/>
    <d v="2024-03-17T00:00:00"/>
    <x v="0"/>
    <x v="2"/>
    <n v="3"/>
    <x v="0"/>
    <m/>
    <n v="830"/>
    <n v="60"/>
    <x v="118"/>
    <x v="176"/>
    <s v=""/>
  </r>
  <r>
    <x v="427"/>
    <x v="3"/>
    <s v="52.520008"/>
    <s v="13.404954"/>
    <x v="11"/>
    <s v="Micro (1-10)"/>
    <x v="2"/>
    <d v="2024-01-13T00:00:00"/>
    <x v="0"/>
    <x v="2"/>
    <n v="3"/>
    <x v="0"/>
    <m/>
    <n v="278"/>
    <n v="50"/>
    <x v="64"/>
    <x v="176"/>
    <s v=""/>
  </r>
  <r>
    <x v="428"/>
    <x v="3"/>
    <s v="52.520008"/>
    <s v="13.404954"/>
    <x v="13"/>
    <s v="Micro (1-10)"/>
    <x v="3"/>
    <d v="2024-04-21T00:00:00"/>
    <x v="2"/>
    <x v="2"/>
    <n v="3"/>
    <x v="0"/>
    <m/>
    <n v="958"/>
    <n v="70"/>
    <x v="220"/>
    <x v="176"/>
    <s v=""/>
  </r>
  <r>
    <x v="429"/>
    <x v="8"/>
    <s v="38.736946"/>
    <s v="-9.142685"/>
    <x v="11"/>
    <s v="Micro (1-10)"/>
    <x v="4"/>
    <d v="2024-03-25T00:00:00"/>
    <x v="0"/>
    <x v="2"/>
    <n v="3"/>
    <x v="0"/>
    <m/>
    <n v="926"/>
    <n v="20"/>
    <x v="263"/>
    <x v="176"/>
    <s v=""/>
  </r>
  <r>
    <x v="430"/>
    <x v="8"/>
    <s v="38.736946"/>
    <s v="-9.142685"/>
    <x v="2"/>
    <s v="Micro (1-10)"/>
    <x v="7"/>
    <d v="2024-01-07T00:00:00"/>
    <x v="0"/>
    <x v="2"/>
    <n v="3"/>
    <x v="0"/>
    <m/>
    <n v="620"/>
    <n v="70"/>
    <x v="20"/>
    <x v="176"/>
    <s v=""/>
  </r>
  <r>
    <x v="431"/>
    <x v="7"/>
    <s v="48.210033"/>
    <s v="16.363449"/>
    <x v="8"/>
    <s v="Micro (1-10)"/>
    <x v="3"/>
    <d v="2024-04-10T00:00:00"/>
    <x v="0"/>
    <x v="2"/>
    <n v="3"/>
    <x v="0"/>
    <m/>
    <n v="636"/>
    <n v="60"/>
    <x v="264"/>
    <x v="176"/>
    <s v=""/>
  </r>
  <r>
    <x v="432"/>
    <x v="7"/>
    <s v="48.210033"/>
    <s v="16.363449"/>
    <x v="8"/>
    <s v="Micro (1-10)"/>
    <x v="2"/>
    <d v="2024-01-22T00:00:00"/>
    <x v="2"/>
    <x v="2"/>
    <n v="3"/>
    <x v="0"/>
    <m/>
    <n v="982"/>
    <n v="50"/>
    <x v="194"/>
    <x v="176"/>
    <s v=""/>
  </r>
  <r>
    <x v="433"/>
    <x v="7"/>
    <s v="48.210033"/>
    <s v="16.363449"/>
    <x v="0"/>
    <s v="Micro (1-10)"/>
    <x v="3"/>
    <d v="2024-01-24T00:00:00"/>
    <x v="2"/>
    <x v="2"/>
    <n v="3"/>
    <x v="0"/>
    <m/>
    <n v="982"/>
    <n v="60"/>
    <x v="34"/>
    <x v="176"/>
    <s v=""/>
  </r>
  <r>
    <x v="434"/>
    <x v="3"/>
    <s v="52.520008"/>
    <s v="13.404954"/>
    <x v="13"/>
    <s v="Micro (1-10)"/>
    <x v="0"/>
    <d v="2024-03-08T00:00:00"/>
    <x v="2"/>
    <x v="2"/>
    <n v="3"/>
    <x v="0"/>
    <m/>
    <n v="367"/>
    <n v="100"/>
    <x v="44"/>
    <x v="176"/>
    <s v=""/>
  </r>
  <r>
    <x v="435"/>
    <x v="2"/>
    <s v="41.902782"/>
    <s v="12.496366"/>
    <x v="0"/>
    <s v="Micro (1-10)"/>
    <x v="3"/>
    <d v="2024-01-06T00:00:00"/>
    <x v="0"/>
    <x v="2"/>
    <n v="3"/>
    <x v="0"/>
    <m/>
    <n v="1098"/>
    <n v="40"/>
    <x v="176"/>
    <x v="176"/>
    <s v=""/>
  </r>
  <r>
    <x v="436"/>
    <x v="3"/>
    <s v="52.520008"/>
    <s v="13.404954"/>
    <x v="4"/>
    <s v="Micro (1-10)"/>
    <x v="7"/>
    <d v="2024-04-22T00:00:00"/>
    <x v="1"/>
    <x v="2"/>
    <n v="3"/>
    <x v="0"/>
    <m/>
    <n v="664"/>
    <n v="20"/>
    <x v="217"/>
    <x v="176"/>
    <s v=""/>
  </r>
  <r>
    <x v="437"/>
    <x v="8"/>
    <s v="38.736946"/>
    <s v="-9.142685"/>
    <x v="1"/>
    <s v="Micro (1-10)"/>
    <x v="7"/>
    <d v="2024-05-22T00:00:00"/>
    <x v="2"/>
    <x v="2"/>
    <n v="3"/>
    <x v="0"/>
    <m/>
    <n v="990"/>
    <n v="70"/>
    <x v="47"/>
    <x v="176"/>
    <s v=""/>
  </r>
  <r>
    <x v="438"/>
    <x v="6"/>
    <s v="48.864716"/>
    <s v="2.349014"/>
    <x v="4"/>
    <s v="Micro (1-10)"/>
    <x v="2"/>
    <d v="2024-01-21T00:00:00"/>
    <x v="1"/>
    <x v="2"/>
    <n v="3"/>
    <x v="0"/>
    <m/>
    <n v="1162"/>
    <n v="40"/>
    <x v="162"/>
    <x v="176"/>
    <s v=""/>
  </r>
  <r>
    <x v="439"/>
    <x v="5"/>
    <s v="46.204391"/>
    <s v="6.143158"/>
    <x v="8"/>
    <s v="Medium (201-500)"/>
    <x v="3"/>
    <d v="2024-02-21T00:00:00"/>
    <x v="0"/>
    <x v="2"/>
    <n v="3"/>
    <x v="0"/>
    <m/>
    <n v="3506"/>
    <n v="40"/>
    <x v="225"/>
    <x v="176"/>
    <s v=""/>
  </r>
  <r>
    <x v="440"/>
    <x v="2"/>
    <s v="41.902782"/>
    <s v="12.496366"/>
    <x v="8"/>
    <s v="Medium (201-500)"/>
    <x v="0"/>
    <d v="2024-05-08T00:00:00"/>
    <x v="0"/>
    <x v="2"/>
    <n v="3"/>
    <x v="0"/>
    <m/>
    <n v="289"/>
    <n v="40"/>
    <x v="215"/>
    <x v="176"/>
    <s v=""/>
  </r>
  <r>
    <x v="441"/>
    <x v="5"/>
    <s v="46.204391"/>
    <s v="6.143158"/>
    <x v="7"/>
    <s v="Medium (201-500)"/>
    <x v="3"/>
    <d v="2024-05-14T00:00:00"/>
    <x v="2"/>
    <x v="2"/>
    <n v="3"/>
    <x v="0"/>
    <m/>
    <n v="6754"/>
    <n v="30"/>
    <x v="256"/>
    <x v="176"/>
    <s v=""/>
  </r>
  <r>
    <x v="442"/>
    <x v="2"/>
    <s v="41.902782"/>
    <s v="12.496366"/>
    <x v="2"/>
    <s v="Medium (201-500)"/>
    <x v="6"/>
    <d v="2024-03-12T00:00:00"/>
    <x v="2"/>
    <x v="2"/>
    <n v="3"/>
    <x v="0"/>
    <m/>
    <n v="6897"/>
    <n v="40"/>
    <x v="155"/>
    <x v="176"/>
    <s v=""/>
  </r>
  <r>
    <x v="443"/>
    <x v="8"/>
    <s v="38.736946"/>
    <s v="-9.142685"/>
    <x v="7"/>
    <s v="Medium (201-500)"/>
    <x v="7"/>
    <d v="2024-05-03T00:00:00"/>
    <x v="0"/>
    <x v="2"/>
    <n v="3"/>
    <x v="0"/>
    <m/>
    <n v="1437"/>
    <n v="50"/>
    <x v="265"/>
    <x v="176"/>
    <s v=""/>
  </r>
  <r>
    <x v="444"/>
    <x v="1"/>
    <s v="40.416775"/>
    <s v="-3.703790"/>
    <x v="9"/>
    <s v="Medium (201-500)"/>
    <x v="7"/>
    <d v="2024-04-24T00:00:00"/>
    <x v="2"/>
    <x v="2"/>
    <n v="3"/>
    <x v="0"/>
    <m/>
    <n v="3994"/>
    <n v="30"/>
    <x v="104"/>
    <x v="176"/>
    <s v=""/>
  </r>
  <r>
    <x v="445"/>
    <x v="2"/>
    <s v="41.902782"/>
    <s v="12.496366"/>
    <x v="6"/>
    <s v="Medium (201-500)"/>
    <x v="1"/>
    <d v="2024-01-24T00:00:00"/>
    <x v="1"/>
    <x v="2"/>
    <n v="3"/>
    <x v="0"/>
    <m/>
    <n v="5221"/>
    <n v="40"/>
    <x v="24"/>
    <x v="176"/>
    <s v=""/>
  </r>
  <r>
    <x v="446"/>
    <x v="1"/>
    <s v="40.416775"/>
    <s v="-3.703790"/>
    <x v="8"/>
    <s v="Medium (201-500)"/>
    <x v="7"/>
    <d v="2024-05-16T00:00:00"/>
    <x v="2"/>
    <x v="2"/>
    <n v="3"/>
    <x v="0"/>
    <m/>
    <n v="3292"/>
    <n v="60"/>
    <x v="266"/>
    <x v="176"/>
    <s v=""/>
  </r>
  <r>
    <x v="447"/>
    <x v="7"/>
    <s v="48.210033"/>
    <s v="16.363449"/>
    <x v="0"/>
    <s v="Medium (201-500)"/>
    <x v="0"/>
    <d v="2024-03-19T00:00:00"/>
    <x v="0"/>
    <x v="2"/>
    <n v="3"/>
    <x v="0"/>
    <m/>
    <n v="5877"/>
    <n v="50"/>
    <x v="31"/>
    <x v="176"/>
    <s v=""/>
  </r>
  <r>
    <x v="448"/>
    <x v="8"/>
    <s v="38.736946"/>
    <s v="-9.142685"/>
    <x v="5"/>
    <s v="Medium (201-500)"/>
    <x v="4"/>
    <d v="2024-04-18T00:00:00"/>
    <x v="2"/>
    <x v="2"/>
    <n v="3"/>
    <x v="0"/>
    <m/>
    <n v="7026"/>
    <n v="40"/>
    <x v="135"/>
    <x v="176"/>
    <s v=""/>
  </r>
  <r>
    <x v="449"/>
    <x v="4"/>
    <s v="51.260197"/>
    <s v="4.402771"/>
    <x v="0"/>
    <s v="Medium (201-500)"/>
    <x v="1"/>
    <d v="2024-02-06T00:00:00"/>
    <x v="2"/>
    <x v="2"/>
    <n v="3"/>
    <x v="0"/>
    <m/>
    <n v="692"/>
    <n v="20"/>
    <x v="176"/>
    <x v="176"/>
    <s v=""/>
  </r>
  <r>
    <x v="450"/>
    <x v="4"/>
    <s v="51.260197"/>
    <s v="4.402771"/>
    <x v="3"/>
    <s v="Medium (201-500)"/>
    <x v="2"/>
    <d v="2024-05-16T00:00:00"/>
    <x v="0"/>
    <x v="2"/>
    <n v="3"/>
    <x v="0"/>
    <m/>
    <n v="5158"/>
    <n v="40"/>
    <x v="124"/>
    <x v="176"/>
    <s v=""/>
  </r>
  <r>
    <x v="451"/>
    <x v="4"/>
    <s v="51.260197"/>
    <s v="4.402771"/>
    <x v="1"/>
    <s v="Medium (201-500)"/>
    <x v="7"/>
    <d v="2024-05-08T00:00:00"/>
    <x v="0"/>
    <x v="2"/>
    <n v="3"/>
    <x v="0"/>
    <m/>
    <n v="1485"/>
    <n v="60"/>
    <x v="196"/>
    <x v="176"/>
    <s v=""/>
  </r>
  <r>
    <x v="452"/>
    <x v="5"/>
    <s v="46.204391"/>
    <s v="6.143158"/>
    <x v="3"/>
    <s v="Medium (201-500)"/>
    <x v="2"/>
    <d v="2024-03-08T00:00:00"/>
    <x v="0"/>
    <x v="2"/>
    <n v="3"/>
    <x v="0"/>
    <m/>
    <n v="3139"/>
    <n v="90"/>
    <x v="267"/>
    <x v="176"/>
    <s v=""/>
  </r>
  <r>
    <x v="453"/>
    <x v="8"/>
    <s v="38.736946"/>
    <s v="-9.142685"/>
    <x v="4"/>
    <s v="Medium (201-500)"/>
    <x v="4"/>
    <d v="2024-04-18T00:00:00"/>
    <x v="1"/>
    <x v="2"/>
    <n v="3"/>
    <x v="0"/>
    <m/>
    <n v="7646"/>
    <n v="10"/>
    <x v="103"/>
    <x v="176"/>
    <s v=""/>
  </r>
  <r>
    <x v="454"/>
    <x v="4"/>
    <s v="51.260197"/>
    <s v="4.402771"/>
    <x v="4"/>
    <s v="Medium (201-500)"/>
    <x v="6"/>
    <d v="2024-02-05T00:00:00"/>
    <x v="2"/>
    <x v="2"/>
    <n v="3"/>
    <x v="0"/>
    <m/>
    <n v="7893"/>
    <n v="30"/>
    <x v="78"/>
    <x v="176"/>
    <s v=""/>
  </r>
  <r>
    <x v="455"/>
    <x v="2"/>
    <s v="41.902782"/>
    <s v="12.496366"/>
    <x v="5"/>
    <s v="Medium (201-500)"/>
    <x v="4"/>
    <d v="2024-01-19T00:00:00"/>
    <x v="2"/>
    <x v="2"/>
    <n v="3"/>
    <x v="0"/>
    <m/>
    <n v="2490"/>
    <n v="30"/>
    <x v="268"/>
    <x v="176"/>
    <s v=""/>
  </r>
  <r>
    <x v="456"/>
    <x v="8"/>
    <s v="38.736946"/>
    <s v="-9.142685"/>
    <x v="2"/>
    <s v="Medium (201-500)"/>
    <x v="2"/>
    <d v="2024-05-24T00:00:00"/>
    <x v="0"/>
    <x v="2"/>
    <n v="3"/>
    <x v="0"/>
    <m/>
    <n v="6309"/>
    <n v="40"/>
    <x v="50"/>
    <x v="176"/>
    <s v=""/>
  </r>
  <r>
    <x v="457"/>
    <x v="2"/>
    <s v="41.902782"/>
    <s v="12.496366"/>
    <x v="11"/>
    <s v="Medium (201-500)"/>
    <x v="2"/>
    <d v="2024-05-28T00:00:00"/>
    <x v="2"/>
    <x v="2"/>
    <n v="3"/>
    <x v="0"/>
    <m/>
    <n v="7162"/>
    <n v="40"/>
    <x v="191"/>
    <x v="176"/>
    <s v=""/>
  </r>
  <r>
    <x v="458"/>
    <x v="5"/>
    <s v="46.204391"/>
    <s v="6.143158"/>
    <x v="6"/>
    <s v="Medium (201-500)"/>
    <x v="1"/>
    <d v="2024-05-14T00:00:00"/>
    <x v="2"/>
    <x v="2"/>
    <n v="3"/>
    <x v="0"/>
    <m/>
    <n v="6188"/>
    <n v="80"/>
    <x v="201"/>
    <x v="176"/>
    <s v=""/>
  </r>
  <r>
    <x v="459"/>
    <x v="2"/>
    <s v="41.902782"/>
    <s v="12.496366"/>
    <x v="13"/>
    <s v="Medium (201-500)"/>
    <x v="7"/>
    <d v="2024-03-08T00:00:00"/>
    <x v="2"/>
    <x v="2"/>
    <n v="3"/>
    <x v="0"/>
    <m/>
    <n v="3823"/>
    <n v="70"/>
    <x v="151"/>
    <x v="176"/>
    <s v=""/>
  </r>
  <r>
    <x v="460"/>
    <x v="2"/>
    <s v="41.902782"/>
    <s v="12.496366"/>
    <x v="5"/>
    <s v="Medium (201-500)"/>
    <x v="4"/>
    <d v="2024-03-27T00:00:00"/>
    <x v="1"/>
    <x v="2"/>
    <n v="3"/>
    <x v="0"/>
    <m/>
    <n v="6203"/>
    <n v="90"/>
    <x v="179"/>
    <x v="176"/>
    <s v=""/>
  </r>
  <r>
    <x v="461"/>
    <x v="1"/>
    <s v="40.416775"/>
    <s v="-3.703790"/>
    <x v="5"/>
    <s v="Medium (201-500)"/>
    <x v="1"/>
    <d v="2024-03-10T00:00:00"/>
    <x v="1"/>
    <x v="2"/>
    <n v="3"/>
    <x v="0"/>
    <m/>
    <n v="7516"/>
    <n v="40"/>
    <x v="88"/>
    <x v="176"/>
    <s v=""/>
  </r>
  <r>
    <x v="462"/>
    <x v="8"/>
    <s v="38.736946"/>
    <s v="-9.142685"/>
    <x v="7"/>
    <s v="Medium (201-500)"/>
    <x v="6"/>
    <d v="2024-01-10T00:00:00"/>
    <x v="1"/>
    <x v="2"/>
    <n v="3"/>
    <x v="0"/>
    <m/>
    <n v="7850"/>
    <n v="50"/>
    <x v="269"/>
    <x v="176"/>
    <s v=""/>
  </r>
  <r>
    <x v="463"/>
    <x v="6"/>
    <s v="48.864716"/>
    <s v="2.349014"/>
    <x v="5"/>
    <s v="Medium (201-500)"/>
    <x v="5"/>
    <d v="2024-04-24T00:00:00"/>
    <x v="2"/>
    <x v="2"/>
    <n v="3"/>
    <x v="0"/>
    <m/>
    <n v="7065"/>
    <n v="80"/>
    <x v="270"/>
    <x v="176"/>
    <s v=""/>
  </r>
  <r>
    <x v="464"/>
    <x v="8"/>
    <s v="38.736946"/>
    <s v="-9.142685"/>
    <x v="9"/>
    <s v="Medium (201-500)"/>
    <x v="6"/>
    <d v="2024-05-19T00:00:00"/>
    <x v="2"/>
    <x v="2"/>
    <n v="3"/>
    <x v="0"/>
    <m/>
    <n v="2090"/>
    <n v="40"/>
    <x v="271"/>
    <x v="176"/>
    <s v=""/>
  </r>
  <r>
    <x v="465"/>
    <x v="2"/>
    <s v="41.902782"/>
    <s v="12.496366"/>
    <x v="11"/>
    <s v="Medium (201-500)"/>
    <x v="2"/>
    <d v="2024-04-12T00:00:00"/>
    <x v="0"/>
    <x v="2"/>
    <n v="3"/>
    <x v="0"/>
    <m/>
    <n v="7110"/>
    <n v="50"/>
    <x v="51"/>
    <x v="176"/>
    <s v=""/>
  </r>
  <r>
    <x v="466"/>
    <x v="5"/>
    <s v="46.204391"/>
    <s v="6.143158"/>
    <x v="6"/>
    <s v="Medium (201-500)"/>
    <x v="7"/>
    <d v="2024-03-19T00:00:00"/>
    <x v="2"/>
    <x v="2"/>
    <n v="3"/>
    <x v="0"/>
    <m/>
    <n v="7626"/>
    <n v="30"/>
    <x v="272"/>
    <x v="176"/>
    <s v=""/>
  </r>
  <r>
    <x v="467"/>
    <x v="0"/>
    <s v="52.370216"/>
    <s v="4.895168"/>
    <x v="8"/>
    <s v="Medium (201-500)"/>
    <x v="2"/>
    <d v="2024-04-03T00:00:00"/>
    <x v="1"/>
    <x v="2"/>
    <n v="3"/>
    <x v="0"/>
    <m/>
    <n v="6993"/>
    <n v="20"/>
    <x v="135"/>
    <x v="176"/>
    <s v=""/>
  </r>
  <r>
    <x v="468"/>
    <x v="8"/>
    <s v="38.736946"/>
    <s v="-9.142685"/>
    <x v="1"/>
    <s v="Medium (201-500)"/>
    <x v="3"/>
    <d v="2024-04-15T00:00:00"/>
    <x v="2"/>
    <x v="2"/>
    <n v="3"/>
    <x v="0"/>
    <m/>
    <n v="423"/>
    <n v="60"/>
    <x v="18"/>
    <x v="176"/>
    <s v=""/>
  </r>
  <r>
    <x v="469"/>
    <x v="3"/>
    <s v="52.520008"/>
    <s v="13.404954"/>
    <x v="0"/>
    <s v="Medium (201-500)"/>
    <x v="2"/>
    <d v="2024-01-27T00:00:00"/>
    <x v="1"/>
    <x v="2"/>
    <n v="3"/>
    <x v="0"/>
    <m/>
    <n v="4590"/>
    <n v="40"/>
    <x v="106"/>
    <x v="176"/>
    <s v=""/>
  </r>
  <r>
    <x v="470"/>
    <x v="4"/>
    <s v="51.260197"/>
    <s v="4.402771"/>
    <x v="13"/>
    <s v="Medium (201-500)"/>
    <x v="0"/>
    <d v="2024-02-23T00:00:00"/>
    <x v="2"/>
    <x v="2"/>
    <n v="3"/>
    <x v="0"/>
    <m/>
    <n v="3253"/>
    <n v="20"/>
    <x v="30"/>
    <x v="176"/>
    <s v=""/>
  </r>
  <r>
    <x v="471"/>
    <x v="6"/>
    <s v="48.864716"/>
    <s v="2.349014"/>
    <x v="0"/>
    <s v="Medium (201-500)"/>
    <x v="2"/>
    <d v="2024-03-16T00:00:00"/>
    <x v="0"/>
    <x v="2"/>
    <n v="3"/>
    <x v="0"/>
    <m/>
    <n v="7482"/>
    <n v="40"/>
    <x v="245"/>
    <x v="176"/>
    <s v=""/>
  </r>
  <r>
    <x v="472"/>
    <x v="6"/>
    <s v="48.864716"/>
    <s v="2.349014"/>
    <x v="5"/>
    <s v="Medium (201-500)"/>
    <x v="0"/>
    <d v="2024-01-17T00:00:00"/>
    <x v="0"/>
    <x v="2"/>
    <n v="3"/>
    <x v="0"/>
    <m/>
    <n v="4776"/>
    <n v="30"/>
    <x v="273"/>
    <x v="176"/>
    <s v=""/>
  </r>
  <r>
    <x v="473"/>
    <x v="7"/>
    <s v="48.210033"/>
    <s v="16.363449"/>
    <x v="0"/>
    <s v="Medium (201-500)"/>
    <x v="0"/>
    <d v="2024-02-28T00:00:00"/>
    <x v="1"/>
    <x v="2"/>
    <n v="3"/>
    <x v="0"/>
    <m/>
    <n v="4750"/>
    <n v="40"/>
    <x v="122"/>
    <x v="176"/>
    <s v=""/>
  </r>
  <r>
    <x v="474"/>
    <x v="6"/>
    <s v="48.864716"/>
    <s v="2.349014"/>
    <x v="5"/>
    <s v="Medium (201-500)"/>
    <x v="3"/>
    <d v="2024-02-25T00:00:00"/>
    <x v="0"/>
    <x v="2"/>
    <n v="3"/>
    <x v="0"/>
    <m/>
    <n v="6320"/>
    <n v="50"/>
    <x v="274"/>
    <x v="176"/>
    <s v=""/>
  </r>
  <r>
    <x v="475"/>
    <x v="4"/>
    <s v="51.260197"/>
    <s v="4.402771"/>
    <x v="4"/>
    <s v="Medium (201-500)"/>
    <x v="3"/>
    <d v="2024-05-08T00:00:00"/>
    <x v="2"/>
    <x v="2"/>
    <n v="3"/>
    <x v="0"/>
    <m/>
    <n v="3005"/>
    <n v="20"/>
    <x v="275"/>
    <x v="176"/>
    <s v=""/>
  </r>
  <r>
    <x v="476"/>
    <x v="8"/>
    <s v="38.736946"/>
    <s v="-9.142685"/>
    <x v="1"/>
    <s v="Medium (201-500)"/>
    <x v="2"/>
    <d v="2024-03-10T00:00:00"/>
    <x v="0"/>
    <x v="2"/>
    <n v="3"/>
    <x v="0"/>
    <m/>
    <n v="6130"/>
    <n v="30"/>
    <x v="226"/>
    <x v="176"/>
    <s v=""/>
  </r>
  <r>
    <x v="477"/>
    <x v="8"/>
    <s v="38.736946"/>
    <s v="-9.142685"/>
    <x v="2"/>
    <s v="Medium (201-500)"/>
    <x v="4"/>
    <d v="2024-03-18T00:00:00"/>
    <x v="0"/>
    <x v="2"/>
    <n v="3"/>
    <x v="0"/>
    <m/>
    <n v="6360"/>
    <n v="60"/>
    <x v="115"/>
    <x v="176"/>
    <s v=""/>
  </r>
  <r>
    <x v="478"/>
    <x v="2"/>
    <s v="41.902782"/>
    <s v="12.496366"/>
    <x v="12"/>
    <s v="Medium (201-500)"/>
    <x v="2"/>
    <d v="2024-02-13T00:00:00"/>
    <x v="0"/>
    <x v="2"/>
    <n v="3"/>
    <x v="0"/>
    <m/>
    <n v="3613"/>
    <n v="30"/>
    <x v="57"/>
    <x v="176"/>
    <s v=""/>
  </r>
  <r>
    <x v="479"/>
    <x v="7"/>
    <s v="48.210033"/>
    <s v="16.363449"/>
    <x v="5"/>
    <s v="Medium (201-500)"/>
    <x v="4"/>
    <d v="2024-02-05T00:00:00"/>
    <x v="0"/>
    <x v="2"/>
    <n v="3"/>
    <x v="0"/>
    <m/>
    <n v="3494"/>
    <n v="10"/>
    <x v="276"/>
    <x v="176"/>
    <s v=""/>
  </r>
  <r>
    <x v="480"/>
    <x v="2"/>
    <s v="41.902782"/>
    <s v="12.496366"/>
    <x v="9"/>
    <s v="Medium (201-500)"/>
    <x v="2"/>
    <d v="2024-01-11T00:00:00"/>
    <x v="2"/>
    <x v="2"/>
    <n v="3"/>
    <x v="0"/>
    <m/>
    <n v="7581"/>
    <n v="50"/>
    <x v="218"/>
    <x v="176"/>
    <s v=""/>
  </r>
  <r>
    <x v="481"/>
    <x v="6"/>
    <s v="48.864716"/>
    <s v="2.349014"/>
    <x v="8"/>
    <s v="Medium (201-500)"/>
    <x v="0"/>
    <d v="2024-04-23T00:00:00"/>
    <x v="0"/>
    <x v="2"/>
    <n v="3"/>
    <x v="0"/>
    <m/>
    <n v="5827"/>
    <n v="30"/>
    <x v="242"/>
    <x v="176"/>
    <s v=""/>
  </r>
  <r>
    <x v="482"/>
    <x v="8"/>
    <s v="38.736946"/>
    <s v="-9.142685"/>
    <x v="12"/>
    <s v="Medium (201-500)"/>
    <x v="3"/>
    <d v="2024-04-24T00:00:00"/>
    <x v="2"/>
    <x v="2"/>
    <n v="3"/>
    <x v="0"/>
    <m/>
    <n v="7754"/>
    <n v="50"/>
    <x v="23"/>
    <x v="176"/>
    <s v=""/>
  </r>
  <r>
    <x v="483"/>
    <x v="0"/>
    <s v="52.370216"/>
    <s v="4.895168"/>
    <x v="0"/>
    <s v="Medium (201-500)"/>
    <x v="4"/>
    <d v="2024-04-19T00:00:00"/>
    <x v="2"/>
    <x v="2"/>
    <n v="3"/>
    <x v="0"/>
    <m/>
    <n v="542"/>
    <n v="10"/>
    <x v="256"/>
    <x v="176"/>
    <s v=""/>
  </r>
  <r>
    <x v="484"/>
    <x v="6"/>
    <s v="48.864716"/>
    <s v="2.349014"/>
    <x v="0"/>
    <s v="Medium (201-500)"/>
    <x v="2"/>
    <d v="2024-05-12T00:00:00"/>
    <x v="0"/>
    <x v="2"/>
    <n v="3"/>
    <x v="0"/>
    <m/>
    <n v="5161"/>
    <n v="40"/>
    <x v="179"/>
    <x v="176"/>
    <s v=""/>
  </r>
  <r>
    <x v="485"/>
    <x v="2"/>
    <s v="41.902782"/>
    <s v="12.496366"/>
    <x v="8"/>
    <s v="Medium (201-500)"/>
    <x v="0"/>
    <d v="2024-04-26T00:00:00"/>
    <x v="2"/>
    <x v="2"/>
    <n v="3"/>
    <x v="0"/>
    <m/>
    <n v="860"/>
    <n v="30"/>
    <x v="264"/>
    <x v="176"/>
    <s v=""/>
  </r>
  <r>
    <x v="486"/>
    <x v="5"/>
    <s v="46.204391"/>
    <s v="6.143158"/>
    <x v="1"/>
    <s v="Medium (201-500)"/>
    <x v="6"/>
    <d v="2024-04-02T00:00:00"/>
    <x v="2"/>
    <x v="2"/>
    <n v="3"/>
    <x v="0"/>
    <m/>
    <n v="2664"/>
    <n v="30"/>
    <x v="251"/>
    <x v="176"/>
    <s v=""/>
  </r>
  <r>
    <x v="487"/>
    <x v="6"/>
    <s v="48.864716"/>
    <s v="2.349014"/>
    <x v="5"/>
    <s v="Medium (201-500)"/>
    <x v="3"/>
    <d v="2024-04-30T00:00:00"/>
    <x v="2"/>
    <x v="2"/>
    <n v="3"/>
    <x v="0"/>
    <m/>
    <n v="7808"/>
    <n v="20"/>
    <x v="65"/>
    <x v="176"/>
    <s v=""/>
  </r>
  <r>
    <x v="488"/>
    <x v="6"/>
    <s v="48.864716"/>
    <s v="2.349014"/>
    <x v="13"/>
    <s v="Medium (201-500)"/>
    <x v="1"/>
    <d v="2024-05-22T00:00:00"/>
    <x v="2"/>
    <x v="2"/>
    <n v="3"/>
    <x v="0"/>
    <m/>
    <n v="5821"/>
    <n v="30"/>
    <x v="27"/>
    <x v="176"/>
    <s v=""/>
  </r>
  <r>
    <x v="489"/>
    <x v="6"/>
    <s v="48.864716"/>
    <s v="2.349014"/>
    <x v="5"/>
    <s v="Medium (201-500)"/>
    <x v="5"/>
    <d v="2024-04-16T00:00:00"/>
    <x v="0"/>
    <x v="2"/>
    <n v="3"/>
    <x v="0"/>
    <m/>
    <n v="6404"/>
    <n v="40"/>
    <x v="140"/>
    <x v="176"/>
    <s v=""/>
  </r>
  <r>
    <x v="490"/>
    <x v="4"/>
    <s v="51.260197"/>
    <s v="4.402771"/>
    <x v="7"/>
    <s v="Medium (201-500)"/>
    <x v="3"/>
    <d v="2024-05-31T00:00:00"/>
    <x v="2"/>
    <x v="2"/>
    <n v="3"/>
    <x v="0"/>
    <m/>
    <n v="1872"/>
    <n v="20"/>
    <x v="227"/>
    <x v="176"/>
    <s v=""/>
  </r>
  <r>
    <x v="491"/>
    <x v="7"/>
    <s v="48.210033"/>
    <s v="16.363449"/>
    <x v="2"/>
    <s v="Medium (201-500)"/>
    <x v="2"/>
    <d v="2024-03-15T00:00:00"/>
    <x v="0"/>
    <x v="2"/>
    <n v="3"/>
    <x v="0"/>
    <m/>
    <n v="7798"/>
    <n v="40"/>
    <x v="81"/>
    <x v="176"/>
    <s v=""/>
  </r>
  <r>
    <x v="492"/>
    <x v="3"/>
    <s v="52.520008"/>
    <s v="13.404954"/>
    <x v="12"/>
    <s v="Medium (201-500)"/>
    <x v="2"/>
    <d v="2024-03-02T00:00:00"/>
    <x v="0"/>
    <x v="2"/>
    <n v="3"/>
    <x v="0"/>
    <m/>
    <n v="2725"/>
    <n v="50"/>
    <x v="247"/>
    <x v="176"/>
    <s v=""/>
  </r>
  <r>
    <x v="493"/>
    <x v="6"/>
    <s v="48.864716"/>
    <s v="2.349014"/>
    <x v="10"/>
    <s v="Medium (201-500)"/>
    <x v="1"/>
    <d v="2024-03-10T00:00:00"/>
    <x v="0"/>
    <x v="2"/>
    <n v="3"/>
    <x v="0"/>
    <m/>
    <n v="653"/>
    <n v="40"/>
    <x v="106"/>
    <x v="176"/>
    <s v=""/>
  </r>
  <r>
    <x v="494"/>
    <x v="0"/>
    <s v="52.370216"/>
    <s v="4.895168"/>
    <x v="9"/>
    <s v="Medium (201-500)"/>
    <x v="5"/>
    <d v="2024-05-31T00:00:00"/>
    <x v="2"/>
    <x v="2"/>
    <n v="3"/>
    <x v="0"/>
    <m/>
    <n v="3845"/>
    <n v="50"/>
    <x v="95"/>
    <x v="176"/>
    <s v=""/>
  </r>
  <r>
    <x v="495"/>
    <x v="8"/>
    <s v="38.736946"/>
    <s v="-9.142685"/>
    <x v="4"/>
    <s v="Medium (201-500)"/>
    <x v="1"/>
    <d v="2024-03-27T00:00:00"/>
    <x v="2"/>
    <x v="2"/>
    <n v="3"/>
    <x v="0"/>
    <m/>
    <n v="2862"/>
    <n v="70"/>
    <x v="142"/>
    <x v="176"/>
    <s v=""/>
  </r>
  <r>
    <x v="496"/>
    <x v="7"/>
    <s v="48.210033"/>
    <s v="16.363449"/>
    <x v="4"/>
    <s v="Medium (201-500)"/>
    <x v="1"/>
    <d v="2024-01-03T00:00:00"/>
    <x v="0"/>
    <x v="2"/>
    <n v="3"/>
    <x v="0"/>
    <m/>
    <n v="6413"/>
    <n v="30"/>
    <x v="179"/>
    <x v="176"/>
    <s v=""/>
  </r>
  <r>
    <x v="497"/>
    <x v="6"/>
    <s v="48.864716"/>
    <s v="2.349014"/>
    <x v="3"/>
    <s v="Medium (201-500)"/>
    <x v="1"/>
    <d v="2024-02-04T00:00:00"/>
    <x v="2"/>
    <x v="2"/>
    <n v="3"/>
    <x v="0"/>
    <m/>
    <n v="5296"/>
    <n v="30"/>
    <x v="5"/>
    <x v="176"/>
    <s v=""/>
  </r>
  <r>
    <x v="498"/>
    <x v="5"/>
    <s v="46.204391"/>
    <s v="6.143158"/>
    <x v="11"/>
    <s v="Medium (201-500)"/>
    <x v="4"/>
    <d v="2024-01-10T00:00:00"/>
    <x v="2"/>
    <x v="2"/>
    <n v="3"/>
    <x v="0"/>
    <m/>
    <n v="2269"/>
    <n v="30"/>
    <x v="277"/>
    <x v="176"/>
    <s v=""/>
  </r>
  <r>
    <x v="499"/>
    <x v="1"/>
    <s v="40.416775"/>
    <s v="-3.703790"/>
    <x v="5"/>
    <s v="Medium (201-500)"/>
    <x v="4"/>
    <d v="2024-02-11T00:00:00"/>
    <x v="0"/>
    <x v="2"/>
    <n v="3"/>
    <x v="0"/>
    <m/>
    <n v="5129"/>
    <n v="30"/>
    <x v="198"/>
    <x v="176"/>
    <s v=""/>
  </r>
  <r>
    <x v="500"/>
    <x v="5"/>
    <s v="46.204391"/>
    <s v="6.143158"/>
    <x v="7"/>
    <s v="Medium (201-500)"/>
    <x v="0"/>
    <d v="2024-01-14T00:00:00"/>
    <x v="0"/>
    <x v="2"/>
    <n v="3"/>
    <x v="0"/>
    <m/>
    <n v="3756"/>
    <n v="20"/>
    <x v="27"/>
    <x v="176"/>
    <s v=""/>
  </r>
  <r>
    <x v="501"/>
    <x v="4"/>
    <s v="51.260197"/>
    <s v="4.402771"/>
    <x v="10"/>
    <s v="Medium (201-500)"/>
    <x v="3"/>
    <d v="2024-04-03T00:00:00"/>
    <x v="0"/>
    <x v="2"/>
    <n v="3"/>
    <x v="0"/>
    <m/>
    <n v="7165"/>
    <n v="40"/>
    <x v="58"/>
    <x v="176"/>
    <s v=""/>
  </r>
  <r>
    <x v="502"/>
    <x v="5"/>
    <s v="46.204391"/>
    <s v="6.143158"/>
    <x v="4"/>
    <s v="Medium (201-500)"/>
    <x v="1"/>
    <d v="2024-01-20T00:00:00"/>
    <x v="1"/>
    <x v="2"/>
    <n v="3"/>
    <x v="0"/>
    <m/>
    <n v="1241"/>
    <n v="40"/>
    <x v="278"/>
    <x v="176"/>
    <s v=""/>
  </r>
  <r>
    <x v="503"/>
    <x v="5"/>
    <s v="46.204391"/>
    <s v="6.143158"/>
    <x v="4"/>
    <s v="Medium (201-500)"/>
    <x v="0"/>
    <d v="2024-03-17T00:00:00"/>
    <x v="0"/>
    <x v="2"/>
    <n v="3"/>
    <x v="0"/>
    <m/>
    <n v="4487"/>
    <n v="40"/>
    <x v="279"/>
    <x v="176"/>
    <s v=""/>
  </r>
  <r>
    <x v="504"/>
    <x v="0"/>
    <s v="52.370216"/>
    <s v="4.895168"/>
    <x v="6"/>
    <s v="Medium (201-500)"/>
    <x v="5"/>
    <d v="2024-02-21T00:00:00"/>
    <x v="0"/>
    <x v="2"/>
    <n v="3"/>
    <x v="0"/>
    <m/>
    <n v="1725"/>
    <n v="60"/>
    <x v="158"/>
    <x v="176"/>
    <s v=""/>
  </r>
  <r>
    <x v="505"/>
    <x v="6"/>
    <s v="48.864716"/>
    <s v="2.349014"/>
    <x v="10"/>
    <s v="Medium (201-500)"/>
    <x v="3"/>
    <d v="2024-05-02T00:00:00"/>
    <x v="2"/>
    <x v="2"/>
    <n v="3"/>
    <x v="0"/>
    <m/>
    <n v="2081"/>
    <n v="70"/>
    <x v="8"/>
    <x v="176"/>
    <s v=""/>
  </r>
  <r>
    <x v="506"/>
    <x v="1"/>
    <s v="40.416775"/>
    <s v="-3.703790"/>
    <x v="5"/>
    <s v="Medium (201-500)"/>
    <x v="1"/>
    <d v="2024-01-08T00:00:00"/>
    <x v="2"/>
    <x v="2"/>
    <n v="3"/>
    <x v="0"/>
    <m/>
    <n v="4044"/>
    <n v="60"/>
    <x v="139"/>
    <x v="176"/>
    <s v=""/>
  </r>
  <r>
    <x v="507"/>
    <x v="5"/>
    <s v="46.204391"/>
    <s v="6.143158"/>
    <x v="4"/>
    <s v="Medium (201-500)"/>
    <x v="4"/>
    <d v="2024-02-20T00:00:00"/>
    <x v="2"/>
    <x v="2"/>
    <n v="3"/>
    <x v="0"/>
    <m/>
    <n v="741"/>
    <n v="60"/>
    <x v="114"/>
    <x v="176"/>
    <s v=""/>
  </r>
  <r>
    <x v="508"/>
    <x v="5"/>
    <s v="46.204391"/>
    <s v="6.143158"/>
    <x v="4"/>
    <s v="Medium (201-500)"/>
    <x v="1"/>
    <d v="2024-04-26T00:00:00"/>
    <x v="2"/>
    <x v="2"/>
    <n v="3"/>
    <x v="0"/>
    <m/>
    <n v="5826"/>
    <n v="40"/>
    <x v="154"/>
    <x v="176"/>
    <s v=""/>
  </r>
  <r>
    <x v="509"/>
    <x v="5"/>
    <s v="46.204391"/>
    <s v="6.143158"/>
    <x v="0"/>
    <s v="Medium (201-500)"/>
    <x v="4"/>
    <d v="2024-01-27T00:00:00"/>
    <x v="0"/>
    <x v="2"/>
    <n v="3"/>
    <x v="0"/>
    <m/>
    <n v="6543"/>
    <n v="20"/>
    <x v="177"/>
    <x v="176"/>
    <s v=""/>
  </r>
  <r>
    <x v="510"/>
    <x v="1"/>
    <s v="40.416775"/>
    <s v="-3.703790"/>
    <x v="5"/>
    <s v="Medium (201-500)"/>
    <x v="0"/>
    <d v="2024-04-24T00:00:00"/>
    <x v="2"/>
    <x v="2"/>
    <n v="3"/>
    <x v="0"/>
    <m/>
    <n v="1554"/>
    <n v="50"/>
    <x v="280"/>
    <x v="176"/>
    <s v=""/>
  </r>
  <r>
    <x v="511"/>
    <x v="5"/>
    <s v="46.204391"/>
    <s v="6.143158"/>
    <x v="4"/>
    <s v="Medium (201-500)"/>
    <x v="3"/>
    <d v="2024-05-10T00:00:00"/>
    <x v="2"/>
    <x v="2"/>
    <n v="3"/>
    <x v="0"/>
    <m/>
    <n v="3931"/>
    <n v="10"/>
    <x v="160"/>
    <x v="176"/>
    <s v=""/>
  </r>
  <r>
    <x v="512"/>
    <x v="4"/>
    <s v="51.260197"/>
    <s v="4.402771"/>
    <x v="4"/>
    <s v="Medium (201-500)"/>
    <x v="2"/>
    <d v="2024-04-16T00:00:00"/>
    <x v="1"/>
    <x v="2"/>
    <n v="3"/>
    <x v="0"/>
    <m/>
    <n v="5437"/>
    <n v="90"/>
    <x v="24"/>
    <x v="176"/>
    <s v=""/>
  </r>
  <r>
    <x v="513"/>
    <x v="1"/>
    <s v="40.416775"/>
    <s v="-3.703790"/>
    <x v="0"/>
    <s v="Medium (201-500)"/>
    <x v="4"/>
    <d v="2024-04-10T00:00:00"/>
    <x v="2"/>
    <x v="2"/>
    <n v="3"/>
    <x v="0"/>
    <m/>
    <n v="3858"/>
    <n v="90"/>
    <x v="281"/>
    <x v="176"/>
    <s v=""/>
  </r>
  <r>
    <x v="514"/>
    <x v="4"/>
    <s v="51.260197"/>
    <s v="4.402771"/>
    <x v="12"/>
    <s v="Medium (201-500)"/>
    <x v="7"/>
    <d v="2024-04-28T00:00:00"/>
    <x v="0"/>
    <x v="2"/>
    <n v="3"/>
    <x v="0"/>
    <m/>
    <n v="5767"/>
    <n v="20"/>
    <x v="93"/>
    <x v="176"/>
    <s v=""/>
  </r>
  <r>
    <x v="515"/>
    <x v="1"/>
    <s v="40.416775"/>
    <s v="-3.703790"/>
    <x v="4"/>
    <s v="Medium (201-500)"/>
    <x v="1"/>
    <d v="2024-03-15T00:00:00"/>
    <x v="2"/>
    <x v="2"/>
    <n v="3"/>
    <x v="0"/>
    <m/>
    <n v="1713"/>
    <n v="50"/>
    <x v="282"/>
    <x v="176"/>
    <s v=""/>
  </r>
  <r>
    <x v="516"/>
    <x v="5"/>
    <s v="46.204391"/>
    <s v="6.143158"/>
    <x v="3"/>
    <s v="Medium (201-500)"/>
    <x v="5"/>
    <d v="2024-04-17T00:00:00"/>
    <x v="0"/>
    <x v="2"/>
    <n v="3"/>
    <x v="0"/>
    <m/>
    <n v="2750"/>
    <n v="30"/>
    <x v="64"/>
    <x v="176"/>
    <s v=""/>
  </r>
  <r>
    <x v="517"/>
    <x v="3"/>
    <s v="52.520008"/>
    <s v="13.404954"/>
    <x v="0"/>
    <s v="Large (501-1000)"/>
    <x v="3"/>
    <d v="2024-03-13T00:00:00"/>
    <x v="0"/>
    <x v="2"/>
    <n v="3"/>
    <x v="0"/>
    <m/>
    <n v="5353"/>
    <n v="30"/>
    <x v="283"/>
    <x v="176"/>
    <s v=""/>
  </r>
  <r>
    <x v="518"/>
    <x v="2"/>
    <s v="41.902782"/>
    <s v="12.496366"/>
    <x v="0"/>
    <s v="Large (501-1000)"/>
    <x v="3"/>
    <d v="2024-03-28T00:00:00"/>
    <x v="1"/>
    <x v="2"/>
    <n v="3"/>
    <x v="0"/>
    <m/>
    <n v="19224"/>
    <n v="30"/>
    <x v="112"/>
    <x v="176"/>
    <s v=""/>
  </r>
  <r>
    <x v="519"/>
    <x v="3"/>
    <s v="52.520008"/>
    <s v="13.404954"/>
    <x v="5"/>
    <s v="Large (501-1000)"/>
    <x v="2"/>
    <d v="2024-03-26T00:00:00"/>
    <x v="2"/>
    <x v="2"/>
    <n v="3"/>
    <x v="0"/>
    <m/>
    <n v="5474"/>
    <n v="50"/>
    <x v="273"/>
    <x v="176"/>
    <s v=""/>
  </r>
  <r>
    <x v="520"/>
    <x v="7"/>
    <s v="48.210033"/>
    <s v="16.363449"/>
    <x v="9"/>
    <s v="Enterprise (1001+)"/>
    <x v="0"/>
    <d v="2024-02-10T00:00:00"/>
    <x v="0"/>
    <x v="2"/>
    <n v="3"/>
    <x v="0"/>
    <m/>
    <n v="13724"/>
    <n v="20"/>
    <x v="131"/>
    <x v="176"/>
    <s v=""/>
  </r>
  <r>
    <x v="521"/>
    <x v="2"/>
    <s v="41.902782"/>
    <s v="12.496366"/>
    <x v="12"/>
    <s v="Enterprise (1001+)"/>
    <x v="2"/>
    <d v="2024-05-22T00:00:00"/>
    <x v="1"/>
    <x v="2"/>
    <n v="3"/>
    <x v="0"/>
    <m/>
    <n v="11121"/>
    <n v="20"/>
    <x v="123"/>
    <x v="176"/>
    <s v=""/>
  </r>
  <r>
    <x v="522"/>
    <x v="3"/>
    <s v="52.520008"/>
    <s v="13.404954"/>
    <x v="4"/>
    <s v="Enterprise (1001+)"/>
    <x v="0"/>
    <d v="2024-01-29T00:00:00"/>
    <x v="1"/>
    <x v="2"/>
    <n v="3"/>
    <x v="0"/>
    <m/>
    <n v="14687"/>
    <n v="70"/>
    <x v="38"/>
    <x v="176"/>
    <s v=""/>
  </r>
  <r>
    <x v="523"/>
    <x v="2"/>
    <s v="41.902782"/>
    <s v="12.496366"/>
    <x v="2"/>
    <s v="Enterprise (1001+)"/>
    <x v="0"/>
    <d v="2024-04-14T00:00:00"/>
    <x v="0"/>
    <x v="2"/>
    <n v="3"/>
    <x v="0"/>
    <m/>
    <n v="4281"/>
    <n v="60"/>
    <x v="284"/>
    <x v="176"/>
    <s v=""/>
  </r>
  <r>
    <x v="524"/>
    <x v="2"/>
    <s v="41.902782"/>
    <s v="12.496366"/>
    <x v="0"/>
    <s v="Enterprise (1001+)"/>
    <x v="5"/>
    <d v="2024-05-02T00:00:00"/>
    <x v="1"/>
    <x v="2"/>
    <n v="3"/>
    <x v="0"/>
    <m/>
    <n v="3063"/>
    <n v="100"/>
    <x v="104"/>
    <x v="176"/>
    <s v=""/>
  </r>
  <r>
    <x v="525"/>
    <x v="2"/>
    <s v="41.902782"/>
    <s v="12.496366"/>
    <x v="4"/>
    <s v="Small (11-200)"/>
    <x v="1"/>
    <d v="2024-01-02T00:00:00"/>
    <x v="0"/>
    <x v="3"/>
    <n v="1"/>
    <x v="0"/>
    <m/>
    <n v="478"/>
    <n v="50"/>
    <x v="153"/>
    <x v="176"/>
    <s v=""/>
  </r>
  <r>
    <x v="526"/>
    <x v="4"/>
    <s v="51.260197"/>
    <s v="4.402771"/>
    <x v="5"/>
    <s v="Small (11-200)"/>
    <x v="3"/>
    <d v="2024-05-10T00:00:00"/>
    <x v="1"/>
    <x v="3"/>
    <n v="1"/>
    <x v="0"/>
    <m/>
    <n v="1380"/>
    <n v="80"/>
    <x v="274"/>
    <x v="176"/>
    <s v=""/>
  </r>
  <r>
    <x v="527"/>
    <x v="3"/>
    <s v="52.520008"/>
    <s v="13.404954"/>
    <x v="4"/>
    <s v="Small (11-200)"/>
    <x v="3"/>
    <d v="2024-01-26T00:00:00"/>
    <x v="2"/>
    <x v="3"/>
    <n v="1"/>
    <x v="0"/>
    <m/>
    <n v="396"/>
    <n v="60"/>
    <x v="196"/>
    <x v="176"/>
    <s v=""/>
  </r>
  <r>
    <x v="528"/>
    <x v="6"/>
    <s v="48.864716"/>
    <s v="2.349014"/>
    <x v="11"/>
    <s v="Small (11-200)"/>
    <x v="1"/>
    <d v="2024-01-06T00:00:00"/>
    <x v="0"/>
    <x v="3"/>
    <n v="1"/>
    <x v="0"/>
    <m/>
    <n v="1087"/>
    <n v="30"/>
    <x v="6"/>
    <x v="176"/>
    <s v=""/>
  </r>
  <r>
    <x v="529"/>
    <x v="7"/>
    <s v="48.210033"/>
    <s v="16.363449"/>
    <x v="4"/>
    <s v="Small (11-200)"/>
    <x v="3"/>
    <d v="2024-03-23T00:00:00"/>
    <x v="0"/>
    <x v="3"/>
    <n v="1"/>
    <x v="0"/>
    <m/>
    <n v="590"/>
    <n v="30"/>
    <x v="210"/>
    <x v="176"/>
    <s v=""/>
  </r>
  <r>
    <x v="530"/>
    <x v="8"/>
    <s v="38.736946"/>
    <s v="-9.142685"/>
    <x v="0"/>
    <s v="Small (11-200)"/>
    <x v="0"/>
    <d v="2024-05-15T00:00:00"/>
    <x v="1"/>
    <x v="3"/>
    <n v="1"/>
    <x v="0"/>
    <m/>
    <n v="1668"/>
    <n v="90"/>
    <x v="92"/>
    <x v="176"/>
    <s v=""/>
  </r>
  <r>
    <x v="531"/>
    <x v="1"/>
    <s v="40.416775"/>
    <s v="-3.703790"/>
    <x v="7"/>
    <s v="Small (11-200)"/>
    <x v="0"/>
    <d v="2024-02-25T00:00:00"/>
    <x v="0"/>
    <x v="3"/>
    <n v="1"/>
    <x v="0"/>
    <m/>
    <n v="680"/>
    <n v="30"/>
    <x v="187"/>
    <x v="176"/>
    <s v=""/>
  </r>
  <r>
    <x v="532"/>
    <x v="5"/>
    <s v="46.204391"/>
    <s v="6.143158"/>
    <x v="8"/>
    <s v="Small (11-200)"/>
    <x v="4"/>
    <d v="2024-05-25T00:00:00"/>
    <x v="0"/>
    <x v="3"/>
    <n v="1"/>
    <x v="0"/>
    <m/>
    <n v="474"/>
    <n v="40"/>
    <x v="285"/>
    <x v="176"/>
    <s v=""/>
  </r>
  <r>
    <x v="533"/>
    <x v="2"/>
    <s v="41.902782"/>
    <s v="12.496366"/>
    <x v="8"/>
    <s v="Small (11-200)"/>
    <x v="4"/>
    <d v="2024-03-04T00:00:00"/>
    <x v="2"/>
    <x v="3"/>
    <n v="1"/>
    <x v="0"/>
    <m/>
    <n v="1850"/>
    <n v="20"/>
    <x v="189"/>
    <x v="176"/>
    <s v=""/>
  </r>
  <r>
    <x v="534"/>
    <x v="8"/>
    <s v="38.736946"/>
    <s v="-9.142685"/>
    <x v="5"/>
    <s v="Small (11-200)"/>
    <x v="5"/>
    <d v="2024-02-03T00:00:00"/>
    <x v="1"/>
    <x v="3"/>
    <n v="1"/>
    <x v="0"/>
    <m/>
    <n v="1007"/>
    <n v="90"/>
    <x v="221"/>
    <x v="176"/>
    <s v=""/>
  </r>
  <r>
    <x v="535"/>
    <x v="2"/>
    <s v="41.902782"/>
    <s v="12.496366"/>
    <x v="8"/>
    <s v="Small (11-200)"/>
    <x v="5"/>
    <d v="2024-04-11T00:00:00"/>
    <x v="2"/>
    <x v="3"/>
    <n v="1"/>
    <x v="0"/>
    <m/>
    <n v="1345"/>
    <n v="90"/>
    <x v="273"/>
    <x v="176"/>
    <s v=""/>
  </r>
  <r>
    <x v="536"/>
    <x v="3"/>
    <s v="52.520008"/>
    <s v="13.404954"/>
    <x v="12"/>
    <s v="Small (11-200)"/>
    <x v="4"/>
    <d v="2024-05-27T00:00:00"/>
    <x v="2"/>
    <x v="3"/>
    <n v="1"/>
    <x v="0"/>
    <m/>
    <n v="1038"/>
    <n v="50"/>
    <x v="40"/>
    <x v="176"/>
    <s v=""/>
  </r>
  <r>
    <x v="537"/>
    <x v="8"/>
    <s v="38.736946"/>
    <s v="-9.142685"/>
    <x v="2"/>
    <s v="Small (11-200)"/>
    <x v="7"/>
    <d v="2024-04-03T00:00:00"/>
    <x v="0"/>
    <x v="3"/>
    <n v="1"/>
    <x v="0"/>
    <m/>
    <n v="458"/>
    <n v="20"/>
    <x v="236"/>
    <x v="176"/>
    <s v=""/>
  </r>
  <r>
    <x v="538"/>
    <x v="2"/>
    <s v="41.902782"/>
    <s v="12.496366"/>
    <x v="4"/>
    <s v="Small (11-200)"/>
    <x v="3"/>
    <d v="2024-05-12T00:00:00"/>
    <x v="2"/>
    <x v="3"/>
    <n v="1"/>
    <x v="0"/>
    <m/>
    <n v="442"/>
    <n v="30"/>
    <x v="123"/>
    <x v="176"/>
    <s v=""/>
  </r>
  <r>
    <x v="539"/>
    <x v="5"/>
    <s v="46.204391"/>
    <s v="6.143158"/>
    <x v="4"/>
    <s v="Small (11-200)"/>
    <x v="3"/>
    <d v="2024-04-27T00:00:00"/>
    <x v="0"/>
    <x v="3"/>
    <n v="1"/>
    <x v="0"/>
    <m/>
    <n v="1997"/>
    <n v="50"/>
    <x v="128"/>
    <x v="176"/>
    <s v=""/>
  </r>
  <r>
    <x v="540"/>
    <x v="7"/>
    <s v="48.210033"/>
    <s v="16.363449"/>
    <x v="2"/>
    <s v="Small (11-200)"/>
    <x v="7"/>
    <d v="2024-03-28T00:00:00"/>
    <x v="1"/>
    <x v="3"/>
    <n v="1"/>
    <x v="0"/>
    <m/>
    <n v="1717"/>
    <n v="20"/>
    <x v="119"/>
    <x v="176"/>
    <s v=""/>
  </r>
  <r>
    <x v="541"/>
    <x v="3"/>
    <s v="52.520008"/>
    <s v="13.404954"/>
    <x v="1"/>
    <s v="Small (11-200)"/>
    <x v="7"/>
    <d v="2024-01-03T00:00:00"/>
    <x v="0"/>
    <x v="3"/>
    <n v="1"/>
    <x v="0"/>
    <m/>
    <n v="1640"/>
    <n v="30"/>
    <x v="116"/>
    <x v="176"/>
    <s v=""/>
  </r>
  <r>
    <x v="542"/>
    <x v="2"/>
    <s v="41.902782"/>
    <s v="12.496366"/>
    <x v="12"/>
    <s v="Small (11-200)"/>
    <x v="1"/>
    <d v="2024-05-01T00:00:00"/>
    <x v="2"/>
    <x v="3"/>
    <n v="1"/>
    <x v="0"/>
    <m/>
    <n v="855"/>
    <n v="70"/>
    <x v="246"/>
    <x v="176"/>
    <s v=""/>
  </r>
  <r>
    <x v="543"/>
    <x v="6"/>
    <s v="48.864716"/>
    <s v="2.349014"/>
    <x v="9"/>
    <s v="Small (11-200)"/>
    <x v="4"/>
    <d v="2024-03-12T00:00:00"/>
    <x v="2"/>
    <x v="3"/>
    <n v="1"/>
    <x v="0"/>
    <m/>
    <n v="1056"/>
    <n v="100"/>
    <x v="286"/>
    <x v="176"/>
    <s v=""/>
  </r>
  <r>
    <x v="544"/>
    <x v="0"/>
    <s v="52.370216"/>
    <s v="4.895168"/>
    <x v="12"/>
    <s v="Small (11-200)"/>
    <x v="0"/>
    <d v="2024-02-27T00:00:00"/>
    <x v="1"/>
    <x v="3"/>
    <n v="1"/>
    <x v="0"/>
    <m/>
    <n v="966"/>
    <n v="10"/>
    <x v="27"/>
    <x v="176"/>
    <s v=""/>
  </r>
  <r>
    <x v="545"/>
    <x v="5"/>
    <s v="46.204391"/>
    <s v="6.143158"/>
    <x v="8"/>
    <s v="Small (11-200)"/>
    <x v="4"/>
    <d v="2024-02-27T00:00:00"/>
    <x v="1"/>
    <x v="3"/>
    <n v="1"/>
    <x v="0"/>
    <m/>
    <n v="344"/>
    <n v="40"/>
    <x v="3"/>
    <x v="176"/>
    <s v=""/>
  </r>
  <r>
    <x v="546"/>
    <x v="4"/>
    <s v="51.260197"/>
    <s v="4.402771"/>
    <x v="9"/>
    <s v="Small (11-200)"/>
    <x v="2"/>
    <d v="2024-05-29T00:00:00"/>
    <x v="2"/>
    <x v="3"/>
    <n v="1"/>
    <x v="0"/>
    <m/>
    <n v="407"/>
    <n v="70"/>
    <x v="287"/>
    <x v="176"/>
    <s v=""/>
  </r>
  <r>
    <x v="547"/>
    <x v="8"/>
    <s v="38.736946"/>
    <s v="-9.142685"/>
    <x v="1"/>
    <s v="Small (11-200)"/>
    <x v="5"/>
    <d v="2024-01-21T00:00:00"/>
    <x v="2"/>
    <x v="3"/>
    <n v="1"/>
    <x v="0"/>
    <m/>
    <n v="1965"/>
    <n v="40"/>
    <x v="238"/>
    <x v="176"/>
    <s v=""/>
  </r>
  <r>
    <x v="548"/>
    <x v="7"/>
    <s v="48.210033"/>
    <s v="16.363449"/>
    <x v="1"/>
    <s v="Small (11-200)"/>
    <x v="3"/>
    <d v="2024-01-07T00:00:00"/>
    <x v="1"/>
    <x v="3"/>
    <n v="1"/>
    <x v="0"/>
    <m/>
    <n v="1494"/>
    <n v="20"/>
    <x v="288"/>
    <x v="176"/>
    <s v=""/>
  </r>
  <r>
    <x v="549"/>
    <x v="3"/>
    <s v="52.520008"/>
    <s v="13.404954"/>
    <x v="1"/>
    <s v="Small (11-200)"/>
    <x v="7"/>
    <d v="2024-03-13T00:00:00"/>
    <x v="1"/>
    <x v="3"/>
    <n v="1"/>
    <x v="0"/>
    <m/>
    <n v="1837"/>
    <n v="10"/>
    <x v="156"/>
    <x v="176"/>
    <s v=""/>
  </r>
  <r>
    <x v="550"/>
    <x v="3"/>
    <s v="52.520008"/>
    <s v="13.404954"/>
    <x v="10"/>
    <s v="Small (11-200)"/>
    <x v="0"/>
    <d v="2024-03-31T00:00:00"/>
    <x v="2"/>
    <x v="3"/>
    <n v="1"/>
    <x v="0"/>
    <m/>
    <n v="1175"/>
    <n v="20"/>
    <x v="9"/>
    <x v="176"/>
    <s v=""/>
  </r>
  <r>
    <x v="551"/>
    <x v="6"/>
    <s v="48.864716"/>
    <s v="2.349014"/>
    <x v="11"/>
    <s v="Small (11-200)"/>
    <x v="7"/>
    <d v="2024-03-09T00:00:00"/>
    <x v="2"/>
    <x v="3"/>
    <n v="1"/>
    <x v="0"/>
    <m/>
    <n v="617"/>
    <n v="40"/>
    <x v="93"/>
    <x v="176"/>
    <s v=""/>
  </r>
  <r>
    <x v="552"/>
    <x v="2"/>
    <s v="41.902782"/>
    <s v="12.496366"/>
    <x v="4"/>
    <s v="Small (11-200)"/>
    <x v="7"/>
    <d v="2024-01-28T00:00:00"/>
    <x v="2"/>
    <x v="3"/>
    <n v="1"/>
    <x v="0"/>
    <m/>
    <n v="1538"/>
    <n v="50"/>
    <x v="289"/>
    <x v="176"/>
    <s v=""/>
  </r>
  <r>
    <x v="553"/>
    <x v="0"/>
    <s v="52.370216"/>
    <s v="4.895168"/>
    <x v="0"/>
    <s v="Small (11-200)"/>
    <x v="5"/>
    <d v="2024-01-06T00:00:00"/>
    <x v="0"/>
    <x v="3"/>
    <n v="1"/>
    <x v="0"/>
    <m/>
    <n v="434"/>
    <n v="50"/>
    <x v="52"/>
    <x v="176"/>
    <s v=""/>
  </r>
  <r>
    <x v="554"/>
    <x v="0"/>
    <s v="52.370216"/>
    <s v="4.895168"/>
    <x v="8"/>
    <s v="Small (11-200)"/>
    <x v="3"/>
    <d v="2024-02-27T00:00:00"/>
    <x v="1"/>
    <x v="3"/>
    <n v="1"/>
    <x v="0"/>
    <m/>
    <n v="870"/>
    <n v="60"/>
    <x v="290"/>
    <x v="176"/>
    <s v=""/>
  </r>
  <r>
    <x v="555"/>
    <x v="2"/>
    <s v="41.902782"/>
    <s v="12.496366"/>
    <x v="2"/>
    <s v="Small (11-200)"/>
    <x v="5"/>
    <d v="2024-05-30T00:00:00"/>
    <x v="0"/>
    <x v="3"/>
    <n v="1"/>
    <x v="0"/>
    <m/>
    <n v="1225"/>
    <n v="30"/>
    <x v="204"/>
    <x v="176"/>
    <s v=""/>
  </r>
  <r>
    <x v="556"/>
    <x v="5"/>
    <s v="46.204391"/>
    <s v="6.143158"/>
    <x v="3"/>
    <s v="Small (11-200)"/>
    <x v="3"/>
    <d v="2024-01-04T00:00:00"/>
    <x v="0"/>
    <x v="3"/>
    <n v="1"/>
    <x v="0"/>
    <m/>
    <n v="1804"/>
    <n v="50"/>
    <x v="291"/>
    <x v="176"/>
    <s v=""/>
  </r>
  <r>
    <x v="557"/>
    <x v="8"/>
    <s v="38.736946"/>
    <s v="-9.142685"/>
    <x v="10"/>
    <s v="Small (11-200)"/>
    <x v="4"/>
    <d v="2024-01-17T00:00:00"/>
    <x v="1"/>
    <x v="3"/>
    <n v="1"/>
    <x v="0"/>
    <m/>
    <n v="1063"/>
    <n v="60"/>
    <x v="292"/>
    <x v="176"/>
    <s v=""/>
  </r>
  <r>
    <x v="558"/>
    <x v="7"/>
    <s v="48.210033"/>
    <s v="16.363449"/>
    <x v="3"/>
    <s v="Small (11-200)"/>
    <x v="7"/>
    <d v="2024-03-03T00:00:00"/>
    <x v="0"/>
    <x v="3"/>
    <n v="1"/>
    <x v="0"/>
    <m/>
    <n v="341"/>
    <n v="10"/>
    <x v="293"/>
    <x v="176"/>
    <s v=""/>
  </r>
  <r>
    <x v="559"/>
    <x v="5"/>
    <s v="46.204391"/>
    <s v="6.143158"/>
    <x v="7"/>
    <s v="Small (11-200)"/>
    <x v="0"/>
    <d v="2024-03-14T00:00:00"/>
    <x v="2"/>
    <x v="3"/>
    <n v="1"/>
    <x v="0"/>
    <m/>
    <n v="1454"/>
    <n v="20"/>
    <x v="294"/>
    <x v="176"/>
    <s v=""/>
  </r>
  <r>
    <x v="560"/>
    <x v="6"/>
    <s v="48.864716"/>
    <s v="2.349014"/>
    <x v="0"/>
    <s v="Small (11-200)"/>
    <x v="3"/>
    <d v="2024-04-06T00:00:00"/>
    <x v="0"/>
    <x v="3"/>
    <n v="1"/>
    <x v="0"/>
    <m/>
    <n v="263"/>
    <n v="80"/>
    <x v="204"/>
    <x v="176"/>
    <s v=""/>
  </r>
  <r>
    <x v="561"/>
    <x v="6"/>
    <s v="48.864716"/>
    <s v="2.349014"/>
    <x v="5"/>
    <s v="Small (11-200)"/>
    <x v="4"/>
    <d v="2024-05-25T00:00:00"/>
    <x v="1"/>
    <x v="3"/>
    <n v="1"/>
    <x v="0"/>
    <m/>
    <n v="976"/>
    <n v="100"/>
    <x v="135"/>
    <x v="176"/>
    <s v=""/>
  </r>
  <r>
    <x v="562"/>
    <x v="4"/>
    <s v="51.260197"/>
    <s v="4.402771"/>
    <x v="3"/>
    <s v="Small (11-200)"/>
    <x v="6"/>
    <d v="2024-01-08T00:00:00"/>
    <x v="0"/>
    <x v="3"/>
    <n v="1"/>
    <x v="0"/>
    <m/>
    <n v="1977"/>
    <n v="60"/>
    <x v="34"/>
    <x v="176"/>
    <s v=""/>
  </r>
  <r>
    <x v="563"/>
    <x v="6"/>
    <s v="48.864716"/>
    <s v="2.349014"/>
    <x v="8"/>
    <s v="Small (11-200)"/>
    <x v="6"/>
    <d v="2024-02-14T00:00:00"/>
    <x v="2"/>
    <x v="3"/>
    <n v="1"/>
    <x v="0"/>
    <m/>
    <n v="1940"/>
    <n v="50"/>
    <x v="24"/>
    <x v="176"/>
    <s v=""/>
  </r>
  <r>
    <x v="564"/>
    <x v="6"/>
    <s v="48.864716"/>
    <s v="2.349014"/>
    <x v="11"/>
    <s v="Small (11-200)"/>
    <x v="6"/>
    <d v="2024-04-23T00:00:00"/>
    <x v="1"/>
    <x v="3"/>
    <n v="1"/>
    <x v="0"/>
    <m/>
    <n v="945"/>
    <n v="60"/>
    <x v="295"/>
    <x v="176"/>
    <s v=""/>
  </r>
  <r>
    <x v="565"/>
    <x v="2"/>
    <s v="41.902782"/>
    <s v="12.496366"/>
    <x v="9"/>
    <s v="Small (11-200)"/>
    <x v="4"/>
    <d v="2024-01-11T00:00:00"/>
    <x v="0"/>
    <x v="3"/>
    <n v="1"/>
    <x v="0"/>
    <m/>
    <n v="741"/>
    <n v="10"/>
    <x v="137"/>
    <x v="176"/>
    <s v=""/>
  </r>
  <r>
    <x v="566"/>
    <x v="6"/>
    <s v="48.864716"/>
    <s v="2.349014"/>
    <x v="0"/>
    <s v="Small (11-200)"/>
    <x v="4"/>
    <d v="2024-03-21T00:00:00"/>
    <x v="2"/>
    <x v="3"/>
    <n v="1"/>
    <x v="0"/>
    <m/>
    <n v="1130"/>
    <n v="30"/>
    <x v="272"/>
    <x v="176"/>
    <s v=""/>
  </r>
  <r>
    <x v="567"/>
    <x v="5"/>
    <s v="46.204391"/>
    <s v="6.143158"/>
    <x v="3"/>
    <s v="Small (11-200)"/>
    <x v="6"/>
    <d v="2024-02-14T00:00:00"/>
    <x v="2"/>
    <x v="3"/>
    <n v="1"/>
    <x v="0"/>
    <m/>
    <n v="1047"/>
    <n v="20"/>
    <x v="220"/>
    <x v="176"/>
    <s v=""/>
  </r>
  <r>
    <x v="568"/>
    <x v="7"/>
    <s v="48.210033"/>
    <s v="16.363449"/>
    <x v="4"/>
    <s v="Small (11-200)"/>
    <x v="0"/>
    <d v="2024-02-04T00:00:00"/>
    <x v="0"/>
    <x v="3"/>
    <n v="1"/>
    <x v="0"/>
    <m/>
    <n v="1473"/>
    <n v="50"/>
    <x v="296"/>
    <x v="176"/>
    <s v=""/>
  </r>
  <r>
    <x v="569"/>
    <x v="3"/>
    <s v="52.520008"/>
    <s v="13.404954"/>
    <x v="12"/>
    <s v="Small (11-200)"/>
    <x v="4"/>
    <d v="2024-03-01T00:00:00"/>
    <x v="2"/>
    <x v="3"/>
    <n v="1"/>
    <x v="0"/>
    <m/>
    <n v="1084"/>
    <n v="60"/>
    <x v="250"/>
    <x v="176"/>
    <s v=""/>
  </r>
  <r>
    <x v="570"/>
    <x v="8"/>
    <s v="38.736946"/>
    <s v="-9.142685"/>
    <x v="11"/>
    <s v="Small (11-200)"/>
    <x v="0"/>
    <d v="2024-04-10T00:00:00"/>
    <x v="2"/>
    <x v="3"/>
    <n v="1"/>
    <x v="0"/>
    <m/>
    <n v="379"/>
    <n v="20"/>
    <x v="60"/>
    <x v="176"/>
    <s v=""/>
  </r>
  <r>
    <x v="571"/>
    <x v="8"/>
    <s v="38.736946"/>
    <s v="-9.142685"/>
    <x v="3"/>
    <s v="Small (11-200)"/>
    <x v="5"/>
    <d v="2024-04-28T00:00:00"/>
    <x v="2"/>
    <x v="3"/>
    <n v="1"/>
    <x v="0"/>
    <m/>
    <n v="351"/>
    <n v="20"/>
    <x v="171"/>
    <x v="176"/>
    <s v=""/>
  </r>
  <r>
    <x v="572"/>
    <x v="6"/>
    <s v="48.864716"/>
    <s v="2.349014"/>
    <x v="8"/>
    <s v="Small (11-200)"/>
    <x v="1"/>
    <d v="2024-05-12T00:00:00"/>
    <x v="0"/>
    <x v="3"/>
    <n v="1"/>
    <x v="0"/>
    <m/>
    <n v="1978"/>
    <n v="50"/>
    <x v="32"/>
    <x v="176"/>
    <s v=""/>
  </r>
  <r>
    <x v="573"/>
    <x v="1"/>
    <s v="40.416775"/>
    <s v="-3.703790"/>
    <x v="0"/>
    <s v="Small (11-200)"/>
    <x v="0"/>
    <d v="2024-04-14T00:00:00"/>
    <x v="2"/>
    <x v="3"/>
    <n v="1"/>
    <x v="0"/>
    <m/>
    <n v="754"/>
    <n v="40"/>
    <x v="264"/>
    <x v="176"/>
    <s v=""/>
  </r>
  <r>
    <x v="574"/>
    <x v="6"/>
    <s v="48.864716"/>
    <s v="2.349014"/>
    <x v="5"/>
    <s v="Small (11-200)"/>
    <x v="2"/>
    <d v="2024-05-02T00:00:00"/>
    <x v="2"/>
    <x v="3"/>
    <n v="1"/>
    <x v="0"/>
    <m/>
    <n v="1487"/>
    <n v="40"/>
    <x v="288"/>
    <x v="176"/>
    <s v=""/>
  </r>
  <r>
    <x v="575"/>
    <x v="5"/>
    <s v="46.204391"/>
    <s v="6.143158"/>
    <x v="3"/>
    <s v="Small (11-200)"/>
    <x v="6"/>
    <d v="2024-05-08T00:00:00"/>
    <x v="2"/>
    <x v="3"/>
    <n v="1"/>
    <x v="0"/>
    <m/>
    <n v="1932"/>
    <n v="60"/>
    <x v="297"/>
    <x v="176"/>
    <s v=""/>
  </r>
  <r>
    <x v="576"/>
    <x v="7"/>
    <s v="48.210033"/>
    <s v="16.363449"/>
    <x v="1"/>
    <s v="Small (11-200)"/>
    <x v="2"/>
    <d v="2024-05-03T00:00:00"/>
    <x v="2"/>
    <x v="3"/>
    <n v="1"/>
    <x v="0"/>
    <m/>
    <n v="1315"/>
    <n v="60"/>
    <x v="298"/>
    <x v="176"/>
    <s v=""/>
  </r>
  <r>
    <x v="577"/>
    <x v="6"/>
    <s v="48.864716"/>
    <s v="2.349014"/>
    <x v="11"/>
    <s v="Small (11-200)"/>
    <x v="3"/>
    <d v="2024-05-25T00:00:00"/>
    <x v="0"/>
    <x v="3"/>
    <n v="1"/>
    <x v="0"/>
    <m/>
    <n v="1339"/>
    <n v="40"/>
    <x v="299"/>
    <x v="176"/>
    <s v=""/>
  </r>
  <r>
    <x v="578"/>
    <x v="6"/>
    <s v="48.864716"/>
    <s v="2.349014"/>
    <x v="2"/>
    <s v="Small (11-200)"/>
    <x v="3"/>
    <d v="2024-04-05T00:00:00"/>
    <x v="0"/>
    <x v="3"/>
    <n v="1"/>
    <x v="0"/>
    <m/>
    <n v="244"/>
    <n v="50"/>
    <x v="150"/>
    <x v="176"/>
    <s v=""/>
  </r>
  <r>
    <x v="579"/>
    <x v="0"/>
    <s v="52.370216"/>
    <s v="4.895168"/>
    <x v="0"/>
    <s v="Small (11-200)"/>
    <x v="2"/>
    <d v="2024-03-03T00:00:00"/>
    <x v="0"/>
    <x v="3"/>
    <n v="1"/>
    <x v="0"/>
    <m/>
    <n v="229"/>
    <n v="40"/>
    <x v="59"/>
    <x v="176"/>
    <s v=""/>
  </r>
  <r>
    <x v="580"/>
    <x v="8"/>
    <s v="38.736946"/>
    <s v="-9.142685"/>
    <x v="4"/>
    <s v="Small (11-200)"/>
    <x v="3"/>
    <d v="2024-01-05T00:00:00"/>
    <x v="0"/>
    <x v="3"/>
    <n v="1"/>
    <x v="0"/>
    <m/>
    <n v="740"/>
    <n v="60"/>
    <x v="300"/>
    <x v="176"/>
    <s v=""/>
  </r>
  <r>
    <x v="581"/>
    <x v="6"/>
    <s v="48.864716"/>
    <s v="2.349014"/>
    <x v="5"/>
    <s v="Small (11-200)"/>
    <x v="4"/>
    <d v="2024-05-05T00:00:00"/>
    <x v="0"/>
    <x v="3"/>
    <n v="1"/>
    <x v="0"/>
    <m/>
    <n v="433"/>
    <n v="30"/>
    <x v="243"/>
    <x v="176"/>
    <s v=""/>
  </r>
  <r>
    <x v="582"/>
    <x v="5"/>
    <s v="46.204391"/>
    <s v="6.143158"/>
    <x v="4"/>
    <s v="Small (11-200)"/>
    <x v="3"/>
    <d v="2024-02-22T00:00:00"/>
    <x v="1"/>
    <x v="3"/>
    <n v="1"/>
    <x v="0"/>
    <m/>
    <n v="1073"/>
    <n v="30"/>
    <x v="71"/>
    <x v="176"/>
    <s v=""/>
  </r>
  <r>
    <x v="583"/>
    <x v="6"/>
    <s v="48.864716"/>
    <s v="2.349014"/>
    <x v="6"/>
    <s v="Small (11-200)"/>
    <x v="1"/>
    <d v="2024-02-05T00:00:00"/>
    <x v="0"/>
    <x v="3"/>
    <n v="1"/>
    <x v="0"/>
    <m/>
    <n v="242"/>
    <n v="30"/>
    <x v="37"/>
    <x v="176"/>
    <s v=""/>
  </r>
  <r>
    <x v="584"/>
    <x v="7"/>
    <s v="48.210033"/>
    <s v="16.363449"/>
    <x v="5"/>
    <s v="Small (11-200)"/>
    <x v="3"/>
    <d v="2024-04-25T00:00:00"/>
    <x v="1"/>
    <x v="3"/>
    <n v="1"/>
    <x v="0"/>
    <m/>
    <n v="1884"/>
    <n v="20"/>
    <x v="115"/>
    <x v="176"/>
    <s v=""/>
  </r>
  <r>
    <x v="585"/>
    <x v="3"/>
    <s v="52.520008"/>
    <s v="13.404954"/>
    <x v="3"/>
    <s v="Small (11-200)"/>
    <x v="3"/>
    <d v="2024-03-24T00:00:00"/>
    <x v="0"/>
    <x v="3"/>
    <n v="1"/>
    <x v="0"/>
    <m/>
    <n v="223"/>
    <n v="90"/>
    <x v="301"/>
    <x v="176"/>
    <s v=""/>
  </r>
  <r>
    <x v="586"/>
    <x v="5"/>
    <s v="46.204391"/>
    <s v="6.143158"/>
    <x v="2"/>
    <s v="Small (11-200)"/>
    <x v="3"/>
    <d v="2024-04-28T00:00:00"/>
    <x v="0"/>
    <x v="3"/>
    <n v="1"/>
    <x v="0"/>
    <m/>
    <n v="1772"/>
    <n v="10"/>
    <x v="41"/>
    <x v="176"/>
    <s v=""/>
  </r>
  <r>
    <x v="587"/>
    <x v="2"/>
    <s v="41.902782"/>
    <s v="12.496366"/>
    <x v="5"/>
    <s v="Small (11-200)"/>
    <x v="2"/>
    <d v="2024-03-20T00:00:00"/>
    <x v="0"/>
    <x v="3"/>
    <n v="1"/>
    <x v="0"/>
    <m/>
    <n v="820"/>
    <n v="30"/>
    <x v="100"/>
    <x v="176"/>
    <s v=""/>
  </r>
  <r>
    <x v="588"/>
    <x v="0"/>
    <s v="52.370216"/>
    <s v="4.895168"/>
    <x v="9"/>
    <s v="Small (11-200)"/>
    <x v="3"/>
    <d v="2024-01-15T00:00:00"/>
    <x v="0"/>
    <x v="3"/>
    <n v="1"/>
    <x v="0"/>
    <m/>
    <n v="1241"/>
    <n v="60"/>
    <x v="123"/>
    <x v="176"/>
    <s v=""/>
  </r>
  <r>
    <x v="589"/>
    <x v="4"/>
    <s v="51.260197"/>
    <s v="4.402771"/>
    <x v="0"/>
    <s v="Small (11-200)"/>
    <x v="5"/>
    <d v="2024-04-29T00:00:00"/>
    <x v="1"/>
    <x v="3"/>
    <n v="1"/>
    <x v="0"/>
    <m/>
    <n v="519"/>
    <n v="20"/>
    <x v="17"/>
    <x v="176"/>
    <s v=""/>
  </r>
  <r>
    <x v="590"/>
    <x v="0"/>
    <s v="52.370216"/>
    <s v="4.895168"/>
    <x v="0"/>
    <s v="Small (11-200)"/>
    <x v="5"/>
    <d v="2024-05-21T00:00:00"/>
    <x v="2"/>
    <x v="3"/>
    <n v="1"/>
    <x v="0"/>
    <m/>
    <n v="706"/>
    <n v="40"/>
    <x v="302"/>
    <x v="176"/>
    <s v=""/>
  </r>
  <r>
    <x v="591"/>
    <x v="8"/>
    <s v="38.736946"/>
    <s v="-9.142685"/>
    <x v="11"/>
    <s v="Small (11-200)"/>
    <x v="0"/>
    <d v="2024-04-28T00:00:00"/>
    <x v="2"/>
    <x v="3"/>
    <n v="1"/>
    <x v="0"/>
    <m/>
    <n v="1461"/>
    <n v="40"/>
    <x v="94"/>
    <x v="176"/>
    <s v=""/>
  </r>
  <r>
    <x v="592"/>
    <x v="5"/>
    <s v="46.204391"/>
    <s v="6.143158"/>
    <x v="1"/>
    <s v="Small (11-200)"/>
    <x v="6"/>
    <d v="2024-04-17T00:00:00"/>
    <x v="2"/>
    <x v="3"/>
    <n v="1"/>
    <x v="0"/>
    <m/>
    <n v="1913"/>
    <n v="100"/>
    <x v="295"/>
    <x v="176"/>
    <s v=""/>
  </r>
  <r>
    <x v="593"/>
    <x v="2"/>
    <s v="41.902782"/>
    <s v="12.496366"/>
    <x v="11"/>
    <s v="Small (11-200)"/>
    <x v="3"/>
    <d v="2024-05-13T00:00:00"/>
    <x v="0"/>
    <x v="3"/>
    <n v="1"/>
    <x v="0"/>
    <m/>
    <n v="1539"/>
    <n v="20"/>
    <x v="150"/>
    <x v="176"/>
    <s v=""/>
  </r>
  <r>
    <x v="594"/>
    <x v="8"/>
    <s v="38.736946"/>
    <s v="-9.142685"/>
    <x v="1"/>
    <s v="Small (11-200)"/>
    <x v="3"/>
    <d v="2024-04-10T00:00:00"/>
    <x v="0"/>
    <x v="3"/>
    <n v="1"/>
    <x v="0"/>
    <m/>
    <n v="1212"/>
    <n v="30"/>
    <x v="288"/>
    <x v="176"/>
    <s v=""/>
  </r>
  <r>
    <x v="595"/>
    <x v="8"/>
    <s v="38.736946"/>
    <s v="-9.142685"/>
    <x v="8"/>
    <s v="Small (11-200)"/>
    <x v="2"/>
    <d v="2024-03-13T00:00:00"/>
    <x v="2"/>
    <x v="3"/>
    <n v="1"/>
    <x v="0"/>
    <m/>
    <n v="1832"/>
    <n v="20"/>
    <x v="130"/>
    <x v="176"/>
    <s v=""/>
  </r>
  <r>
    <x v="596"/>
    <x v="3"/>
    <s v="52.520008"/>
    <s v="13.404954"/>
    <x v="4"/>
    <s v="Small (11-200)"/>
    <x v="4"/>
    <d v="2024-03-18T00:00:00"/>
    <x v="1"/>
    <x v="3"/>
    <n v="1"/>
    <x v="0"/>
    <m/>
    <n v="1553"/>
    <n v="20"/>
    <x v="20"/>
    <x v="176"/>
    <s v=""/>
  </r>
  <r>
    <x v="597"/>
    <x v="6"/>
    <s v="48.864716"/>
    <s v="2.349014"/>
    <x v="13"/>
    <s v="Small (11-200)"/>
    <x v="0"/>
    <d v="2024-04-20T00:00:00"/>
    <x v="2"/>
    <x v="3"/>
    <n v="1"/>
    <x v="0"/>
    <m/>
    <n v="322"/>
    <n v="40"/>
    <x v="298"/>
    <x v="176"/>
    <s v=""/>
  </r>
  <r>
    <x v="598"/>
    <x v="6"/>
    <s v="48.864716"/>
    <s v="2.349014"/>
    <x v="4"/>
    <s v="Small (11-200)"/>
    <x v="0"/>
    <d v="2024-01-10T00:00:00"/>
    <x v="1"/>
    <x v="3"/>
    <n v="1"/>
    <x v="0"/>
    <m/>
    <n v="1185"/>
    <n v="90"/>
    <x v="140"/>
    <x v="176"/>
    <s v=""/>
  </r>
  <r>
    <x v="599"/>
    <x v="0"/>
    <s v="52.370216"/>
    <s v="4.895168"/>
    <x v="0"/>
    <s v="Small (11-200)"/>
    <x v="4"/>
    <d v="2024-05-20T00:00:00"/>
    <x v="2"/>
    <x v="3"/>
    <n v="1"/>
    <x v="0"/>
    <m/>
    <n v="1747"/>
    <n v="20"/>
    <x v="70"/>
    <x v="176"/>
    <s v=""/>
  </r>
  <r>
    <x v="600"/>
    <x v="3"/>
    <s v="52.520008"/>
    <s v="13.404954"/>
    <x v="3"/>
    <s v="Small (11-200)"/>
    <x v="2"/>
    <d v="2024-03-22T00:00:00"/>
    <x v="0"/>
    <x v="3"/>
    <n v="1"/>
    <x v="0"/>
    <m/>
    <n v="1286"/>
    <n v="20"/>
    <x v="159"/>
    <x v="176"/>
    <s v=""/>
  </r>
  <r>
    <x v="601"/>
    <x v="4"/>
    <s v="51.260197"/>
    <s v="4.402771"/>
    <x v="12"/>
    <s v="Small (11-200)"/>
    <x v="3"/>
    <d v="2024-01-04T00:00:00"/>
    <x v="2"/>
    <x v="3"/>
    <n v="1"/>
    <x v="0"/>
    <m/>
    <n v="1735"/>
    <n v="90"/>
    <x v="303"/>
    <x v="176"/>
    <s v=""/>
  </r>
  <r>
    <x v="602"/>
    <x v="8"/>
    <s v="38.736946"/>
    <s v="-9.142685"/>
    <x v="4"/>
    <s v="Small (11-200)"/>
    <x v="7"/>
    <d v="2024-05-04T00:00:00"/>
    <x v="0"/>
    <x v="3"/>
    <n v="1"/>
    <x v="0"/>
    <m/>
    <n v="1184"/>
    <n v="50"/>
    <x v="164"/>
    <x v="176"/>
    <s v=""/>
  </r>
  <r>
    <x v="603"/>
    <x v="5"/>
    <s v="46.204391"/>
    <s v="6.143158"/>
    <x v="2"/>
    <s v="Small (11-200)"/>
    <x v="3"/>
    <d v="2024-02-18T00:00:00"/>
    <x v="0"/>
    <x v="3"/>
    <n v="1"/>
    <x v="0"/>
    <m/>
    <n v="352"/>
    <n v="40"/>
    <x v="12"/>
    <x v="176"/>
    <s v=""/>
  </r>
  <r>
    <x v="604"/>
    <x v="2"/>
    <s v="41.902782"/>
    <s v="12.496366"/>
    <x v="11"/>
    <s v="Small (11-200)"/>
    <x v="0"/>
    <d v="2024-01-11T00:00:00"/>
    <x v="1"/>
    <x v="3"/>
    <n v="1"/>
    <x v="0"/>
    <m/>
    <n v="1581"/>
    <n v="50"/>
    <x v="304"/>
    <x v="176"/>
    <s v=""/>
  </r>
  <r>
    <x v="605"/>
    <x v="2"/>
    <s v="41.902782"/>
    <s v="12.496366"/>
    <x v="3"/>
    <s v="Small (11-200)"/>
    <x v="7"/>
    <d v="2024-05-24T00:00:00"/>
    <x v="0"/>
    <x v="3"/>
    <n v="1"/>
    <x v="0"/>
    <m/>
    <n v="1367"/>
    <n v="40"/>
    <x v="305"/>
    <x v="176"/>
    <s v=""/>
  </r>
  <r>
    <x v="606"/>
    <x v="1"/>
    <s v="40.416775"/>
    <s v="-3.703790"/>
    <x v="0"/>
    <s v="Small (11-200)"/>
    <x v="6"/>
    <d v="2024-03-05T00:00:00"/>
    <x v="2"/>
    <x v="3"/>
    <n v="1"/>
    <x v="0"/>
    <m/>
    <n v="490"/>
    <n v="10"/>
    <x v="117"/>
    <x v="176"/>
    <s v=""/>
  </r>
  <r>
    <x v="607"/>
    <x v="6"/>
    <s v="48.864716"/>
    <s v="2.349014"/>
    <x v="5"/>
    <s v="Small (11-200)"/>
    <x v="3"/>
    <d v="2024-01-23T00:00:00"/>
    <x v="0"/>
    <x v="3"/>
    <n v="1"/>
    <x v="0"/>
    <m/>
    <n v="1627"/>
    <n v="40"/>
    <x v="306"/>
    <x v="176"/>
    <s v=""/>
  </r>
  <r>
    <x v="608"/>
    <x v="8"/>
    <s v="38.736946"/>
    <s v="-9.142685"/>
    <x v="5"/>
    <s v="Small (11-200)"/>
    <x v="3"/>
    <d v="2024-01-31T00:00:00"/>
    <x v="1"/>
    <x v="3"/>
    <n v="1"/>
    <x v="0"/>
    <m/>
    <n v="716"/>
    <n v="50"/>
    <x v="261"/>
    <x v="176"/>
    <s v=""/>
  </r>
  <r>
    <x v="609"/>
    <x v="5"/>
    <s v="46.204391"/>
    <s v="6.143158"/>
    <x v="0"/>
    <s v="Small (11-200)"/>
    <x v="0"/>
    <d v="2024-02-14T00:00:00"/>
    <x v="2"/>
    <x v="3"/>
    <n v="1"/>
    <x v="0"/>
    <m/>
    <n v="1139"/>
    <n v="30"/>
    <x v="307"/>
    <x v="176"/>
    <s v=""/>
  </r>
  <r>
    <x v="610"/>
    <x v="5"/>
    <s v="46.204391"/>
    <s v="6.143158"/>
    <x v="0"/>
    <s v="Small (11-200)"/>
    <x v="4"/>
    <d v="2024-04-16T00:00:00"/>
    <x v="1"/>
    <x v="3"/>
    <n v="1"/>
    <x v="0"/>
    <m/>
    <n v="427"/>
    <n v="40"/>
    <x v="14"/>
    <x v="176"/>
    <s v=""/>
  </r>
  <r>
    <x v="611"/>
    <x v="7"/>
    <s v="48.210033"/>
    <s v="16.363449"/>
    <x v="4"/>
    <s v="Small (11-200)"/>
    <x v="2"/>
    <d v="2024-04-18T00:00:00"/>
    <x v="2"/>
    <x v="3"/>
    <n v="1"/>
    <x v="0"/>
    <m/>
    <n v="857"/>
    <n v="50"/>
    <x v="33"/>
    <x v="176"/>
    <s v=""/>
  </r>
  <r>
    <x v="612"/>
    <x v="8"/>
    <s v="38.736946"/>
    <s v="-9.142685"/>
    <x v="11"/>
    <s v="Small (11-200)"/>
    <x v="3"/>
    <d v="2024-03-17T00:00:00"/>
    <x v="0"/>
    <x v="3"/>
    <n v="1"/>
    <x v="0"/>
    <m/>
    <n v="1442"/>
    <n v="10"/>
    <x v="308"/>
    <x v="176"/>
    <s v=""/>
  </r>
  <r>
    <x v="613"/>
    <x v="6"/>
    <s v="48.864716"/>
    <s v="2.349014"/>
    <x v="0"/>
    <s v="Small (11-200)"/>
    <x v="7"/>
    <d v="2024-03-07T00:00:00"/>
    <x v="2"/>
    <x v="3"/>
    <n v="1"/>
    <x v="0"/>
    <m/>
    <n v="839"/>
    <n v="60"/>
    <x v="115"/>
    <x v="176"/>
    <s v=""/>
  </r>
  <r>
    <x v="614"/>
    <x v="3"/>
    <s v="52.520008"/>
    <s v="13.404954"/>
    <x v="6"/>
    <s v="Small (11-200)"/>
    <x v="4"/>
    <d v="2024-01-23T00:00:00"/>
    <x v="1"/>
    <x v="3"/>
    <n v="1"/>
    <x v="0"/>
    <m/>
    <n v="1660"/>
    <n v="80"/>
    <x v="58"/>
    <x v="176"/>
    <s v=""/>
  </r>
  <r>
    <x v="615"/>
    <x v="8"/>
    <s v="38.736946"/>
    <s v="-9.142685"/>
    <x v="0"/>
    <s v="Small (11-200)"/>
    <x v="7"/>
    <d v="2024-05-01T00:00:00"/>
    <x v="0"/>
    <x v="3"/>
    <n v="1"/>
    <x v="0"/>
    <m/>
    <n v="576"/>
    <n v="80"/>
    <x v="250"/>
    <x v="176"/>
    <s v=""/>
  </r>
  <r>
    <x v="616"/>
    <x v="7"/>
    <s v="48.210033"/>
    <s v="16.363449"/>
    <x v="9"/>
    <s v="Small (11-200)"/>
    <x v="3"/>
    <d v="2024-03-23T00:00:00"/>
    <x v="0"/>
    <x v="3"/>
    <n v="1"/>
    <x v="0"/>
    <m/>
    <n v="1351"/>
    <n v="40"/>
    <x v="181"/>
    <x v="176"/>
    <s v=""/>
  </r>
  <r>
    <x v="617"/>
    <x v="4"/>
    <s v="51.260197"/>
    <s v="4.402771"/>
    <x v="4"/>
    <s v="Small (11-200)"/>
    <x v="4"/>
    <d v="2024-02-07T00:00:00"/>
    <x v="1"/>
    <x v="3"/>
    <n v="1"/>
    <x v="0"/>
    <m/>
    <n v="1579"/>
    <n v="70"/>
    <x v="47"/>
    <x v="176"/>
    <s v=""/>
  </r>
  <r>
    <x v="618"/>
    <x v="2"/>
    <s v="41.902782"/>
    <s v="12.496366"/>
    <x v="6"/>
    <s v="Small (11-200)"/>
    <x v="6"/>
    <d v="2024-05-07T00:00:00"/>
    <x v="0"/>
    <x v="3"/>
    <n v="1"/>
    <x v="0"/>
    <m/>
    <n v="731"/>
    <n v="20"/>
    <x v="189"/>
    <x v="176"/>
    <s v=""/>
  </r>
  <r>
    <x v="619"/>
    <x v="8"/>
    <s v="38.736946"/>
    <s v="-9.142685"/>
    <x v="3"/>
    <s v="Small (11-200)"/>
    <x v="0"/>
    <d v="2024-05-18T00:00:00"/>
    <x v="0"/>
    <x v="3"/>
    <n v="1"/>
    <x v="0"/>
    <m/>
    <n v="931"/>
    <n v="30"/>
    <x v="237"/>
    <x v="176"/>
    <s v=""/>
  </r>
  <r>
    <x v="620"/>
    <x v="7"/>
    <s v="48.210033"/>
    <s v="16.363449"/>
    <x v="5"/>
    <s v="Small (11-200)"/>
    <x v="3"/>
    <d v="2024-01-23T00:00:00"/>
    <x v="0"/>
    <x v="3"/>
    <n v="1"/>
    <x v="0"/>
    <m/>
    <n v="1237"/>
    <n v="30"/>
    <x v="92"/>
    <x v="176"/>
    <s v=""/>
  </r>
  <r>
    <x v="621"/>
    <x v="2"/>
    <s v="41.902782"/>
    <s v="12.496366"/>
    <x v="3"/>
    <s v="Small (11-200)"/>
    <x v="5"/>
    <d v="2024-04-23T00:00:00"/>
    <x v="0"/>
    <x v="3"/>
    <n v="1"/>
    <x v="0"/>
    <m/>
    <n v="1716"/>
    <n v="20"/>
    <x v="309"/>
    <x v="176"/>
    <s v=""/>
  </r>
  <r>
    <x v="622"/>
    <x v="8"/>
    <s v="38.736946"/>
    <s v="-9.142685"/>
    <x v="5"/>
    <s v="Small (11-200)"/>
    <x v="4"/>
    <d v="2024-01-17T00:00:00"/>
    <x v="2"/>
    <x v="3"/>
    <n v="1"/>
    <x v="0"/>
    <m/>
    <n v="1382"/>
    <n v="30"/>
    <x v="183"/>
    <x v="176"/>
    <s v=""/>
  </r>
  <r>
    <x v="623"/>
    <x v="8"/>
    <s v="38.736946"/>
    <s v="-9.142685"/>
    <x v="7"/>
    <s v="Small (11-200)"/>
    <x v="4"/>
    <d v="2024-05-09T00:00:00"/>
    <x v="2"/>
    <x v="3"/>
    <n v="1"/>
    <x v="0"/>
    <m/>
    <n v="1194"/>
    <n v="100"/>
    <x v="58"/>
    <x v="176"/>
    <s v=""/>
  </r>
  <r>
    <x v="624"/>
    <x v="4"/>
    <s v="51.260197"/>
    <s v="4.402771"/>
    <x v="0"/>
    <s v="Small (11-200)"/>
    <x v="5"/>
    <d v="2024-01-10T00:00:00"/>
    <x v="2"/>
    <x v="3"/>
    <n v="1"/>
    <x v="0"/>
    <m/>
    <n v="1073"/>
    <n v="20"/>
    <x v="156"/>
    <x v="176"/>
    <s v=""/>
  </r>
  <r>
    <x v="625"/>
    <x v="1"/>
    <s v="40.416775"/>
    <s v="-3.703790"/>
    <x v="3"/>
    <s v="Small (11-200)"/>
    <x v="2"/>
    <d v="2024-05-11T00:00:00"/>
    <x v="2"/>
    <x v="3"/>
    <n v="1"/>
    <x v="0"/>
    <m/>
    <n v="1102"/>
    <n v="20"/>
    <x v="310"/>
    <x v="176"/>
    <s v=""/>
  </r>
  <r>
    <x v="626"/>
    <x v="2"/>
    <s v="41.902782"/>
    <s v="12.496366"/>
    <x v="5"/>
    <s v="Small (11-200)"/>
    <x v="4"/>
    <d v="2024-02-21T00:00:00"/>
    <x v="2"/>
    <x v="3"/>
    <n v="1"/>
    <x v="0"/>
    <m/>
    <n v="1252"/>
    <n v="50"/>
    <x v="311"/>
    <x v="176"/>
    <s v=""/>
  </r>
  <r>
    <x v="627"/>
    <x v="4"/>
    <s v="51.260197"/>
    <s v="4.402771"/>
    <x v="6"/>
    <s v="Small (11-200)"/>
    <x v="2"/>
    <d v="2024-01-30T00:00:00"/>
    <x v="0"/>
    <x v="3"/>
    <n v="1"/>
    <x v="0"/>
    <m/>
    <n v="786"/>
    <n v="70"/>
    <x v="221"/>
    <x v="176"/>
    <s v=""/>
  </r>
  <r>
    <x v="628"/>
    <x v="4"/>
    <s v="51.260197"/>
    <s v="4.402771"/>
    <x v="8"/>
    <s v="Small (11-200)"/>
    <x v="6"/>
    <d v="2024-03-20T00:00:00"/>
    <x v="2"/>
    <x v="3"/>
    <n v="1"/>
    <x v="0"/>
    <m/>
    <n v="1292"/>
    <n v="80"/>
    <x v="312"/>
    <x v="176"/>
    <s v=""/>
  </r>
  <r>
    <x v="629"/>
    <x v="2"/>
    <s v="41.902782"/>
    <s v="12.496366"/>
    <x v="0"/>
    <s v="Small (11-200)"/>
    <x v="3"/>
    <d v="2024-01-09T00:00:00"/>
    <x v="2"/>
    <x v="3"/>
    <n v="1"/>
    <x v="0"/>
    <m/>
    <n v="317"/>
    <n v="60"/>
    <x v="98"/>
    <x v="176"/>
    <s v=""/>
  </r>
  <r>
    <x v="630"/>
    <x v="5"/>
    <s v="46.204391"/>
    <s v="6.143158"/>
    <x v="4"/>
    <s v="Small (11-200)"/>
    <x v="3"/>
    <d v="2024-02-21T00:00:00"/>
    <x v="0"/>
    <x v="3"/>
    <n v="1"/>
    <x v="0"/>
    <m/>
    <n v="958"/>
    <n v="30"/>
    <x v="313"/>
    <x v="176"/>
    <s v=""/>
  </r>
  <r>
    <x v="631"/>
    <x v="2"/>
    <s v="41.902782"/>
    <s v="12.496366"/>
    <x v="0"/>
    <s v="Small (11-200)"/>
    <x v="6"/>
    <d v="2024-05-23T00:00:00"/>
    <x v="2"/>
    <x v="3"/>
    <n v="1"/>
    <x v="0"/>
    <m/>
    <n v="1364"/>
    <n v="50"/>
    <x v="314"/>
    <x v="176"/>
    <s v=""/>
  </r>
  <r>
    <x v="632"/>
    <x v="5"/>
    <s v="46.204391"/>
    <s v="6.143158"/>
    <x v="4"/>
    <s v="Small (11-200)"/>
    <x v="4"/>
    <d v="2024-04-03T00:00:00"/>
    <x v="2"/>
    <x v="3"/>
    <n v="1"/>
    <x v="0"/>
    <m/>
    <n v="1348"/>
    <n v="20"/>
    <x v="315"/>
    <x v="176"/>
    <s v=""/>
  </r>
  <r>
    <x v="633"/>
    <x v="5"/>
    <s v="46.204391"/>
    <s v="6.143158"/>
    <x v="0"/>
    <s v="Small (11-200)"/>
    <x v="4"/>
    <d v="2024-02-10T00:00:00"/>
    <x v="1"/>
    <x v="3"/>
    <n v="1"/>
    <x v="0"/>
    <m/>
    <n v="1811"/>
    <n v="10"/>
    <x v="316"/>
    <x v="176"/>
    <s v=""/>
  </r>
  <r>
    <x v="634"/>
    <x v="3"/>
    <s v="52.520008"/>
    <s v="13.404954"/>
    <x v="5"/>
    <s v="Small (11-200)"/>
    <x v="6"/>
    <d v="2024-02-19T00:00:00"/>
    <x v="0"/>
    <x v="3"/>
    <n v="1"/>
    <x v="0"/>
    <m/>
    <n v="1607"/>
    <n v="10"/>
    <x v="75"/>
    <x v="176"/>
    <s v=""/>
  </r>
  <r>
    <x v="635"/>
    <x v="2"/>
    <s v="41.902782"/>
    <s v="12.496366"/>
    <x v="4"/>
    <s v="Small (11-200)"/>
    <x v="3"/>
    <d v="2024-04-05T00:00:00"/>
    <x v="2"/>
    <x v="3"/>
    <n v="1"/>
    <x v="0"/>
    <m/>
    <n v="1139"/>
    <n v="30"/>
    <x v="7"/>
    <x v="176"/>
    <s v=""/>
  </r>
  <r>
    <x v="636"/>
    <x v="2"/>
    <s v="41.902782"/>
    <s v="12.496366"/>
    <x v="5"/>
    <s v="Small (11-200)"/>
    <x v="2"/>
    <d v="2024-01-26T00:00:00"/>
    <x v="2"/>
    <x v="3"/>
    <n v="1"/>
    <x v="0"/>
    <m/>
    <n v="487"/>
    <n v="50"/>
    <x v="146"/>
    <x v="176"/>
    <s v=""/>
  </r>
  <r>
    <x v="637"/>
    <x v="2"/>
    <s v="41.902782"/>
    <s v="12.496366"/>
    <x v="12"/>
    <s v="Small (11-200)"/>
    <x v="6"/>
    <d v="2024-04-17T00:00:00"/>
    <x v="2"/>
    <x v="3"/>
    <n v="1"/>
    <x v="0"/>
    <m/>
    <n v="495"/>
    <n v="60"/>
    <x v="307"/>
    <x v="176"/>
    <s v=""/>
  </r>
  <r>
    <x v="638"/>
    <x v="8"/>
    <s v="38.736946"/>
    <s v="-9.142685"/>
    <x v="5"/>
    <s v="Small (11-200)"/>
    <x v="3"/>
    <d v="2024-02-08T00:00:00"/>
    <x v="2"/>
    <x v="3"/>
    <n v="1"/>
    <x v="0"/>
    <m/>
    <n v="344"/>
    <n v="40"/>
    <x v="317"/>
    <x v="176"/>
    <s v=""/>
  </r>
  <r>
    <x v="639"/>
    <x v="6"/>
    <s v="48.864716"/>
    <s v="2.349014"/>
    <x v="2"/>
    <s v="Small (11-200)"/>
    <x v="3"/>
    <d v="2024-04-11T00:00:00"/>
    <x v="0"/>
    <x v="3"/>
    <n v="1"/>
    <x v="0"/>
    <m/>
    <n v="443"/>
    <n v="30"/>
    <x v="0"/>
    <x v="176"/>
    <s v=""/>
  </r>
  <r>
    <x v="640"/>
    <x v="1"/>
    <s v="40.416775"/>
    <s v="-3.703790"/>
    <x v="2"/>
    <s v="Small (11-200)"/>
    <x v="1"/>
    <d v="2024-03-11T00:00:00"/>
    <x v="0"/>
    <x v="3"/>
    <n v="1"/>
    <x v="0"/>
    <m/>
    <n v="718"/>
    <n v="40"/>
    <x v="186"/>
    <x v="176"/>
    <s v=""/>
  </r>
  <r>
    <x v="641"/>
    <x v="7"/>
    <s v="48.210033"/>
    <s v="16.363449"/>
    <x v="5"/>
    <s v="Small (11-200)"/>
    <x v="4"/>
    <d v="2024-05-30T00:00:00"/>
    <x v="1"/>
    <x v="3"/>
    <n v="1"/>
    <x v="0"/>
    <m/>
    <n v="1917"/>
    <n v="90"/>
    <x v="1"/>
    <x v="176"/>
    <s v=""/>
  </r>
  <r>
    <x v="642"/>
    <x v="3"/>
    <s v="52.520008"/>
    <s v="13.404954"/>
    <x v="3"/>
    <s v="Small (11-200)"/>
    <x v="1"/>
    <d v="2024-01-23T00:00:00"/>
    <x v="1"/>
    <x v="3"/>
    <n v="1"/>
    <x v="0"/>
    <m/>
    <n v="1729"/>
    <n v="50"/>
    <x v="86"/>
    <x v="176"/>
    <s v=""/>
  </r>
  <r>
    <x v="643"/>
    <x v="2"/>
    <s v="41.902782"/>
    <s v="12.496366"/>
    <x v="10"/>
    <s v="Small (11-200)"/>
    <x v="4"/>
    <d v="2024-05-04T00:00:00"/>
    <x v="1"/>
    <x v="3"/>
    <n v="1"/>
    <x v="0"/>
    <m/>
    <n v="1345"/>
    <n v="10"/>
    <x v="208"/>
    <x v="176"/>
    <s v=""/>
  </r>
  <r>
    <x v="644"/>
    <x v="8"/>
    <s v="38.736946"/>
    <s v="-9.142685"/>
    <x v="4"/>
    <s v="Small (11-200)"/>
    <x v="2"/>
    <d v="2024-04-21T00:00:00"/>
    <x v="2"/>
    <x v="3"/>
    <n v="1"/>
    <x v="0"/>
    <m/>
    <n v="1626"/>
    <n v="60"/>
    <x v="22"/>
    <x v="176"/>
    <s v=""/>
  </r>
  <r>
    <x v="645"/>
    <x v="2"/>
    <s v="41.902782"/>
    <s v="12.496366"/>
    <x v="11"/>
    <s v="Small (11-200)"/>
    <x v="2"/>
    <d v="2024-05-22T00:00:00"/>
    <x v="0"/>
    <x v="3"/>
    <n v="1"/>
    <x v="0"/>
    <m/>
    <n v="1592"/>
    <n v="50"/>
    <x v="252"/>
    <x v="176"/>
    <s v=""/>
  </r>
  <r>
    <x v="646"/>
    <x v="4"/>
    <s v="51.260197"/>
    <s v="4.402771"/>
    <x v="1"/>
    <s v="Small (11-200)"/>
    <x v="4"/>
    <d v="2024-02-07T00:00:00"/>
    <x v="1"/>
    <x v="3"/>
    <n v="1"/>
    <x v="0"/>
    <m/>
    <n v="819"/>
    <n v="30"/>
    <x v="318"/>
    <x v="176"/>
    <s v=""/>
  </r>
  <r>
    <x v="647"/>
    <x v="2"/>
    <s v="41.902782"/>
    <s v="12.496366"/>
    <x v="13"/>
    <s v="Small (11-200)"/>
    <x v="3"/>
    <d v="2024-02-28T00:00:00"/>
    <x v="0"/>
    <x v="3"/>
    <n v="1"/>
    <x v="0"/>
    <m/>
    <n v="766"/>
    <n v="50"/>
    <x v="170"/>
    <x v="176"/>
    <s v=""/>
  </r>
  <r>
    <x v="648"/>
    <x v="2"/>
    <s v="41.902782"/>
    <s v="12.496366"/>
    <x v="0"/>
    <s v="Small (11-200)"/>
    <x v="4"/>
    <d v="2024-01-09T00:00:00"/>
    <x v="2"/>
    <x v="3"/>
    <n v="1"/>
    <x v="0"/>
    <m/>
    <n v="834"/>
    <n v="40"/>
    <x v="213"/>
    <x v="176"/>
    <s v=""/>
  </r>
  <r>
    <x v="649"/>
    <x v="2"/>
    <s v="41.902782"/>
    <s v="12.496366"/>
    <x v="4"/>
    <s v="Small (11-200)"/>
    <x v="6"/>
    <d v="2024-03-29T00:00:00"/>
    <x v="0"/>
    <x v="3"/>
    <n v="1"/>
    <x v="0"/>
    <m/>
    <n v="1662"/>
    <n v="30"/>
    <x v="46"/>
    <x v="176"/>
    <s v=""/>
  </r>
  <r>
    <x v="650"/>
    <x v="3"/>
    <s v="52.520008"/>
    <s v="13.404954"/>
    <x v="9"/>
    <s v="Small (11-200)"/>
    <x v="2"/>
    <d v="2024-01-13T00:00:00"/>
    <x v="0"/>
    <x v="3"/>
    <n v="1"/>
    <x v="0"/>
    <m/>
    <n v="1819"/>
    <n v="60"/>
    <x v="319"/>
    <x v="176"/>
    <s v=""/>
  </r>
  <r>
    <x v="651"/>
    <x v="7"/>
    <s v="48.210033"/>
    <s v="16.363449"/>
    <x v="7"/>
    <s v="Small (11-200)"/>
    <x v="4"/>
    <d v="2024-05-21T00:00:00"/>
    <x v="2"/>
    <x v="3"/>
    <n v="1"/>
    <x v="0"/>
    <m/>
    <n v="1142"/>
    <n v="20"/>
    <x v="320"/>
    <x v="176"/>
    <s v=""/>
  </r>
  <r>
    <x v="652"/>
    <x v="7"/>
    <s v="48.210033"/>
    <s v="16.363449"/>
    <x v="13"/>
    <s v="Small (11-200)"/>
    <x v="3"/>
    <d v="2024-02-21T00:00:00"/>
    <x v="1"/>
    <x v="3"/>
    <n v="1"/>
    <x v="0"/>
    <m/>
    <n v="1340"/>
    <n v="30"/>
    <x v="261"/>
    <x v="176"/>
    <s v=""/>
  </r>
  <r>
    <x v="653"/>
    <x v="4"/>
    <s v="51.260197"/>
    <s v="4.402771"/>
    <x v="4"/>
    <s v="Small (11-200)"/>
    <x v="1"/>
    <d v="2024-01-23T00:00:00"/>
    <x v="2"/>
    <x v="3"/>
    <n v="1"/>
    <x v="0"/>
    <m/>
    <n v="797"/>
    <n v="40"/>
    <x v="181"/>
    <x v="176"/>
    <s v=""/>
  </r>
  <r>
    <x v="654"/>
    <x v="3"/>
    <s v="52.520008"/>
    <s v="13.404954"/>
    <x v="4"/>
    <s v="Small (11-200)"/>
    <x v="3"/>
    <d v="2024-05-09T00:00:00"/>
    <x v="0"/>
    <x v="3"/>
    <n v="1"/>
    <x v="0"/>
    <m/>
    <n v="644"/>
    <n v="40"/>
    <x v="23"/>
    <x v="176"/>
    <s v=""/>
  </r>
  <r>
    <x v="655"/>
    <x v="0"/>
    <s v="52.370216"/>
    <s v="4.895168"/>
    <x v="0"/>
    <s v="Small (11-200)"/>
    <x v="6"/>
    <d v="2024-05-19T00:00:00"/>
    <x v="2"/>
    <x v="3"/>
    <n v="1"/>
    <x v="0"/>
    <m/>
    <n v="355"/>
    <n v="30"/>
    <x v="272"/>
    <x v="176"/>
    <s v=""/>
  </r>
  <r>
    <x v="656"/>
    <x v="3"/>
    <s v="52.520008"/>
    <s v="13.404954"/>
    <x v="5"/>
    <s v="Small (11-200)"/>
    <x v="0"/>
    <d v="2024-05-28T00:00:00"/>
    <x v="1"/>
    <x v="3"/>
    <n v="1"/>
    <x v="0"/>
    <m/>
    <n v="1741"/>
    <n v="50"/>
    <x v="115"/>
    <x v="176"/>
    <s v=""/>
  </r>
  <r>
    <x v="657"/>
    <x v="0"/>
    <s v="52.370216"/>
    <s v="4.895168"/>
    <x v="0"/>
    <s v="Small (11-200)"/>
    <x v="3"/>
    <d v="2024-01-31T00:00:00"/>
    <x v="0"/>
    <x v="3"/>
    <n v="1"/>
    <x v="0"/>
    <m/>
    <n v="441"/>
    <n v="30"/>
    <x v="321"/>
    <x v="176"/>
    <s v=""/>
  </r>
  <r>
    <x v="658"/>
    <x v="3"/>
    <s v="52.520008"/>
    <s v="13.404954"/>
    <x v="4"/>
    <s v="Small (11-200)"/>
    <x v="2"/>
    <d v="2024-05-10T00:00:00"/>
    <x v="0"/>
    <x v="3"/>
    <n v="1"/>
    <x v="0"/>
    <m/>
    <n v="1239"/>
    <n v="40"/>
    <x v="255"/>
    <x v="176"/>
    <s v=""/>
  </r>
  <r>
    <x v="659"/>
    <x v="4"/>
    <s v="51.260197"/>
    <s v="4.402771"/>
    <x v="5"/>
    <s v="Small (11-200)"/>
    <x v="3"/>
    <d v="2024-05-11T00:00:00"/>
    <x v="0"/>
    <x v="3"/>
    <n v="1"/>
    <x v="0"/>
    <m/>
    <n v="467"/>
    <n v="40"/>
    <x v="170"/>
    <x v="176"/>
    <s v=""/>
  </r>
  <r>
    <x v="660"/>
    <x v="3"/>
    <s v="52.520008"/>
    <s v="13.404954"/>
    <x v="4"/>
    <s v="Small (11-200)"/>
    <x v="4"/>
    <d v="2024-02-10T00:00:00"/>
    <x v="0"/>
    <x v="3"/>
    <n v="1"/>
    <x v="0"/>
    <m/>
    <n v="403"/>
    <n v="50"/>
    <x v="322"/>
    <x v="176"/>
    <s v=""/>
  </r>
  <r>
    <x v="661"/>
    <x v="7"/>
    <s v="48.210033"/>
    <s v="16.363449"/>
    <x v="1"/>
    <s v="Small (11-200)"/>
    <x v="4"/>
    <d v="2024-03-20T00:00:00"/>
    <x v="0"/>
    <x v="3"/>
    <n v="1"/>
    <x v="0"/>
    <m/>
    <n v="677"/>
    <n v="20"/>
    <x v="217"/>
    <x v="176"/>
    <s v=""/>
  </r>
  <r>
    <x v="662"/>
    <x v="5"/>
    <s v="46.204391"/>
    <s v="6.143158"/>
    <x v="5"/>
    <s v="Small (11-200)"/>
    <x v="2"/>
    <d v="2024-03-29T00:00:00"/>
    <x v="0"/>
    <x v="3"/>
    <n v="1"/>
    <x v="0"/>
    <m/>
    <n v="690"/>
    <n v="10"/>
    <x v="221"/>
    <x v="176"/>
    <s v=""/>
  </r>
  <r>
    <x v="663"/>
    <x v="5"/>
    <s v="46.204391"/>
    <s v="6.143158"/>
    <x v="4"/>
    <s v="Small (11-200)"/>
    <x v="4"/>
    <d v="2024-05-25T00:00:00"/>
    <x v="0"/>
    <x v="3"/>
    <n v="1"/>
    <x v="0"/>
    <m/>
    <n v="404"/>
    <n v="30"/>
    <x v="190"/>
    <x v="176"/>
    <s v=""/>
  </r>
  <r>
    <x v="664"/>
    <x v="6"/>
    <s v="48.864716"/>
    <s v="2.349014"/>
    <x v="5"/>
    <s v="Small (11-200)"/>
    <x v="2"/>
    <d v="2024-02-12T00:00:00"/>
    <x v="0"/>
    <x v="3"/>
    <n v="1"/>
    <x v="0"/>
    <m/>
    <n v="1126"/>
    <n v="80"/>
    <x v="323"/>
    <x v="176"/>
    <s v=""/>
  </r>
  <r>
    <x v="665"/>
    <x v="3"/>
    <s v="52.520008"/>
    <s v="13.404954"/>
    <x v="11"/>
    <s v="Small (11-200)"/>
    <x v="3"/>
    <d v="2024-01-30T00:00:00"/>
    <x v="0"/>
    <x v="3"/>
    <n v="1"/>
    <x v="0"/>
    <m/>
    <n v="1675"/>
    <n v="40"/>
    <x v="98"/>
    <x v="176"/>
    <s v=""/>
  </r>
  <r>
    <x v="666"/>
    <x v="2"/>
    <s v="41.902782"/>
    <s v="12.496366"/>
    <x v="0"/>
    <s v="Small (11-200)"/>
    <x v="0"/>
    <d v="2024-05-13T00:00:00"/>
    <x v="2"/>
    <x v="3"/>
    <n v="1"/>
    <x v="0"/>
    <m/>
    <n v="1910"/>
    <n v="20"/>
    <x v="206"/>
    <x v="176"/>
    <s v=""/>
  </r>
  <r>
    <x v="667"/>
    <x v="7"/>
    <s v="48.210033"/>
    <s v="16.363449"/>
    <x v="0"/>
    <s v="Small (11-200)"/>
    <x v="3"/>
    <d v="2024-02-04T00:00:00"/>
    <x v="1"/>
    <x v="3"/>
    <n v="1"/>
    <x v="0"/>
    <m/>
    <n v="857"/>
    <n v="30"/>
    <x v="324"/>
    <x v="176"/>
    <s v=""/>
  </r>
  <r>
    <x v="668"/>
    <x v="8"/>
    <s v="38.736946"/>
    <s v="-9.142685"/>
    <x v="3"/>
    <s v="Small (11-200)"/>
    <x v="4"/>
    <d v="2024-03-14T00:00:00"/>
    <x v="2"/>
    <x v="3"/>
    <n v="1"/>
    <x v="0"/>
    <m/>
    <n v="1561"/>
    <n v="40"/>
    <x v="298"/>
    <x v="176"/>
    <s v=""/>
  </r>
  <r>
    <x v="669"/>
    <x v="8"/>
    <s v="38.736946"/>
    <s v="-9.142685"/>
    <x v="4"/>
    <s v="Small (11-200)"/>
    <x v="2"/>
    <d v="2024-05-27T00:00:00"/>
    <x v="1"/>
    <x v="3"/>
    <n v="1"/>
    <x v="0"/>
    <m/>
    <n v="872"/>
    <n v="50"/>
    <x v="109"/>
    <x v="176"/>
    <s v=""/>
  </r>
  <r>
    <x v="670"/>
    <x v="3"/>
    <s v="52.520008"/>
    <s v="13.404954"/>
    <x v="0"/>
    <s v="Small (11-200)"/>
    <x v="4"/>
    <d v="2024-01-07T00:00:00"/>
    <x v="2"/>
    <x v="3"/>
    <n v="1"/>
    <x v="0"/>
    <m/>
    <n v="757"/>
    <n v="30"/>
    <x v="139"/>
    <x v="176"/>
    <s v=""/>
  </r>
  <r>
    <x v="671"/>
    <x v="3"/>
    <s v="52.520008"/>
    <s v="13.404954"/>
    <x v="6"/>
    <s v="Small (11-200)"/>
    <x v="3"/>
    <d v="2024-03-17T00:00:00"/>
    <x v="0"/>
    <x v="3"/>
    <n v="1"/>
    <x v="0"/>
    <m/>
    <n v="1521"/>
    <n v="70"/>
    <x v="2"/>
    <x v="176"/>
    <s v=""/>
  </r>
  <r>
    <x v="672"/>
    <x v="6"/>
    <s v="48.864716"/>
    <s v="2.349014"/>
    <x v="12"/>
    <s v="Small (11-200)"/>
    <x v="2"/>
    <d v="2024-04-20T00:00:00"/>
    <x v="0"/>
    <x v="3"/>
    <n v="1"/>
    <x v="0"/>
    <m/>
    <n v="1010"/>
    <n v="80"/>
    <x v="312"/>
    <x v="176"/>
    <s v=""/>
  </r>
  <r>
    <x v="673"/>
    <x v="2"/>
    <s v="41.902782"/>
    <s v="12.496366"/>
    <x v="5"/>
    <s v="Small (11-200)"/>
    <x v="5"/>
    <d v="2024-02-16T00:00:00"/>
    <x v="2"/>
    <x v="3"/>
    <n v="1"/>
    <x v="0"/>
    <m/>
    <n v="1175"/>
    <n v="30"/>
    <x v="325"/>
    <x v="176"/>
    <s v=""/>
  </r>
  <r>
    <x v="674"/>
    <x v="2"/>
    <s v="41.902782"/>
    <s v="12.496366"/>
    <x v="8"/>
    <s v="Small (11-200)"/>
    <x v="3"/>
    <d v="2024-01-26T00:00:00"/>
    <x v="0"/>
    <x v="3"/>
    <n v="1"/>
    <x v="0"/>
    <m/>
    <n v="1058"/>
    <n v="80"/>
    <x v="79"/>
    <x v="176"/>
    <s v=""/>
  </r>
  <r>
    <x v="675"/>
    <x v="7"/>
    <s v="48.210033"/>
    <s v="16.363449"/>
    <x v="1"/>
    <s v="Small (11-200)"/>
    <x v="2"/>
    <d v="2024-03-22T00:00:00"/>
    <x v="0"/>
    <x v="3"/>
    <n v="1"/>
    <x v="0"/>
    <m/>
    <n v="1546"/>
    <n v="10"/>
    <x v="78"/>
    <x v="176"/>
    <s v=""/>
  </r>
  <r>
    <x v="676"/>
    <x v="5"/>
    <s v="46.204391"/>
    <s v="6.143158"/>
    <x v="4"/>
    <s v="Small (11-200)"/>
    <x v="2"/>
    <d v="2024-05-05T00:00:00"/>
    <x v="0"/>
    <x v="3"/>
    <n v="1"/>
    <x v="0"/>
    <m/>
    <n v="1029"/>
    <n v="90"/>
    <x v="11"/>
    <x v="176"/>
    <s v=""/>
  </r>
  <r>
    <x v="677"/>
    <x v="6"/>
    <s v="48.864716"/>
    <s v="2.349014"/>
    <x v="1"/>
    <s v="Small (11-200)"/>
    <x v="7"/>
    <d v="2024-04-02T00:00:00"/>
    <x v="0"/>
    <x v="3"/>
    <n v="1"/>
    <x v="0"/>
    <m/>
    <n v="1736"/>
    <n v="40"/>
    <x v="109"/>
    <x v="176"/>
    <s v=""/>
  </r>
  <r>
    <x v="678"/>
    <x v="4"/>
    <s v="51.260197"/>
    <s v="4.402771"/>
    <x v="0"/>
    <s v="Small (11-200)"/>
    <x v="6"/>
    <d v="2024-01-02T00:00:00"/>
    <x v="2"/>
    <x v="3"/>
    <n v="1"/>
    <x v="0"/>
    <m/>
    <n v="1035"/>
    <n v="60"/>
    <x v="20"/>
    <x v="176"/>
    <s v=""/>
  </r>
  <r>
    <x v="679"/>
    <x v="3"/>
    <s v="52.520008"/>
    <s v="13.404954"/>
    <x v="5"/>
    <s v="Small (11-200)"/>
    <x v="7"/>
    <d v="2024-03-14T00:00:00"/>
    <x v="0"/>
    <x v="3"/>
    <n v="1"/>
    <x v="0"/>
    <m/>
    <n v="1077"/>
    <n v="20"/>
    <x v="48"/>
    <x v="176"/>
    <s v=""/>
  </r>
  <r>
    <x v="680"/>
    <x v="3"/>
    <s v="52.520008"/>
    <s v="13.404954"/>
    <x v="5"/>
    <s v="Small (11-200)"/>
    <x v="3"/>
    <d v="2024-02-01T00:00:00"/>
    <x v="2"/>
    <x v="3"/>
    <n v="1"/>
    <x v="0"/>
    <m/>
    <n v="1462"/>
    <n v="60"/>
    <x v="50"/>
    <x v="176"/>
    <s v=""/>
  </r>
  <r>
    <x v="681"/>
    <x v="6"/>
    <s v="48.864716"/>
    <s v="2.349014"/>
    <x v="4"/>
    <s v="Small (11-200)"/>
    <x v="4"/>
    <d v="2024-01-09T00:00:00"/>
    <x v="0"/>
    <x v="3"/>
    <n v="1"/>
    <x v="0"/>
    <m/>
    <n v="1849"/>
    <n v="80"/>
    <x v="277"/>
    <x v="176"/>
    <s v=""/>
  </r>
  <r>
    <x v="682"/>
    <x v="2"/>
    <s v="41.902782"/>
    <s v="12.496366"/>
    <x v="4"/>
    <s v="Small (11-200)"/>
    <x v="1"/>
    <d v="2024-05-13T00:00:00"/>
    <x v="0"/>
    <x v="3"/>
    <n v="1"/>
    <x v="0"/>
    <m/>
    <n v="294"/>
    <n v="40"/>
    <x v="186"/>
    <x v="176"/>
    <s v=""/>
  </r>
  <r>
    <x v="683"/>
    <x v="3"/>
    <s v="52.520008"/>
    <s v="13.404954"/>
    <x v="0"/>
    <s v="Small (11-200)"/>
    <x v="3"/>
    <d v="2024-01-03T00:00:00"/>
    <x v="0"/>
    <x v="3"/>
    <n v="1"/>
    <x v="0"/>
    <m/>
    <n v="1632"/>
    <n v="30"/>
    <x v="326"/>
    <x v="176"/>
    <s v=""/>
  </r>
  <r>
    <x v="684"/>
    <x v="2"/>
    <s v="41.902782"/>
    <s v="12.496366"/>
    <x v="0"/>
    <s v="Small (11-200)"/>
    <x v="3"/>
    <d v="2024-02-05T00:00:00"/>
    <x v="0"/>
    <x v="3"/>
    <n v="1"/>
    <x v="0"/>
    <m/>
    <n v="457"/>
    <n v="30"/>
    <x v="254"/>
    <x v="176"/>
    <s v=""/>
  </r>
  <r>
    <x v="685"/>
    <x v="6"/>
    <s v="48.864716"/>
    <s v="2.349014"/>
    <x v="7"/>
    <s v="Small (11-200)"/>
    <x v="1"/>
    <d v="2024-01-17T00:00:00"/>
    <x v="1"/>
    <x v="3"/>
    <n v="1"/>
    <x v="0"/>
    <m/>
    <n v="852"/>
    <n v="40"/>
    <x v="53"/>
    <x v="176"/>
    <s v=""/>
  </r>
  <r>
    <x v="686"/>
    <x v="7"/>
    <s v="48.210033"/>
    <s v="16.363449"/>
    <x v="0"/>
    <s v="Small (11-200)"/>
    <x v="3"/>
    <d v="2024-04-01T00:00:00"/>
    <x v="2"/>
    <x v="3"/>
    <n v="1"/>
    <x v="0"/>
    <m/>
    <n v="220"/>
    <n v="30"/>
    <x v="2"/>
    <x v="176"/>
    <s v=""/>
  </r>
  <r>
    <x v="687"/>
    <x v="2"/>
    <s v="41.902782"/>
    <s v="12.496366"/>
    <x v="1"/>
    <s v="Small (11-200)"/>
    <x v="7"/>
    <d v="2024-04-28T00:00:00"/>
    <x v="0"/>
    <x v="3"/>
    <n v="1"/>
    <x v="0"/>
    <m/>
    <n v="733"/>
    <n v="60"/>
    <x v="79"/>
    <x v="176"/>
    <s v=""/>
  </r>
  <r>
    <x v="688"/>
    <x v="4"/>
    <s v="51.260197"/>
    <s v="4.402771"/>
    <x v="0"/>
    <s v="Small (11-200)"/>
    <x v="2"/>
    <d v="2024-03-13T00:00:00"/>
    <x v="0"/>
    <x v="3"/>
    <n v="1"/>
    <x v="0"/>
    <m/>
    <n v="1736"/>
    <n v="30"/>
    <x v="144"/>
    <x v="176"/>
    <s v=""/>
  </r>
  <r>
    <x v="689"/>
    <x v="6"/>
    <s v="48.864716"/>
    <s v="2.349014"/>
    <x v="2"/>
    <s v="Small (11-200)"/>
    <x v="3"/>
    <d v="2024-01-20T00:00:00"/>
    <x v="0"/>
    <x v="3"/>
    <n v="1"/>
    <x v="0"/>
    <m/>
    <n v="1064"/>
    <n v="20"/>
    <x v="327"/>
    <x v="176"/>
    <s v=""/>
  </r>
  <r>
    <x v="690"/>
    <x v="3"/>
    <s v="52.520008"/>
    <s v="13.404954"/>
    <x v="6"/>
    <s v="Small (11-200)"/>
    <x v="0"/>
    <d v="2024-03-07T00:00:00"/>
    <x v="0"/>
    <x v="3"/>
    <n v="1"/>
    <x v="0"/>
    <m/>
    <n v="1152"/>
    <n v="40"/>
    <x v="328"/>
    <x v="176"/>
    <s v=""/>
  </r>
  <r>
    <x v="691"/>
    <x v="3"/>
    <s v="52.520008"/>
    <s v="13.404954"/>
    <x v="8"/>
    <s v="Small (11-200)"/>
    <x v="6"/>
    <d v="2024-05-10T00:00:00"/>
    <x v="0"/>
    <x v="3"/>
    <n v="1"/>
    <x v="0"/>
    <m/>
    <n v="227"/>
    <n v="40"/>
    <x v="76"/>
    <x v="176"/>
    <s v=""/>
  </r>
  <r>
    <x v="692"/>
    <x v="7"/>
    <s v="48.210033"/>
    <s v="16.363449"/>
    <x v="9"/>
    <s v="Small (11-200)"/>
    <x v="7"/>
    <d v="2024-03-11T00:00:00"/>
    <x v="0"/>
    <x v="3"/>
    <n v="1"/>
    <x v="0"/>
    <m/>
    <n v="1409"/>
    <n v="30"/>
    <x v="53"/>
    <x v="176"/>
    <s v=""/>
  </r>
  <r>
    <x v="693"/>
    <x v="5"/>
    <s v="46.204391"/>
    <s v="6.143158"/>
    <x v="4"/>
    <s v="Small (11-200)"/>
    <x v="2"/>
    <d v="2024-03-28T00:00:00"/>
    <x v="2"/>
    <x v="3"/>
    <n v="1"/>
    <x v="0"/>
    <m/>
    <n v="1853"/>
    <n v="40"/>
    <x v="307"/>
    <x v="176"/>
    <s v=""/>
  </r>
  <r>
    <x v="694"/>
    <x v="3"/>
    <s v="52.520008"/>
    <s v="13.404954"/>
    <x v="2"/>
    <s v="Small (11-200)"/>
    <x v="3"/>
    <d v="2024-03-01T00:00:00"/>
    <x v="0"/>
    <x v="3"/>
    <n v="1"/>
    <x v="0"/>
    <m/>
    <n v="601"/>
    <n v="30"/>
    <x v="61"/>
    <x v="176"/>
    <s v=""/>
  </r>
  <r>
    <x v="695"/>
    <x v="5"/>
    <s v="46.204391"/>
    <s v="6.143158"/>
    <x v="5"/>
    <s v="Small (11-200)"/>
    <x v="4"/>
    <d v="2024-03-16T00:00:00"/>
    <x v="2"/>
    <x v="3"/>
    <n v="1"/>
    <x v="0"/>
    <m/>
    <n v="637"/>
    <n v="40"/>
    <x v="329"/>
    <x v="176"/>
    <s v=""/>
  </r>
  <r>
    <x v="696"/>
    <x v="6"/>
    <s v="48.864716"/>
    <s v="2.349014"/>
    <x v="7"/>
    <s v="Small (11-200)"/>
    <x v="6"/>
    <d v="2024-01-12T00:00:00"/>
    <x v="0"/>
    <x v="3"/>
    <n v="1"/>
    <x v="0"/>
    <m/>
    <n v="1011"/>
    <n v="80"/>
    <x v="72"/>
    <x v="176"/>
    <s v=""/>
  </r>
  <r>
    <x v="697"/>
    <x v="6"/>
    <s v="48.864716"/>
    <s v="2.349014"/>
    <x v="7"/>
    <s v="Small (11-200)"/>
    <x v="7"/>
    <d v="2024-05-14T00:00:00"/>
    <x v="2"/>
    <x v="3"/>
    <n v="1"/>
    <x v="0"/>
    <m/>
    <n v="1368"/>
    <n v="40"/>
    <x v="330"/>
    <x v="176"/>
    <s v=""/>
  </r>
  <r>
    <x v="698"/>
    <x v="6"/>
    <s v="48.864716"/>
    <s v="2.349014"/>
    <x v="8"/>
    <s v="Small (11-200)"/>
    <x v="1"/>
    <d v="2024-05-23T00:00:00"/>
    <x v="0"/>
    <x v="3"/>
    <n v="1"/>
    <x v="0"/>
    <m/>
    <n v="706"/>
    <n v="60"/>
    <x v="129"/>
    <x v="176"/>
    <s v=""/>
  </r>
  <r>
    <x v="699"/>
    <x v="7"/>
    <s v="48.210033"/>
    <s v="16.363449"/>
    <x v="4"/>
    <s v="Small (11-200)"/>
    <x v="6"/>
    <d v="2024-03-26T00:00:00"/>
    <x v="1"/>
    <x v="3"/>
    <n v="1"/>
    <x v="0"/>
    <m/>
    <n v="1324"/>
    <n v="50"/>
    <x v="272"/>
    <x v="176"/>
    <s v=""/>
  </r>
  <r>
    <x v="700"/>
    <x v="8"/>
    <s v="38.736946"/>
    <s v="-9.142685"/>
    <x v="0"/>
    <s v="Small (11-200)"/>
    <x v="3"/>
    <d v="2024-03-01T00:00:00"/>
    <x v="2"/>
    <x v="3"/>
    <n v="1"/>
    <x v="0"/>
    <m/>
    <n v="1916"/>
    <n v="90"/>
    <x v="177"/>
    <x v="176"/>
    <s v=""/>
  </r>
  <r>
    <x v="701"/>
    <x v="2"/>
    <s v="41.902782"/>
    <s v="12.496366"/>
    <x v="9"/>
    <s v="Small (11-200)"/>
    <x v="5"/>
    <d v="2024-01-16T00:00:00"/>
    <x v="0"/>
    <x v="3"/>
    <n v="1"/>
    <x v="0"/>
    <m/>
    <n v="1838"/>
    <n v="30"/>
    <x v="331"/>
    <x v="176"/>
    <s v=""/>
  </r>
  <r>
    <x v="702"/>
    <x v="3"/>
    <s v="52.520008"/>
    <s v="13.404954"/>
    <x v="5"/>
    <s v="Small (11-200)"/>
    <x v="6"/>
    <d v="2024-01-18T00:00:00"/>
    <x v="0"/>
    <x v="3"/>
    <n v="1"/>
    <x v="0"/>
    <m/>
    <n v="621"/>
    <n v="20"/>
    <x v="328"/>
    <x v="176"/>
    <s v=""/>
  </r>
  <r>
    <x v="703"/>
    <x v="2"/>
    <s v="41.902782"/>
    <s v="12.496366"/>
    <x v="7"/>
    <s v="Micro (1-10)"/>
    <x v="0"/>
    <d v="2024-01-28T00:00:00"/>
    <x v="0"/>
    <x v="3"/>
    <n v="1"/>
    <x v="0"/>
    <m/>
    <n v="450"/>
    <n v="40"/>
    <x v="332"/>
    <x v="176"/>
    <s v=""/>
  </r>
  <r>
    <x v="704"/>
    <x v="5"/>
    <s v="46.204391"/>
    <s v="6.143158"/>
    <x v="3"/>
    <s v="Micro (1-10)"/>
    <x v="5"/>
    <d v="2024-02-17T00:00:00"/>
    <x v="0"/>
    <x v="3"/>
    <n v="1"/>
    <x v="0"/>
    <m/>
    <n v="904"/>
    <n v="80"/>
    <x v="252"/>
    <x v="176"/>
    <s v=""/>
  </r>
  <r>
    <x v="705"/>
    <x v="6"/>
    <s v="48.864716"/>
    <s v="2.349014"/>
    <x v="12"/>
    <s v="Micro (1-10)"/>
    <x v="5"/>
    <d v="2024-02-16T00:00:00"/>
    <x v="0"/>
    <x v="3"/>
    <n v="1"/>
    <x v="0"/>
    <m/>
    <n v="299"/>
    <n v="60"/>
    <x v="333"/>
    <x v="176"/>
    <s v=""/>
  </r>
  <r>
    <x v="706"/>
    <x v="2"/>
    <s v="41.902782"/>
    <s v="12.496366"/>
    <x v="4"/>
    <s v="Micro (1-10)"/>
    <x v="1"/>
    <d v="2024-04-26T00:00:00"/>
    <x v="2"/>
    <x v="3"/>
    <n v="1"/>
    <x v="0"/>
    <m/>
    <n v="935"/>
    <n v="80"/>
    <x v="69"/>
    <x v="176"/>
    <s v=""/>
  </r>
  <r>
    <x v="707"/>
    <x v="3"/>
    <s v="52.520008"/>
    <s v="13.404954"/>
    <x v="3"/>
    <s v="Micro (1-10)"/>
    <x v="3"/>
    <d v="2024-01-24T00:00:00"/>
    <x v="0"/>
    <x v="3"/>
    <n v="1"/>
    <x v="0"/>
    <m/>
    <n v="828"/>
    <n v="100"/>
    <x v="160"/>
    <x v="176"/>
    <s v=""/>
  </r>
  <r>
    <x v="708"/>
    <x v="4"/>
    <s v="51.260197"/>
    <s v="4.402771"/>
    <x v="2"/>
    <s v="Micro (1-10)"/>
    <x v="4"/>
    <d v="2024-02-20T00:00:00"/>
    <x v="2"/>
    <x v="3"/>
    <n v="1"/>
    <x v="0"/>
    <m/>
    <n v="1035"/>
    <n v="50"/>
    <x v="319"/>
    <x v="176"/>
    <s v=""/>
  </r>
  <r>
    <x v="709"/>
    <x v="3"/>
    <s v="52.520008"/>
    <s v="13.404954"/>
    <x v="5"/>
    <s v="Micro (1-10)"/>
    <x v="6"/>
    <d v="2024-03-23T00:00:00"/>
    <x v="0"/>
    <x v="3"/>
    <n v="1"/>
    <x v="0"/>
    <m/>
    <n v="749"/>
    <n v="20"/>
    <x v="206"/>
    <x v="176"/>
    <s v=""/>
  </r>
  <r>
    <x v="710"/>
    <x v="2"/>
    <s v="41.902782"/>
    <s v="12.496366"/>
    <x v="3"/>
    <s v="Micro (1-10)"/>
    <x v="5"/>
    <d v="2024-03-04T00:00:00"/>
    <x v="0"/>
    <x v="3"/>
    <n v="1"/>
    <x v="0"/>
    <m/>
    <n v="866"/>
    <n v="40"/>
    <x v="71"/>
    <x v="176"/>
    <s v=""/>
  </r>
  <r>
    <x v="711"/>
    <x v="6"/>
    <s v="48.864716"/>
    <s v="2.349014"/>
    <x v="5"/>
    <s v="Micro (1-10)"/>
    <x v="5"/>
    <d v="2024-04-25T00:00:00"/>
    <x v="2"/>
    <x v="3"/>
    <n v="1"/>
    <x v="0"/>
    <m/>
    <n v="315"/>
    <n v="40"/>
    <x v="248"/>
    <x v="176"/>
    <s v=""/>
  </r>
  <r>
    <x v="712"/>
    <x v="2"/>
    <s v="41.902782"/>
    <s v="12.496366"/>
    <x v="8"/>
    <s v="Micro (1-10)"/>
    <x v="5"/>
    <d v="2024-05-24T00:00:00"/>
    <x v="0"/>
    <x v="3"/>
    <n v="1"/>
    <x v="0"/>
    <m/>
    <n v="376"/>
    <n v="50"/>
    <x v="192"/>
    <x v="176"/>
    <s v=""/>
  </r>
  <r>
    <x v="713"/>
    <x v="2"/>
    <s v="41.902782"/>
    <s v="12.496366"/>
    <x v="1"/>
    <s v="Micro (1-10)"/>
    <x v="3"/>
    <d v="2024-02-18T00:00:00"/>
    <x v="0"/>
    <x v="3"/>
    <n v="1"/>
    <x v="0"/>
    <m/>
    <n v="625"/>
    <n v="30"/>
    <x v="106"/>
    <x v="176"/>
    <s v=""/>
  </r>
  <r>
    <x v="714"/>
    <x v="7"/>
    <s v="48.210033"/>
    <s v="16.363449"/>
    <x v="0"/>
    <s v="Micro (1-10)"/>
    <x v="4"/>
    <d v="2024-04-27T00:00:00"/>
    <x v="0"/>
    <x v="3"/>
    <n v="1"/>
    <x v="0"/>
    <m/>
    <n v="859"/>
    <n v="20"/>
    <x v="334"/>
    <x v="176"/>
    <s v=""/>
  </r>
  <r>
    <x v="715"/>
    <x v="2"/>
    <s v="41.902782"/>
    <s v="12.496366"/>
    <x v="6"/>
    <s v="Micro (1-10)"/>
    <x v="4"/>
    <d v="2024-02-04T00:00:00"/>
    <x v="0"/>
    <x v="3"/>
    <n v="1"/>
    <x v="0"/>
    <m/>
    <n v="1139"/>
    <n v="30"/>
    <x v="310"/>
    <x v="176"/>
    <s v=""/>
  </r>
  <r>
    <x v="716"/>
    <x v="6"/>
    <s v="48.864716"/>
    <s v="2.349014"/>
    <x v="8"/>
    <s v="Micro (1-10)"/>
    <x v="2"/>
    <d v="2024-03-20T00:00:00"/>
    <x v="2"/>
    <x v="3"/>
    <n v="1"/>
    <x v="0"/>
    <m/>
    <n v="458"/>
    <n v="30"/>
    <x v="261"/>
    <x v="176"/>
    <s v=""/>
  </r>
  <r>
    <x v="717"/>
    <x v="0"/>
    <s v="52.370216"/>
    <s v="4.895168"/>
    <x v="6"/>
    <s v="Micro (1-10)"/>
    <x v="7"/>
    <d v="2024-01-21T00:00:00"/>
    <x v="2"/>
    <x v="3"/>
    <n v="1"/>
    <x v="0"/>
    <m/>
    <n v="737"/>
    <n v="40"/>
    <x v="290"/>
    <x v="176"/>
    <s v=""/>
  </r>
  <r>
    <x v="718"/>
    <x v="6"/>
    <s v="48.864716"/>
    <s v="2.349014"/>
    <x v="6"/>
    <s v="Micro (1-10)"/>
    <x v="4"/>
    <d v="2024-03-25T00:00:00"/>
    <x v="1"/>
    <x v="3"/>
    <n v="1"/>
    <x v="0"/>
    <m/>
    <n v="1096"/>
    <n v="40"/>
    <x v="335"/>
    <x v="176"/>
    <s v=""/>
  </r>
  <r>
    <x v="719"/>
    <x v="3"/>
    <s v="52.520008"/>
    <s v="13.404954"/>
    <x v="10"/>
    <s v="Micro (1-10)"/>
    <x v="4"/>
    <d v="2024-03-06T00:00:00"/>
    <x v="2"/>
    <x v="3"/>
    <n v="1"/>
    <x v="0"/>
    <m/>
    <n v="491"/>
    <n v="90"/>
    <x v="272"/>
    <x v="176"/>
    <s v=""/>
  </r>
  <r>
    <x v="720"/>
    <x v="2"/>
    <s v="41.902782"/>
    <s v="12.496366"/>
    <x v="5"/>
    <s v="Micro (1-10)"/>
    <x v="3"/>
    <d v="2024-03-20T00:00:00"/>
    <x v="0"/>
    <x v="3"/>
    <n v="1"/>
    <x v="0"/>
    <m/>
    <n v="1107"/>
    <n v="40"/>
    <x v="336"/>
    <x v="176"/>
    <s v=""/>
  </r>
  <r>
    <x v="721"/>
    <x v="1"/>
    <s v="40.416775"/>
    <s v="-3.703790"/>
    <x v="4"/>
    <s v="Micro (1-10)"/>
    <x v="5"/>
    <d v="2024-03-29T00:00:00"/>
    <x v="0"/>
    <x v="3"/>
    <n v="1"/>
    <x v="0"/>
    <m/>
    <n v="261"/>
    <n v="30"/>
    <x v="215"/>
    <x v="176"/>
    <s v=""/>
  </r>
  <r>
    <x v="722"/>
    <x v="7"/>
    <s v="48.210033"/>
    <s v="16.363449"/>
    <x v="2"/>
    <s v="Micro (1-10)"/>
    <x v="3"/>
    <d v="2024-04-14T00:00:00"/>
    <x v="0"/>
    <x v="3"/>
    <n v="1"/>
    <x v="0"/>
    <m/>
    <n v="873"/>
    <n v="30"/>
    <x v="14"/>
    <x v="176"/>
    <s v=""/>
  </r>
  <r>
    <x v="723"/>
    <x v="5"/>
    <s v="46.204391"/>
    <s v="6.143158"/>
    <x v="2"/>
    <s v="Micro (1-10)"/>
    <x v="3"/>
    <d v="2024-03-16T00:00:00"/>
    <x v="1"/>
    <x v="3"/>
    <n v="1"/>
    <x v="0"/>
    <m/>
    <n v="455"/>
    <n v="20"/>
    <x v="172"/>
    <x v="176"/>
    <s v=""/>
  </r>
  <r>
    <x v="724"/>
    <x v="5"/>
    <s v="46.204391"/>
    <s v="6.143158"/>
    <x v="6"/>
    <s v="Micro (1-10)"/>
    <x v="4"/>
    <d v="2024-04-17T00:00:00"/>
    <x v="2"/>
    <x v="3"/>
    <n v="1"/>
    <x v="0"/>
    <m/>
    <n v="600"/>
    <n v="40"/>
    <x v="14"/>
    <x v="176"/>
    <s v=""/>
  </r>
  <r>
    <x v="725"/>
    <x v="2"/>
    <s v="41.902782"/>
    <s v="12.496366"/>
    <x v="5"/>
    <s v="Micro (1-10)"/>
    <x v="6"/>
    <d v="2024-02-19T00:00:00"/>
    <x v="2"/>
    <x v="3"/>
    <n v="1"/>
    <x v="0"/>
    <m/>
    <n v="467"/>
    <n v="40"/>
    <x v="185"/>
    <x v="176"/>
    <s v=""/>
  </r>
  <r>
    <x v="726"/>
    <x v="5"/>
    <s v="46.204391"/>
    <s v="6.143158"/>
    <x v="1"/>
    <s v="Micro (1-10)"/>
    <x v="1"/>
    <d v="2024-05-19T00:00:00"/>
    <x v="0"/>
    <x v="3"/>
    <n v="1"/>
    <x v="0"/>
    <m/>
    <n v="477"/>
    <n v="40"/>
    <x v="72"/>
    <x v="176"/>
    <s v=""/>
  </r>
  <r>
    <x v="727"/>
    <x v="6"/>
    <s v="48.864716"/>
    <s v="2.349014"/>
    <x v="3"/>
    <s v="Micro (1-10)"/>
    <x v="4"/>
    <d v="2024-03-02T00:00:00"/>
    <x v="0"/>
    <x v="3"/>
    <n v="1"/>
    <x v="0"/>
    <m/>
    <n v="1014"/>
    <n v="40"/>
    <x v="322"/>
    <x v="176"/>
    <s v=""/>
  </r>
  <r>
    <x v="728"/>
    <x v="5"/>
    <s v="46.204391"/>
    <s v="6.143158"/>
    <x v="13"/>
    <s v="Micro (1-10)"/>
    <x v="6"/>
    <d v="2024-04-06T00:00:00"/>
    <x v="2"/>
    <x v="3"/>
    <n v="1"/>
    <x v="0"/>
    <m/>
    <n v="226"/>
    <n v="40"/>
    <x v="105"/>
    <x v="176"/>
    <s v=""/>
  </r>
  <r>
    <x v="729"/>
    <x v="7"/>
    <s v="48.210033"/>
    <s v="16.363449"/>
    <x v="10"/>
    <s v="Micro (1-10)"/>
    <x v="5"/>
    <d v="2024-01-17T00:00:00"/>
    <x v="1"/>
    <x v="3"/>
    <n v="1"/>
    <x v="0"/>
    <m/>
    <n v="688"/>
    <n v="20"/>
    <x v="140"/>
    <x v="176"/>
    <s v=""/>
  </r>
  <r>
    <x v="730"/>
    <x v="3"/>
    <s v="52.520008"/>
    <s v="13.404954"/>
    <x v="8"/>
    <s v="Micro (1-10)"/>
    <x v="1"/>
    <d v="2024-01-07T00:00:00"/>
    <x v="2"/>
    <x v="3"/>
    <n v="1"/>
    <x v="0"/>
    <m/>
    <n v="814"/>
    <n v="40"/>
    <x v="65"/>
    <x v="176"/>
    <s v=""/>
  </r>
  <r>
    <x v="731"/>
    <x v="5"/>
    <s v="46.204391"/>
    <s v="6.143158"/>
    <x v="4"/>
    <s v="Micro (1-10)"/>
    <x v="1"/>
    <d v="2024-02-25T00:00:00"/>
    <x v="0"/>
    <x v="3"/>
    <n v="1"/>
    <x v="0"/>
    <m/>
    <n v="648"/>
    <n v="50"/>
    <x v="45"/>
    <x v="176"/>
    <s v=""/>
  </r>
  <r>
    <x v="732"/>
    <x v="6"/>
    <s v="48.864716"/>
    <s v="2.349014"/>
    <x v="0"/>
    <s v="Micro (1-10)"/>
    <x v="4"/>
    <d v="2024-03-22T00:00:00"/>
    <x v="2"/>
    <x v="3"/>
    <n v="1"/>
    <x v="0"/>
    <m/>
    <n v="880"/>
    <n v="30"/>
    <x v="64"/>
    <x v="176"/>
    <s v=""/>
  </r>
  <r>
    <x v="733"/>
    <x v="2"/>
    <s v="41.902782"/>
    <s v="12.496366"/>
    <x v="13"/>
    <s v="Micro (1-10)"/>
    <x v="2"/>
    <d v="2024-03-24T00:00:00"/>
    <x v="0"/>
    <x v="3"/>
    <n v="1"/>
    <x v="0"/>
    <m/>
    <n v="936"/>
    <n v="80"/>
    <x v="104"/>
    <x v="176"/>
    <s v=""/>
  </r>
  <r>
    <x v="734"/>
    <x v="6"/>
    <s v="48.864716"/>
    <s v="2.349014"/>
    <x v="12"/>
    <s v="Micro (1-10)"/>
    <x v="3"/>
    <d v="2024-04-29T00:00:00"/>
    <x v="2"/>
    <x v="3"/>
    <n v="1"/>
    <x v="0"/>
    <m/>
    <n v="796"/>
    <n v="70"/>
    <x v="10"/>
    <x v="176"/>
    <s v=""/>
  </r>
  <r>
    <x v="735"/>
    <x v="3"/>
    <s v="52.520008"/>
    <s v="13.404954"/>
    <x v="1"/>
    <s v="Micro (1-10)"/>
    <x v="3"/>
    <d v="2024-01-02T00:00:00"/>
    <x v="2"/>
    <x v="3"/>
    <n v="1"/>
    <x v="0"/>
    <m/>
    <n v="973"/>
    <n v="30"/>
    <x v="39"/>
    <x v="176"/>
    <s v=""/>
  </r>
  <r>
    <x v="736"/>
    <x v="2"/>
    <s v="41.902782"/>
    <s v="12.496366"/>
    <x v="7"/>
    <s v="Micro (1-10)"/>
    <x v="2"/>
    <d v="2024-05-31T00:00:00"/>
    <x v="0"/>
    <x v="3"/>
    <n v="1"/>
    <x v="0"/>
    <m/>
    <n v="1097"/>
    <n v="60"/>
    <x v="337"/>
    <x v="176"/>
    <s v=""/>
  </r>
  <r>
    <x v="737"/>
    <x v="6"/>
    <s v="48.864716"/>
    <s v="2.349014"/>
    <x v="4"/>
    <s v="Micro (1-10)"/>
    <x v="7"/>
    <d v="2024-05-06T00:00:00"/>
    <x v="0"/>
    <x v="3"/>
    <n v="1"/>
    <x v="0"/>
    <m/>
    <n v="1020"/>
    <n v="20"/>
    <x v="338"/>
    <x v="176"/>
    <s v=""/>
  </r>
  <r>
    <x v="738"/>
    <x v="5"/>
    <s v="46.204391"/>
    <s v="6.143158"/>
    <x v="5"/>
    <s v="Micro (1-10)"/>
    <x v="6"/>
    <d v="2024-03-23T00:00:00"/>
    <x v="1"/>
    <x v="3"/>
    <n v="1"/>
    <x v="0"/>
    <m/>
    <n v="1067"/>
    <n v="20"/>
    <x v="19"/>
    <x v="176"/>
    <s v=""/>
  </r>
  <r>
    <x v="739"/>
    <x v="5"/>
    <s v="46.204391"/>
    <s v="6.143158"/>
    <x v="1"/>
    <s v="Micro (1-10)"/>
    <x v="4"/>
    <d v="2024-02-01T00:00:00"/>
    <x v="2"/>
    <x v="3"/>
    <n v="1"/>
    <x v="0"/>
    <m/>
    <n v="1063"/>
    <n v="50"/>
    <x v="190"/>
    <x v="176"/>
    <s v=""/>
  </r>
  <r>
    <x v="740"/>
    <x v="8"/>
    <s v="38.736946"/>
    <s v="-9.142685"/>
    <x v="8"/>
    <s v="Micro (1-10)"/>
    <x v="5"/>
    <d v="2024-03-10T00:00:00"/>
    <x v="0"/>
    <x v="3"/>
    <n v="1"/>
    <x v="0"/>
    <m/>
    <n v="738"/>
    <n v="20"/>
    <x v="3"/>
    <x v="176"/>
    <s v=""/>
  </r>
  <r>
    <x v="741"/>
    <x v="2"/>
    <s v="41.902782"/>
    <s v="12.496366"/>
    <x v="13"/>
    <s v="Micro (1-10)"/>
    <x v="3"/>
    <d v="2024-05-12T00:00:00"/>
    <x v="0"/>
    <x v="3"/>
    <n v="1"/>
    <x v="0"/>
    <m/>
    <n v="425"/>
    <n v="60"/>
    <x v="37"/>
    <x v="176"/>
    <s v=""/>
  </r>
  <r>
    <x v="742"/>
    <x v="6"/>
    <s v="48.864716"/>
    <s v="2.349014"/>
    <x v="7"/>
    <s v="Micro (1-10)"/>
    <x v="6"/>
    <d v="2024-01-09T00:00:00"/>
    <x v="0"/>
    <x v="3"/>
    <n v="1"/>
    <x v="0"/>
    <m/>
    <n v="854"/>
    <n v="40"/>
    <x v="142"/>
    <x v="176"/>
    <s v=""/>
  </r>
  <r>
    <x v="743"/>
    <x v="2"/>
    <s v="41.902782"/>
    <s v="12.496366"/>
    <x v="6"/>
    <s v="Micro (1-10)"/>
    <x v="4"/>
    <d v="2024-02-15T00:00:00"/>
    <x v="2"/>
    <x v="3"/>
    <n v="1"/>
    <x v="0"/>
    <m/>
    <n v="627"/>
    <n v="20"/>
    <x v="179"/>
    <x v="176"/>
    <s v=""/>
  </r>
  <r>
    <x v="744"/>
    <x v="7"/>
    <s v="48.210033"/>
    <s v="16.363449"/>
    <x v="0"/>
    <s v="Micro (1-10)"/>
    <x v="1"/>
    <d v="2024-04-29T00:00:00"/>
    <x v="1"/>
    <x v="3"/>
    <n v="1"/>
    <x v="0"/>
    <m/>
    <n v="365"/>
    <n v="100"/>
    <x v="19"/>
    <x v="176"/>
    <s v=""/>
  </r>
  <r>
    <x v="745"/>
    <x v="2"/>
    <s v="41.902782"/>
    <s v="12.496366"/>
    <x v="4"/>
    <s v="Micro (1-10)"/>
    <x v="5"/>
    <d v="2024-04-21T00:00:00"/>
    <x v="2"/>
    <x v="3"/>
    <n v="1"/>
    <x v="0"/>
    <m/>
    <n v="852"/>
    <n v="70"/>
    <x v="25"/>
    <x v="176"/>
    <s v=""/>
  </r>
  <r>
    <x v="746"/>
    <x v="2"/>
    <s v="41.902782"/>
    <s v="12.496366"/>
    <x v="4"/>
    <s v="Micro (1-10)"/>
    <x v="3"/>
    <d v="2024-04-20T00:00:00"/>
    <x v="2"/>
    <x v="3"/>
    <n v="1"/>
    <x v="0"/>
    <m/>
    <n v="1139"/>
    <n v="80"/>
    <x v="150"/>
    <x v="176"/>
    <s v=""/>
  </r>
  <r>
    <x v="747"/>
    <x v="6"/>
    <s v="48.864716"/>
    <s v="2.349014"/>
    <x v="0"/>
    <s v="Micro (1-10)"/>
    <x v="2"/>
    <d v="2024-03-14T00:00:00"/>
    <x v="2"/>
    <x v="3"/>
    <n v="1"/>
    <x v="0"/>
    <m/>
    <n v="286"/>
    <n v="40"/>
    <x v="277"/>
    <x v="176"/>
    <s v=""/>
  </r>
  <r>
    <x v="748"/>
    <x v="6"/>
    <s v="48.864716"/>
    <s v="2.349014"/>
    <x v="5"/>
    <s v="Micro (1-10)"/>
    <x v="3"/>
    <d v="2024-02-26T00:00:00"/>
    <x v="2"/>
    <x v="3"/>
    <n v="1"/>
    <x v="0"/>
    <m/>
    <n v="563"/>
    <n v="30"/>
    <x v="101"/>
    <x v="176"/>
    <s v=""/>
  </r>
  <r>
    <x v="749"/>
    <x v="3"/>
    <s v="52.520008"/>
    <s v="13.404954"/>
    <x v="5"/>
    <s v="Micro (1-10)"/>
    <x v="7"/>
    <d v="2024-03-24T00:00:00"/>
    <x v="2"/>
    <x v="3"/>
    <n v="1"/>
    <x v="0"/>
    <m/>
    <n v="1130"/>
    <n v="30"/>
    <x v="246"/>
    <x v="176"/>
    <s v=""/>
  </r>
  <r>
    <x v="750"/>
    <x v="0"/>
    <s v="52.370216"/>
    <s v="4.895168"/>
    <x v="1"/>
    <s v="Micro (1-10)"/>
    <x v="7"/>
    <d v="2024-04-01T00:00:00"/>
    <x v="1"/>
    <x v="3"/>
    <n v="1"/>
    <x v="0"/>
    <m/>
    <n v="850"/>
    <n v="30"/>
    <x v="339"/>
    <x v="176"/>
    <s v=""/>
  </r>
  <r>
    <x v="751"/>
    <x v="5"/>
    <s v="46.204391"/>
    <s v="6.143158"/>
    <x v="12"/>
    <s v="Micro (1-10)"/>
    <x v="2"/>
    <d v="2024-02-25T00:00:00"/>
    <x v="0"/>
    <x v="3"/>
    <n v="1"/>
    <x v="0"/>
    <m/>
    <n v="866"/>
    <n v="20"/>
    <x v="76"/>
    <x v="176"/>
    <s v=""/>
  </r>
  <r>
    <x v="752"/>
    <x v="6"/>
    <s v="48.864716"/>
    <s v="2.349014"/>
    <x v="3"/>
    <s v="Micro (1-10)"/>
    <x v="0"/>
    <d v="2024-02-20T00:00:00"/>
    <x v="2"/>
    <x v="3"/>
    <n v="1"/>
    <x v="0"/>
    <m/>
    <n v="940"/>
    <n v="50"/>
    <x v="336"/>
    <x v="176"/>
    <s v=""/>
  </r>
  <r>
    <x v="753"/>
    <x v="8"/>
    <s v="38.736946"/>
    <s v="-9.142685"/>
    <x v="0"/>
    <s v="Micro (1-10)"/>
    <x v="0"/>
    <d v="2024-01-23T00:00:00"/>
    <x v="1"/>
    <x v="3"/>
    <n v="1"/>
    <x v="0"/>
    <m/>
    <n v="1024"/>
    <n v="30"/>
    <x v="28"/>
    <x v="176"/>
    <s v=""/>
  </r>
  <r>
    <x v="754"/>
    <x v="3"/>
    <s v="52.520008"/>
    <s v="13.404954"/>
    <x v="4"/>
    <s v="Micro (1-10)"/>
    <x v="1"/>
    <d v="2024-04-15T00:00:00"/>
    <x v="0"/>
    <x v="3"/>
    <n v="1"/>
    <x v="0"/>
    <m/>
    <n v="1068"/>
    <n v="20"/>
    <x v="71"/>
    <x v="176"/>
    <s v=""/>
  </r>
  <r>
    <x v="755"/>
    <x v="2"/>
    <s v="41.902782"/>
    <s v="12.496366"/>
    <x v="12"/>
    <s v="Micro (1-10)"/>
    <x v="0"/>
    <d v="2024-02-06T00:00:00"/>
    <x v="2"/>
    <x v="3"/>
    <n v="1"/>
    <x v="0"/>
    <m/>
    <n v="902"/>
    <n v="20"/>
    <x v="236"/>
    <x v="176"/>
    <s v=""/>
  </r>
  <r>
    <x v="756"/>
    <x v="2"/>
    <s v="41.902782"/>
    <s v="12.496366"/>
    <x v="3"/>
    <s v="Micro (1-10)"/>
    <x v="1"/>
    <d v="2024-04-17T00:00:00"/>
    <x v="1"/>
    <x v="3"/>
    <n v="1"/>
    <x v="0"/>
    <m/>
    <n v="922"/>
    <n v="50"/>
    <x v="48"/>
    <x v="176"/>
    <s v=""/>
  </r>
  <r>
    <x v="757"/>
    <x v="2"/>
    <s v="41.902782"/>
    <s v="12.496366"/>
    <x v="3"/>
    <s v="Micro (1-10)"/>
    <x v="7"/>
    <d v="2024-02-08T00:00:00"/>
    <x v="0"/>
    <x v="3"/>
    <n v="1"/>
    <x v="0"/>
    <m/>
    <n v="780"/>
    <n v="50"/>
    <x v="3"/>
    <x v="176"/>
    <s v=""/>
  </r>
  <r>
    <x v="758"/>
    <x v="0"/>
    <s v="52.370216"/>
    <s v="4.895168"/>
    <x v="5"/>
    <s v="Micro (1-10)"/>
    <x v="4"/>
    <d v="2024-02-20T00:00:00"/>
    <x v="2"/>
    <x v="3"/>
    <n v="1"/>
    <x v="0"/>
    <m/>
    <n v="387"/>
    <n v="30"/>
    <x v="186"/>
    <x v="176"/>
    <s v=""/>
  </r>
  <r>
    <x v="759"/>
    <x v="5"/>
    <s v="46.204391"/>
    <s v="6.143158"/>
    <x v="3"/>
    <s v="Micro (1-10)"/>
    <x v="0"/>
    <d v="2024-03-06T00:00:00"/>
    <x v="2"/>
    <x v="3"/>
    <n v="1"/>
    <x v="0"/>
    <m/>
    <n v="905"/>
    <n v="50"/>
    <x v="229"/>
    <x v="176"/>
    <s v=""/>
  </r>
  <r>
    <x v="760"/>
    <x v="8"/>
    <s v="38.736946"/>
    <s v="-9.142685"/>
    <x v="9"/>
    <s v="Micro (1-10)"/>
    <x v="2"/>
    <d v="2024-01-29T00:00:00"/>
    <x v="0"/>
    <x v="3"/>
    <n v="1"/>
    <x v="0"/>
    <m/>
    <n v="678"/>
    <n v="20"/>
    <x v="83"/>
    <x v="176"/>
    <s v=""/>
  </r>
  <r>
    <x v="761"/>
    <x v="8"/>
    <s v="38.736946"/>
    <s v="-9.142685"/>
    <x v="12"/>
    <s v="Micro (1-10)"/>
    <x v="4"/>
    <d v="2024-04-17T00:00:00"/>
    <x v="0"/>
    <x v="3"/>
    <n v="1"/>
    <x v="0"/>
    <m/>
    <n v="883"/>
    <n v="70"/>
    <x v="235"/>
    <x v="176"/>
    <s v=""/>
  </r>
  <r>
    <x v="762"/>
    <x v="8"/>
    <s v="38.736946"/>
    <s v="-9.142685"/>
    <x v="3"/>
    <s v="Micro (1-10)"/>
    <x v="2"/>
    <d v="2024-05-25T00:00:00"/>
    <x v="0"/>
    <x v="3"/>
    <n v="1"/>
    <x v="0"/>
    <m/>
    <n v="1175"/>
    <n v="90"/>
    <x v="200"/>
    <x v="176"/>
    <s v=""/>
  </r>
  <r>
    <x v="763"/>
    <x v="6"/>
    <s v="48.864716"/>
    <s v="2.349014"/>
    <x v="6"/>
    <s v="Micro (1-10)"/>
    <x v="3"/>
    <d v="2024-05-06T00:00:00"/>
    <x v="0"/>
    <x v="3"/>
    <n v="1"/>
    <x v="0"/>
    <m/>
    <n v="493"/>
    <n v="20"/>
    <x v="166"/>
    <x v="176"/>
    <s v=""/>
  </r>
  <r>
    <x v="764"/>
    <x v="1"/>
    <s v="40.416775"/>
    <s v="-3.703790"/>
    <x v="4"/>
    <s v="Micro (1-10)"/>
    <x v="4"/>
    <d v="2024-05-16T00:00:00"/>
    <x v="0"/>
    <x v="3"/>
    <n v="1"/>
    <x v="0"/>
    <m/>
    <n v="995"/>
    <n v="30"/>
    <x v="93"/>
    <x v="176"/>
    <s v=""/>
  </r>
  <r>
    <x v="765"/>
    <x v="3"/>
    <s v="52.520008"/>
    <s v="13.404954"/>
    <x v="4"/>
    <s v="Micro (1-10)"/>
    <x v="0"/>
    <d v="2024-05-23T00:00:00"/>
    <x v="2"/>
    <x v="3"/>
    <n v="1"/>
    <x v="0"/>
    <m/>
    <n v="236"/>
    <n v="100"/>
    <x v="223"/>
    <x v="176"/>
    <s v=""/>
  </r>
  <r>
    <x v="766"/>
    <x v="2"/>
    <s v="41.902782"/>
    <s v="12.496366"/>
    <x v="4"/>
    <s v="Micro (1-10)"/>
    <x v="0"/>
    <d v="2024-04-17T00:00:00"/>
    <x v="2"/>
    <x v="3"/>
    <n v="1"/>
    <x v="0"/>
    <m/>
    <n v="762"/>
    <n v="20"/>
    <x v="61"/>
    <x v="176"/>
    <s v=""/>
  </r>
  <r>
    <x v="767"/>
    <x v="2"/>
    <s v="41.902782"/>
    <s v="12.496366"/>
    <x v="0"/>
    <s v="Micro (1-10)"/>
    <x v="7"/>
    <d v="2024-03-13T00:00:00"/>
    <x v="2"/>
    <x v="3"/>
    <n v="1"/>
    <x v="0"/>
    <m/>
    <n v="463"/>
    <n v="40"/>
    <x v="149"/>
    <x v="176"/>
    <s v=""/>
  </r>
  <r>
    <x v="768"/>
    <x v="2"/>
    <s v="41.902782"/>
    <s v="12.496366"/>
    <x v="4"/>
    <s v="Micro (1-10)"/>
    <x v="2"/>
    <d v="2024-04-07T00:00:00"/>
    <x v="1"/>
    <x v="3"/>
    <n v="1"/>
    <x v="0"/>
    <m/>
    <n v="421"/>
    <n v="40"/>
    <x v="41"/>
    <x v="176"/>
    <s v=""/>
  </r>
  <r>
    <x v="769"/>
    <x v="0"/>
    <s v="52.370216"/>
    <s v="4.895168"/>
    <x v="0"/>
    <s v="Micro (1-10)"/>
    <x v="2"/>
    <d v="2024-01-29T00:00:00"/>
    <x v="0"/>
    <x v="3"/>
    <n v="1"/>
    <x v="0"/>
    <m/>
    <n v="1089"/>
    <n v="30"/>
    <x v="58"/>
    <x v="176"/>
    <s v=""/>
  </r>
  <r>
    <x v="770"/>
    <x v="7"/>
    <s v="48.210033"/>
    <s v="16.363449"/>
    <x v="0"/>
    <s v="Micro (1-10)"/>
    <x v="3"/>
    <d v="2024-05-03T00:00:00"/>
    <x v="0"/>
    <x v="3"/>
    <n v="1"/>
    <x v="0"/>
    <m/>
    <n v="655"/>
    <n v="80"/>
    <x v="121"/>
    <x v="176"/>
    <s v=""/>
  </r>
  <r>
    <x v="771"/>
    <x v="5"/>
    <s v="46.204391"/>
    <s v="6.143158"/>
    <x v="4"/>
    <s v="Micro (1-10)"/>
    <x v="0"/>
    <d v="2024-02-22T00:00:00"/>
    <x v="2"/>
    <x v="3"/>
    <n v="1"/>
    <x v="0"/>
    <m/>
    <n v="453"/>
    <n v="10"/>
    <x v="239"/>
    <x v="176"/>
    <s v=""/>
  </r>
  <r>
    <x v="772"/>
    <x v="5"/>
    <s v="46.204391"/>
    <s v="6.143158"/>
    <x v="3"/>
    <s v="Micro (1-10)"/>
    <x v="4"/>
    <d v="2024-04-14T00:00:00"/>
    <x v="0"/>
    <x v="3"/>
    <n v="1"/>
    <x v="0"/>
    <m/>
    <n v="777"/>
    <n v="40"/>
    <x v="168"/>
    <x v="176"/>
    <s v=""/>
  </r>
  <r>
    <x v="773"/>
    <x v="6"/>
    <s v="48.864716"/>
    <s v="2.349014"/>
    <x v="5"/>
    <s v="Micro (1-10)"/>
    <x v="3"/>
    <d v="2024-02-10T00:00:00"/>
    <x v="2"/>
    <x v="3"/>
    <n v="1"/>
    <x v="0"/>
    <m/>
    <n v="719"/>
    <n v="80"/>
    <x v="117"/>
    <x v="176"/>
    <s v=""/>
  </r>
  <r>
    <x v="774"/>
    <x v="8"/>
    <s v="38.736946"/>
    <s v="-9.142685"/>
    <x v="5"/>
    <s v="Micro (1-10)"/>
    <x v="1"/>
    <d v="2024-05-06T00:00:00"/>
    <x v="2"/>
    <x v="3"/>
    <n v="1"/>
    <x v="0"/>
    <m/>
    <n v="657"/>
    <n v="20"/>
    <x v="105"/>
    <x v="176"/>
    <s v=""/>
  </r>
  <r>
    <x v="775"/>
    <x v="5"/>
    <s v="46.204391"/>
    <s v="6.143158"/>
    <x v="4"/>
    <s v="Micro (1-10)"/>
    <x v="3"/>
    <d v="2024-01-09T00:00:00"/>
    <x v="2"/>
    <x v="3"/>
    <n v="1"/>
    <x v="0"/>
    <m/>
    <n v="226"/>
    <n v="20"/>
    <x v="340"/>
    <x v="176"/>
    <s v=""/>
  </r>
  <r>
    <x v="776"/>
    <x v="3"/>
    <s v="52.520008"/>
    <s v="13.404954"/>
    <x v="13"/>
    <s v="Micro (1-10)"/>
    <x v="3"/>
    <d v="2024-01-26T00:00:00"/>
    <x v="2"/>
    <x v="3"/>
    <n v="1"/>
    <x v="0"/>
    <m/>
    <n v="439"/>
    <n v="30"/>
    <x v="341"/>
    <x v="176"/>
    <s v=""/>
  </r>
  <r>
    <x v="777"/>
    <x v="5"/>
    <s v="46.204391"/>
    <s v="6.143158"/>
    <x v="7"/>
    <s v="Micro (1-10)"/>
    <x v="1"/>
    <d v="2024-02-22T00:00:00"/>
    <x v="1"/>
    <x v="3"/>
    <n v="1"/>
    <x v="0"/>
    <m/>
    <n v="311"/>
    <n v="20"/>
    <x v="88"/>
    <x v="176"/>
    <s v=""/>
  </r>
  <r>
    <x v="778"/>
    <x v="7"/>
    <s v="48.210033"/>
    <s v="16.363449"/>
    <x v="5"/>
    <s v="Micro (1-10)"/>
    <x v="4"/>
    <d v="2024-02-10T00:00:00"/>
    <x v="0"/>
    <x v="3"/>
    <n v="1"/>
    <x v="0"/>
    <m/>
    <n v="1160"/>
    <n v="60"/>
    <x v="179"/>
    <x v="176"/>
    <s v=""/>
  </r>
  <r>
    <x v="779"/>
    <x v="1"/>
    <s v="40.416775"/>
    <s v="-3.703790"/>
    <x v="9"/>
    <s v="Micro (1-10)"/>
    <x v="2"/>
    <d v="2024-05-01T00:00:00"/>
    <x v="0"/>
    <x v="3"/>
    <n v="1"/>
    <x v="0"/>
    <m/>
    <n v="696"/>
    <n v="10"/>
    <x v="106"/>
    <x v="176"/>
    <s v=""/>
  </r>
  <r>
    <x v="780"/>
    <x v="1"/>
    <s v="40.416775"/>
    <s v="-3.703790"/>
    <x v="13"/>
    <s v="Micro (1-10)"/>
    <x v="3"/>
    <d v="2024-04-20T00:00:00"/>
    <x v="1"/>
    <x v="3"/>
    <n v="1"/>
    <x v="0"/>
    <m/>
    <n v="696"/>
    <n v="50"/>
    <x v="158"/>
    <x v="176"/>
    <s v=""/>
  </r>
  <r>
    <x v="781"/>
    <x v="3"/>
    <s v="52.520008"/>
    <s v="13.404954"/>
    <x v="0"/>
    <s v="Micro (1-10)"/>
    <x v="1"/>
    <d v="2024-04-04T00:00:00"/>
    <x v="1"/>
    <x v="3"/>
    <n v="1"/>
    <x v="0"/>
    <m/>
    <n v="633"/>
    <n v="50"/>
    <x v="63"/>
    <x v="176"/>
    <s v=""/>
  </r>
  <r>
    <x v="782"/>
    <x v="7"/>
    <s v="48.210033"/>
    <s v="16.363449"/>
    <x v="6"/>
    <s v="Micro (1-10)"/>
    <x v="3"/>
    <d v="2024-05-30T00:00:00"/>
    <x v="2"/>
    <x v="3"/>
    <n v="1"/>
    <x v="0"/>
    <m/>
    <n v="683"/>
    <n v="20"/>
    <x v="226"/>
    <x v="176"/>
    <s v=""/>
  </r>
  <r>
    <x v="783"/>
    <x v="4"/>
    <s v="51.260197"/>
    <s v="4.402771"/>
    <x v="6"/>
    <s v="Micro (1-10)"/>
    <x v="3"/>
    <d v="2024-04-14T00:00:00"/>
    <x v="0"/>
    <x v="3"/>
    <n v="1"/>
    <x v="0"/>
    <m/>
    <n v="433"/>
    <n v="70"/>
    <x v="53"/>
    <x v="176"/>
    <s v=""/>
  </r>
  <r>
    <x v="784"/>
    <x v="3"/>
    <s v="52.520008"/>
    <s v="13.404954"/>
    <x v="0"/>
    <s v="Micro (1-10)"/>
    <x v="2"/>
    <d v="2024-02-12T00:00:00"/>
    <x v="0"/>
    <x v="3"/>
    <n v="1"/>
    <x v="0"/>
    <m/>
    <n v="456"/>
    <n v="100"/>
    <x v="342"/>
    <x v="176"/>
    <s v=""/>
  </r>
  <r>
    <x v="785"/>
    <x v="8"/>
    <s v="38.736946"/>
    <s v="-9.142685"/>
    <x v="3"/>
    <s v="Micro (1-10)"/>
    <x v="6"/>
    <d v="2024-05-11T00:00:00"/>
    <x v="0"/>
    <x v="3"/>
    <n v="1"/>
    <x v="0"/>
    <m/>
    <n v="211"/>
    <n v="30"/>
    <x v="343"/>
    <x v="176"/>
    <s v=""/>
  </r>
  <r>
    <x v="786"/>
    <x v="6"/>
    <s v="48.864716"/>
    <s v="2.349014"/>
    <x v="2"/>
    <s v="Micro (1-10)"/>
    <x v="7"/>
    <d v="2024-04-14T00:00:00"/>
    <x v="2"/>
    <x v="3"/>
    <n v="1"/>
    <x v="0"/>
    <m/>
    <n v="345"/>
    <n v="40"/>
    <x v="172"/>
    <x v="176"/>
    <s v=""/>
  </r>
  <r>
    <x v="787"/>
    <x v="1"/>
    <s v="40.416775"/>
    <s v="-3.703790"/>
    <x v="6"/>
    <s v="Micro (1-10)"/>
    <x v="4"/>
    <d v="2024-03-12T00:00:00"/>
    <x v="0"/>
    <x v="3"/>
    <n v="1"/>
    <x v="0"/>
    <m/>
    <n v="496"/>
    <n v="70"/>
    <x v="344"/>
    <x v="176"/>
    <s v=""/>
  </r>
  <r>
    <x v="788"/>
    <x v="8"/>
    <s v="38.736946"/>
    <s v="-9.142685"/>
    <x v="0"/>
    <s v="Micro (1-10)"/>
    <x v="3"/>
    <d v="2024-05-14T00:00:00"/>
    <x v="0"/>
    <x v="3"/>
    <n v="1"/>
    <x v="0"/>
    <m/>
    <n v="897"/>
    <n v="50"/>
    <x v="276"/>
    <x v="176"/>
    <s v=""/>
  </r>
  <r>
    <x v="789"/>
    <x v="2"/>
    <s v="41.902782"/>
    <s v="12.496366"/>
    <x v="10"/>
    <s v="Micro (1-10)"/>
    <x v="7"/>
    <d v="2024-04-28T00:00:00"/>
    <x v="1"/>
    <x v="3"/>
    <n v="1"/>
    <x v="0"/>
    <m/>
    <n v="244"/>
    <n v="100"/>
    <x v="345"/>
    <x v="176"/>
    <s v=""/>
  </r>
  <r>
    <x v="790"/>
    <x v="0"/>
    <s v="52.370216"/>
    <s v="4.895168"/>
    <x v="12"/>
    <s v="Micro (1-10)"/>
    <x v="0"/>
    <d v="2024-04-29T00:00:00"/>
    <x v="0"/>
    <x v="3"/>
    <n v="1"/>
    <x v="0"/>
    <m/>
    <n v="1181"/>
    <n v="20"/>
    <x v="27"/>
    <x v="176"/>
    <s v=""/>
  </r>
  <r>
    <x v="791"/>
    <x v="5"/>
    <s v="46.204391"/>
    <s v="6.143158"/>
    <x v="4"/>
    <s v="Micro (1-10)"/>
    <x v="6"/>
    <d v="2024-02-12T00:00:00"/>
    <x v="2"/>
    <x v="3"/>
    <n v="1"/>
    <x v="0"/>
    <m/>
    <n v="447"/>
    <n v="90"/>
    <x v="208"/>
    <x v="176"/>
    <s v=""/>
  </r>
  <r>
    <x v="792"/>
    <x v="8"/>
    <s v="38.736946"/>
    <s v="-9.142685"/>
    <x v="8"/>
    <s v="Micro (1-10)"/>
    <x v="3"/>
    <d v="2024-05-08T00:00:00"/>
    <x v="2"/>
    <x v="3"/>
    <n v="1"/>
    <x v="0"/>
    <m/>
    <n v="679"/>
    <n v="80"/>
    <x v="134"/>
    <x v="176"/>
    <s v=""/>
  </r>
  <r>
    <x v="793"/>
    <x v="5"/>
    <s v="46.204391"/>
    <s v="6.143158"/>
    <x v="4"/>
    <s v="Micro (1-10)"/>
    <x v="4"/>
    <d v="2024-04-15T00:00:00"/>
    <x v="1"/>
    <x v="3"/>
    <n v="1"/>
    <x v="0"/>
    <m/>
    <n v="705"/>
    <n v="50"/>
    <x v="310"/>
    <x v="176"/>
    <s v=""/>
  </r>
  <r>
    <x v="794"/>
    <x v="0"/>
    <s v="52.370216"/>
    <s v="4.895168"/>
    <x v="6"/>
    <s v="Micro (1-10)"/>
    <x v="2"/>
    <d v="2024-05-23T00:00:00"/>
    <x v="2"/>
    <x v="3"/>
    <n v="1"/>
    <x v="0"/>
    <m/>
    <n v="1155"/>
    <n v="70"/>
    <x v="124"/>
    <x v="176"/>
    <s v=""/>
  </r>
  <r>
    <x v="795"/>
    <x v="0"/>
    <s v="52.370216"/>
    <s v="4.895168"/>
    <x v="8"/>
    <s v="Micro (1-10)"/>
    <x v="4"/>
    <d v="2024-02-22T00:00:00"/>
    <x v="0"/>
    <x v="3"/>
    <n v="1"/>
    <x v="0"/>
    <m/>
    <n v="856"/>
    <n v="20"/>
    <x v="160"/>
    <x v="176"/>
    <s v=""/>
  </r>
  <r>
    <x v="796"/>
    <x v="8"/>
    <s v="38.736946"/>
    <s v="-9.142685"/>
    <x v="1"/>
    <s v="Micro (1-10)"/>
    <x v="1"/>
    <d v="2024-02-15T00:00:00"/>
    <x v="0"/>
    <x v="3"/>
    <n v="1"/>
    <x v="0"/>
    <m/>
    <n v="1100"/>
    <n v="40"/>
    <x v="87"/>
    <x v="176"/>
    <s v=""/>
  </r>
  <r>
    <x v="797"/>
    <x v="8"/>
    <s v="38.736946"/>
    <s v="-9.142685"/>
    <x v="3"/>
    <s v="Micro (1-10)"/>
    <x v="7"/>
    <d v="2024-01-26T00:00:00"/>
    <x v="2"/>
    <x v="3"/>
    <n v="1"/>
    <x v="0"/>
    <m/>
    <n v="277"/>
    <n v="30"/>
    <x v="171"/>
    <x v="176"/>
    <s v=""/>
  </r>
  <r>
    <x v="798"/>
    <x v="8"/>
    <s v="38.736946"/>
    <s v="-9.142685"/>
    <x v="10"/>
    <s v="Micro (1-10)"/>
    <x v="2"/>
    <d v="2024-04-07T00:00:00"/>
    <x v="2"/>
    <x v="3"/>
    <n v="1"/>
    <x v="0"/>
    <m/>
    <n v="597"/>
    <n v="90"/>
    <x v="346"/>
    <x v="176"/>
    <s v=""/>
  </r>
  <r>
    <x v="799"/>
    <x v="7"/>
    <s v="48.210033"/>
    <s v="16.363449"/>
    <x v="7"/>
    <s v="Micro (1-10)"/>
    <x v="4"/>
    <d v="2024-05-22T00:00:00"/>
    <x v="2"/>
    <x v="3"/>
    <n v="1"/>
    <x v="0"/>
    <m/>
    <n v="618"/>
    <n v="90"/>
    <x v="347"/>
    <x v="176"/>
    <s v=""/>
  </r>
  <r>
    <x v="800"/>
    <x v="4"/>
    <s v="51.260197"/>
    <s v="4.402771"/>
    <x v="11"/>
    <s v="Micro (1-10)"/>
    <x v="3"/>
    <d v="2024-05-09T00:00:00"/>
    <x v="0"/>
    <x v="3"/>
    <n v="1"/>
    <x v="0"/>
    <m/>
    <n v="960"/>
    <n v="20"/>
    <x v="202"/>
    <x v="176"/>
    <s v=""/>
  </r>
  <r>
    <x v="801"/>
    <x v="0"/>
    <s v="52.370216"/>
    <s v="4.895168"/>
    <x v="3"/>
    <s v="Micro (1-10)"/>
    <x v="4"/>
    <d v="2024-02-02T00:00:00"/>
    <x v="0"/>
    <x v="3"/>
    <n v="1"/>
    <x v="0"/>
    <m/>
    <n v="944"/>
    <n v="30"/>
    <x v="231"/>
    <x v="176"/>
    <s v=""/>
  </r>
  <r>
    <x v="802"/>
    <x v="2"/>
    <s v="41.902782"/>
    <s v="12.496366"/>
    <x v="8"/>
    <s v="Micro (1-10)"/>
    <x v="3"/>
    <d v="2024-03-02T00:00:00"/>
    <x v="0"/>
    <x v="3"/>
    <n v="1"/>
    <x v="0"/>
    <m/>
    <n v="343"/>
    <n v="100"/>
    <x v="294"/>
    <x v="176"/>
    <s v=""/>
  </r>
  <r>
    <x v="803"/>
    <x v="5"/>
    <s v="46.204391"/>
    <s v="6.143158"/>
    <x v="11"/>
    <s v="Micro (1-10)"/>
    <x v="4"/>
    <d v="2024-01-06T00:00:00"/>
    <x v="0"/>
    <x v="3"/>
    <n v="1"/>
    <x v="0"/>
    <m/>
    <n v="272"/>
    <n v="100"/>
    <x v="218"/>
    <x v="176"/>
    <s v=""/>
  </r>
  <r>
    <x v="804"/>
    <x v="6"/>
    <s v="48.864716"/>
    <s v="2.349014"/>
    <x v="0"/>
    <s v="Micro (1-10)"/>
    <x v="4"/>
    <d v="2024-02-07T00:00:00"/>
    <x v="0"/>
    <x v="3"/>
    <n v="1"/>
    <x v="0"/>
    <m/>
    <n v="946"/>
    <n v="30"/>
    <x v="218"/>
    <x v="176"/>
    <s v=""/>
  </r>
  <r>
    <x v="805"/>
    <x v="8"/>
    <s v="38.736946"/>
    <s v="-9.142685"/>
    <x v="12"/>
    <s v="Micro (1-10)"/>
    <x v="2"/>
    <d v="2024-03-09T00:00:00"/>
    <x v="2"/>
    <x v="3"/>
    <n v="1"/>
    <x v="0"/>
    <m/>
    <n v="720"/>
    <n v="40"/>
    <x v="189"/>
    <x v="176"/>
    <s v=""/>
  </r>
  <r>
    <x v="806"/>
    <x v="4"/>
    <s v="51.260197"/>
    <s v="4.402771"/>
    <x v="8"/>
    <s v="Micro (1-10)"/>
    <x v="2"/>
    <d v="2024-02-07T00:00:00"/>
    <x v="2"/>
    <x v="3"/>
    <n v="1"/>
    <x v="0"/>
    <m/>
    <n v="1196"/>
    <n v="50"/>
    <x v="78"/>
    <x v="176"/>
    <s v=""/>
  </r>
  <r>
    <x v="807"/>
    <x v="8"/>
    <s v="38.736946"/>
    <s v="-9.142685"/>
    <x v="7"/>
    <s v="Micro (1-10)"/>
    <x v="4"/>
    <d v="2024-03-29T00:00:00"/>
    <x v="1"/>
    <x v="3"/>
    <n v="1"/>
    <x v="0"/>
    <m/>
    <n v="429"/>
    <n v="20"/>
    <x v="348"/>
    <x v="176"/>
    <s v=""/>
  </r>
  <r>
    <x v="808"/>
    <x v="4"/>
    <s v="51.260197"/>
    <s v="4.402771"/>
    <x v="5"/>
    <s v="Medium (201-500)"/>
    <x v="2"/>
    <d v="2024-02-17T00:00:00"/>
    <x v="0"/>
    <x v="3"/>
    <n v="1"/>
    <x v="0"/>
    <m/>
    <n v="2023"/>
    <n v="40"/>
    <x v="178"/>
    <x v="176"/>
    <s v=""/>
  </r>
  <r>
    <x v="809"/>
    <x v="3"/>
    <s v="52.520008"/>
    <s v="13.404954"/>
    <x v="3"/>
    <s v="Medium (201-500)"/>
    <x v="2"/>
    <d v="2024-04-06T00:00:00"/>
    <x v="2"/>
    <x v="3"/>
    <n v="1"/>
    <x v="0"/>
    <m/>
    <n v="7694"/>
    <n v="60"/>
    <x v="190"/>
    <x v="176"/>
    <s v=""/>
  </r>
  <r>
    <x v="810"/>
    <x v="0"/>
    <s v="52.370216"/>
    <s v="4.895168"/>
    <x v="7"/>
    <s v="Medium (201-500)"/>
    <x v="1"/>
    <d v="2024-04-12T00:00:00"/>
    <x v="2"/>
    <x v="3"/>
    <n v="1"/>
    <x v="0"/>
    <m/>
    <n v="3165"/>
    <n v="20"/>
    <x v="83"/>
    <x v="176"/>
    <s v=""/>
  </r>
  <r>
    <x v="811"/>
    <x v="7"/>
    <s v="48.210033"/>
    <s v="16.363449"/>
    <x v="13"/>
    <s v="Medium (201-500)"/>
    <x v="0"/>
    <d v="2024-02-12T00:00:00"/>
    <x v="0"/>
    <x v="3"/>
    <n v="1"/>
    <x v="0"/>
    <m/>
    <n v="7131"/>
    <n v="40"/>
    <x v="43"/>
    <x v="176"/>
    <s v=""/>
  </r>
  <r>
    <x v="812"/>
    <x v="2"/>
    <s v="41.902782"/>
    <s v="12.496366"/>
    <x v="5"/>
    <s v="Medium (201-500)"/>
    <x v="3"/>
    <d v="2024-03-24T00:00:00"/>
    <x v="2"/>
    <x v="3"/>
    <n v="1"/>
    <x v="0"/>
    <m/>
    <n v="648"/>
    <n v="60"/>
    <x v="148"/>
    <x v="176"/>
    <s v=""/>
  </r>
  <r>
    <x v="813"/>
    <x v="3"/>
    <s v="52.520008"/>
    <s v="13.404954"/>
    <x v="9"/>
    <s v="Medium (201-500)"/>
    <x v="2"/>
    <d v="2024-02-18T00:00:00"/>
    <x v="2"/>
    <x v="3"/>
    <n v="1"/>
    <x v="0"/>
    <m/>
    <n v="3927"/>
    <n v="60"/>
    <x v="349"/>
    <x v="176"/>
    <s v=""/>
  </r>
  <r>
    <x v="814"/>
    <x v="5"/>
    <s v="46.204391"/>
    <s v="6.143158"/>
    <x v="5"/>
    <s v="Medium (201-500)"/>
    <x v="2"/>
    <d v="2024-03-23T00:00:00"/>
    <x v="0"/>
    <x v="3"/>
    <n v="1"/>
    <x v="0"/>
    <m/>
    <n v="4421"/>
    <n v="30"/>
    <x v="213"/>
    <x v="176"/>
    <s v=""/>
  </r>
  <r>
    <x v="815"/>
    <x v="1"/>
    <s v="40.416775"/>
    <s v="-3.703790"/>
    <x v="0"/>
    <s v="Medium (201-500)"/>
    <x v="2"/>
    <d v="2024-05-15T00:00:00"/>
    <x v="2"/>
    <x v="3"/>
    <n v="1"/>
    <x v="0"/>
    <m/>
    <n v="290"/>
    <n v="20"/>
    <x v="207"/>
    <x v="176"/>
    <s v=""/>
  </r>
  <r>
    <x v="816"/>
    <x v="5"/>
    <s v="46.204391"/>
    <s v="6.143158"/>
    <x v="4"/>
    <s v="Medium (201-500)"/>
    <x v="4"/>
    <d v="2024-03-11T00:00:00"/>
    <x v="0"/>
    <x v="3"/>
    <n v="1"/>
    <x v="0"/>
    <m/>
    <n v="2699"/>
    <n v="80"/>
    <x v="350"/>
    <x v="176"/>
    <s v=""/>
  </r>
  <r>
    <x v="817"/>
    <x v="5"/>
    <s v="46.204391"/>
    <s v="6.143158"/>
    <x v="0"/>
    <s v="Medium (201-500)"/>
    <x v="7"/>
    <d v="2024-01-06T00:00:00"/>
    <x v="0"/>
    <x v="3"/>
    <n v="1"/>
    <x v="0"/>
    <m/>
    <n v="3195"/>
    <n v="100"/>
    <x v="331"/>
    <x v="176"/>
    <s v=""/>
  </r>
  <r>
    <x v="818"/>
    <x v="1"/>
    <s v="40.416775"/>
    <s v="-3.703790"/>
    <x v="6"/>
    <s v="Medium (201-500)"/>
    <x v="2"/>
    <d v="2024-03-05T00:00:00"/>
    <x v="2"/>
    <x v="3"/>
    <n v="1"/>
    <x v="0"/>
    <m/>
    <n v="1765"/>
    <n v="50"/>
    <x v="349"/>
    <x v="176"/>
    <s v=""/>
  </r>
  <r>
    <x v="819"/>
    <x v="3"/>
    <s v="52.520008"/>
    <s v="13.404954"/>
    <x v="7"/>
    <s v="Medium (201-500)"/>
    <x v="5"/>
    <d v="2024-04-08T00:00:00"/>
    <x v="0"/>
    <x v="3"/>
    <n v="1"/>
    <x v="0"/>
    <m/>
    <n v="7602"/>
    <n v="30"/>
    <x v="243"/>
    <x v="176"/>
    <s v=""/>
  </r>
  <r>
    <x v="820"/>
    <x v="2"/>
    <s v="41.902782"/>
    <s v="12.496366"/>
    <x v="2"/>
    <s v="Medium (201-500)"/>
    <x v="7"/>
    <d v="2024-02-25T00:00:00"/>
    <x v="0"/>
    <x v="3"/>
    <n v="1"/>
    <x v="0"/>
    <m/>
    <n v="3872"/>
    <n v="20"/>
    <x v="148"/>
    <x v="176"/>
    <s v=""/>
  </r>
  <r>
    <x v="821"/>
    <x v="6"/>
    <s v="48.864716"/>
    <s v="2.349014"/>
    <x v="0"/>
    <s v="Medium (201-500)"/>
    <x v="2"/>
    <d v="2024-05-31T00:00:00"/>
    <x v="2"/>
    <x v="3"/>
    <n v="1"/>
    <x v="0"/>
    <m/>
    <n v="6817"/>
    <n v="20"/>
    <x v="56"/>
    <x v="176"/>
    <s v=""/>
  </r>
  <r>
    <x v="822"/>
    <x v="3"/>
    <s v="52.520008"/>
    <s v="13.404954"/>
    <x v="4"/>
    <s v="Medium (201-500)"/>
    <x v="4"/>
    <d v="2024-03-19T00:00:00"/>
    <x v="0"/>
    <x v="3"/>
    <n v="1"/>
    <x v="0"/>
    <m/>
    <n v="686"/>
    <n v="60"/>
    <x v="54"/>
    <x v="176"/>
    <s v=""/>
  </r>
  <r>
    <x v="823"/>
    <x v="6"/>
    <s v="48.864716"/>
    <s v="2.349014"/>
    <x v="13"/>
    <s v="Medium (201-500)"/>
    <x v="2"/>
    <d v="2024-05-07T00:00:00"/>
    <x v="2"/>
    <x v="3"/>
    <n v="1"/>
    <x v="0"/>
    <m/>
    <n v="7489"/>
    <n v="40"/>
    <x v="88"/>
    <x v="176"/>
    <s v=""/>
  </r>
  <r>
    <x v="824"/>
    <x v="6"/>
    <s v="48.864716"/>
    <s v="2.349014"/>
    <x v="8"/>
    <s v="Medium (201-500)"/>
    <x v="3"/>
    <d v="2024-02-01T00:00:00"/>
    <x v="2"/>
    <x v="3"/>
    <n v="1"/>
    <x v="0"/>
    <m/>
    <n v="361"/>
    <n v="20"/>
    <x v="244"/>
    <x v="176"/>
    <s v=""/>
  </r>
  <r>
    <x v="825"/>
    <x v="6"/>
    <s v="48.864716"/>
    <s v="2.349014"/>
    <x v="4"/>
    <s v="Medium (201-500)"/>
    <x v="7"/>
    <d v="2024-01-29T00:00:00"/>
    <x v="0"/>
    <x v="3"/>
    <n v="1"/>
    <x v="0"/>
    <m/>
    <n v="6737"/>
    <n v="80"/>
    <x v="252"/>
    <x v="176"/>
    <s v=""/>
  </r>
  <r>
    <x v="826"/>
    <x v="5"/>
    <s v="46.204391"/>
    <s v="6.143158"/>
    <x v="2"/>
    <s v="Medium (201-500)"/>
    <x v="3"/>
    <d v="2024-01-08T00:00:00"/>
    <x v="1"/>
    <x v="3"/>
    <n v="1"/>
    <x v="0"/>
    <m/>
    <n v="3058"/>
    <n v="10"/>
    <x v="195"/>
    <x v="176"/>
    <s v=""/>
  </r>
  <r>
    <x v="827"/>
    <x v="7"/>
    <s v="48.210033"/>
    <s v="16.363449"/>
    <x v="9"/>
    <s v="Medium (201-500)"/>
    <x v="1"/>
    <d v="2024-04-22T00:00:00"/>
    <x v="0"/>
    <x v="3"/>
    <n v="1"/>
    <x v="0"/>
    <m/>
    <n v="6586"/>
    <n v="40"/>
    <x v="186"/>
    <x v="176"/>
    <s v=""/>
  </r>
  <r>
    <x v="828"/>
    <x v="2"/>
    <s v="41.902782"/>
    <s v="12.496366"/>
    <x v="11"/>
    <s v="Medium (201-500)"/>
    <x v="3"/>
    <d v="2024-05-18T00:00:00"/>
    <x v="2"/>
    <x v="3"/>
    <n v="1"/>
    <x v="0"/>
    <m/>
    <n v="3108"/>
    <n v="40"/>
    <x v="351"/>
    <x v="176"/>
    <s v=""/>
  </r>
  <r>
    <x v="829"/>
    <x v="7"/>
    <s v="48.210033"/>
    <s v="16.363449"/>
    <x v="1"/>
    <s v="Medium (201-500)"/>
    <x v="4"/>
    <d v="2024-05-19T00:00:00"/>
    <x v="0"/>
    <x v="3"/>
    <n v="1"/>
    <x v="0"/>
    <m/>
    <n v="2864"/>
    <n v="20"/>
    <x v="17"/>
    <x v="176"/>
    <s v=""/>
  </r>
  <r>
    <x v="830"/>
    <x v="4"/>
    <s v="51.260197"/>
    <s v="4.402771"/>
    <x v="5"/>
    <s v="Medium (201-500)"/>
    <x v="5"/>
    <d v="2024-04-07T00:00:00"/>
    <x v="2"/>
    <x v="3"/>
    <n v="1"/>
    <x v="0"/>
    <m/>
    <n v="2513"/>
    <n v="20"/>
    <x v="311"/>
    <x v="176"/>
    <s v=""/>
  </r>
  <r>
    <x v="831"/>
    <x v="2"/>
    <s v="41.902782"/>
    <s v="12.496366"/>
    <x v="4"/>
    <s v="Medium (201-500)"/>
    <x v="4"/>
    <d v="2024-01-10T00:00:00"/>
    <x v="0"/>
    <x v="3"/>
    <n v="1"/>
    <x v="0"/>
    <m/>
    <n v="2504"/>
    <n v="30"/>
    <x v="247"/>
    <x v="176"/>
    <s v=""/>
  </r>
  <r>
    <x v="832"/>
    <x v="7"/>
    <s v="48.210033"/>
    <s v="16.363449"/>
    <x v="4"/>
    <s v="Medium (201-500)"/>
    <x v="6"/>
    <d v="2024-01-15T00:00:00"/>
    <x v="2"/>
    <x v="3"/>
    <n v="1"/>
    <x v="0"/>
    <m/>
    <n v="3666"/>
    <n v="40"/>
    <x v="217"/>
    <x v="176"/>
    <s v=""/>
  </r>
  <r>
    <x v="833"/>
    <x v="6"/>
    <s v="48.864716"/>
    <s v="2.349014"/>
    <x v="9"/>
    <s v="Medium (201-500)"/>
    <x v="3"/>
    <d v="2024-05-09T00:00:00"/>
    <x v="2"/>
    <x v="3"/>
    <n v="1"/>
    <x v="0"/>
    <m/>
    <n v="5438"/>
    <n v="60"/>
    <x v="188"/>
    <x v="176"/>
    <s v=""/>
  </r>
  <r>
    <x v="834"/>
    <x v="0"/>
    <s v="52.370216"/>
    <s v="4.895168"/>
    <x v="4"/>
    <s v="Medium (201-500)"/>
    <x v="3"/>
    <d v="2024-05-22T00:00:00"/>
    <x v="2"/>
    <x v="3"/>
    <n v="1"/>
    <x v="0"/>
    <m/>
    <n v="1631"/>
    <n v="20"/>
    <x v="64"/>
    <x v="176"/>
    <s v=""/>
  </r>
  <r>
    <x v="835"/>
    <x v="6"/>
    <s v="48.864716"/>
    <s v="2.349014"/>
    <x v="2"/>
    <s v="Medium (201-500)"/>
    <x v="7"/>
    <d v="2024-01-24T00:00:00"/>
    <x v="0"/>
    <x v="3"/>
    <n v="1"/>
    <x v="0"/>
    <m/>
    <n v="926"/>
    <n v="20"/>
    <x v="162"/>
    <x v="176"/>
    <s v=""/>
  </r>
  <r>
    <x v="836"/>
    <x v="6"/>
    <s v="48.864716"/>
    <s v="2.349014"/>
    <x v="6"/>
    <s v="Medium (201-500)"/>
    <x v="4"/>
    <d v="2024-01-13T00:00:00"/>
    <x v="0"/>
    <x v="3"/>
    <n v="1"/>
    <x v="0"/>
    <m/>
    <n v="4198"/>
    <n v="90"/>
    <x v="352"/>
    <x v="176"/>
    <s v=""/>
  </r>
  <r>
    <x v="837"/>
    <x v="6"/>
    <s v="48.864716"/>
    <s v="2.349014"/>
    <x v="6"/>
    <s v="Medium (201-500)"/>
    <x v="4"/>
    <d v="2024-05-03T00:00:00"/>
    <x v="1"/>
    <x v="3"/>
    <n v="1"/>
    <x v="0"/>
    <m/>
    <n v="6604"/>
    <n v="50"/>
    <x v="353"/>
    <x v="176"/>
    <s v=""/>
  </r>
  <r>
    <x v="838"/>
    <x v="8"/>
    <s v="38.736946"/>
    <s v="-9.142685"/>
    <x v="4"/>
    <s v="Medium (201-500)"/>
    <x v="4"/>
    <d v="2024-03-06T00:00:00"/>
    <x v="0"/>
    <x v="3"/>
    <n v="1"/>
    <x v="0"/>
    <m/>
    <n v="959"/>
    <n v="50"/>
    <x v="182"/>
    <x v="176"/>
    <s v=""/>
  </r>
  <r>
    <x v="839"/>
    <x v="0"/>
    <s v="52.370216"/>
    <s v="4.895168"/>
    <x v="1"/>
    <s v="Medium (201-500)"/>
    <x v="1"/>
    <d v="2024-01-12T00:00:00"/>
    <x v="0"/>
    <x v="3"/>
    <n v="1"/>
    <x v="0"/>
    <m/>
    <n v="2332"/>
    <n v="20"/>
    <x v="354"/>
    <x v="176"/>
    <s v=""/>
  </r>
  <r>
    <x v="840"/>
    <x v="3"/>
    <s v="52.520008"/>
    <s v="13.404954"/>
    <x v="4"/>
    <s v="Medium (201-500)"/>
    <x v="3"/>
    <d v="2024-01-20T00:00:00"/>
    <x v="2"/>
    <x v="3"/>
    <n v="1"/>
    <x v="0"/>
    <m/>
    <n v="5288"/>
    <n v="40"/>
    <x v="249"/>
    <x v="176"/>
    <s v=""/>
  </r>
  <r>
    <x v="841"/>
    <x v="2"/>
    <s v="41.902782"/>
    <s v="12.496366"/>
    <x v="0"/>
    <s v="Medium (201-500)"/>
    <x v="3"/>
    <d v="2024-03-08T00:00:00"/>
    <x v="1"/>
    <x v="3"/>
    <n v="1"/>
    <x v="0"/>
    <m/>
    <n v="2839"/>
    <n v="30"/>
    <x v="207"/>
    <x v="176"/>
    <s v=""/>
  </r>
  <r>
    <x v="842"/>
    <x v="5"/>
    <s v="46.204391"/>
    <s v="6.143158"/>
    <x v="2"/>
    <s v="Medium (201-500)"/>
    <x v="2"/>
    <d v="2024-04-13T00:00:00"/>
    <x v="0"/>
    <x v="3"/>
    <n v="1"/>
    <x v="0"/>
    <m/>
    <n v="3677"/>
    <n v="70"/>
    <x v="257"/>
    <x v="176"/>
    <s v=""/>
  </r>
  <r>
    <x v="843"/>
    <x v="0"/>
    <s v="52.370216"/>
    <s v="4.895168"/>
    <x v="13"/>
    <s v="Medium (201-500)"/>
    <x v="3"/>
    <d v="2024-02-16T00:00:00"/>
    <x v="1"/>
    <x v="3"/>
    <n v="1"/>
    <x v="0"/>
    <m/>
    <n v="6388"/>
    <n v="90"/>
    <x v="346"/>
    <x v="176"/>
    <s v=""/>
  </r>
  <r>
    <x v="844"/>
    <x v="3"/>
    <s v="52.520008"/>
    <s v="13.404954"/>
    <x v="10"/>
    <s v="Medium (201-500)"/>
    <x v="6"/>
    <d v="2024-01-27T00:00:00"/>
    <x v="2"/>
    <x v="3"/>
    <n v="1"/>
    <x v="0"/>
    <m/>
    <n v="4941"/>
    <n v="40"/>
    <x v="355"/>
    <x v="176"/>
    <s v=""/>
  </r>
  <r>
    <x v="845"/>
    <x v="8"/>
    <s v="38.736946"/>
    <s v="-9.142685"/>
    <x v="7"/>
    <s v="Medium (201-500)"/>
    <x v="4"/>
    <d v="2024-03-14T00:00:00"/>
    <x v="2"/>
    <x v="3"/>
    <n v="1"/>
    <x v="0"/>
    <m/>
    <n v="1652"/>
    <n v="40"/>
    <x v="272"/>
    <x v="176"/>
    <s v=""/>
  </r>
  <r>
    <x v="846"/>
    <x v="0"/>
    <s v="52.370216"/>
    <s v="4.895168"/>
    <x v="3"/>
    <s v="Medium (201-500)"/>
    <x v="2"/>
    <d v="2024-04-16T00:00:00"/>
    <x v="2"/>
    <x v="3"/>
    <n v="1"/>
    <x v="0"/>
    <m/>
    <n v="1813"/>
    <n v="50"/>
    <x v="343"/>
    <x v="176"/>
    <s v=""/>
  </r>
  <r>
    <x v="847"/>
    <x v="6"/>
    <s v="48.864716"/>
    <s v="2.349014"/>
    <x v="9"/>
    <s v="Medium (201-500)"/>
    <x v="4"/>
    <d v="2024-03-27T00:00:00"/>
    <x v="2"/>
    <x v="3"/>
    <n v="1"/>
    <x v="0"/>
    <m/>
    <n v="4568"/>
    <n v="20"/>
    <x v="30"/>
    <x v="176"/>
    <s v=""/>
  </r>
  <r>
    <x v="848"/>
    <x v="1"/>
    <s v="40.416775"/>
    <s v="-3.703790"/>
    <x v="5"/>
    <s v="Medium (201-500)"/>
    <x v="2"/>
    <d v="2024-02-20T00:00:00"/>
    <x v="1"/>
    <x v="3"/>
    <n v="1"/>
    <x v="0"/>
    <m/>
    <n v="761"/>
    <n v="40"/>
    <x v="224"/>
    <x v="176"/>
    <s v=""/>
  </r>
  <r>
    <x v="849"/>
    <x v="7"/>
    <s v="48.210033"/>
    <s v="16.363449"/>
    <x v="0"/>
    <s v="Medium (201-500)"/>
    <x v="3"/>
    <d v="2024-05-05T00:00:00"/>
    <x v="1"/>
    <x v="3"/>
    <n v="1"/>
    <x v="0"/>
    <m/>
    <n v="6194"/>
    <n v="50"/>
    <x v="41"/>
    <x v="176"/>
    <s v=""/>
  </r>
  <r>
    <x v="850"/>
    <x v="7"/>
    <s v="48.210033"/>
    <s v="16.363449"/>
    <x v="1"/>
    <s v="Medium (201-500)"/>
    <x v="5"/>
    <d v="2024-02-17T00:00:00"/>
    <x v="0"/>
    <x v="3"/>
    <n v="1"/>
    <x v="0"/>
    <m/>
    <n v="1538"/>
    <n v="30"/>
    <x v="36"/>
    <x v="176"/>
    <s v=""/>
  </r>
  <r>
    <x v="851"/>
    <x v="5"/>
    <s v="46.204391"/>
    <s v="6.143158"/>
    <x v="7"/>
    <s v="Medium (201-500)"/>
    <x v="3"/>
    <d v="2024-03-26T00:00:00"/>
    <x v="2"/>
    <x v="3"/>
    <n v="1"/>
    <x v="0"/>
    <m/>
    <n v="5141"/>
    <n v="80"/>
    <x v="341"/>
    <x v="176"/>
    <s v=""/>
  </r>
  <r>
    <x v="852"/>
    <x v="6"/>
    <s v="48.864716"/>
    <s v="2.349014"/>
    <x v="5"/>
    <s v="Medium (201-500)"/>
    <x v="3"/>
    <d v="2024-04-21T00:00:00"/>
    <x v="2"/>
    <x v="3"/>
    <n v="1"/>
    <x v="0"/>
    <m/>
    <n v="4067"/>
    <n v="50"/>
    <x v="65"/>
    <x v="176"/>
    <s v=""/>
  </r>
  <r>
    <x v="853"/>
    <x v="7"/>
    <s v="48.210033"/>
    <s v="16.363449"/>
    <x v="8"/>
    <s v="Medium (201-500)"/>
    <x v="6"/>
    <d v="2024-05-28T00:00:00"/>
    <x v="2"/>
    <x v="3"/>
    <n v="1"/>
    <x v="0"/>
    <m/>
    <n v="2214"/>
    <n v="60"/>
    <x v="72"/>
    <x v="176"/>
    <s v=""/>
  </r>
  <r>
    <x v="854"/>
    <x v="6"/>
    <s v="48.864716"/>
    <s v="2.349014"/>
    <x v="10"/>
    <s v="Medium (201-500)"/>
    <x v="3"/>
    <d v="2024-04-03T00:00:00"/>
    <x v="0"/>
    <x v="3"/>
    <n v="1"/>
    <x v="0"/>
    <m/>
    <n v="7441"/>
    <n v="20"/>
    <x v="356"/>
    <x v="176"/>
    <s v=""/>
  </r>
  <r>
    <x v="855"/>
    <x v="7"/>
    <s v="48.210033"/>
    <s v="16.363449"/>
    <x v="0"/>
    <s v="Medium (201-500)"/>
    <x v="5"/>
    <d v="2024-02-03T00:00:00"/>
    <x v="1"/>
    <x v="3"/>
    <n v="1"/>
    <x v="0"/>
    <m/>
    <n v="2263"/>
    <n v="20"/>
    <x v="300"/>
    <x v="176"/>
    <s v=""/>
  </r>
  <r>
    <x v="856"/>
    <x v="0"/>
    <s v="52.370216"/>
    <s v="4.895168"/>
    <x v="0"/>
    <s v="Medium (201-500)"/>
    <x v="7"/>
    <d v="2024-01-14T00:00:00"/>
    <x v="0"/>
    <x v="3"/>
    <n v="1"/>
    <x v="0"/>
    <m/>
    <n v="4085"/>
    <n v="50"/>
    <x v="60"/>
    <x v="176"/>
    <s v=""/>
  </r>
  <r>
    <x v="857"/>
    <x v="2"/>
    <s v="41.902782"/>
    <s v="12.496366"/>
    <x v="12"/>
    <s v="Medium (201-500)"/>
    <x v="5"/>
    <d v="2024-04-19T00:00:00"/>
    <x v="0"/>
    <x v="3"/>
    <n v="1"/>
    <x v="0"/>
    <m/>
    <n v="6749"/>
    <n v="20"/>
    <x v="34"/>
    <x v="176"/>
    <s v=""/>
  </r>
  <r>
    <x v="858"/>
    <x v="7"/>
    <s v="48.210033"/>
    <s v="16.363449"/>
    <x v="8"/>
    <s v="Medium (201-500)"/>
    <x v="2"/>
    <d v="2024-01-16T00:00:00"/>
    <x v="0"/>
    <x v="3"/>
    <n v="1"/>
    <x v="0"/>
    <m/>
    <n v="422"/>
    <n v="40"/>
    <x v="357"/>
    <x v="176"/>
    <s v=""/>
  </r>
  <r>
    <x v="859"/>
    <x v="2"/>
    <s v="41.902782"/>
    <s v="12.496366"/>
    <x v="1"/>
    <s v="Medium (201-500)"/>
    <x v="4"/>
    <d v="2024-05-30T00:00:00"/>
    <x v="1"/>
    <x v="3"/>
    <n v="1"/>
    <x v="0"/>
    <m/>
    <n v="3211"/>
    <n v="30"/>
    <x v="250"/>
    <x v="176"/>
    <s v=""/>
  </r>
  <r>
    <x v="860"/>
    <x v="3"/>
    <s v="52.520008"/>
    <s v="13.404954"/>
    <x v="4"/>
    <s v="Medium (201-500)"/>
    <x v="4"/>
    <d v="2024-01-13T00:00:00"/>
    <x v="0"/>
    <x v="3"/>
    <n v="1"/>
    <x v="0"/>
    <m/>
    <n v="1894"/>
    <n v="20"/>
    <x v="193"/>
    <x v="176"/>
    <s v=""/>
  </r>
  <r>
    <x v="861"/>
    <x v="4"/>
    <s v="51.260197"/>
    <s v="4.402771"/>
    <x v="3"/>
    <s v="Medium (201-500)"/>
    <x v="1"/>
    <d v="2024-03-25T00:00:00"/>
    <x v="2"/>
    <x v="3"/>
    <n v="1"/>
    <x v="0"/>
    <m/>
    <n v="6133"/>
    <n v="30"/>
    <x v="325"/>
    <x v="176"/>
    <s v=""/>
  </r>
  <r>
    <x v="862"/>
    <x v="6"/>
    <s v="48.864716"/>
    <s v="2.349014"/>
    <x v="4"/>
    <s v="Medium (201-500)"/>
    <x v="1"/>
    <d v="2024-02-01T00:00:00"/>
    <x v="2"/>
    <x v="3"/>
    <n v="1"/>
    <x v="0"/>
    <m/>
    <n v="3536"/>
    <n v="50"/>
    <x v="151"/>
    <x v="176"/>
    <s v=""/>
  </r>
  <r>
    <x v="863"/>
    <x v="2"/>
    <s v="41.902782"/>
    <s v="12.496366"/>
    <x v="0"/>
    <s v="Medium (201-500)"/>
    <x v="6"/>
    <d v="2024-05-31T00:00:00"/>
    <x v="1"/>
    <x v="3"/>
    <n v="1"/>
    <x v="0"/>
    <m/>
    <n v="6276"/>
    <n v="20"/>
    <x v="159"/>
    <x v="176"/>
    <s v=""/>
  </r>
  <r>
    <x v="864"/>
    <x v="6"/>
    <s v="48.864716"/>
    <s v="2.349014"/>
    <x v="7"/>
    <s v="Medium (201-500)"/>
    <x v="3"/>
    <d v="2024-05-11T00:00:00"/>
    <x v="2"/>
    <x v="3"/>
    <n v="1"/>
    <x v="0"/>
    <m/>
    <n v="5423"/>
    <n v="50"/>
    <x v="100"/>
    <x v="176"/>
    <s v=""/>
  </r>
  <r>
    <x v="865"/>
    <x v="3"/>
    <s v="52.520008"/>
    <s v="13.404954"/>
    <x v="12"/>
    <s v="Medium (201-500)"/>
    <x v="4"/>
    <d v="2024-04-20T00:00:00"/>
    <x v="2"/>
    <x v="3"/>
    <n v="1"/>
    <x v="0"/>
    <m/>
    <n v="1217"/>
    <n v="20"/>
    <x v="280"/>
    <x v="176"/>
    <s v=""/>
  </r>
  <r>
    <x v="866"/>
    <x v="3"/>
    <s v="52.520008"/>
    <s v="13.404954"/>
    <x v="3"/>
    <s v="Medium (201-500)"/>
    <x v="2"/>
    <d v="2024-01-31T00:00:00"/>
    <x v="2"/>
    <x v="3"/>
    <n v="1"/>
    <x v="0"/>
    <m/>
    <n v="4737"/>
    <n v="80"/>
    <x v="273"/>
    <x v="176"/>
    <s v=""/>
  </r>
  <r>
    <x v="867"/>
    <x v="5"/>
    <s v="46.204391"/>
    <s v="6.143158"/>
    <x v="4"/>
    <s v="Medium (201-500)"/>
    <x v="0"/>
    <d v="2024-04-29T00:00:00"/>
    <x v="0"/>
    <x v="3"/>
    <n v="1"/>
    <x v="0"/>
    <m/>
    <n v="5200"/>
    <n v="20"/>
    <x v="351"/>
    <x v="176"/>
    <s v=""/>
  </r>
  <r>
    <x v="868"/>
    <x v="2"/>
    <s v="41.902782"/>
    <s v="12.496366"/>
    <x v="5"/>
    <s v="Medium (201-500)"/>
    <x v="5"/>
    <d v="2024-01-10T00:00:00"/>
    <x v="1"/>
    <x v="3"/>
    <n v="1"/>
    <x v="0"/>
    <m/>
    <n v="6127"/>
    <n v="60"/>
    <x v="358"/>
    <x v="176"/>
    <s v=""/>
  </r>
  <r>
    <x v="869"/>
    <x v="5"/>
    <s v="46.204391"/>
    <s v="6.143158"/>
    <x v="9"/>
    <s v="Medium (201-500)"/>
    <x v="3"/>
    <d v="2024-01-03T00:00:00"/>
    <x v="1"/>
    <x v="3"/>
    <n v="1"/>
    <x v="0"/>
    <m/>
    <n v="1449"/>
    <n v="10"/>
    <x v="252"/>
    <x v="176"/>
    <s v=""/>
  </r>
  <r>
    <x v="870"/>
    <x v="6"/>
    <s v="48.864716"/>
    <s v="2.349014"/>
    <x v="7"/>
    <s v="Medium (201-500)"/>
    <x v="7"/>
    <d v="2024-03-20T00:00:00"/>
    <x v="2"/>
    <x v="3"/>
    <n v="1"/>
    <x v="0"/>
    <m/>
    <n v="4897"/>
    <n v="40"/>
    <x v="154"/>
    <x v="176"/>
    <s v=""/>
  </r>
  <r>
    <x v="871"/>
    <x v="8"/>
    <s v="38.736946"/>
    <s v="-9.142685"/>
    <x v="13"/>
    <s v="Medium (201-500)"/>
    <x v="4"/>
    <d v="2024-03-15T00:00:00"/>
    <x v="0"/>
    <x v="3"/>
    <n v="1"/>
    <x v="0"/>
    <m/>
    <n v="2131"/>
    <n v="20"/>
    <x v="8"/>
    <x v="176"/>
    <s v=""/>
  </r>
  <r>
    <x v="872"/>
    <x v="6"/>
    <s v="48.864716"/>
    <s v="2.349014"/>
    <x v="4"/>
    <s v="Medium (201-500)"/>
    <x v="3"/>
    <d v="2024-02-20T00:00:00"/>
    <x v="0"/>
    <x v="3"/>
    <n v="1"/>
    <x v="0"/>
    <m/>
    <n v="3412"/>
    <n v="50"/>
    <x v="359"/>
    <x v="176"/>
    <s v=""/>
  </r>
  <r>
    <x v="873"/>
    <x v="5"/>
    <s v="46.204391"/>
    <s v="6.143158"/>
    <x v="5"/>
    <s v="Medium (201-500)"/>
    <x v="1"/>
    <d v="2024-01-04T00:00:00"/>
    <x v="1"/>
    <x v="3"/>
    <n v="1"/>
    <x v="0"/>
    <m/>
    <n v="6066"/>
    <n v="40"/>
    <x v="269"/>
    <x v="176"/>
    <s v=""/>
  </r>
  <r>
    <x v="874"/>
    <x v="7"/>
    <s v="48.210033"/>
    <s v="16.363449"/>
    <x v="1"/>
    <s v="Medium (201-500)"/>
    <x v="4"/>
    <d v="2024-02-12T00:00:00"/>
    <x v="2"/>
    <x v="3"/>
    <n v="1"/>
    <x v="0"/>
    <m/>
    <n v="7000"/>
    <n v="40"/>
    <x v="349"/>
    <x v="176"/>
    <s v=""/>
  </r>
  <r>
    <x v="875"/>
    <x v="4"/>
    <s v="51.260197"/>
    <s v="4.402771"/>
    <x v="12"/>
    <s v="Medium (201-500)"/>
    <x v="3"/>
    <d v="2024-02-12T00:00:00"/>
    <x v="1"/>
    <x v="3"/>
    <n v="1"/>
    <x v="0"/>
    <m/>
    <n v="5247"/>
    <n v="50"/>
    <x v="220"/>
    <x v="176"/>
    <s v=""/>
  </r>
  <r>
    <x v="876"/>
    <x v="6"/>
    <s v="48.864716"/>
    <s v="2.349014"/>
    <x v="9"/>
    <s v="Medium (201-500)"/>
    <x v="3"/>
    <d v="2024-04-10T00:00:00"/>
    <x v="2"/>
    <x v="3"/>
    <n v="1"/>
    <x v="0"/>
    <m/>
    <n v="6449"/>
    <n v="10"/>
    <x v="159"/>
    <x v="176"/>
    <s v=""/>
  </r>
  <r>
    <x v="877"/>
    <x v="8"/>
    <s v="38.736946"/>
    <s v="-9.142685"/>
    <x v="0"/>
    <s v="Medium (201-500)"/>
    <x v="5"/>
    <d v="2024-05-29T00:00:00"/>
    <x v="0"/>
    <x v="3"/>
    <n v="1"/>
    <x v="0"/>
    <m/>
    <n v="774"/>
    <n v="70"/>
    <x v="184"/>
    <x v="176"/>
    <s v=""/>
  </r>
  <r>
    <x v="878"/>
    <x v="6"/>
    <s v="48.864716"/>
    <s v="2.349014"/>
    <x v="3"/>
    <s v="Medium (201-500)"/>
    <x v="4"/>
    <d v="2024-03-31T00:00:00"/>
    <x v="2"/>
    <x v="3"/>
    <n v="1"/>
    <x v="0"/>
    <m/>
    <n v="3600"/>
    <n v="70"/>
    <x v="360"/>
    <x v="176"/>
    <s v=""/>
  </r>
  <r>
    <x v="879"/>
    <x v="2"/>
    <s v="41.902782"/>
    <s v="12.496366"/>
    <x v="6"/>
    <s v="Medium (201-500)"/>
    <x v="7"/>
    <d v="2024-03-11T00:00:00"/>
    <x v="2"/>
    <x v="3"/>
    <n v="1"/>
    <x v="0"/>
    <m/>
    <n v="478"/>
    <n v="20"/>
    <x v="279"/>
    <x v="176"/>
    <s v=""/>
  </r>
  <r>
    <x v="880"/>
    <x v="2"/>
    <s v="41.902782"/>
    <s v="12.496366"/>
    <x v="4"/>
    <s v="Medium (201-500)"/>
    <x v="3"/>
    <d v="2024-05-19T00:00:00"/>
    <x v="2"/>
    <x v="3"/>
    <n v="1"/>
    <x v="0"/>
    <m/>
    <n v="6164"/>
    <n v="40"/>
    <x v="223"/>
    <x v="176"/>
    <s v=""/>
  </r>
  <r>
    <x v="881"/>
    <x v="4"/>
    <s v="51.260197"/>
    <s v="4.402771"/>
    <x v="8"/>
    <s v="Medium (201-500)"/>
    <x v="6"/>
    <d v="2024-04-02T00:00:00"/>
    <x v="0"/>
    <x v="3"/>
    <n v="1"/>
    <x v="0"/>
    <m/>
    <n v="1794"/>
    <n v="50"/>
    <x v="60"/>
    <x v="176"/>
    <s v=""/>
  </r>
  <r>
    <x v="882"/>
    <x v="2"/>
    <s v="41.902782"/>
    <s v="12.496366"/>
    <x v="5"/>
    <s v="Medium (201-500)"/>
    <x v="6"/>
    <d v="2024-01-02T00:00:00"/>
    <x v="1"/>
    <x v="3"/>
    <n v="1"/>
    <x v="0"/>
    <m/>
    <n v="6881"/>
    <n v="20"/>
    <x v="124"/>
    <x v="176"/>
    <s v=""/>
  </r>
  <r>
    <x v="883"/>
    <x v="2"/>
    <s v="41.902782"/>
    <s v="12.496366"/>
    <x v="8"/>
    <s v="Medium (201-500)"/>
    <x v="2"/>
    <d v="2024-04-22T00:00:00"/>
    <x v="1"/>
    <x v="3"/>
    <n v="1"/>
    <x v="0"/>
    <m/>
    <n v="1580"/>
    <n v="10"/>
    <x v="361"/>
    <x v="176"/>
    <s v=""/>
  </r>
  <r>
    <x v="884"/>
    <x v="2"/>
    <s v="41.902782"/>
    <s v="12.496366"/>
    <x v="2"/>
    <s v="Medium (201-500)"/>
    <x v="2"/>
    <d v="2024-03-09T00:00:00"/>
    <x v="0"/>
    <x v="3"/>
    <n v="1"/>
    <x v="0"/>
    <m/>
    <n v="4840"/>
    <n v="10"/>
    <x v="16"/>
    <x v="176"/>
    <s v=""/>
  </r>
  <r>
    <x v="885"/>
    <x v="1"/>
    <s v="40.416775"/>
    <s v="-3.703790"/>
    <x v="10"/>
    <s v="Medium (201-500)"/>
    <x v="3"/>
    <d v="2024-01-31T00:00:00"/>
    <x v="2"/>
    <x v="3"/>
    <n v="1"/>
    <x v="0"/>
    <m/>
    <n v="5943"/>
    <n v="30"/>
    <x v="295"/>
    <x v="176"/>
    <s v=""/>
  </r>
  <r>
    <x v="886"/>
    <x v="5"/>
    <s v="46.204391"/>
    <s v="6.143158"/>
    <x v="0"/>
    <s v="Medium (201-500)"/>
    <x v="3"/>
    <d v="2024-01-31T00:00:00"/>
    <x v="0"/>
    <x v="3"/>
    <n v="1"/>
    <x v="0"/>
    <m/>
    <n v="4116"/>
    <n v="90"/>
    <x v="274"/>
    <x v="176"/>
    <s v=""/>
  </r>
  <r>
    <x v="887"/>
    <x v="2"/>
    <s v="41.902782"/>
    <s v="12.496366"/>
    <x v="3"/>
    <s v="Medium (201-500)"/>
    <x v="3"/>
    <d v="2024-05-06T00:00:00"/>
    <x v="0"/>
    <x v="3"/>
    <n v="1"/>
    <x v="0"/>
    <m/>
    <n v="4588"/>
    <n v="30"/>
    <x v="227"/>
    <x v="176"/>
    <s v=""/>
  </r>
  <r>
    <x v="888"/>
    <x v="3"/>
    <s v="52.520008"/>
    <s v="13.404954"/>
    <x v="0"/>
    <s v="Medium (201-500)"/>
    <x v="2"/>
    <d v="2024-01-30T00:00:00"/>
    <x v="0"/>
    <x v="3"/>
    <n v="1"/>
    <x v="0"/>
    <m/>
    <n v="7420"/>
    <n v="80"/>
    <x v="121"/>
    <x v="176"/>
    <s v=""/>
  </r>
  <r>
    <x v="889"/>
    <x v="8"/>
    <s v="38.736946"/>
    <s v="-9.142685"/>
    <x v="5"/>
    <s v="Medium (201-500)"/>
    <x v="2"/>
    <d v="2024-03-06T00:00:00"/>
    <x v="0"/>
    <x v="3"/>
    <n v="1"/>
    <x v="0"/>
    <m/>
    <n v="1956"/>
    <n v="40"/>
    <x v="145"/>
    <x v="176"/>
    <s v=""/>
  </r>
  <r>
    <x v="890"/>
    <x v="5"/>
    <s v="46.204391"/>
    <s v="6.143158"/>
    <x v="0"/>
    <s v="Medium (201-500)"/>
    <x v="6"/>
    <d v="2024-05-16T00:00:00"/>
    <x v="0"/>
    <x v="3"/>
    <n v="1"/>
    <x v="0"/>
    <m/>
    <n v="3137"/>
    <n v="30"/>
    <x v="256"/>
    <x v="176"/>
    <s v=""/>
  </r>
  <r>
    <x v="891"/>
    <x v="1"/>
    <s v="40.416775"/>
    <s v="-3.703790"/>
    <x v="4"/>
    <s v="Medium (201-500)"/>
    <x v="3"/>
    <d v="2024-03-31T00:00:00"/>
    <x v="2"/>
    <x v="3"/>
    <n v="1"/>
    <x v="0"/>
    <m/>
    <n v="3915"/>
    <n v="20"/>
    <x v="333"/>
    <x v="176"/>
    <s v=""/>
  </r>
  <r>
    <x v="892"/>
    <x v="5"/>
    <s v="46.204391"/>
    <s v="6.143158"/>
    <x v="7"/>
    <s v="Medium (201-500)"/>
    <x v="6"/>
    <d v="2024-05-22T00:00:00"/>
    <x v="0"/>
    <x v="3"/>
    <n v="1"/>
    <x v="0"/>
    <m/>
    <n v="764"/>
    <n v="90"/>
    <x v="157"/>
    <x v="176"/>
    <s v=""/>
  </r>
  <r>
    <x v="893"/>
    <x v="3"/>
    <s v="52.520008"/>
    <s v="13.404954"/>
    <x v="11"/>
    <s v="Medium (201-500)"/>
    <x v="3"/>
    <d v="2024-04-20T00:00:00"/>
    <x v="2"/>
    <x v="3"/>
    <n v="1"/>
    <x v="0"/>
    <m/>
    <n v="3298"/>
    <n v="20"/>
    <x v="316"/>
    <x v="176"/>
    <s v=""/>
  </r>
  <r>
    <x v="894"/>
    <x v="0"/>
    <s v="52.370216"/>
    <s v="4.895168"/>
    <x v="4"/>
    <s v="Medium (201-500)"/>
    <x v="0"/>
    <d v="2024-05-28T00:00:00"/>
    <x v="2"/>
    <x v="3"/>
    <n v="1"/>
    <x v="0"/>
    <m/>
    <n v="5766"/>
    <n v="20"/>
    <x v="252"/>
    <x v="176"/>
    <s v=""/>
  </r>
  <r>
    <x v="895"/>
    <x v="7"/>
    <s v="48.210033"/>
    <s v="16.363449"/>
    <x v="4"/>
    <s v="Medium (201-500)"/>
    <x v="2"/>
    <d v="2024-05-03T00:00:00"/>
    <x v="2"/>
    <x v="3"/>
    <n v="1"/>
    <x v="0"/>
    <m/>
    <n v="1937"/>
    <n v="30"/>
    <x v="320"/>
    <x v="176"/>
    <s v=""/>
  </r>
  <r>
    <x v="896"/>
    <x v="0"/>
    <s v="52.370216"/>
    <s v="4.895168"/>
    <x v="5"/>
    <s v="Medium (201-500)"/>
    <x v="1"/>
    <d v="2024-02-11T00:00:00"/>
    <x v="2"/>
    <x v="3"/>
    <n v="1"/>
    <x v="0"/>
    <m/>
    <n v="6782"/>
    <n v="60"/>
    <x v="317"/>
    <x v="176"/>
    <s v=""/>
  </r>
  <r>
    <x v="897"/>
    <x v="0"/>
    <s v="52.370216"/>
    <s v="4.895168"/>
    <x v="11"/>
    <s v="Medium (201-500)"/>
    <x v="1"/>
    <d v="2024-03-17T00:00:00"/>
    <x v="2"/>
    <x v="3"/>
    <n v="1"/>
    <x v="0"/>
    <m/>
    <n v="2270"/>
    <n v="10"/>
    <x v="174"/>
    <x v="176"/>
    <s v=""/>
  </r>
  <r>
    <x v="898"/>
    <x v="3"/>
    <s v="52.520008"/>
    <s v="13.404954"/>
    <x v="12"/>
    <s v="Medium (201-500)"/>
    <x v="2"/>
    <d v="2024-03-29T00:00:00"/>
    <x v="2"/>
    <x v="3"/>
    <n v="1"/>
    <x v="0"/>
    <m/>
    <n v="7722"/>
    <n v="80"/>
    <x v="278"/>
    <x v="176"/>
    <s v=""/>
  </r>
  <r>
    <x v="899"/>
    <x v="4"/>
    <s v="51.260197"/>
    <s v="4.402771"/>
    <x v="4"/>
    <s v="Medium (201-500)"/>
    <x v="5"/>
    <d v="2024-05-18T00:00:00"/>
    <x v="2"/>
    <x v="3"/>
    <n v="1"/>
    <x v="0"/>
    <m/>
    <n v="3419"/>
    <n v="90"/>
    <x v="149"/>
    <x v="176"/>
    <s v=""/>
  </r>
  <r>
    <x v="900"/>
    <x v="3"/>
    <s v="52.520008"/>
    <s v="13.404954"/>
    <x v="2"/>
    <s v="Medium (201-500)"/>
    <x v="6"/>
    <d v="2024-02-29T00:00:00"/>
    <x v="0"/>
    <x v="3"/>
    <n v="1"/>
    <x v="0"/>
    <m/>
    <n v="7103"/>
    <n v="50"/>
    <x v="298"/>
    <x v="176"/>
    <s v=""/>
  </r>
  <r>
    <x v="901"/>
    <x v="2"/>
    <s v="41.902782"/>
    <s v="12.496366"/>
    <x v="5"/>
    <s v="Medium (201-500)"/>
    <x v="3"/>
    <d v="2024-03-20T00:00:00"/>
    <x v="2"/>
    <x v="3"/>
    <n v="1"/>
    <x v="0"/>
    <m/>
    <n v="7155"/>
    <n v="40"/>
    <x v="170"/>
    <x v="176"/>
    <s v=""/>
  </r>
  <r>
    <x v="902"/>
    <x v="5"/>
    <s v="46.204391"/>
    <s v="6.143158"/>
    <x v="10"/>
    <s v="Medium (201-500)"/>
    <x v="1"/>
    <d v="2024-01-02T00:00:00"/>
    <x v="0"/>
    <x v="3"/>
    <n v="1"/>
    <x v="0"/>
    <m/>
    <n v="7505"/>
    <n v="50"/>
    <x v="362"/>
    <x v="176"/>
    <s v=""/>
  </r>
  <r>
    <x v="903"/>
    <x v="2"/>
    <s v="41.902782"/>
    <s v="12.496366"/>
    <x v="0"/>
    <s v="Medium (201-500)"/>
    <x v="1"/>
    <d v="2024-05-06T00:00:00"/>
    <x v="0"/>
    <x v="3"/>
    <n v="1"/>
    <x v="0"/>
    <m/>
    <n v="1076"/>
    <n v="20"/>
    <x v="20"/>
    <x v="176"/>
    <s v=""/>
  </r>
  <r>
    <x v="904"/>
    <x v="3"/>
    <s v="52.520008"/>
    <s v="13.404954"/>
    <x v="4"/>
    <s v="Medium (201-500)"/>
    <x v="3"/>
    <d v="2024-02-18T00:00:00"/>
    <x v="0"/>
    <x v="3"/>
    <n v="1"/>
    <x v="0"/>
    <m/>
    <n v="3880"/>
    <n v="20"/>
    <x v="180"/>
    <x v="176"/>
    <s v=""/>
  </r>
  <r>
    <x v="905"/>
    <x v="6"/>
    <s v="48.864716"/>
    <s v="2.349014"/>
    <x v="11"/>
    <s v="Medium (201-500)"/>
    <x v="2"/>
    <d v="2024-02-27T00:00:00"/>
    <x v="1"/>
    <x v="3"/>
    <n v="1"/>
    <x v="0"/>
    <m/>
    <n v="1854"/>
    <n v="20"/>
    <x v="343"/>
    <x v="176"/>
    <s v=""/>
  </r>
  <r>
    <x v="906"/>
    <x v="8"/>
    <s v="38.736946"/>
    <s v="-9.142685"/>
    <x v="9"/>
    <s v="Medium (201-500)"/>
    <x v="5"/>
    <d v="2024-04-08T00:00:00"/>
    <x v="2"/>
    <x v="3"/>
    <n v="1"/>
    <x v="0"/>
    <m/>
    <n v="6316"/>
    <n v="40"/>
    <x v="100"/>
    <x v="176"/>
    <s v=""/>
  </r>
  <r>
    <x v="907"/>
    <x v="2"/>
    <s v="41.902782"/>
    <s v="12.496366"/>
    <x v="0"/>
    <s v="Medium (201-500)"/>
    <x v="3"/>
    <d v="2024-05-10T00:00:00"/>
    <x v="2"/>
    <x v="3"/>
    <n v="1"/>
    <x v="0"/>
    <m/>
    <n v="7557"/>
    <n v="90"/>
    <x v="348"/>
    <x v="176"/>
    <s v=""/>
  </r>
  <r>
    <x v="908"/>
    <x v="4"/>
    <s v="51.260197"/>
    <s v="4.402771"/>
    <x v="0"/>
    <s v="Medium (201-500)"/>
    <x v="7"/>
    <d v="2024-03-29T00:00:00"/>
    <x v="2"/>
    <x v="3"/>
    <n v="1"/>
    <x v="0"/>
    <m/>
    <n v="5533"/>
    <n v="60"/>
    <x v="213"/>
    <x v="176"/>
    <s v=""/>
  </r>
  <r>
    <x v="909"/>
    <x v="6"/>
    <s v="48.864716"/>
    <s v="2.349014"/>
    <x v="1"/>
    <s v="Medium (201-500)"/>
    <x v="6"/>
    <d v="2024-03-12T00:00:00"/>
    <x v="2"/>
    <x v="3"/>
    <n v="1"/>
    <x v="0"/>
    <m/>
    <n v="3045"/>
    <n v="20"/>
    <x v="185"/>
    <x v="176"/>
    <s v=""/>
  </r>
  <r>
    <x v="910"/>
    <x v="3"/>
    <s v="52.520008"/>
    <s v="13.404954"/>
    <x v="5"/>
    <s v="Medium (201-500)"/>
    <x v="4"/>
    <d v="2024-03-01T00:00:00"/>
    <x v="2"/>
    <x v="3"/>
    <n v="1"/>
    <x v="0"/>
    <m/>
    <n v="6633"/>
    <n v="100"/>
    <x v="52"/>
    <x v="176"/>
    <s v=""/>
  </r>
  <r>
    <x v="911"/>
    <x v="8"/>
    <s v="38.736946"/>
    <s v="-9.142685"/>
    <x v="4"/>
    <s v="Medium (201-500)"/>
    <x v="1"/>
    <d v="2024-02-09T00:00:00"/>
    <x v="1"/>
    <x v="3"/>
    <n v="1"/>
    <x v="0"/>
    <m/>
    <n v="707"/>
    <n v="30"/>
    <x v="363"/>
    <x v="176"/>
    <s v=""/>
  </r>
  <r>
    <x v="912"/>
    <x v="2"/>
    <s v="41.902782"/>
    <s v="12.496366"/>
    <x v="4"/>
    <s v="Medium (201-500)"/>
    <x v="3"/>
    <d v="2024-02-25T00:00:00"/>
    <x v="0"/>
    <x v="3"/>
    <n v="1"/>
    <x v="0"/>
    <m/>
    <n v="2422"/>
    <n v="30"/>
    <x v="120"/>
    <x v="176"/>
    <s v=""/>
  </r>
  <r>
    <x v="913"/>
    <x v="4"/>
    <s v="51.260197"/>
    <s v="4.402771"/>
    <x v="4"/>
    <s v="Medium (201-500)"/>
    <x v="3"/>
    <d v="2024-02-23T00:00:00"/>
    <x v="2"/>
    <x v="3"/>
    <n v="1"/>
    <x v="0"/>
    <m/>
    <n v="4070"/>
    <n v="60"/>
    <x v="198"/>
    <x v="176"/>
    <s v=""/>
  </r>
  <r>
    <x v="914"/>
    <x v="0"/>
    <s v="52.370216"/>
    <s v="4.895168"/>
    <x v="0"/>
    <s v="Medium (201-500)"/>
    <x v="3"/>
    <d v="2024-01-17T00:00:00"/>
    <x v="2"/>
    <x v="3"/>
    <n v="1"/>
    <x v="0"/>
    <m/>
    <n v="2596"/>
    <n v="20"/>
    <x v="256"/>
    <x v="176"/>
    <s v=""/>
  </r>
  <r>
    <x v="915"/>
    <x v="3"/>
    <s v="52.520008"/>
    <s v="13.404954"/>
    <x v="4"/>
    <s v="Medium (201-500)"/>
    <x v="7"/>
    <d v="2024-02-15T00:00:00"/>
    <x v="0"/>
    <x v="3"/>
    <n v="1"/>
    <x v="0"/>
    <m/>
    <n v="4915"/>
    <n v="40"/>
    <x v="336"/>
    <x v="176"/>
    <s v=""/>
  </r>
  <r>
    <x v="916"/>
    <x v="2"/>
    <s v="41.902782"/>
    <s v="12.496366"/>
    <x v="3"/>
    <s v="Medium (201-500)"/>
    <x v="4"/>
    <d v="2024-03-24T00:00:00"/>
    <x v="1"/>
    <x v="3"/>
    <n v="1"/>
    <x v="0"/>
    <m/>
    <n v="7272"/>
    <n v="60"/>
    <x v="250"/>
    <x v="176"/>
    <s v=""/>
  </r>
  <r>
    <x v="917"/>
    <x v="2"/>
    <s v="41.902782"/>
    <s v="12.496366"/>
    <x v="4"/>
    <s v="Medium (201-500)"/>
    <x v="7"/>
    <d v="2024-03-28T00:00:00"/>
    <x v="2"/>
    <x v="3"/>
    <n v="1"/>
    <x v="0"/>
    <m/>
    <n v="2908"/>
    <n v="40"/>
    <x v="364"/>
    <x v="176"/>
    <s v=""/>
  </r>
  <r>
    <x v="918"/>
    <x v="5"/>
    <s v="46.204391"/>
    <s v="6.143158"/>
    <x v="0"/>
    <s v="Medium (201-500)"/>
    <x v="3"/>
    <d v="2024-05-04T00:00:00"/>
    <x v="0"/>
    <x v="3"/>
    <n v="1"/>
    <x v="0"/>
    <m/>
    <n v="1508"/>
    <n v="50"/>
    <x v="42"/>
    <x v="176"/>
    <s v=""/>
  </r>
  <r>
    <x v="919"/>
    <x v="6"/>
    <s v="48.864716"/>
    <s v="2.349014"/>
    <x v="9"/>
    <s v="Medium (201-500)"/>
    <x v="3"/>
    <d v="2024-03-12T00:00:00"/>
    <x v="0"/>
    <x v="3"/>
    <n v="1"/>
    <x v="0"/>
    <m/>
    <n v="349"/>
    <n v="60"/>
    <x v="159"/>
    <x v="176"/>
    <s v=""/>
  </r>
  <r>
    <x v="920"/>
    <x v="6"/>
    <s v="48.864716"/>
    <s v="2.349014"/>
    <x v="0"/>
    <s v="Medium (201-500)"/>
    <x v="2"/>
    <d v="2024-03-01T00:00:00"/>
    <x v="2"/>
    <x v="3"/>
    <n v="1"/>
    <x v="0"/>
    <m/>
    <n v="6829"/>
    <n v="40"/>
    <x v="34"/>
    <x v="176"/>
    <s v=""/>
  </r>
  <r>
    <x v="921"/>
    <x v="2"/>
    <s v="41.902782"/>
    <s v="12.496366"/>
    <x v="12"/>
    <s v="Medium (201-500)"/>
    <x v="1"/>
    <d v="2024-03-20T00:00:00"/>
    <x v="2"/>
    <x v="3"/>
    <n v="1"/>
    <x v="0"/>
    <m/>
    <n v="1866"/>
    <n v="20"/>
    <x v="42"/>
    <x v="176"/>
    <s v=""/>
  </r>
  <r>
    <x v="922"/>
    <x v="3"/>
    <s v="52.520008"/>
    <s v="13.404954"/>
    <x v="8"/>
    <s v="Medium (201-500)"/>
    <x v="2"/>
    <d v="2024-03-20T00:00:00"/>
    <x v="2"/>
    <x v="3"/>
    <n v="1"/>
    <x v="0"/>
    <m/>
    <n v="2334"/>
    <n v="60"/>
    <x v="252"/>
    <x v="176"/>
    <s v=""/>
  </r>
  <r>
    <x v="923"/>
    <x v="4"/>
    <s v="51.260197"/>
    <s v="4.402771"/>
    <x v="6"/>
    <s v="Medium (201-500)"/>
    <x v="5"/>
    <d v="2024-02-08T00:00:00"/>
    <x v="2"/>
    <x v="3"/>
    <n v="1"/>
    <x v="0"/>
    <m/>
    <n v="612"/>
    <n v="30"/>
    <x v="344"/>
    <x v="176"/>
    <s v=""/>
  </r>
  <r>
    <x v="924"/>
    <x v="8"/>
    <s v="38.736946"/>
    <s v="-9.142685"/>
    <x v="6"/>
    <s v="Medium (201-500)"/>
    <x v="2"/>
    <d v="2024-05-11T00:00:00"/>
    <x v="0"/>
    <x v="3"/>
    <n v="1"/>
    <x v="0"/>
    <m/>
    <n v="1780"/>
    <n v="40"/>
    <x v="109"/>
    <x v="176"/>
    <s v=""/>
  </r>
  <r>
    <x v="925"/>
    <x v="3"/>
    <s v="52.520008"/>
    <s v="13.404954"/>
    <x v="8"/>
    <s v="Medium (201-500)"/>
    <x v="7"/>
    <d v="2024-03-24T00:00:00"/>
    <x v="2"/>
    <x v="3"/>
    <n v="1"/>
    <x v="0"/>
    <m/>
    <n v="1157"/>
    <n v="30"/>
    <x v="161"/>
    <x v="176"/>
    <s v=""/>
  </r>
  <r>
    <x v="926"/>
    <x v="2"/>
    <s v="41.902782"/>
    <s v="12.496366"/>
    <x v="0"/>
    <s v="Medium (201-500)"/>
    <x v="3"/>
    <d v="2024-03-07T00:00:00"/>
    <x v="2"/>
    <x v="3"/>
    <n v="1"/>
    <x v="0"/>
    <m/>
    <n v="7851"/>
    <n v="30"/>
    <x v="3"/>
    <x v="176"/>
    <s v=""/>
  </r>
  <r>
    <x v="927"/>
    <x v="6"/>
    <s v="48.864716"/>
    <s v="2.349014"/>
    <x v="8"/>
    <s v="Medium (201-500)"/>
    <x v="6"/>
    <d v="2024-01-21T00:00:00"/>
    <x v="2"/>
    <x v="3"/>
    <n v="1"/>
    <x v="0"/>
    <m/>
    <n v="1721"/>
    <n v="50"/>
    <x v="124"/>
    <x v="176"/>
    <s v=""/>
  </r>
  <r>
    <x v="928"/>
    <x v="5"/>
    <s v="46.204391"/>
    <s v="6.143158"/>
    <x v="13"/>
    <s v="Medium (201-500)"/>
    <x v="7"/>
    <d v="2024-03-02T00:00:00"/>
    <x v="0"/>
    <x v="3"/>
    <n v="1"/>
    <x v="0"/>
    <m/>
    <n v="3474"/>
    <n v="40"/>
    <x v="349"/>
    <x v="176"/>
    <s v=""/>
  </r>
  <r>
    <x v="929"/>
    <x v="3"/>
    <s v="52.520008"/>
    <s v="13.404954"/>
    <x v="1"/>
    <s v="Medium (201-500)"/>
    <x v="5"/>
    <d v="2024-04-13T00:00:00"/>
    <x v="2"/>
    <x v="3"/>
    <n v="1"/>
    <x v="0"/>
    <m/>
    <n v="1249"/>
    <n v="30"/>
    <x v="187"/>
    <x v="176"/>
    <s v=""/>
  </r>
  <r>
    <x v="930"/>
    <x v="1"/>
    <s v="40.416775"/>
    <s v="-3.703790"/>
    <x v="7"/>
    <s v="Medium (201-500)"/>
    <x v="1"/>
    <d v="2024-03-27T00:00:00"/>
    <x v="0"/>
    <x v="3"/>
    <n v="1"/>
    <x v="0"/>
    <m/>
    <n v="2734"/>
    <n v="40"/>
    <x v="164"/>
    <x v="176"/>
    <s v=""/>
  </r>
  <r>
    <x v="931"/>
    <x v="4"/>
    <s v="51.260197"/>
    <s v="4.402771"/>
    <x v="4"/>
    <s v="Medium (201-500)"/>
    <x v="5"/>
    <d v="2024-05-06T00:00:00"/>
    <x v="2"/>
    <x v="3"/>
    <n v="1"/>
    <x v="0"/>
    <m/>
    <n v="6083"/>
    <n v="40"/>
    <x v="70"/>
    <x v="176"/>
    <s v=""/>
  </r>
  <r>
    <x v="932"/>
    <x v="4"/>
    <s v="51.260197"/>
    <s v="4.402771"/>
    <x v="4"/>
    <s v="Medium (201-500)"/>
    <x v="3"/>
    <d v="2024-01-05T00:00:00"/>
    <x v="2"/>
    <x v="3"/>
    <n v="1"/>
    <x v="0"/>
    <m/>
    <n v="2744"/>
    <n v="70"/>
    <x v="213"/>
    <x v="176"/>
    <s v=""/>
  </r>
  <r>
    <x v="933"/>
    <x v="8"/>
    <s v="38.736946"/>
    <s v="-9.142685"/>
    <x v="6"/>
    <s v="Medium (201-500)"/>
    <x v="7"/>
    <d v="2024-01-15T00:00:00"/>
    <x v="0"/>
    <x v="3"/>
    <n v="1"/>
    <x v="0"/>
    <m/>
    <n v="2259"/>
    <n v="80"/>
    <x v="297"/>
    <x v="176"/>
    <s v=""/>
  </r>
  <r>
    <x v="934"/>
    <x v="5"/>
    <s v="46.204391"/>
    <s v="6.143158"/>
    <x v="0"/>
    <s v="Medium (201-500)"/>
    <x v="4"/>
    <d v="2024-05-20T00:00:00"/>
    <x v="0"/>
    <x v="3"/>
    <n v="1"/>
    <x v="0"/>
    <m/>
    <n v="1092"/>
    <n v="40"/>
    <x v="202"/>
    <x v="176"/>
    <s v=""/>
  </r>
  <r>
    <x v="935"/>
    <x v="8"/>
    <s v="38.736946"/>
    <s v="-9.142685"/>
    <x v="4"/>
    <s v="Medium (201-500)"/>
    <x v="2"/>
    <d v="2024-02-06T00:00:00"/>
    <x v="0"/>
    <x v="3"/>
    <n v="1"/>
    <x v="0"/>
    <m/>
    <n v="6678"/>
    <n v="100"/>
    <x v="314"/>
    <x v="176"/>
    <s v=""/>
  </r>
  <r>
    <x v="936"/>
    <x v="6"/>
    <s v="48.864716"/>
    <s v="2.349014"/>
    <x v="5"/>
    <s v="Medium (201-500)"/>
    <x v="2"/>
    <d v="2024-04-05T00:00:00"/>
    <x v="1"/>
    <x v="3"/>
    <n v="1"/>
    <x v="0"/>
    <m/>
    <n v="2005"/>
    <n v="30"/>
    <x v="283"/>
    <x v="176"/>
    <s v=""/>
  </r>
  <r>
    <x v="937"/>
    <x v="1"/>
    <s v="40.416775"/>
    <s v="-3.703790"/>
    <x v="3"/>
    <s v="Medium (201-500)"/>
    <x v="7"/>
    <d v="2024-02-08T00:00:00"/>
    <x v="1"/>
    <x v="3"/>
    <n v="1"/>
    <x v="0"/>
    <m/>
    <n v="7677"/>
    <n v="10"/>
    <x v="106"/>
    <x v="176"/>
    <s v=""/>
  </r>
  <r>
    <x v="938"/>
    <x v="5"/>
    <s v="46.204391"/>
    <s v="6.143158"/>
    <x v="4"/>
    <s v="Medium (201-500)"/>
    <x v="5"/>
    <d v="2024-03-13T00:00:00"/>
    <x v="2"/>
    <x v="3"/>
    <n v="1"/>
    <x v="0"/>
    <m/>
    <n v="6331"/>
    <n v="80"/>
    <x v="297"/>
    <x v="176"/>
    <s v=""/>
  </r>
  <r>
    <x v="939"/>
    <x v="8"/>
    <s v="38.736946"/>
    <s v="-9.142685"/>
    <x v="9"/>
    <s v="Medium (201-500)"/>
    <x v="5"/>
    <d v="2024-01-27T00:00:00"/>
    <x v="2"/>
    <x v="3"/>
    <n v="1"/>
    <x v="0"/>
    <m/>
    <n v="3130"/>
    <n v="20"/>
    <x v="15"/>
    <x v="176"/>
    <s v=""/>
  </r>
  <r>
    <x v="940"/>
    <x v="2"/>
    <s v="41.902782"/>
    <s v="12.496366"/>
    <x v="9"/>
    <s v="Medium (201-500)"/>
    <x v="6"/>
    <d v="2024-02-06T00:00:00"/>
    <x v="0"/>
    <x v="3"/>
    <n v="1"/>
    <x v="0"/>
    <m/>
    <n v="7247"/>
    <n v="60"/>
    <x v="307"/>
    <x v="176"/>
    <s v=""/>
  </r>
  <r>
    <x v="941"/>
    <x v="3"/>
    <s v="52.520008"/>
    <s v="13.404954"/>
    <x v="8"/>
    <s v="Medium (201-500)"/>
    <x v="3"/>
    <d v="2024-04-19T00:00:00"/>
    <x v="2"/>
    <x v="3"/>
    <n v="1"/>
    <x v="0"/>
    <m/>
    <n v="5609"/>
    <n v="90"/>
    <x v="234"/>
    <x v="176"/>
    <s v=""/>
  </r>
  <r>
    <x v="942"/>
    <x v="2"/>
    <s v="41.902782"/>
    <s v="12.496366"/>
    <x v="4"/>
    <s v="Medium (201-500)"/>
    <x v="1"/>
    <d v="2024-04-18T00:00:00"/>
    <x v="2"/>
    <x v="3"/>
    <n v="1"/>
    <x v="0"/>
    <m/>
    <n v="4369"/>
    <n v="50"/>
    <x v="232"/>
    <x v="176"/>
    <s v=""/>
  </r>
  <r>
    <x v="943"/>
    <x v="5"/>
    <s v="46.204391"/>
    <s v="6.143158"/>
    <x v="4"/>
    <s v="Medium (201-500)"/>
    <x v="4"/>
    <d v="2024-03-27T00:00:00"/>
    <x v="1"/>
    <x v="3"/>
    <n v="1"/>
    <x v="0"/>
    <m/>
    <n v="4214"/>
    <n v="50"/>
    <x v="20"/>
    <x v="176"/>
    <s v=""/>
  </r>
  <r>
    <x v="944"/>
    <x v="5"/>
    <s v="46.204391"/>
    <s v="6.143158"/>
    <x v="2"/>
    <s v="Medium (201-500)"/>
    <x v="4"/>
    <d v="2024-05-31T00:00:00"/>
    <x v="0"/>
    <x v="3"/>
    <n v="1"/>
    <x v="0"/>
    <m/>
    <n v="824"/>
    <n v="80"/>
    <x v="365"/>
    <x v="176"/>
    <s v=""/>
  </r>
  <r>
    <x v="945"/>
    <x v="7"/>
    <s v="48.210033"/>
    <s v="16.363449"/>
    <x v="0"/>
    <s v="Medium (201-500)"/>
    <x v="3"/>
    <d v="2024-04-13T00:00:00"/>
    <x v="0"/>
    <x v="3"/>
    <n v="1"/>
    <x v="0"/>
    <m/>
    <n v="639"/>
    <n v="40"/>
    <x v="137"/>
    <x v="176"/>
    <s v=""/>
  </r>
  <r>
    <x v="946"/>
    <x v="4"/>
    <s v="51.260197"/>
    <s v="4.402771"/>
    <x v="0"/>
    <s v="Medium (201-500)"/>
    <x v="7"/>
    <d v="2024-05-08T00:00:00"/>
    <x v="2"/>
    <x v="3"/>
    <n v="1"/>
    <x v="0"/>
    <m/>
    <n v="2686"/>
    <n v="20"/>
    <x v="149"/>
    <x v="176"/>
    <s v=""/>
  </r>
  <r>
    <x v="947"/>
    <x v="0"/>
    <s v="52.370216"/>
    <s v="4.895168"/>
    <x v="7"/>
    <s v="Medium (201-500)"/>
    <x v="5"/>
    <d v="2024-05-01T00:00:00"/>
    <x v="0"/>
    <x v="3"/>
    <n v="1"/>
    <x v="0"/>
    <m/>
    <n v="465"/>
    <n v="20"/>
    <x v="44"/>
    <x v="176"/>
    <s v=""/>
  </r>
  <r>
    <x v="948"/>
    <x v="7"/>
    <s v="48.210033"/>
    <s v="16.363449"/>
    <x v="7"/>
    <s v="Medium (201-500)"/>
    <x v="6"/>
    <d v="2024-01-21T00:00:00"/>
    <x v="2"/>
    <x v="3"/>
    <n v="1"/>
    <x v="0"/>
    <m/>
    <n v="2049"/>
    <n v="90"/>
    <x v="74"/>
    <x v="176"/>
    <s v=""/>
  </r>
  <r>
    <x v="949"/>
    <x v="2"/>
    <s v="41.902782"/>
    <s v="12.496366"/>
    <x v="6"/>
    <s v="Medium (201-500)"/>
    <x v="6"/>
    <d v="2024-04-18T00:00:00"/>
    <x v="2"/>
    <x v="3"/>
    <n v="1"/>
    <x v="0"/>
    <m/>
    <n v="5160"/>
    <n v="20"/>
    <x v="124"/>
    <x v="176"/>
    <s v=""/>
  </r>
  <r>
    <x v="950"/>
    <x v="0"/>
    <s v="52.370216"/>
    <s v="4.895168"/>
    <x v="5"/>
    <s v="Medium (201-500)"/>
    <x v="2"/>
    <d v="2024-01-06T00:00:00"/>
    <x v="2"/>
    <x v="3"/>
    <n v="1"/>
    <x v="0"/>
    <m/>
    <n v="2783"/>
    <n v="60"/>
    <x v="366"/>
    <x v="176"/>
    <s v=""/>
  </r>
  <r>
    <x v="951"/>
    <x v="6"/>
    <s v="48.864716"/>
    <s v="2.349014"/>
    <x v="7"/>
    <s v="Medium (201-500)"/>
    <x v="1"/>
    <d v="2024-01-15T00:00:00"/>
    <x v="2"/>
    <x v="3"/>
    <n v="1"/>
    <x v="0"/>
    <m/>
    <n v="727"/>
    <n v="40"/>
    <x v="43"/>
    <x v="176"/>
    <s v=""/>
  </r>
  <r>
    <x v="952"/>
    <x v="7"/>
    <s v="48.210033"/>
    <s v="16.363449"/>
    <x v="3"/>
    <s v="Medium (201-500)"/>
    <x v="3"/>
    <d v="2024-03-01T00:00:00"/>
    <x v="0"/>
    <x v="3"/>
    <n v="1"/>
    <x v="0"/>
    <m/>
    <n v="6977"/>
    <n v="40"/>
    <x v="208"/>
    <x v="176"/>
    <s v=""/>
  </r>
  <r>
    <x v="953"/>
    <x v="2"/>
    <s v="41.902782"/>
    <s v="12.496366"/>
    <x v="12"/>
    <s v="Medium (201-500)"/>
    <x v="7"/>
    <d v="2024-05-28T00:00:00"/>
    <x v="2"/>
    <x v="3"/>
    <n v="1"/>
    <x v="0"/>
    <m/>
    <n v="5086"/>
    <n v="60"/>
    <x v="149"/>
    <x v="176"/>
    <s v=""/>
  </r>
  <r>
    <x v="954"/>
    <x v="5"/>
    <s v="46.204391"/>
    <s v="6.143158"/>
    <x v="8"/>
    <s v="Medium (201-500)"/>
    <x v="2"/>
    <d v="2024-01-27T00:00:00"/>
    <x v="1"/>
    <x v="3"/>
    <n v="1"/>
    <x v="0"/>
    <m/>
    <n v="7919"/>
    <n v="90"/>
    <x v="231"/>
    <x v="176"/>
    <s v=""/>
  </r>
  <r>
    <x v="955"/>
    <x v="4"/>
    <s v="51.260197"/>
    <s v="4.402771"/>
    <x v="4"/>
    <s v="Medium (201-500)"/>
    <x v="7"/>
    <d v="2024-02-14T00:00:00"/>
    <x v="1"/>
    <x v="3"/>
    <n v="1"/>
    <x v="0"/>
    <m/>
    <n v="7875"/>
    <n v="10"/>
    <x v="137"/>
    <x v="176"/>
    <s v=""/>
  </r>
  <r>
    <x v="956"/>
    <x v="4"/>
    <s v="51.260197"/>
    <s v="4.402771"/>
    <x v="10"/>
    <s v="Medium (201-500)"/>
    <x v="1"/>
    <d v="2024-05-13T00:00:00"/>
    <x v="0"/>
    <x v="3"/>
    <n v="1"/>
    <x v="0"/>
    <m/>
    <n v="3763"/>
    <n v="20"/>
    <x v="48"/>
    <x v="176"/>
    <s v=""/>
  </r>
  <r>
    <x v="957"/>
    <x v="3"/>
    <s v="52.520008"/>
    <s v="13.404954"/>
    <x v="11"/>
    <s v="Medium (201-500)"/>
    <x v="4"/>
    <d v="2024-01-02T00:00:00"/>
    <x v="0"/>
    <x v="3"/>
    <n v="1"/>
    <x v="0"/>
    <m/>
    <n v="6783"/>
    <n v="20"/>
    <x v="291"/>
    <x v="176"/>
    <s v=""/>
  </r>
  <r>
    <x v="958"/>
    <x v="0"/>
    <s v="52.370216"/>
    <s v="4.895168"/>
    <x v="8"/>
    <s v="Medium (201-500)"/>
    <x v="3"/>
    <d v="2024-03-05T00:00:00"/>
    <x v="1"/>
    <x v="3"/>
    <n v="1"/>
    <x v="0"/>
    <m/>
    <n v="5323"/>
    <n v="50"/>
    <x v="52"/>
    <x v="176"/>
    <s v=""/>
  </r>
  <r>
    <x v="959"/>
    <x v="1"/>
    <s v="40.416775"/>
    <s v="-3.703790"/>
    <x v="0"/>
    <s v="Medium (201-500)"/>
    <x v="1"/>
    <d v="2024-03-25T00:00:00"/>
    <x v="2"/>
    <x v="3"/>
    <n v="1"/>
    <x v="0"/>
    <m/>
    <n v="6797"/>
    <n v="40"/>
    <x v="288"/>
    <x v="176"/>
    <s v=""/>
  </r>
  <r>
    <x v="960"/>
    <x v="2"/>
    <s v="41.902782"/>
    <s v="12.496366"/>
    <x v="4"/>
    <s v="Medium (201-500)"/>
    <x v="3"/>
    <d v="2024-04-19T00:00:00"/>
    <x v="2"/>
    <x v="3"/>
    <n v="1"/>
    <x v="0"/>
    <m/>
    <n v="5063"/>
    <n v="20"/>
    <x v="325"/>
    <x v="176"/>
    <s v=""/>
  </r>
  <r>
    <x v="961"/>
    <x v="3"/>
    <s v="52.520008"/>
    <s v="13.404954"/>
    <x v="12"/>
    <s v="Medium (201-500)"/>
    <x v="3"/>
    <d v="2024-05-07T00:00:00"/>
    <x v="0"/>
    <x v="3"/>
    <n v="1"/>
    <x v="0"/>
    <m/>
    <n v="7039"/>
    <n v="20"/>
    <x v="326"/>
    <x v="176"/>
    <s v=""/>
  </r>
  <r>
    <x v="962"/>
    <x v="4"/>
    <s v="51.260197"/>
    <s v="4.402771"/>
    <x v="0"/>
    <s v="Medium (201-500)"/>
    <x v="7"/>
    <d v="2024-02-14T00:00:00"/>
    <x v="0"/>
    <x v="3"/>
    <n v="1"/>
    <x v="0"/>
    <m/>
    <n v="4498"/>
    <n v="90"/>
    <x v="358"/>
    <x v="176"/>
    <s v=""/>
  </r>
  <r>
    <x v="963"/>
    <x v="4"/>
    <s v="51.260197"/>
    <s v="4.402771"/>
    <x v="5"/>
    <s v="Medium (201-500)"/>
    <x v="6"/>
    <d v="2024-01-15T00:00:00"/>
    <x v="0"/>
    <x v="3"/>
    <n v="1"/>
    <x v="0"/>
    <m/>
    <n v="6073"/>
    <n v="70"/>
    <x v="268"/>
    <x v="176"/>
    <s v=""/>
  </r>
  <r>
    <x v="964"/>
    <x v="2"/>
    <s v="41.902782"/>
    <s v="12.496366"/>
    <x v="0"/>
    <s v="Medium (201-500)"/>
    <x v="7"/>
    <d v="2024-04-21T00:00:00"/>
    <x v="0"/>
    <x v="3"/>
    <n v="1"/>
    <x v="0"/>
    <m/>
    <n v="4800"/>
    <n v="20"/>
    <x v="206"/>
    <x v="176"/>
    <s v=""/>
  </r>
  <r>
    <x v="965"/>
    <x v="6"/>
    <s v="48.864716"/>
    <s v="2.349014"/>
    <x v="0"/>
    <s v="Medium (201-500)"/>
    <x v="6"/>
    <d v="2024-01-05T00:00:00"/>
    <x v="1"/>
    <x v="3"/>
    <n v="1"/>
    <x v="0"/>
    <m/>
    <n v="3325"/>
    <n v="30"/>
    <x v="29"/>
    <x v="176"/>
    <s v=""/>
  </r>
  <r>
    <x v="966"/>
    <x v="6"/>
    <s v="48.864716"/>
    <s v="2.349014"/>
    <x v="0"/>
    <s v="Medium (201-500)"/>
    <x v="0"/>
    <d v="2024-03-15T00:00:00"/>
    <x v="0"/>
    <x v="3"/>
    <n v="1"/>
    <x v="0"/>
    <m/>
    <n v="1199"/>
    <n v="100"/>
    <x v="100"/>
    <x v="176"/>
    <s v=""/>
  </r>
  <r>
    <x v="967"/>
    <x v="6"/>
    <s v="48.864716"/>
    <s v="2.349014"/>
    <x v="5"/>
    <s v="Medium (201-500)"/>
    <x v="6"/>
    <d v="2024-04-01T00:00:00"/>
    <x v="2"/>
    <x v="3"/>
    <n v="1"/>
    <x v="0"/>
    <m/>
    <n v="5621"/>
    <n v="40"/>
    <x v="223"/>
    <x v="176"/>
    <s v=""/>
  </r>
  <r>
    <x v="968"/>
    <x v="5"/>
    <s v="46.204391"/>
    <s v="6.143158"/>
    <x v="3"/>
    <s v="Medium (201-500)"/>
    <x v="4"/>
    <d v="2024-01-23T00:00:00"/>
    <x v="0"/>
    <x v="3"/>
    <n v="1"/>
    <x v="0"/>
    <m/>
    <n v="2549"/>
    <n v="60"/>
    <x v="153"/>
    <x v="176"/>
    <s v=""/>
  </r>
  <r>
    <x v="969"/>
    <x v="8"/>
    <s v="38.736946"/>
    <s v="-9.142685"/>
    <x v="3"/>
    <s v="Medium (201-500)"/>
    <x v="4"/>
    <d v="2024-04-10T00:00:00"/>
    <x v="2"/>
    <x v="3"/>
    <n v="1"/>
    <x v="0"/>
    <m/>
    <n v="3219"/>
    <n v="40"/>
    <x v="362"/>
    <x v="176"/>
    <s v=""/>
  </r>
  <r>
    <x v="970"/>
    <x v="3"/>
    <s v="52.520008"/>
    <s v="13.404954"/>
    <x v="8"/>
    <s v="Medium (201-500)"/>
    <x v="7"/>
    <d v="2024-03-19T00:00:00"/>
    <x v="2"/>
    <x v="3"/>
    <n v="1"/>
    <x v="0"/>
    <m/>
    <n v="2160"/>
    <n v="50"/>
    <x v="62"/>
    <x v="176"/>
    <s v=""/>
  </r>
  <r>
    <x v="971"/>
    <x v="0"/>
    <s v="52.370216"/>
    <s v="4.895168"/>
    <x v="5"/>
    <s v="Medium (201-500)"/>
    <x v="0"/>
    <d v="2024-02-11T00:00:00"/>
    <x v="0"/>
    <x v="3"/>
    <n v="1"/>
    <x v="0"/>
    <m/>
    <n v="1545"/>
    <n v="20"/>
    <x v="366"/>
    <x v="176"/>
    <s v=""/>
  </r>
  <r>
    <x v="972"/>
    <x v="8"/>
    <s v="38.736946"/>
    <s v="-9.142685"/>
    <x v="13"/>
    <s v="Medium (201-500)"/>
    <x v="4"/>
    <d v="2024-04-27T00:00:00"/>
    <x v="0"/>
    <x v="3"/>
    <n v="1"/>
    <x v="0"/>
    <m/>
    <n v="229"/>
    <n v="50"/>
    <x v="359"/>
    <x v="176"/>
    <s v=""/>
  </r>
  <r>
    <x v="973"/>
    <x v="1"/>
    <s v="40.416775"/>
    <s v="-3.703790"/>
    <x v="11"/>
    <s v="Medium (201-500)"/>
    <x v="2"/>
    <d v="2024-03-27T00:00:00"/>
    <x v="2"/>
    <x v="3"/>
    <n v="1"/>
    <x v="0"/>
    <m/>
    <n v="285"/>
    <n v="20"/>
    <x v="40"/>
    <x v="176"/>
    <s v=""/>
  </r>
  <r>
    <x v="974"/>
    <x v="8"/>
    <s v="38.736946"/>
    <s v="-9.142685"/>
    <x v="10"/>
    <s v="Medium (201-500)"/>
    <x v="1"/>
    <d v="2024-05-26T00:00:00"/>
    <x v="1"/>
    <x v="3"/>
    <n v="1"/>
    <x v="0"/>
    <m/>
    <n v="6838"/>
    <n v="90"/>
    <x v="223"/>
    <x v="176"/>
    <s v=""/>
  </r>
  <r>
    <x v="975"/>
    <x v="3"/>
    <s v="52.520008"/>
    <s v="13.404954"/>
    <x v="4"/>
    <s v="Medium (201-500)"/>
    <x v="7"/>
    <d v="2024-01-18T00:00:00"/>
    <x v="0"/>
    <x v="3"/>
    <n v="1"/>
    <x v="0"/>
    <m/>
    <n v="4339"/>
    <n v="30"/>
    <x v="99"/>
    <x v="176"/>
    <s v=""/>
  </r>
  <r>
    <x v="976"/>
    <x v="1"/>
    <s v="40.416775"/>
    <s v="-3.703790"/>
    <x v="5"/>
    <s v="Medium (201-500)"/>
    <x v="3"/>
    <d v="2024-01-27T00:00:00"/>
    <x v="2"/>
    <x v="3"/>
    <n v="1"/>
    <x v="0"/>
    <m/>
    <n v="3405"/>
    <n v="10"/>
    <x v="181"/>
    <x v="176"/>
    <s v=""/>
  </r>
  <r>
    <x v="977"/>
    <x v="8"/>
    <s v="38.736946"/>
    <s v="-9.142685"/>
    <x v="0"/>
    <s v="Medium (201-500)"/>
    <x v="2"/>
    <d v="2024-05-11T00:00:00"/>
    <x v="0"/>
    <x v="3"/>
    <n v="1"/>
    <x v="0"/>
    <m/>
    <n v="2221"/>
    <n v="90"/>
    <x v="320"/>
    <x v="176"/>
    <s v=""/>
  </r>
  <r>
    <x v="978"/>
    <x v="3"/>
    <s v="52.520008"/>
    <s v="13.404954"/>
    <x v="4"/>
    <s v="Medium (201-500)"/>
    <x v="2"/>
    <d v="2024-03-11T00:00:00"/>
    <x v="0"/>
    <x v="3"/>
    <n v="1"/>
    <x v="0"/>
    <m/>
    <n v="4404"/>
    <n v="20"/>
    <x v="289"/>
    <x v="176"/>
    <s v=""/>
  </r>
  <r>
    <x v="979"/>
    <x v="6"/>
    <s v="48.864716"/>
    <s v="2.349014"/>
    <x v="13"/>
    <s v="Medium (201-500)"/>
    <x v="5"/>
    <d v="2024-04-18T00:00:00"/>
    <x v="1"/>
    <x v="3"/>
    <n v="1"/>
    <x v="0"/>
    <m/>
    <n v="6369"/>
    <n v="30"/>
    <x v="91"/>
    <x v="176"/>
    <s v=""/>
  </r>
  <r>
    <x v="980"/>
    <x v="3"/>
    <s v="52.520008"/>
    <s v="13.404954"/>
    <x v="0"/>
    <s v="Medium (201-500)"/>
    <x v="6"/>
    <d v="2024-01-05T00:00:00"/>
    <x v="0"/>
    <x v="3"/>
    <n v="1"/>
    <x v="0"/>
    <m/>
    <n v="799"/>
    <n v="30"/>
    <x v="367"/>
    <x v="176"/>
    <s v=""/>
  </r>
  <r>
    <x v="981"/>
    <x v="1"/>
    <s v="40.416775"/>
    <s v="-3.703790"/>
    <x v="7"/>
    <s v="Medium (201-500)"/>
    <x v="6"/>
    <d v="2024-01-12T00:00:00"/>
    <x v="0"/>
    <x v="3"/>
    <n v="1"/>
    <x v="0"/>
    <m/>
    <n v="2740"/>
    <n v="80"/>
    <x v="269"/>
    <x v="176"/>
    <s v=""/>
  </r>
  <r>
    <x v="982"/>
    <x v="1"/>
    <s v="40.416775"/>
    <s v="-3.703790"/>
    <x v="2"/>
    <s v="Medium (201-500)"/>
    <x v="4"/>
    <d v="2024-03-09T00:00:00"/>
    <x v="0"/>
    <x v="3"/>
    <n v="1"/>
    <x v="0"/>
    <m/>
    <n v="4124"/>
    <n v="40"/>
    <x v="368"/>
    <x v="176"/>
    <s v=""/>
  </r>
  <r>
    <x v="983"/>
    <x v="4"/>
    <s v="51.260197"/>
    <s v="4.402771"/>
    <x v="4"/>
    <s v="Medium (201-500)"/>
    <x v="3"/>
    <d v="2024-03-14T00:00:00"/>
    <x v="2"/>
    <x v="3"/>
    <n v="1"/>
    <x v="0"/>
    <m/>
    <n v="3431"/>
    <n v="20"/>
    <x v="327"/>
    <x v="176"/>
    <s v=""/>
  </r>
  <r>
    <x v="984"/>
    <x v="2"/>
    <s v="41.902782"/>
    <s v="12.496366"/>
    <x v="0"/>
    <s v="Medium (201-500)"/>
    <x v="3"/>
    <d v="2024-04-26T00:00:00"/>
    <x v="0"/>
    <x v="3"/>
    <n v="1"/>
    <x v="0"/>
    <m/>
    <n v="4306"/>
    <n v="60"/>
    <x v="175"/>
    <x v="176"/>
    <s v=""/>
  </r>
  <r>
    <x v="985"/>
    <x v="5"/>
    <s v="46.204391"/>
    <s v="6.143158"/>
    <x v="11"/>
    <s v="Medium (201-500)"/>
    <x v="2"/>
    <d v="2024-02-08T00:00:00"/>
    <x v="2"/>
    <x v="3"/>
    <n v="1"/>
    <x v="0"/>
    <m/>
    <n v="2988"/>
    <n v="50"/>
    <x v="126"/>
    <x v="176"/>
    <s v=""/>
  </r>
  <r>
    <x v="986"/>
    <x v="8"/>
    <s v="38.736946"/>
    <s v="-9.142685"/>
    <x v="5"/>
    <s v="Medium (201-500)"/>
    <x v="4"/>
    <d v="2024-03-27T00:00:00"/>
    <x v="0"/>
    <x v="3"/>
    <n v="1"/>
    <x v="0"/>
    <m/>
    <n v="1307"/>
    <n v="30"/>
    <x v="92"/>
    <x v="176"/>
    <s v=""/>
  </r>
  <r>
    <x v="987"/>
    <x v="7"/>
    <s v="48.210033"/>
    <s v="16.363449"/>
    <x v="5"/>
    <s v="Medium (201-500)"/>
    <x v="3"/>
    <d v="2024-01-25T00:00:00"/>
    <x v="2"/>
    <x v="3"/>
    <n v="1"/>
    <x v="0"/>
    <m/>
    <n v="4757"/>
    <n v="30"/>
    <x v="173"/>
    <x v="176"/>
    <s v=""/>
  </r>
  <r>
    <x v="988"/>
    <x v="8"/>
    <s v="38.736946"/>
    <s v="-9.142685"/>
    <x v="8"/>
    <s v="Medium (201-500)"/>
    <x v="7"/>
    <d v="2024-05-14T00:00:00"/>
    <x v="0"/>
    <x v="3"/>
    <n v="1"/>
    <x v="0"/>
    <m/>
    <n v="3458"/>
    <n v="40"/>
    <x v="369"/>
    <x v="176"/>
    <s v=""/>
  </r>
  <r>
    <x v="989"/>
    <x v="6"/>
    <s v="48.864716"/>
    <s v="2.349014"/>
    <x v="2"/>
    <s v="Medium (201-500)"/>
    <x v="3"/>
    <d v="2024-05-02T00:00:00"/>
    <x v="2"/>
    <x v="3"/>
    <n v="1"/>
    <x v="0"/>
    <m/>
    <n v="5921"/>
    <n v="40"/>
    <x v="98"/>
    <x v="176"/>
    <s v=""/>
  </r>
  <r>
    <x v="990"/>
    <x v="5"/>
    <s v="46.204391"/>
    <s v="6.143158"/>
    <x v="11"/>
    <s v="Medium (201-500)"/>
    <x v="0"/>
    <d v="2024-05-22T00:00:00"/>
    <x v="0"/>
    <x v="3"/>
    <n v="1"/>
    <x v="0"/>
    <m/>
    <n v="2305"/>
    <n v="40"/>
    <x v="206"/>
    <x v="176"/>
    <s v=""/>
  </r>
  <r>
    <x v="991"/>
    <x v="2"/>
    <s v="41.902782"/>
    <s v="12.496366"/>
    <x v="3"/>
    <s v="Medium (201-500)"/>
    <x v="1"/>
    <d v="2024-01-21T00:00:00"/>
    <x v="1"/>
    <x v="3"/>
    <n v="1"/>
    <x v="0"/>
    <m/>
    <n v="2764"/>
    <n v="30"/>
    <x v="73"/>
    <x v="176"/>
    <s v=""/>
  </r>
  <r>
    <x v="992"/>
    <x v="3"/>
    <s v="52.520008"/>
    <s v="13.404954"/>
    <x v="0"/>
    <s v="Medium (201-500)"/>
    <x v="3"/>
    <d v="2024-05-23T00:00:00"/>
    <x v="2"/>
    <x v="3"/>
    <n v="1"/>
    <x v="0"/>
    <m/>
    <n v="7311"/>
    <n v="10"/>
    <x v="144"/>
    <x v="176"/>
    <s v=""/>
  </r>
  <r>
    <x v="993"/>
    <x v="8"/>
    <s v="38.736946"/>
    <s v="-9.142685"/>
    <x v="9"/>
    <s v="Medium (201-500)"/>
    <x v="4"/>
    <d v="2024-04-13T00:00:00"/>
    <x v="0"/>
    <x v="3"/>
    <n v="1"/>
    <x v="0"/>
    <m/>
    <n v="1828"/>
    <n v="80"/>
    <x v="112"/>
    <x v="176"/>
    <s v=""/>
  </r>
  <r>
    <x v="994"/>
    <x v="3"/>
    <s v="52.520008"/>
    <s v="13.404954"/>
    <x v="5"/>
    <s v="Medium (201-500)"/>
    <x v="0"/>
    <d v="2024-03-20T00:00:00"/>
    <x v="0"/>
    <x v="3"/>
    <n v="1"/>
    <x v="0"/>
    <m/>
    <n v="1846"/>
    <n v="30"/>
    <x v="203"/>
    <x v="176"/>
    <s v=""/>
  </r>
  <r>
    <x v="995"/>
    <x v="2"/>
    <s v="41.902782"/>
    <s v="12.496366"/>
    <x v="9"/>
    <s v="Medium (201-500)"/>
    <x v="6"/>
    <d v="2024-02-20T00:00:00"/>
    <x v="1"/>
    <x v="3"/>
    <n v="1"/>
    <x v="0"/>
    <m/>
    <n v="6929"/>
    <n v="20"/>
    <x v="283"/>
    <x v="176"/>
    <s v=""/>
  </r>
  <r>
    <x v="996"/>
    <x v="5"/>
    <s v="46.204391"/>
    <s v="6.143158"/>
    <x v="4"/>
    <s v="Medium (201-500)"/>
    <x v="4"/>
    <d v="2024-05-08T00:00:00"/>
    <x v="2"/>
    <x v="3"/>
    <n v="1"/>
    <x v="0"/>
    <m/>
    <n v="1720"/>
    <n v="60"/>
    <x v="173"/>
    <x v="176"/>
    <s v=""/>
  </r>
  <r>
    <x v="997"/>
    <x v="2"/>
    <s v="41.902782"/>
    <s v="12.496366"/>
    <x v="2"/>
    <s v="Medium (201-500)"/>
    <x v="3"/>
    <d v="2024-03-08T00:00:00"/>
    <x v="0"/>
    <x v="3"/>
    <n v="1"/>
    <x v="0"/>
    <m/>
    <n v="6119"/>
    <n v="30"/>
    <x v="1"/>
    <x v="176"/>
    <s v=""/>
  </r>
  <r>
    <x v="998"/>
    <x v="2"/>
    <s v="41.902782"/>
    <s v="12.496366"/>
    <x v="4"/>
    <s v="Medium (201-500)"/>
    <x v="5"/>
    <d v="2024-04-14T00:00:00"/>
    <x v="2"/>
    <x v="3"/>
    <n v="1"/>
    <x v="0"/>
    <m/>
    <n v="1087"/>
    <n v="40"/>
    <x v="370"/>
    <x v="176"/>
    <s v=""/>
  </r>
  <r>
    <x v="999"/>
    <x v="5"/>
    <s v="46.204391"/>
    <s v="6.143158"/>
    <x v="4"/>
    <s v="Medium (201-500)"/>
    <x v="2"/>
    <d v="2024-02-07T00:00:00"/>
    <x v="2"/>
    <x v="3"/>
    <n v="1"/>
    <x v="0"/>
    <m/>
    <n v="1358"/>
    <n v="30"/>
    <x v="213"/>
    <x v="176"/>
    <s v=""/>
  </r>
  <r>
    <x v="1000"/>
    <x v="5"/>
    <s v="46.204391"/>
    <s v="6.143158"/>
    <x v="8"/>
    <s v="Medium (201-500)"/>
    <x v="3"/>
    <d v="2024-01-11T00:00:00"/>
    <x v="2"/>
    <x v="3"/>
    <n v="1"/>
    <x v="0"/>
    <m/>
    <n v="3463"/>
    <n v="20"/>
    <x v="371"/>
    <x v="176"/>
    <s v=""/>
  </r>
  <r>
    <x v="1001"/>
    <x v="3"/>
    <s v="52.520008"/>
    <s v="13.404954"/>
    <x v="0"/>
    <s v="Medium (201-500)"/>
    <x v="7"/>
    <d v="2024-02-25T00:00:00"/>
    <x v="0"/>
    <x v="3"/>
    <n v="1"/>
    <x v="0"/>
    <m/>
    <n v="2395"/>
    <n v="30"/>
    <x v="355"/>
    <x v="176"/>
    <s v=""/>
  </r>
  <r>
    <x v="1002"/>
    <x v="8"/>
    <s v="38.736946"/>
    <s v="-9.142685"/>
    <x v="3"/>
    <s v="Medium (201-500)"/>
    <x v="0"/>
    <d v="2024-04-18T00:00:00"/>
    <x v="2"/>
    <x v="3"/>
    <n v="1"/>
    <x v="0"/>
    <m/>
    <n v="2547"/>
    <n v="40"/>
    <x v="344"/>
    <x v="176"/>
    <s v=""/>
  </r>
  <r>
    <x v="1003"/>
    <x v="5"/>
    <s v="46.204391"/>
    <s v="6.143158"/>
    <x v="9"/>
    <s v="Medium (201-500)"/>
    <x v="1"/>
    <d v="2024-03-24T00:00:00"/>
    <x v="0"/>
    <x v="3"/>
    <n v="1"/>
    <x v="0"/>
    <m/>
    <n v="1557"/>
    <n v="20"/>
    <x v="117"/>
    <x v="176"/>
    <s v=""/>
  </r>
  <r>
    <x v="1004"/>
    <x v="4"/>
    <s v="51.260197"/>
    <s v="4.402771"/>
    <x v="12"/>
    <s v="Medium (201-500)"/>
    <x v="4"/>
    <d v="2024-03-24T00:00:00"/>
    <x v="0"/>
    <x v="3"/>
    <n v="1"/>
    <x v="0"/>
    <m/>
    <n v="6040"/>
    <n v="40"/>
    <x v="372"/>
    <x v="176"/>
    <s v=""/>
  </r>
  <r>
    <x v="1005"/>
    <x v="8"/>
    <s v="38.736946"/>
    <s v="-9.142685"/>
    <x v="0"/>
    <s v="Medium (201-500)"/>
    <x v="6"/>
    <d v="2024-04-10T00:00:00"/>
    <x v="0"/>
    <x v="3"/>
    <n v="1"/>
    <x v="0"/>
    <m/>
    <n v="2867"/>
    <n v="80"/>
    <x v="320"/>
    <x v="176"/>
    <s v=""/>
  </r>
  <r>
    <x v="1006"/>
    <x v="7"/>
    <s v="48.210033"/>
    <s v="16.363449"/>
    <x v="6"/>
    <s v="Medium (201-500)"/>
    <x v="2"/>
    <d v="2024-01-12T00:00:00"/>
    <x v="0"/>
    <x v="3"/>
    <n v="1"/>
    <x v="0"/>
    <m/>
    <n v="5894"/>
    <n v="30"/>
    <x v="73"/>
    <x v="176"/>
    <s v=""/>
  </r>
  <r>
    <x v="1007"/>
    <x v="8"/>
    <s v="38.736946"/>
    <s v="-9.142685"/>
    <x v="4"/>
    <s v="Medium (201-500)"/>
    <x v="4"/>
    <d v="2024-01-11T00:00:00"/>
    <x v="2"/>
    <x v="3"/>
    <n v="1"/>
    <x v="0"/>
    <m/>
    <n v="1595"/>
    <n v="30"/>
    <x v="180"/>
    <x v="176"/>
    <s v=""/>
  </r>
  <r>
    <x v="1008"/>
    <x v="6"/>
    <s v="48.864716"/>
    <s v="2.349014"/>
    <x v="6"/>
    <s v="Medium (201-500)"/>
    <x v="2"/>
    <d v="2024-05-24T00:00:00"/>
    <x v="0"/>
    <x v="3"/>
    <n v="1"/>
    <x v="0"/>
    <m/>
    <n v="4690"/>
    <n v="100"/>
    <x v="52"/>
    <x v="176"/>
    <s v=""/>
  </r>
  <r>
    <x v="1009"/>
    <x v="3"/>
    <s v="52.520008"/>
    <s v="13.404954"/>
    <x v="4"/>
    <s v="Medium (201-500)"/>
    <x v="6"/>
    <d v="2024-04-11T00:00:00"/>
    <x v="2"/>
    <x v="3"/>
    <n v="1"/>
    <x v="0"/>
    <m/>
    <n v="6578"/>
    <n v="30"/>
    <x v="235"/>
    <x v="176"/>
    <s v=""/>
  </r>
  <r>
    <x v="1010"/>
    <x v="8"/>
    <s v="38.736946"/>
    <s v="-9.142685"/>
    <x v="4"/>
    <s v="Medium (201-500)"/>
    <x v="3"/>
    <d v="2024-04-13T00:00:00"/>
    <x v="2"/>
    <x v="3"/>
    <n v="1"/>
    <x v="0"/>
    <m/>
    <n v="6308"/>
    <n v="20"/>
    <x v="137"/>
    <x v="176"/>
    <s v=""/>
  </r>
  <r>
    <x v="1011"/>
    <x v="2"/>
    <s v="41.902782"/>
    <s v="12.496366"/>
    <x v="9"/>
    <s v="Large (501-1000)"/>
    <x v="3"/>
    <d v="2024-01-02T00:00:00"/>
    <x v="2"/>
    <x v="3"/>
    <n v="1"/>
    <x v="0"/>
    <m/>
    <n v="5166"/>
    <n v="30"/>
    <x v="55"/>
    <x v="176"/>
    <s v=""/>
  </r>
  <r>
    <x v="1012"/>
    <x v="3"/>
    <s v="52.520008"/>
    <s v="13.404954"/>
    <x v="9"/>
    <s v="Large (501-1000)"/>
    <x v="5"/>
    <d v="2024-03-26T00:00:00"/>
    <x v="2"/>
    <x v="3"/>
    <n v="1"/>
    <x v="0"/>
    <m/>
    <n v="14523"/>
    <n v="30"/>
    <x v="168"/>
    <x v="176"/>
    <s v=""/>
  </r>
  <r>
    <x v="1013"/>
    <x v="3"/>
    <s v="52.520008"/>
    <s v="13.404954"/>
    <x v="4"/>
    <s v="Large (501-1000)"/>
    <x v="0"/>
    <d v="2024-04-01T00:00:00"/>
    <x v="1"/>
    <x v="3"/>
    <n v="1"/>
    <x v="0"/>
    <m/>
    <n v="5375"/>
    <n v="20"/>
    <x v="186"/>
    <x v="176"/>
    <s v=""/>
  </r>
  <r>
    <x v="1014"/>
    <x v="5"/>
    <s v="46.204391"/>
    <s v="6.143158"/>
    <x v="0"/>
    <s v="Large (501-1000)"/>
    <x v="2"/>
    <d v="2024-03-19T00:00:00"/>
    <x v="0"/>
    <x v="3"/>
    <n v="1"/>
    <x v="0"/>
    <m/>
    <n v="13128"/>
    <n v="60"/>
    <x v="206"/>
    <x v="176"/>
    <s v=""/>
  </r>
  <r>
    <x v="1015"/>
    <x v="6"/>
    <s v="48.864716"/>
    <s v="2.349014"/>
    <x v="4"/>
    <s v="Large (501-1000)"/>
    <x v="3"/>
    <d v="2024-05-15T00:00:00"/>
    <x v="0"/>
    <x v="3"/>
    <n v="1"/>
    <x v="0"/>
    <m/>
    <n v="18904"/>
    <n v="30"/>
    <x v="346"/>
    <x v="176"/>
    <s v=""/>
  </r>
  <r>
    <x v="1016"/>
    <x v="0"/>
    <s v="52.370216"/>
    <s v="4.895168"/>
    <x v="4"/>
    <s v="Large (501-1000)"/>
    <x v="1"/>
    <d v="2024-05-04T00:00:00"/>
    <x v="0"/>
    <x v="3"/>
    <n v="1"/>
    <x v="0"/>
    <m/>
    <n v="11566"/>
    <n v="40"/>
    <x v="228"/>
    <x v="176"/>
    <s v=""/>
  </r>
  <r>
    <x v="1017"/>
    <x v="2"/>
    <s v="41.902782"/>
    <s v="12.496366"/>
    <x v="3"/>
    <s v="Large (501-1000)"/>
    <x v="4"/>
    <d v="2024-01-10T00:00:00"/>
    <x v="1"/>
    <x v="3"/>
    <n v="1"/>
    <x v="0"/>
    <m/>
    <n v="7949"/>
    <n v="20"/>
    <x v="154"/>
    <x v="176"/>
    <s v=""/>
  </r>
  <r>
    <x v="1018"/>
    <x v="7"/>
    <s v="48.210033"/>
    <s v="16.363449"/>
    <x v="11"/>
    <s v="Large (501-1000)"/>
    <x v="3"/>
    <d v="2024-04-01T00:00:00"/>
    <x v="1"/>
    <x v="3"/>
    <n v="1"/>
    <x v="0"/>
    <m/>
    <n v="6542"/>
    <n v="40"/>
    <x v="189"/>
    <x v="176"/>
    <s v=""/>
  </r>
  <r>
    <x v="1019"/>
    <x v="5"/>
    <s v="46.204391"/>
    <s v="6.143158"/>
    <x v="5"/>
    <s v="Large (501-1000)"/>
    <x v="4"/>
    <d v="2024-03-01T00:00:00"/>
    <x v="2"/>
    <x v="3"/>
    <n v="1"/>
    <x v="0"/>
    <m/>
    <n v="16150"/>
    <n v="40"/>
    <x v="60"/>
    <x v="176"/>
    <s v=""/>
  </r>
  <r>
    <x v="1020"/>
    <x v="3"/>
    <s v="52.520008"/>
    <s v="13.404954"/>
    <x v="8"/>
    <s v="Large (501-1000)"/>
    <x v="6"/>
    <d v="2024-01-06T00:00:00"/>
    <x v="0"/>
    <x v="3"/>
    <n v="1"/>
    <x v="0"/>
    <m/>
    <n v="12331"/>
    <n v="40"/>
    <x v="373"/>
    <x v="176"/>
    <s v=""/>
  </r>
  <r>
    <x v="1021"/>
    <x v="8"/>
    <s v="38.736946"/>
    <s v="-9.142685"/>
    <x v="1"/>
    <s v="Enterprise (1001+)"/>
    <x v="2"/>
    <d v="2024-04-08T00:00:00"/>
    <x v="2"/>
    <x v="3"/>
    <n v="1"/>
    <x v="0"/>
    <m/>
    <n v="5559"/>
    <n v="50"/>
    <x v="140"/>
    <x v="176"/>
    <s v=""/>
  </r>
  <r>
    <x v="1022"/>
    <x v="6"/>
    <s v="48.864716"/>
    <s v="2.349014"/>
    <x v="7"/>
    <s v="Enterprise (1001+)"/>
    <x v="2"/>
    <d v="2024-03-28T00:00:00"/>
    <x v="2"/>
    <x v="3"/>
    <n v="1"/>
    <x v="0"/>
    <m/>
    <n v="17695"/>
    <n v="80"/>
    <x v="275"/>
    <x v="176"/>
    <s v=""/>
  </r>
  <r>
    <x v="1023"/>
    <x v="2"/>
    <s v="41.902782"/>
    <s v="12.496366"/>
    <x v="11"/>
    <s v="Enterprise (1001+)"/>
    <x v="1"/>
    <d v="2024-03-27T00:00:00"/>
    <x v="1"/>
    <x v="3"/>
    <n v="1"/>
    <x v="0"/>
    <m/>
    <n v="18405"/>
    <n v="70"/>
    <x v="343"/>
    <x v="176"/>
    <s v=""/>
  </r>
  <r>
    <x v="1024"/>
    <x v="1"/>
    <s v="40.416775"/>
    <s v="-3.703790"/>
    <x v="11"/>
    <s v="Enterprise (1001+)"/>
    <x v="3"/>
    <d v="2024-02-27T00:00:00"/>
    <x v="1"/>
    <x v="3"/>
    <n v="1"/>
    <x v="0"/>
    <m/>
    <n v="17424"/>
    <n v="40"/>
    <x v="65"/>
    <x v="176"/>
    <s v=""/>
  </r>
  <r>
    <x v="1025"/>
    <x v="1"/>
    <s v="40.416775"/>
    <s v="-3.703790"/>
    <x v="11"/>
    <s v="Enterprise (1001+)"/>
    <x v="3"/>
    <d v="2024-01-18T00:00:00"/>
    <x v="2"/>
    <x v="3"/>
    <n v="1"/>
    <x v="0"/>
    <m/>
    <n v="4132"/>
    <n v="60"/>
    <x v="147"/>
    <x v="176"/>
    <s v=""/>
  </r>
  <r>
    <x v="1026"/>
    <x v="5"/>
    <s v="46.204391"/>
    <s v="6.143158"/>
    <x v="8"/>
    <s v="Enterprise (1001+)"/>
    <x v="3"/>
    <d v="2024-03-06T00:00:00"/>
    <x v="1"/>
    <x v="3"/>
    <n v="1"/>
    <x v="0"/>
    <m/>
    <n v="3394"/>
    <n v="50"/>
    <x v="95"/>
    <x v="176"/>
    <s v=""/>
  </r>
  <r>
    <x v="1027"/>
    <x v="5"/>
    <s v="46.204391"/>
    <s v="6.143158"/>
    <x v="5"/>
    <s v="Enterprise (1001+)"/>
    <x v="1"/>
    <d v="2024-02-15T00:00:00"/>
    <x v="1"/>
    <x v="3"/>
    <n v="1"/>
    <x v="0"/>
    <m/>
    <n v="9437"/>
    <n v="20"/>
    <x v="374"/>
    <x v="176"/>
    <s v=""/>
  </r>
  <r>
    <x v="1028"/>
    <x v="7"/>
    <s v="48.210033"/>
    <s v="16.363449"/>
    <x v="4"/>
    <s v="Enterprise (1001+)"/>
    <x v="3"/>
    <d v="2024-03-02T00:00:00"/>
    <x v="1"/>
    <x v="3"/>
    <n v="1"/>
    <x v="0"/>
    <m/>
    <n v="5064"/>
    <n v="80"/>
    <x v="375"/>
    <x v="176"/>
    <s v=""/>
  </r>
  <r>
    <x v="1029"/>
    <x v="8"/>
    <s v="38.736946"/>
    <s v="-9.142685"/>
    <x v="13"/>
    <s v="Enterprise (1001+)"/>
    <x v="3"/>
    <d v="2024-05-26T00:00:00"/>
    <x v="2"/>
    <x v="3"/>
    <n v="1"/>
    <x v="0"/>
    <m/>
    <n v="19446"/>
    <n v="30"/>
    <x v="376"/>
    <x v="176"/>
    <s v=""/>
  </r>
  <r>
    <x v="1030"/>
    <x v="3"/>
    <s v="52.520008"/>
    <s v="13.404954"/>
    <x v="9"/>
    <s v="Enterprise (1001+)"/>
    <x v="1"/>
    <d v="2024-05-06T00:00:00"/>
    <x v="2"/>
    <x v="3"/>
    <n v="1"/>
    <x v="0"/>
    <m/>
    <n v="18343"/>
    <n v="30"/>
    <x v="313"/>
    <x v="176"/>
    <s v=""/>
  </r>
  <r>
    <x v="1031"/>
    <x v="8"/>
    <s v="38.736946"/>
    <s v="-9.142685"/>
    <x v="2"/>
    <s v="Enterprise (1001+)"/>
    <x v="4"/>
    <d v="2024-05-11T00:00:00"/>
    <x v="1"/>
    <x v="3"/>
    <n v="1"/>
    <x v="0"/>
    <m/>
    <n v="6617"/>
    <n v="100"/>
    <x v="95"/>
    <x v="176"/>
    <s v=""/>
  </r>
  <r>
    <x v="1032"/>
    <x v="2"/>
    <s v="41.902782"/>
    <s v="12.496366"/>
    <x v="7"/>
    <s v="Enterprise (1001+)"/>
    <x v="5"/>
    <d v="2024-05-26T00:00:00"/>
    <x v="2"/>
    <x v="3"/>
    <n v="1"/>
    <x v="0"/>
    <m/>
    <n v="18700"/>
    <n v="20"/>
    <x v="377"/>
    <x v="176"/>
    <s v=""/>
  </r>
  <r>
    <x v="1033"/>
    <x v="6"/>
    <s v="48.864716"/>
    <s v="2.349014"/>
    <x v="12"/>
    <s v="Enterprise (1001+)"/>
    <x v="1"/>
    <d v="2024-01-05T00:00:00"/>
    <x v="2"/>
    <x v="3"/>
    <n v="1"/>
    <x v="0"/>
    <m/>
    <n v="8157"/>
    <n v="20"/>
    <x v="370"/>
    <x v="176"/>
    <s v=""/>
  </r>
  <r>
    <x v="1034"/>
    <x v="3"/>
    <s v="52.520008"/>
    <s v="13.404954"/>
    <x v="4"/>
    <s v="Enterprise (1001+)"/>
    <x v="2"/>
    <d v="2024-04-14T00:00:00"/>
    <x v="2"/>
    <x v="3"/>
    <n v="1"/>
    <x v="0"/>
    <m/>
    <n v="14502"/>
    <n v="20"/>
    <x v="43"/>
    <x v="176"/>
    <s v=""/>
  </r>
  <r>
    <x v="1035"/>
    <x v="6"/>
    <s v="48.864716"/>
    <s v="2.349014"/>
    <x v="10"/>
    <s v="Enterprise (1001+)"/>
    <x v="4"/>
    <d v="2024-02-13T00:00:00"/>
    <x v="2"/>
    <x v="3"/>
    <n v="1"/>
    <x v="0"/>
    <m/>
    <n v="14344"/>
    <n v="100"/>
    <x v="28"/>
    <x v="176"/>
    <s v=""/>
  </r>
  <r>
    <x v="1036"/>
    <x v="5"/>
    <s v="46.204391"/>
    <s v="6.143158"/>
    <x v="4"/>
    <s v="Enterprise (1001+)"/>
    <x v="1"/>
    <d v="2024-04-15T00:00:00"/>
    <x v="0"/>
    <x v="3"/>
    <n v="1"/>
    <x v="0"/>
    <m/>
    <n v="19863"/>
    <n v="40"/>
    <x v="65"/>
    <x v="176"/>
    <s v=""/>
  </r>
  <r>
    <x v="1037"/>
    <x v="6"/>
    <s v="48.864716"/>
    <s v="2.349014"/>
    <x v="5"/>
    <s v="Enterprise (1001+)"/>
    <x v="2"/>
    <d v="2024-02-29T00:00:00"/>
    <x v="2"/>
    <x v="3"/>
    <n v="1"/>
    <x v="0"/>
    <m/>
    <n v="14666"/>
    <n v="60"/>
    <x v="61"/>
    <x v="176"/>
    <s v=""/>
  </r>
  <r>
    <x v="1038"/>
    <x v="4"/>
    <s v="51.260197"/>
    <s v="4.402771"/>
    <x v="2"/>
    <s v="Small (11-200)"/>
    <x v="4"/>
    <d v="2024-03-15T00:00:00"/>
    <x v="2"/>
    <x v="4"/>
    <n v="5"/>
    <x v="1"/>
    <n v="2"/>
    <n v="1136"/>
    <n v="90"/>
    <x v="156"/>
    <x v="176"/>
    <s v=""/>
  </r>
  <r>
    <x v="1039"/>
    <x v="3"/>
    <s v="52.520008"/>
    <s v="13.404954"/>
    <x v="0"/>
    <s v="Small (11-200)"/>
    <x v="6"/>
    <d v="2024-03-28T00:00:00"/>
    <x v="0"/>
    <x v="4"/>
    <n v="5"/>
    <x v="1"/>
    <n v="2"/>
    <n v="402"/>
    <n v="20"/>
    <x v="154"/>
    <x v="176"/>
    <s v=""/>
  </r>
  <r>
    <x v="1040"/>
    <x v="6"/>
    <s v="48.864716"/>
    <s v="2.349014"/>
    <x v="1"/>
    <s v="Small (11-200)"/>
    <x v="4"/>
    <d v="2024-02-28T00:00:00"/>
    <x v="1"/>
    <x v="4"/>
    <n v="5"/>
    <x v="1"/>
    <n v="2"/>
    <n v="1210"/>
    <n v="30"/>
    <x v="126"/>
    <x v="176"/>
    <s v=""/>
  </r>
  <r>
    <x v="1041"/>
    <x v="2"/>
    <s v="41.902782"/>
    <s v="12.496366"/>
    <x v="4"/>
    <s v="Small (11-200)"/>
    <x v="5"/>
    <d v="2024-05-03T00:00:00"/>
    <x v="2"/>
    <x v="4"/>
    <n v="5"/>
    <x v="1"/>
    <n v="2"/>
    <n v="1626"/>
    <n v="40"/>
    <x v="111"/>
    <x v="176"/>
    <s v=""/>
  </r>
  <r>
    <x v="1042"/>
    <x v="5"/>
    <s v="46.204391"/>
    <s v="6.143158"/>
    <x v="4"/>
    <s v="Small (11-200)"/>
    <x v="0"/>
    <d v="2024-01-04T00:00:00"/>
    <x v="2"/>
    <x v="4"/>
    <n v="5"/>
    <x v="1"/>
    <n v="2"/>
    <n v="785"/>
    <n v="60"/>
    <x v="378"/>
    <x v="176"/>
    <s v=""/>
  </r>
  <r>
    <x v="1043"/>
    <x v="6"/>
    <s v="48.864716"/>
    <s v="2.349014"/>
    <x v="13"/>
    <s v="Small (11-200)"/>
    <x v="3"/>
    <d v="2024-01-08T00:00:00"/>
    <x v="2"/>
    <x v="4"/>
    <n v="5"/>
    <x v="1"/>
    <n v="2"/>
    <n v="1380"/>
    <n v="30"/>
    <x v="379"/>
    <x v="176"/>
    <s v=""/>
  </r>
  <r>
    <x v="1044"/>
    <x v="1"/>
    <s v="40.416775"/>
    <s v="-3.703790"/>
    <x v="6"/>
    <s v="Small (11-200)"/>
    <x v="4"/>
    <d v="2024-05-03T00:00:00"/>
    <x v="2"/>
    <x v="4"/>
    <n v="5"/>
    <x v="1"/>
    <n v="2"/>
    <n v="1885"/>
    <n v="70"/>
    <x v="137"/>
    <x v="176"/>
    <s v=""/>
  </r>
  <r>
    <x v="1045"/>
    <x v="5"/>
    <s v="46.204391"/>
    <s v="6.143158"/>
    <x v="5"/>
    <s v="Small (11-200)"/>
    <x v="3"/>
    <d v="2024-01-29T00:00:00"/>
    <x v="2"/>
    <x v="4"/>
    <n v="5"/>
    <x v="1"/>
    <n v="2"/>
    <n v="1320"/>
    <n v="70"/>
    <x v="380"/>
    <x v="176"/>
    <s v=""/>
  </r>
  <r>
    <x v="1046"/>
    <x v="8"/>
    <s v="38.736946"/>
    <s v="-9.142685"/>
    <x v="4"/>
    <s v="Small (11-200)"/>
    <x v="2"/>
    <d v="2024-03-03T00:00:00"/>
    <x v="2"/>
    <x v="4"/>
    <n v="5"/>
    <x v="1"/>
    <n v="2"/>
    <n v="683"/>
    <n v="100"/>
    <x v="336"/>
    <x v="176"/>
    <s v=""/>
  </r>
  <r>
    <x v="1047"/>
    <x v="5"/>
    <s v="46.204391"/>
    <s v="6.143158"/>
    <x v="4"/>
    <s v="Small (11-200)"/>
    <x v="3"/>
    <d v="2024-03-24T00:00:00"/>
    <x v="2"/>
    <x v="4"/>
    <n v="5"/>
    <x v="1"/>
    <n v="2"/>
    <n v="909"/>
    <n v="40"/>
    <x v="185"/>
    <x v="176"/>
    <s v=""/>
  </r>
  <r>
    <x v="1048"/>
    <x v="3"/>
    <s v="52.520008"/>
    <s v="13.404954"/>
    <x v="0"/>
    <s v="Small (11-200)"/>
    <x v="4"/>
    <d v="2024-01-24T00:00:00"/>
    <x v="0"/>
    <x v="4"/>
    <n v="5"/>
    <x v="1"/>
    <n v="2"/>
    <n v="673"/>
    <n v="60"/>
    <x v="53"/>
    <x v="176"/>
    <s v=""/>
  </r>
  <r>
    <x v="1049"/>
    <x v="4"/>
    <s v="51.260197"/>
    <s v="4.402771"/>
    <x v="3"/>
    <s v="Small (11-200)"/>
    <x v="0"/>
    <d v="2024-04-06T00:00:00"/>
    <x v="1"/>
    <x v="4"/>
    <n v="5"/>
    <x v="1"/>
    <n v="2"/>
    <n v="1498"/>
    <n v="60"/>
    <x v="252"/>
    <x v="176"/>
    <s v=""/>
  </r>
  <r>
    <x v="1050"/>
    <x v="6"/>
    <s v="48.864716"/>
    <s v="2.349014"/>
    <x v="5"/>
    <s v="Small (11-200)"/>
    <x v="2"/>
    <d v="2024-04-14T00:00:00"/>
    <x v="2"/>
    <x v="4"/>
    <n v="5"/>
    <x v="1"/>
    <n v="2"/>
    <n v="1710"/>
    <n v="10"/>
    <x v="157"/>
    <x v="176"/>
    <s v=""/>
  </r>
  <r>
    <x v="1051"/>
    <x v="2"/>
    <s v="41.902782"/>
    <s v="12.496366"/>
    <x v="10"/>
    <s v="Small (11-200)"/>
    <x v="3"/>
    <d v="2024-02-05T00:00:00"/>
    <x v="0"/>
    <x v="4"/>
    <n v="5"/>
    <x v="1"/>
    <n v="2"/>
    <n v="1963"/>
    <n v="50"/>
    <x v="217"/>
    <x v="176"/>
    <s v=""/>
  </r>
  <r>
    <x v="1052"/>
    <x v="7"/>
    <s v="48.210033"/>
    <s v="16.363449"/>
    <x v="6"/>
    <s v="Small (11-200)"/>
    <x v="0"/>
    <d v="2024-05-09T00:00:00"/>
    <x v="1"/>
    <x v="4"/>
    <n v="5"/>
    <x v="1"/>
    <n v="2"/>
    <n v="1053"/>
    <n v="60"/>
    <x v="128"/>
    <x v="176"/>
    <s v=""/>
  </r>
  <r>
    <x v="1053"/>
    <x v="0"/>
    <s v="52.370216"/>
    <s v="4.895168"/>
    <x v="8"/>
    <s v="Small (11-200)"/>
    <x v="3"/>
    <d v="2024-04-11T00:00:00"/>
    <x v="2"/>
    <x v="4"/>
    <n v="5"/>
    <x v="1"/>
    <n v="2"/>
    <n v="927"/>
    <n v="100"/>
    <x v="381"/>
    <x v="176"/>
    <s v=""/>
  </r>
  <r>
    <x v="1054"/>
    <x v="3"/>
    <s v="52.520008"/>
    <s v="13.404954"/>
    <x v="2"/>
    <s v="Small (11-200)"/>
    <x v="4"/>
    <d v="2024-02-13T00:00:00"/>
    <x v="0"/>
    <x v="4"/>
    <n v="5"/>
    <x v="1"/>
    <n v="2"/>
    <n v="345"/>
    <n v="20"/>
    <x v="29"/>
    <x v="176"/>
    <s v=""/>
  </r>
  <r>
    <x v="1055"/>
    <x v="3"/>
    <s v="52.520008"/>
    <s v="13.404954"/>
    <x v="3"/>
    <s v="Small (11-200)"/>
    <x v="0"/>
    <d v="2024-03-01T00:00:00"/>
    <x v="2"/>
    <x v="4"/>
    <n v="5"/>
    <x v="1"/>
    <n v="2"/>
    <n v="1553"/>
    <n v="40"/>
    <x v="320"/>
    <x v="176"/>
    <s v=""/>
  </r>
  <r>
    <x v="1056"/>
    <x v="7"/>
    <s v="48.210033"/>
    <s v="16.363449"/>
    <x v="0"/>
    <s v="Small (11-200)"/>
    <x v="1"/>
    <d v="2024-01-12T00:00:00"/>
    <x v="0"/>
    <x v="4"/>
    <n v="5"/>
    <x v="1"/>
    <n v="2"/>
    <n v="955"/>
    <n v="50"/>
    <x v="127"/>
    <x v="176"/>
    <s v=""/>
  </r>
  <r>
    <x v="1057"/>
    <x v="3"/>
    <s v="52.520008"/>
    <s v="13.404954"/>
    <x v="6"/>
    <s v="Small (11-200)"/>
    <x v="3"/>
    <d v="2024-02-15T00:00:00"/>
    <x v="2"/>
    <x v="4"/>
    <n v="5"/>
    <x v="1"/>
    <n v="2"/>
    <n v="630"/>
    <n v="30"/>
    <x v="382"/>
    <x v="176"/>
    <s v=""/>
  </r>
  <r>
    <x v="1058"/>
    <x v="3"/>
    <s v="52.520008"/>
    <s v="13.404954"/>
    <x v="11"/>
    <s v="Small (11-200)"/>
    <x v="3"/>
    <d v="2024-05-31T00:00:00"/>
    <x v="1"/>
    <x v="4"/>
    <n v="5"/>
    <x v="1"/>
    <n v="2"/>
    <n v="1832"/>
    <n v="30"/>
    <x v="196"/>
    <x v="176"/>
    <s v=""/>
  </r>
  <r>
    <x v="1059"/>
    <x v="8"/>
    <s v="38.736946"/>
    <s v="-9.142685"/>
    <x v="5"/>
    <s v="Small (11-200)"/>
    <x v="4"/>
    <d v="2024-02-07T00:00:00"/>
    <x v="2"/>
    <x v="4"/>
    <n v="5"/>
    <x v="1"/>
    <n v="2"/>
    <n v="649"/>
    <n v="30"/>
    <x v="73"/>
    <x v="176"/>
    <s v=""/>
  </r>
  <r>
    <x v="1060"/>
    <x v="8"/>
    <s v="38.736946"/>
    <s v="-9.142685"/>
    <x v="6"/>
    <s v="Small (11-200)"/>
    <x v="3"/>
    <d v="2024-04-03T00:00:00"/>
    <x v="0"/>
    <x v="4"/>
    <n v="5"/>
    <x v="1"/>
    <n v="2"/>
    <n v="448"/>
    <n v="20"/>
    <x v="21"/>
    <x v="176"/>
    <s v=""/>
  </r>
  <r>
    <x v="1061"/>
    <x v="1"/>
    <s v="40.416775"/>
    <s v="-3.703790"/>
    <x v="5"/>
    <s v="Small (11-200)"/>
    <x v="0"/>
    <d v="2024-02-18T00:00:00"/>
    <x v="0"/>
    <x v="4"/>
    <n v="5"/>
    <x v="1"/>
    <n v="2"/>
    <n v="550"/>
    <n v="50"/>
    <x v="5"/>
    <x v="176"/>
    <s v=""/>
  </r>
  <r>
    <x v="1062"/>
    <x v="8"/>
    <s v="38.736946"/>
    <s v="-9.142685"/>
    <x v="3"/>
    <s v="Small (11-200)"/>
    <x v="3"/>
    <d v="2024-05-12T00:00:00"/>
    <x v="2"/>
    <x v="4"/>
    <n v="5"/>
    <x v="1"/>
    <n v="2"/>
    <n v="1238"/>
    <n v="40"/>
    <x v="115"/>
    <x v="176"/>
    <s v=""/>
  </r>
  <r>
    <x v="1063"/>
    <x v="7"/>
    <s v="48.210033"/>
    <s v="16.363449"/>
    <x v="5"/>
    <s v="Small (11-200)"/>
    <x v="3"/>
    <d v="2024-01-20T00:00:00"/>
    <x v="2"/>
    <x v="4"/>
    <n v="5"/>
    <x v="1"/>
    <n v="2"/>
    <n v="1646"/>
    <n v="40"/>
    <x v="131"/>
    <x v="176"/>
    <s v=""/>
  </r>
  <r>
    <x v="1064"/>
    <x v="2"/>
    <s v="41.902782"/>
    <s v="12.496366"/>
    <x v="3"/>
    <s v="Small (11-200)"/>
    <x v="3"/>
    <d v="2024-04-06T00:00:00"/>
    <x v="2"/>
    <x v="4"/>
    <n v="5"/>
    <x v="1"/>
    <n v="2"/>
    <n v="1054"/>
    <n v="50"/>
    <x v="381"/>
    <x v="176"/>
    <s v=""/>
  </r>
  <r>
    <x v="1065"/>
    <x v="5"/>
    <s v="46.204391"/>
    <s v="6.143158"/>
    <x v="13"/>
    <s v="Small (11-200)"/>
    <x v="4"/>
    <d v="2024-04-21T00:00:00"/>
    <x v="0"/>
    <x v="4"/>
    <n v="5"/>
    <x v="1"/>
    <n v="2"/>
    <n v="288"/>
    <n v="60"/>
    <x v="37"/>
    <x v="176"/>
    <s v=""/>
  </r>
  <r>
    <x v="1066"/>
    <x v="6"/>
    <s v="48.864716"/>
    <s v="2.349014"/>
    <x v="4"/>
    <s v="Small (11-200)"/>
    <x v="3"/>
    <d v="2024-04-03T00:00:00"/>
    <x v="0"/>
    <x v="4"/>
    <n v="5"/>
    <x v="1"/>
    <n v="2"/>
    <n v="1824"/>
    <n v="70"/>
    <x v="60"/>
    <x v="176"/>
    <s v=""/>
  </r>
  <r>
    <x v="1067"/>
    <x v="8"/>
    <s v="38.736946"/>
    <s v="-9.142685"/>
    <x v="5"/>
    <s v="Small (11-200)"/>
    <x v="4"/>
    <d v="2024-04-22T00:00:00"/>
    <x v="2"/>
    <x v="4"/>
    <n v="5"/>
    <x v="1"/>
    <n v="2"/>
    <n v="1987"/>
    <n v="30"/>
    <x v="371"/>
    <x v="176"/>
    <s v=""/>
  </r>
  <r>
    <x v="1068"/>
    <x v="4"/>
    <s v="51.260197"/>
    <s v="4.402771"/>
    <x v="3"/>
    <s v="Small (11-200)"/>
    <x v="2"/>
    <d v="2024-02-28T00:00:00"/>
    <x v="1"/>
    <x v="4"/>
    <n v="5"/>
    <x v="1"/>
    <n v="2"/>
    <n v="1202"/>
    <n v="20"/>
    <x v="238"/>
    <x v="176"/>
    <s v=""/>
  </r>
  <r>
    <x v="1069"/>
    <x v="3"/>
    <s v="52.520008"/>
    <s v="13.404954"/>
    <x v="12"/>
    <s v="Small (11-200)"/>
    <x v="3"/>
    <d v="2024-01-25T00:00:00"/>
    <x v="0"/>
    <x v="4"/>
    <n v="5"/>
    <x v="1"/>
    <n v="2"/>
    <n v="565"/>
    <n v="10"/>
    <x v="213"/>
    <x v="176"/>
    <s v=""/>
  </r>
  <r>
    <x v="1070"/>
    <x v="5"/>
    <s v="46.204391"/>
    <s v="6.143158"/>
    <x v="10"/>
    <s v="Small (11-200)"/>
    <x v="2"/>
    <d v="2024-04-06T00:00:00"/>
    <x v="1"/>
    <x v="4"/>
    <n v="5"/>
    <x v="1"/>
    <n v="2"/>
    <n v="893"/>
    <n v="20"/>
    <x v="3"/>
    <x v="176"/>
    <s v=""/>
  </r>
  <r>
    <x v="1071"/>
    <x v="6"/>
    <s v="48.864716"/>
    <s v="2.349014"/>
    <x v="12"/>
    <s v="Small (11-200)"/>
    <x v="2"/>
    <d v="2024-04-21T00:00:00"/>
    <x v="2"/>
    <x v="4"/>
    <n v="5"/>
    <x v="1"/>
    <n v="2"/>
    <n v="724"/>
    <n v="30"/>
    <x v="277"/>
    <x v="176"/>
    <s v=""/>
  </r>
  <r>
    <x v="1072"/>
    <x v="7"/>
    <s v="48.210033"/>
    <s v="16.363449"/>
    <x v="9"/>
    <s v="Small (11-200)"/>
    <x v="2"/>
    <d v="2024-05-17T00:00:00"/>
    <x v="0"/>
    <x v="4"/>
    <n v="5"/>
    <x v="1"/>
    <n v="2"/>
    <n v="558"/>
    <n v="70"/>
    <x v="258"/>
    <x v="176"/>
    <s v=""/>
  </r>
  <r>
    <x v="1073"/>
    <x v="2"/>
    <s v="41.902782"/>
    <s v="12.496366"/>
    <x v="5"/>
    <s v="Small (11-200)"/>
    <x v="6"/>
    <d v="2024-03-28T00:00:00"/>
    <x v="0"/>
    <x v="4"/>
    <n v="5"/>
    <x v="1"/>
    <n v="2"/>
    <n v="453"/>
    <n v="80"/>
    <x v="188"/>
    <x v="176"/>
    <s v=""/>
  </r>
  <r>
    <x v="1074"/>
    <x v="3"/>
    <s v="52.520008"/>
    <s v="13.404954"/>
    <x v="0"/>
    <s v="Small (11-200)"/>
    <x v="3"/>
    <d v="2024-04-29T00:00:00"/>
    <x v="2"/>
    <x v="4"/>
    <n v="5"/>
    <x v="1"/>
    <n v="2"/>
    <n v="1881"/>
    <n v="70"/>
    <x v="145"/>
    <x v="176"/>
    <s v=""/>
  </r>
  <r>
    <x v="1075"/>
    <x v="7"/>
    <s v="48.210033"/>
    <s v="16.363449"/>
    <x v="4"/>
    <s v="Small (11-200)"/>
    <x v="7"/>
    <d v="2024-02-23T00:00:00"/>
    <x v="0"/>
    <x v="4"/>
    <n v="5"/>
    <x v="1"/>
    <n v="2"/>
    <n v="1735"/>
    <n v="40"/>
    <x v="170"/>
    <x v="176"/>
    <s v=""/>
  </r>
  <r>
    <x v="1076"/>
    <x v="5"/>
    <s v="46.204391"/>
    <s v="6.143158"/>
    <x v="4"/>
    <s v="Small (11-200)"/>
    <x v="3"/>
    <d v="2024-05-13T00:00:00"/>
    <x v="0"/>
    <x v="4"/>
    <n v="5"/>
    <x v="1"/>
    <n v="2"/>
    <n v="1418"/>
    <n v="40"/>
    <x v="253"/>
    <x v="176"/>
    <s v=""/>
  </r>
  <r>
    <x v="1077"/>
    <x v="8"/>
    <s v="38.736946"/>
    <s v="-9.142685"/>
    <x v="4"/>
    <s v="Small (11-200)"/>
    <x v="2"/>
    <d v="2024-01-13T00:00:00"/>
    <x v="2"/>
    <x v="4"/>
    <n v="5"/>
    <x v="1"/>
    <n v="2"/>
    <n v="585"/>
    <n v="70"/>
    <x v="161"/>
    <x v="176"/>
    <s v=""/>
  </r>
  <r>
    <x v="1078"/>
    <x v="6"/>
    <s v="48.864716"/>
    <s v="2.349014"/>
    <x v="10"/>
    <s v="Small (11-200)"/>
    <x v="4"/>
    <d v="2024-01-07T00:00:00"/>
    <x v="2"/>
    <x v="4"/>
    <n v="5"/>
    <x v="1"/>
    <n v="2"/>
    <n v="334"/>
    <n v="30"/>
    <x v="83"/>
    <x v="176"/>
    <s v=""/>
  </r>
  <r>
    <x v="1079"/>
    <x v="7"/>
    <s v="48.210033"/>
    <s v="16.363449"/>
    <x v="12"/>
    <s v="Small (11-200)"/>
    <x v="5"/>
    <d v="2024-05-18T00:00:00"/>
    <x v="1"/>
    <x v="4"/>
    <n v="5"/>
    <x v="1"/>
    <n v="2"/>
    <n v="1959"/>
    <n v="50"/>
    <x v="83"/>
    <x v="176"/>
    <s v=""/>
  </r>
  <r>
    <x v="1080"/>
    <x v="8"/>
    <s v="38.736946"/>
    <s v="-9.142685"/>
    <x v="9"/>
    <s v="Small (11-200)"/>
    <x v="0"/>
    <d v="2024-01-14T00:00:00"/>
    <x v="0"/>
    <x v="4"/>
    <n v="5"/>
    <x v="1"/>
    <n v="2"/>
    <n v="623"/>
    <n v="40"/>
    <x v="1"/>
    <x v="176"/>
    <s v=""/>
  </r>
  <r>
    <x v="1081"/>
    <x v="2"/>
    <s v="41.902782"/>
    <s v="12.496366"/>
    <x v="0"/>
    <s v="Small (11-200)"/>
    <x v="7"/>
    <d v="2024-04-29T00:00:00"/>
    <x v="0"/>
    <x v="4"/>
    <n v="5"/>
    <x v="1"/>
    <n v="2"/>
    <n v="307"/>
    <n v="20"/>
    <x v="383"/>
    <x v="176"/>
    <s v=""/>
  </r>
  <r>
    <x v="1082"/>
    <x v="2"/>
    <s v="41.902782"/>
    <s v="12.496366"/>
    <x v="2"/>
    <s v="Small (11-200)"/>
    <x v="2"/>
    <d v="2024-02-03T00:00:00"/>
    <x v="2"/>
    <x v="4"/>
    <n v="5"/>
    <x v="1"/>
    <n v="2"/>
    <n v="349"/>
    <n v="40"/>
    <x v="9"/>
    <x v="176"/>
    <s v=""/>
  </r>
  <r>
    <x v="1083"/>
    <x v="8"/>
    <s v="38.736946"/>
    <s v="-9.142685"/>
    <x v="5"/>
    <s v="Small (11-200)"/>
    <x v="5"/>
    <d v="2024-01-27T00:00:00"/>
    <x v="0"/>
    <x v="4"/>
    <n v="5"/>
    <x v="1"/>
    <n v="2"/>
    <n v="460"/>
    <n v="70"/>
    <x v="16"/>
    <x v="176"/>
    <s v=""/>
  </r>
  <r>
    <x v="1084"/>
    <x v="6"/>
    <s v="48.864716"/>
    <s v="2.349014"/>
    <x v="13"/>
    <s v="Small (11-200)"/>
    <x v="6"/>
    <d v="2024-03-22T00:00:00"/>
    <x v="0"/>
    <x v="4"/>
    <n v="5"/>
    <x v="1"/>
    <n v="2"/>
    <n v="992"/>
    <n v="90"/>
    <x v="307"/>
    <x v="176"/>
    <s v=""/>
  </r>
  <r>
    <x v="1085"/>
    <x v="2"/>
    <s v="41.902782"/>
    <s v="12.496366"/>
    <x v="9"/>
    <s v="Small (11-200)"/>
    <x v="7"/>
    <d v="2024-04-15T00:00:00"/>
    <x v="2"/>
    <x v="4"/>
    <n v="5"/>
    <x v="1"/>
    <n v="2"/>
    <n v="1369"/>
    <n v="50"/>
    <x v="38"/>
    <x v="176"/>
    <s v=""/>
  </r>
  <r>
    <x v="1086"/>
    <x v="0"/>
    <s v="52.370216"/>
    <s v="4.895168"/>
    <x v="11"/>
    <s v="Small (11-200)"/>
    <x v="1"/>
    <d v="2024-05-24T00:00:00"/>
    <x v="0"/>
    <x v="4"/>
    <n v="5"/>
    <x v="1"/>
    <n v="2"/>
    <n v="638"/>
    <n v="40"/>
    <x v="374"/>
    <x v="176"/>
    <s v=""/>
  </r>
  <r>
    <x v="1087"/>
    <x v="5"/>
    <s v="46.204391"/>
    <s v="6.143158"/>
    <x v="7"/>
    <s v="Small (11-200)"/>
    <x v="7"/>
    <d v="2024-05-15T00:00:00"/>
    <x v="1"/>
    <x v="4"/>
    <n v="5"/>
    <x v="1"/>
    <n v="2"/>
    <n v="1269"/>
    <n v="40"/>
    <x v="220"/>
    <x v="176"/>
    <s v=""/>
  </r>
  <r>
    <x v="1088"/>
    <x v="2"/>
    <s v="41.902782"/>
    <s v="12.496366"/>
    <x v="1"/>
    <s v="Small (11-200)"/>
    <x v="4"/>
    <d v="2024-02-24T00:00:00"/>
    <x v="2"/>
    <x v="4"/>
    <n v="5"/>
    <x v="1"/>
    <n v="2"/>
    <n v="1875"/>
    <n v="20"/>
    <x v="362"/>
    <x v="176"/>
    <s v=""/>
  </r>
  <r>
    <x v="1089"/>
    <x v="1"/>
    <s v="40.416775"/>
    <s v="-3.703790"/>
    <x v="2"/>
    <s v="Small (11-200)"/>
    <x v="4"/>
    <d v="2024-01-03T00:00:00"/>
    <x v="0"/>
    <x v="4"/>
    <n v="5"/>
    <x v="1"/>
    <n v="2"/>
    <n v="218"/>
    <n v="30"/>
    <x v="371"/>
    <x v="176"/>
    <s v=""/>
  </r>
  <r>
    <x v="1090"/>
    <x v="2"/>
    <s v="41.902782"/>
    <s v="12.496366"/>
    <x v="5"/>
    <s v="Small (11-200)"/>
    <x v="0"/>
    <d v="2024-05-27T00:00:00"/>
    <x v="0"/>
    <x v="4"/>
    <n v="5"/>
    <x v="1"/>
    <n v="2"/>
    <n v="628"/>
    <n v="60"/>
    <x v="128"/>
    <x v="176"/>
    <s v=""/>
  </r>
  <r>
    <x v="1091"/>
    <x v="6"/>
    <s v="48.864716"/>
    <s v="2.349014"/>
    <x v="5"/>
    <s v="Small (11-200)"/>
    <x v="1"/>
    <d v="2024-04-24T00:00:00"/>
    <x v="0"/>
    <x v="4"/>
    <n v="5"/>
    <x v="1"/>
    <n v="2"/>
    <n v="889"/>
    <n v="20"/>
    <x v="361"/>
    <x v="176"/>
    <s v=""/>
  </r>
  <r>
    <x v="1092"/>
    <x v="7"/>
    <s v="48.210033"/>
    <s v="16.363449"/>
    <x v="5"/>
    <s v="Small (11-200)"/>
    <x v="2"/>
    <d v="2024-03-14T00:00:00"/>
    <x v="0"/>
    <x v="4"/>
    <n v="5"/>
    <x v="1"/>
    <n v="2"/>
    <n v="1694"/>
    <n v="50"/>
    <x v="384"/>
    <x v="176"/>
    <s v=""/>
  </r>
  <r>
    <x v="1093"/>
    <x v="4"/>
    <s v="51.260197"/>
    <s v="4.402771"/>
    <x v="5"/>
    <s v="Small (11-200)"/>
    <x v="1"/>
    <d v="2024-03-16T00:00:00"/>
    <x v="1"/>
    <x v="4"/>
    <n v="5"/>
    <x v="1"/>
    <n v="2"/>
    <n v="1902"/>
    <n v="40"/>
    <x v="230"/>
    <x v="176"/>
    <s v=""/>
  </r>
  <r>
    <x v="1094"/>
    <x v="1"/>
    <s v="40.416775"/>
    <s v="-3.703790"/>
    <x v="8"/>
    <s v="Small (11-200)"/>
    <x v="4"/>
    <d v="2024-05-22T00:00:00"/>
    <x v="2"/>
    <x v="4"/>
    <n v="5"/>
    <x v="1"/>
    <n v="2"/>
    <n v="1897"/>
    <n v="60"/>
    <x v="385"/>
    <x v="176"/>
    <s v=""/>
  </r>
  <r>
    <x v="1095"/>
    <x v="0"/>
    <s v="52.370216"/>
    <s v="4.895168"/>
    <x v="3"/>
    <s v="Small (11-200)"/>
    <x v="2"/>
    <d v="2024-04-28T00:00:00"/>
    <x v="1"/>
    <x v="4"/>
    <n v="5"/>
    <x v="1"/>
    <n v="2"/>
    <n v="1568"/>
    <n v="40"/>
    <x v="277"/>
    <x v="176"/>
    <s v=""/>
  </r>
  <r>
    <x v="1096"/>
    <x v="7"/>
    <s v="48.210033"/>
    <s v="16.363449"/>
    <x v="3"/>
    <s v="Small (11-200)"/>
    <x v="0"/>
    <d v="2024-04-21T00:00:00"/>
    <x v="0"/>
    <x v="4"/>
    <n v="5"/>
    <x v="1"/>
    <n v="2"/>
    <n v="357"/>
    <n v="40"/>
    <x v="356"/>
    <x v="176"/>
    <s v=""/>
  </r>
  <r>
    <x v="1097"/>
    <x v="2"/>
    <s v="41.902782"/>
    <s v="12.496366"/>
    <x v="0"/>
    <s v="Small (11-200)"/>
    <x v="2"/>
    <d v="2024-03-23T00:00:00"/>
    <x v="0"/>
    <x v="4"/>
    <n v="5"/>
    <x v="1"/>
    <n v="2"/>
    <n v="468"/>
    <n v="20"/>
    <x v="213"/>
    <x v="176"/>
    <s v=""/>
  </r>
  <r>
    <x v="1098"/>
    <x v="8"/>
    <s v="38.736946"/>
    <s v="-9.142685"/>
    <x v="13"/>
    <s v="Small (11-200)"/>
    <x v="0"/>
    <d v="2024-05-25T00:00:00"/>
    <x v="1"/>
    <x v="4"/>
    <n v="5"/>
    <x v="1"/>
    <n v="2"/>
    <n v="1704"/>
    <n v="40"/>
    <x v="129"/>
    <x v="176"/>
    <s v=""/>
  </r>
  <r>
    <x v="1099"/>
    <x v="5"/>
    <s v="46.204391"/>
    <s v="6.143158"/>
    <x v="13"/>
    <s v="Small (11-200)"/>
    <x v="4"/>
    <d v="2024-04-15T00:00:00"/>
    <x v="0"/>
    <x v="4"/>
    <n v="5"/>
    <x v="1"/>
    <n v="2"/>
    <n v="939"/>
    <n v="80"/>
    <x v="386"/>
    <x v="176"/>
    <s v=""/>
  </r>
  <r>
    <x v="1100"/>
    <x v="5"/>
    <s v="46.204391"/>
    <s v="6.143158"/>
    <x v="5"/>
    <s v="Small (11-200)"/>
    <x v="6"/>
    <d v="2024-05-28T00:00:00"/>
    <x v="2"/>
    <x v="4"/>
    <n v="5"/>
    <x v="1"/>
    <n v="2"/>
    <n v="1225"/>
    <n v="10"/>
    <x v="207"/>
    <x v="176"/>
    <s v=""/>
  </r>
  <r>
    <x v="1101"/>
    <x v="5"/>
    <s v="46.204391"/>
    <s v="6.143158"/>
    <x v="2"/>
    <s v="Small (11-200)"/>
    <x v="4"/>
    <d v="2024-02-07T00:00:00"/>
    <x v="0"/>
    <x v="4"/>
    <n v="5"/>
    <x v="1"/>
    <n v="2"/>
    <n v="788"/>
    <n v="80"/>
    <x v="143"/>
    <x v="176"/>
    <s v=""/>
  </r>
  <r>
    <x v="1102"/>
    <x v="7"/>
    <s v="48.210033"/>
    <s v="16.363449"/>
    <x v="13"/>
    <s v="Small (11-200)"/>
    <x v="7"/>
    <d v="2024-03-12T00:00:00"/>
    <x v="2"/>
    <x v="4"/>
    <n v="5"/>
    <x v="1"/>
    <n v="2"/>
    <n v="1004"/>
    <n v="20"/>
    <x v="387"/>
    <x v="176"/>
    <s v=""/>
  </r>
  <r>
    <x v="1103"/>
    <x v="3"/>
    <s v="52.520008"/>
    <s v="13.404954"/>
    <x v="5"/>
    <s v="Small (11-200)"/>
    <x v="3"/>
    <d v="2024-01-25T00:00:00"/>
    <x v="0"/>
    <x v="4"/>
    <n v="5"/>
    <x v="1"/>
    <n v="2"/>
    <n v="586"/>
    <n v="40"/>
    <x v="314"/>
    <x v="176"/>
    <s v=""/>
  </r>
  <r>
    <x v="1104"/>
    <x v="2"/>
    <s v="41.902782"/>
    <s v="12.496366"/>
    <x v="3"/>
    <s v="Small (11-200)"/>
    <x v="4"/>
    <d v="2024-05-22T00:00:00"/>
    <x v="0"/>
    <x v="4"/>
    <n v="5"/>
    <x v="1"/>
    <n v="2"/>
    <n v="1990"/>
    <n v="40"/>
    <x v="319"/>
    <x v="176"/>
    <s v=""/>
  </r>
  <r>
    <x v="1105"/>
    <x v="3"/>
    <s v="52.520008"/>
    <s v="13.404954"/>
    <x v="0"/>
    <s v="Small (11-200)"/>
    <x v="1"/>
    <d v="2024-01-30T00:00:00"/>
    <x v="1"/>
    <x v="4"/>
    <n v="5"/>
    <x v="1"/>
    <n v="2"/>
    <n v="1567"/>
    <n v="40"/>
    <x v="332"/>
    <x v="176"/>
    <s v=""/>
  </r>
  <r>
    <x v="1106"/>
    <x v="8"/>
    <s v="38.736946"/>
    <s v="-9.142685"/>
    <x v="0"/>
    <s v="Small (11-200)"/>
    <x v="3"/>
    <d v="2024-04-02T00:00:00"/>
    <x v="1"/>
    <x v="4"/>
    <n v="5"/>
    <x v="1"/>
    <n v="2"/>
    <n v="1256"/>
    <n v="50"/>
    <x v="299"/>
    <x v="176"/>
    <s v=""/>
  </r>
  <r>
    <x v="1107"/>
    <x v="2"/>
    <s v="41.902782"/>
    <s v="12.496366"/>
    <x v="0"/>
    <s v="Small (11-200)"/>
    <x v="2"/>
    <d v="2024-05-22T00:00:00"/>
    <x v="0"/>
    <x v="4"/>
    <n v="5"/>
    <x v="1"/>
    <n v="2"/>
    <n v="1279"/>
    <n v="70"/>
    <x v="313"/>
    <x v="176"/>
    <s v=""/>
  </r>
  <r>
    <x v="1108"/>
    <x v="8"/>
    <s v="38.736946"/>
    <s v="-9.142685"/>
    <x v="11"/>
    <s v="Small (11-200)"/>
    <x v="5"/>
    <d v="2024-03-03T00:00:00"/>
    <x v="0"/>
    <x v="4"/>
    <n v="5"/>
    <x v="1"/>
    <n v="2"/>
    <n v="1850"/>
    <n v="60"/>
    <x v="116"/>
    <x v="176"/>
    <s v=""/>
  </r>
  <r>
    <x v="1109"/>
    <x v="1"/>
    <s v="40.416775"/>
    <s v="-3.703790"/>
    <x v="13"/>
    <s v="Small (11-200)"/>
    <x v="7"/>
    <d v="2024-05-26T00:00:00"/>
    <x v="0"/>
    <x v="4"/>
    <n v="5"/>
    <x v="1"/>
    <n v="2"/>
    <n v="1738"/>
    <n v="90"/>
    <x v="69"/>
    <x v="176"/>
    <s v=""/>
  </r>
  <r>
    <x v="1110"/>
    <x v="2"/>
    <s v="41.902782"/>
    <s v="12.496366"/>
    <x v="5"/>
    <s v="Small (11-200)"/>
    <x v="0"/>
    <d v="2024-01-03T00:00:00"/>
    <x v="2"/>
    <x v="4"/>
    <n v="5"/>
    <x v="1"/>
    <n v="2"/>
    <n v="219"/>
    <n v="60"/>
    <x v="196"/>
    <x v="176"/>
    <s v=""/>
  </r>
  <r>
    <x v="1111"/>
    <x v="5"/>
    <s v="46.204391"/>
    <s v="6.143158"/>
    <x v="11"/>
    <s v="Small (11-200)"/>
    <x v="2"/>
    <d v="2024-01-14T00:00:00"/>
    <x v="0"/>
    <x v="4"/>
    <n v="5"/>
    <x v="1"/>
    <n v="2"/>
    <n v="487"/>
    <n v="30"/>
    <x v="388"/>
    <x v="176"/>
    <s v=""/>
  </r>
  <r>
    <x v="1112"/>
    <x v="1"/>
    <s v="40.416775"/>
    <s v="-3.703790"/>
    <x v="2"/>
    <s v="Small (11-200)"/>
    <x v="6"/>
    <d v="2024-02-07T00:00:00"/>
    <x v="2"/>
    <x v="4"/>
    <n v="5"/>
    <x v="1"/>
    <n v="2"/>
    <n v="1790"/>
    <n v="80"/>
    <x v="294"/>
    <x v="176"/>
    <s v=""/>
  </r>
  <r>
    <x v="1113"/>
    <x v="3"/>
    <s v="52.520008"/>
    <s v="13.404954"/>
    <x v="5"/>
    <s v="Small (11-200)"/>
    <x v="2"/>
    <d v="2024-01-11T00:00:00"/>
    <x v="1"/>
    <x v="4"/>
    <n v="5"/>
    <x v="1"/>
    <n v="2"/>
    <n v="713"/>
    <n v="30"/>
    <x v="195"/>
    <x v="176"/>
    <s v=""/>
  </r>
  <r>
    <x v="1114"/>
    <x v="4"/>
    <s v="51.260197"/>
    <s v="4.402771"/>
    <x v="1"/>
    <s v="Small (11-200)"/>
    <x v="5"/>
    <d v="2024-01-29T00:00:00"/>
    <x v="0"/>
    <x v="4"/>
    <n v="5"/>
    <x v="1"/>
    <n v="2"/>
    <n v="474"/>
    <n v="30"/>
    <x v="208"/>
    <x v="176"/>
    <s v=""/>
  </r>
  <r>
    <x v="1115"/>
    <x v="6"/>
    <s v="48.864716"/>
    <s v="2.349014"/>
    <x v="11"/>
    <s v="Small (11-200)"/>
    <x v="2"/>
    <d v="2024-02-02T00:00:00"/>
    <x v="1"/>
    <x v="4"/>
    <n v="5"/>
    <x v="1"/>
    <n v="2"/>
    <n v="662"/>
    <n v="40"/>
    <x v="389"/>
    <x v="176"/>
    <s v=""/>
  </r>
  <r>
    <x v="1116"/>
    <x v="1"/>
    <s v="40.416775"/>
    <s v="-3.703790"/>
    <x v="4"/>
    <s v="Small (11-200)"/>
    <x v="4"/>
    <d v="2024-03-14T00:00:00"/>
    <x v="1"/>
    <x v="4"/>
    <n v="5"/>
    <x v="1"/>
    <n v="2"/>
    <n v="251"/>
    <n v="60"/>
    <x v="170"/>
    <x v="176"/>
    <s v=""/>
  </r>
  <r>
    <x v="1117"/>
    <x v="2"/>
    <s v="41.902782"/>
    <s v="12.496366"/>
    <x v="0"/>
    <s v="Small (11-200)"/>
    <x v="3"/>
    <d v="2024-03-09T00:00:00"/>
    <x v="2"/>
    <x v="4"/>
    <n v="5"/>
    <x v="1"/>
    <n v="2"/>
    <n v="406"/>
    <n v="60"/>
    <x v="70"/>
    <x v="176"/>
    <s v=""/>
  </r>
  <r>
    <x v="1118"/>
    <x v="4"/>
    <s v="51.260197"/>
    <s v="4.402771"/>
    <x v="2"/>
    <s v="Small (11-200)"/>
    <x v="7"/>
    <d v="2024-01-14T00:00:00"/>
    <x v="0"/>
    <x v="4"/>
    <n v="5"/>
    <x v="1"/>
    <n v="2"/>
    <n v="427"/>
    <n v="10"/>
    <x v="390"/>
    <x v="176"/>
    <s v=""/>
  </r>
  <r>
    <x v="1119"/>
    <x v="0"/>
    <s v="52.370216"/>
    <s v="4.895168"/>
    <x v="13"/>
    <s v="Small (11-200)"/>
    <x v="5"/>
    <d v="2024-04-03T00:00:00"/>
    <x v="2"/>
    <x v="4"/>
    <n v="5"/>
    <x v="1"/>
    <n v="2"/>
    <n v="1398"/>
    <n v="70"/>
    <x v="130"/>
    <x v="176"/>
    <s v=""/>
  </r>
  <r>
    <x v="1120"/>
    <x v="8"/>
    <s v="38.736946"/>
    <s v="-9.142685"/>
    <x v="11"/>
    <s v="Small (11-200)"/>
    <x v="0"/>
    <d v="2024-03-28T00:00:00"/>
    <x v="2"/>
    <x v="4"/>
    <n v="5"/>
    <x v="1"/>
    <n v="2"/>
    <n v="1936"/>
    <n v="20"/>
    <x v="34"/>
    <x v="176"/>
    <s v=""/>
  </r>
  <r>
    <x v="1121"/>
    <x v="2"/>
    <s v="41.902782"/>
    <s v="12.496366"/>
    <x v="5"/>
    <s v="Small (11-200)"/>
    <x v="7"/>
    <d v="2024-02-16T00:00:00"/>
    <x v="2"/>
    <x v="4"/>
    <n v="5"/>
    <x v="1"/>
    <n v="2"/>
    <n v="1601"/>
    <n v="30"/>
    <x v="274"/>
    <x v="176"/>
    <s v=""/>
  </r>
  <r>
    <x v="1122"/>
    <x v="6"/>
    <s v="48.864716"/>
    <s v="2.349014"/>
    <x v="1"/>
    <s v="Small (11-200)"/>
    <x v="2"/>
    <d v="2024-04-08T00:00:00"/>
    <x v="0"/>
    <x v="4"/>
    <n v="5"/>
    <x v="1"/>
    <n v="2"/>
    <n v="677"/>
    <n v="40"/>
    <x v="126"/>
    <x v="176"/>
    <s v=""/>
  </r>
  <r>
    <x v="1123"/>
    <x v="2"/>
    <s v="41.902782"/>
    <s v="12.496366"/>
    <x v="2"/>
    <s v="Small (11-200)"/>
    <x v="1"/>
    <d v="2024-01-26T00:00:00"/>
    <x v="1"/>
    <x v="4"/>
    <n v="5"/>
    <x v="1"/>
    <n v="2"/>
    <n v="1071"/>
    <n v="40"/>
    <x v="10"/>
    <x v="176"/>
    <s v=""/>
  </r>
  <r>
    <x v="1124"/>
    <x v="6"/>
    <s v="48.864716"/>
    <s v="2.349014"/>
    <x v="6"/>
    <s v="Small (11-200)"/>
    <x v="3"/>
    <d v="2024-05-22T00:00:00"/>
    <x v="0"/>
    <x v="4"/>
    <n v="5"/>
    <x v="1"/>
    <n v="2"/>
    <n v="321"/>
    <n v="50"/>
    <x v="391"/>
    <x v="176"/>
    <s v=""/>
  </r>
  <r>
    <x v="1125"/>
    <x v="2"/>
    <s v="41.902782"/>
    <s v="12.496366"/>
    <x v="1"/>
    <s v="Small (11-200)"/>
    <x v="4"/>
    <d v="2024-04-12T00:00:00"/>
    <x v="1"/>
    <x v="4"/>
    <n v="5"/>
    <x v="1"/>
    <n v="2"/>
    <n v="1248"/>
    <n v="90"/>
    <x v="297"/>
    <x v="176"/>
    <s v=""/>
  </r>
  <r>
    <x v="1126"/>
    <x v="6"/>
    <s v="48.864716"/>
    <s v="2.349014"/>
    <x v="0"/>
    <s v="Small (11-200)"/>
    <x v="2"/>
    <d v="2024-04-02T00:00:00"/>
    <x v="0"/>
    <x v="4"/>
    <n v="5"/>
    <x v="1"/>
    <n v="2"/>
    <n v="631"/>
    <n v="20"/>
    <x v="353"/>
    <x v="176"/>
    <s v=""/>
  </r>
  <r>
    <x v="1127"/>
    <x v="5"/>
    <s v="46.204391"/>
    <s v="6.143158"/>
    <x v="8"/>
    <s v="Small (11-200)"/>
    <x v="3"/>
    <d v="2024-02-29T00:00:00"/>
    <x v="0"/>
    <x v="4"/>
    <n v="5"/>
    <x v="1"/>
    <n v="2"/>
    <n v="1194"/>
    <n v="20"/>
    <x v="98"/>
    <x v="176"/>
    <s v=""/>
  </r>
  <r>
    <x v="1128"/>
    <x v="3"/>
    <s v="52.520008"/>
    <s v="13.404954"/>
    <x v="4"/>
    <s v="Small (11-200)"/>
    <x v="6"/>
    <d v="2024-01-02T00:00:00"/>
    <x v="0"/>
    <x v="4"/>
    <n v="5"/>
    <x v="1"/>
    <n v="2"/>
    <n v="1441"/>
    <n v="50"/>
    <x v="67"/>
    <x v="176"/>
    <s v=""/>
  </r>
  <r>
    <x v="1129"/>
    <x v="1"/>
    <s v="40.416775"/>
    <s v="-3.703790"/>
    <x v="0"/>
    <s v="Small (11-200)"/>
    <x v="0"/>
    <d v="2024-02-07T00:00:00"/>
    <x v="2"/>
    <x v="4"/>
    <n v="5"/>
    <x v="1"/>
    <n v="2"/>
    <n v="275"/>
    <n v="40"/>
    <x v="388"/>
    <x v="176"/>
    <s v=""/>
  </r>
  <r>
    <x v="1130"/>
    <x v="4"/>
    <s v="51.260197"/>
    <s v="4.402771"/>
    <x v="4"/>
    <s v="Small (11-200)"/>
    <x v="2"/>
    <d v="2024-05-17T00:00:00"/>
    <x v="0"/>
    <x v="4"/>
    <n v="5"/>
    <x v="1"/>
    <n v="2"/>
    <n v="1734"/>
    <n v="100"/>
    <x v="3"/>
    <x v="176"/>
    <s v=""/>
  </r>
  <r>
    <x v="1131"/>
    <x v="2"/>
    <s v="41.902782"/>
    <s v="12.496366"/>
    <x v="5"/>
    <s v="Small (11-200)"/>
    <x v="4"/>
    <d v="2024-03-16T00:00:00"/>
    <x v="0"/>
    <x v="4"/>
    <n v="5"/>
    <x v="1"/>
    <n v="2"/>
    <n v="863"/>
    <n v="30"/>
    <x v="392"/>
    <x v="176"/>
    <s v=""/>
  </r>
  <r>
    <x v="1132"/>
    <x v="4"/>
    <s v="51.260197"/>
    <s v="4.402771"/>
    <x v="13"/>
    <s v="Small (11-200)"/>
    <x v="2"/>
    <d v="2024-02-26T00:00:00"/>
    <x v="1"/>
    <x v="4"/>
    <n v="5"/>
    <x v="1"/>
    <n v="2"/>
    <n v="723"/>
    <n v="30"/>
    <x v="220"/>
    <x v="176"/>
    <s v=""/>
  </r>
  <r>
    <x v="1133"/>
    <x v="4"/>
    <s v="51.260197"/>
    <s v="4.402771"/>
    <x v="1"/>
    <s v="Micro (1-10)"/>
    <x v="1"/>
    <d v="2024-05-26T00:00:00"/>
    <x v="0"/>
    <x v="4"/>
    <n v="5"/>
    <x v="1"/>
    <n v="2"/>
    <n v="897"/>
    <n v="20"/>
    <x v="179"/>
    <x v="176"/>
    <s v=""/>
  </r>
  <r>
    <x v="1134"/>
    <x v="5"/>
    <s v="46.204391"/>
    <s v="6.143158"/>
    <x v="7"/>
    <s v="Micro (1-10)"/>
    <x v="1"/>
    <d v="2024-05-10T00:00:00"/>
    <x v="2"/>
    <x v="4"/>
    <n v="5"/>
    <x v="1"/>
    <n v="2"/>
    <n v="669"/>
    <n v="20"/>
    <x v="353"/>
    <x v="176"/>
    <s v=""/>
  </r>
  <r>
    <x v="1135"/>
    <x v="6"/>
    <s v="48.864716"/>
    <s v="2.349014"/>
    <x v="4"/>
    <s v="Micro (1-10)"/>
    <x v="4"/>
    <d v="2024-02-26T00:00:00"/>
    <x v="0"/>
    <x v="4"/>
    <n v="5"/>
    <x v="1"/>
    <n v="2"/>
    <n v="759"/>
    <n v="30"/>
    <x v="391"/>
    <x v="176"/>
    <s v=""/>
  </r>
  <r>
    <x v="1136"/>
    <x v="8"/>
    <s v="38.736946"/>
    <s v="-9.142685"/>
    <x v="4"/>
    <s v="Micro (1-10)"/>
    <x v="3"/>
    <d v="2024-04-28T00:00:00"/>
    <x v="0"/>
    <x v="4"/>
    <n v="5"/>
    <x v="1"/>
    <n v="2"/>
    <n v="767"/>
    <n v="50"/>
    <x v="319"/>
    <x v="176"/>
    <s v=""/>
  </r>
  <r>
    <x v="1137"/>
    <x v="5"/>
    <s v="46.204391"/>
    <s v="6.143158"/>
    <x v="0"/>
    <s v="Micro (1-10)"/>
    <x v="0"/>
    <d v="2024-02-06T00:00:00"/>
    <x v="0"/>
    <x v="4"/>
    <n v="5"/>
    <x v="1"/>
    <n v="2"/>
    <n v="697"/>
    <n v="90"/>
    <x v="325"/>
    <x v="176"/>
    <s v=""/>
  </r>
  <r>
    <x v="1138"/>
    <x v="2"/>
    <s v="41.902782"/>
    <s v="12.496366"/>
    <x v="11"/>
    <s v="Micro (1-10)"/>
    <x v="5"/>
    <d v="2024-02-12T00:00:00"/>
    <x v="0"/>
    <x v="4"/>
    <n v="5"/>
    <x v="1"/>
    <n v="2"/>
    <n v="208"/>
    <n v="40"/>
    <x v="103"/>
    <x v="176"/>
    <s v=""/>
  </r>
  <r>
    <x v="1139"/>
    <x v="3"/>
    <s v="52.520008"/>
    <s v="13.404954"/>
    <x v="13"/>
    <s v="Micro (1-10)"/>
    <x v="6"/>
    <d v="2024-03-11T00:00:00"/>
    <x v="0"/>
    <x v="4"/>
    <n v="5"/>
    <x v="1"/>
    <n v="2"/>
    <n v="1193"/>
    <n v="40"/>
    <x v="297"/>
    <x v="176"/>
    <s v=""/>
  </r>
  <r>
    <x v="1140"/>
    <x v="6"/>
    <s v="48.864716"/>
    <s v="2.349014"/>
    <x v="8"/>
    <s v="Micro (1-10)"/>
    <x v="3"/>
    <d v="2024-01-02T00:00:00"/>
    <x v="0"/>
    <x v="4"/>
    <n v="5"/>
    <x v="1"/>
    <n v="2"/>
    <n v="488"/>
    <n v="40"/>
    <x v="100"/>
    <x v="176"/>
    <s v=""/>
  </r>
  <r>
    <x v="1141"/>
    <x v="6"/>
    <s v="48.864716"/>
    <s v="2.349014"/>
    <x v="3"/>
    <s v="Micro (1-10)"/>
    <x v="7"/>
    <d v="2024-04-05T00:00:00"/>
    <x v="0"/>
    <x v="4"/>
    <n v="5"/>
    <x v="1"/>
    <n v="2"/>
    <n v="216"/>
    <n v="30"/>
    <x v="211"/>
    <x v="176"/>
    <s v=""/>
  </r>
  <r>
    <x v="1142"/>
    <x v="3"/>
    <s v="52.520008"/>
    <s v="13.404954"/>
    <x v="5"/>
    <s v="Micro (1-10)"/>
    <x v="5"/>
    <d v="2024-03-29T00:00:00"/>
    <x v="2"/>
    <x v="4"/>
    <n v="5"/>
    <x v="1"/>
    <n v="2"/>
    <n v="619"/>
    <n v="20"/>
    <x v="353"/>
    <x v="176"/>
    <s v=""/>
  </r>
  <r>
    <x v="1143"/>
    <x v="2"/>
    <s v="41.902782"/>
    <s v="12.496366"/>
    <x v="9"/>
    <s v="Micro (1-10)"/>
    <x v="4"/>
    <d v="2024-02-08T00:00:00"/>
    <x v="0"/>
    <x v="4"/>
    <n v="5"/>
    <x v="1"/>
    <n v="2"/>
    <n v="945"/>
    <n v="20"/>
    <x v="111"/>
    <x v="176"/>
    <s v=""/>
  </r>
  <r>
    <x v="1144"/>
    <x v="5"/>
    <s v="46.204391"/>
    <s v="6.143158"/>
    <x v="3"/>
    <s v="Micro (1-10)"/>
    <x v="4"/>
    <d v="2024-04-30T00:00:00"/>
    <x v="2"/>
    <x v="4"/>
    <n v="5"/>
    <x v="1"/>
    <n v="2"/>
    <n v="461"/>
    <n v="40"/>
    <x v="253"/>
    <x v="176"/>
    <s v=""/>
  </r>
  <r>
    <x v="1145"/>
    <x v="8"/>
    <s v="38.736946"/>
    <s v="-9.142685"/>
    <x v="0"/>
    <s v="Micro (1-10)"/>
    <x v="5"/>
    <d v="2024-05-17T00:00:00"/>
    <x v="0"/>
    <x v="4"/>
    <n v="5"/>
    <x v="1"/>
    <n v="2"/>
    <n v="552"/>
    <n v="40"/>
    <x v="74"/>
    <x v="176"/>
    <s v=""/>
  </r>
  <r>
    <x v="1146"/>
    <x v="6"/>
    <s v="48.864716"/>
    <s v="2.349014"/>
    <x v="4"/>
    <s v="Micro (1-10)"/>
    <x v="1"/>
    <d v="2024-03-02T00:00:00"/>
    <x v="0"/>
    <x v="4"/>
    <n v="5"/>
    <x v="1"/>
    <n v="2"/>
    <n v="893"/>
    <n v="100"/>
    <x v="294"/>
    <x v="176"/>
    <s v=""/>
  </r>
  <r>
    <x v="1147"/>
    <x v="5"/>
    <s v="46.204391"/>
    <s v="6.143158"/>
    <x v="8"/>
    <s v="Micro (1-10)"/>
    <x v="2"/>
    <d v="2024-01-27T00:00:00"/>
    <x v="0"/>
    <x v="4"/>
    <n v="5"/>
    <x v="1"/>
    <n v="2"/>
    <n v="233"/>
    <n v="90"/>
    <x v="393"/>
    <x v="176"/>
    <s v=""/>
  </r>
  <r>
    <x v="1148"/>
    <x v="8"/>
    <s v="38.736946"/>
    <s v="-9.142685"/>
    <x v="3"/>
    <s v="Micro (1-10)"/>
    <x v="3"/>
    <d v="2024-04-05T00:00:00"/>
    <x v="2"/>
    <x v="4"/>
    <n v="5"/>
    <x v="1"/>
    <n v="2"/>
    <n v="213"/>
    <n v="30"/>
    <x v="46"/>
    <x v="176"/>
    <s v=""/>
  </r>
  <r>
    <x v="1149"/>
    <x v="0"/>
    <s v="52.370216"/>
    <s v="4.895168"/>
    <x v="6"/>
    <s v="Micro (1-10)"/>
    <x v="6"/>
    <d v="2024-05-16T00:00:00"/>
    <x v="0"/>
    <x v="4"/>
    <n v="5"/>
    <x v="1"/>
    <n v="2"/>
    <n v="364"/>
    <n v="40"/>
    <x v="11"/>
    <x v="176"/>
    <s v=""/>
  </r>
  <r>
    <x v="1150"/>
    <x v="6"/>
    <s v="48.864716"/>
    <s v="2.349014"/>
    <x v="11"/>
    <s v="Micro (1-10)"/>
    <x v="6"/>
    <d v="2024-01-21T00:00:00"/>
    <x v="0"/>
    <x v="4"/>
    <n v="5"/>
    <x v="1"/>
    <n v="2"/>
    <n v="946"/>
    <n v="70"/>
    <x v="158"/>
    <x v="176"/>
    <s v=""/>
  </r>
  <r>
    <x v="1151"/>
    <x v="4"/>
    <s v="51.260197"/>
    <s v="4.402771"/>
    <x v="11"/>
    <s v="Micro (1-10)"/>
    <x v="7"/>
    <d v="2024-02-25T00:00:00"/>
    <x v="0"/>
    <x v="4"/>
    <n v="5"/>
    <x v="1"/>
    <n v="2"/>
    <n v="618"/>
    <n v="30"/>
    <x v="25"/>
    <x v="176"/>
    <s v=""/>
  </r>
  <r>
    <x v="1152"/>
    <x v="6"/>
    <s v="48.864716"/>
    <s v="2.349014"/>
    <x v="4"/>
    <s v="Micro (1-10)"/>
    <x v="3"/>
    <d v="2024-01-09T00:00:00"/>
    <x v="2"/>
    <x v="4"/>
    <n v="5"/>
    <x v="1"/>
    <n v="2"/>
    <n v="825"/>
    <n v="30"/>
    <x v="222"/>
    <x v="176"/>
    <s v=""/>
  </r>
  <r>
    <x v="1153"/>
    <x v="5"/>
    <s v="46.204391"/>
    <s v="6.143158"/>
    <x v="11"/>
    <s v="Micro (1-10)"/>
    <x v="6"/>
    <d v="2024-05-07T00:00:00"/>
    <x v="2"/>
    <x v="4"/>
    <n v="5"/>
    <x v="1"/>
    <n v="2"/>
    <n v="1188"/>
    <n v="40"/>
    <x v="77"/>
    <x v="176"/>
    <s v=""/>
  </r>
  <r>
    <x v="1154"/>
    <x v="6"/>
    <s v="48.864716"/>
    <s v="2.349014"/>
    <x v="5"/>
    <s v="Micro (1-10)"/>
    <x v="7"/>
    <d v="2024-04-24T00:00:00"/>
    <x v="2"/>
    <x v="4"/>
    <n v="5"/>
    <x v="1"/>
    <n v="2"/>
    <n v="1084"/>
    <n v="40"/>
    <x v="12"/>
    <x v="176"/>
    <s v=""/>
  </r>
  <r>
    <x v="1155"/>
    <x v="1"/>
    <s v="40.416775"/>
    <s v="-3.703790"/>
    <x v="4"/>
    <s v="Micro (1-10)"/>
    <x v="3"/>
    <d v="2024-03-24T00:00:00"/>
    <x v="1"/>
    <x v="4"/>
    <n v="5"/>
    <x v="1"/>
    <n v="2"/>
    <n v="900"/>
    <n v="20"/>
    <x v="56"/>
    <x v="176"/>
    <s v=""/>
  </r>
  <r>
    <x v="1156"/>
    <x v="3"/>
    <s v="52.520008"/>
    <s v="13.404954"/>
    <x v="10"/>
    <s v="Micro (1-10)"/>
    <x v="6"/>
    <d v="2024-03-15T00:00:00"/>
    <x v="0"/>
    <x v="4"/>
    <n v="5"/>
    <x v="1"/>
    <n v="2"/>
    <n v="744"/>
    <n v="40"/>
    <x v="34"/>
    <x v="176"/>
    <s v=""/>
  </r>
  <r>
    <x v="1157"/>
    <x v="6"/>
    <s v="48.864716"/>
    <s v="2.349014"/>
    <x v="7"/>
    <s v="Micro (1-10)"/>
    <x v="5"/>
    <d v="2024-03-24T00:00:00"/>
    <x v="0"/>
    <x v="4"/>
    <n v="5"/>
    <x v="1"/>
    <n v="2"/>
    <n v="1139"/>
    <n v="20"/>
    <x v="173"/>
    <x v="176"/>
    <s v=""/>
  </r>
  <r>
    <x v="1158"/>
    <x v="2"/>
    <s v="41.902782"/>
    <s v="12.496366"/>
    <x v="1"/>
    <s v="Micro (1-10)"/>
    <x v="7"/>
    <d v="2024-05-13T00:00:00"/>
    <x v="0"/>
    <x v="4"/>
    <n v="5"/>
    <x v="1"/>
    <n v="2"/>
    <n v="917"/>
    <n v="30"/>
    <x v="97"/>
    <x v="176"/>
    <s v=""/>
  </r>
  <r>
    <x v="1159"/>
    <x v="7"/>
    <s v="48.210033"/>
    <s v="16.363449"/>
    <x v="7"/>
    <s v="Micro (1-10)"/>
    <x v="3"/>
    <d v="2024-05-05T00:00:00"/>
    <x v="1"/>
    <x v="4"/>
    <n v="5"/>
    <x v="1"/>
    <n v="2"/>
    <n v="981"/>
    <n v="20"/>
    <x v="117"/>
    <x v="176"/>
    <s v=""/>
  </r>
  <r>
    <x v="1160"/>
    <x v="8"/>
    <s v="38.736946"/>
    <s v="-9.142685"/>
    <x v="11"/>
    <s v="Micro (1-10)"/>
    <x v="2"/>
    <d v="2024-05-25T00:00:00"/>
    <x v="2"/>
    <x v="4"/>
    <n v="5"/>
    <x v="1"/>
    <n v="2"/>
    <n v="363"/>
    <n v="60"/>
    <x v="42"/>
    <x v="176"/>
    <s v=""/>
  </r>
  <r>
    <x v="1161"/>
    <x v="7"/>
    <s v="48.210033"/>
    <s v="16.363449"/>
    <x v="11"/>
    <s v="Micro (1-10)"/>
    <x v="1"/>
    <d v="2024-01-18T00:00:00"/>
    <x v="0"/>
    <x v="4"/>
    <n v="5"/>
    <x v="1"/>
    <n v="2"/>
    <n v="579"/>
    <n v="70"/>
    <x v="394"/>
    <x v="176"/>
    <s v=""/>
  </r>
  <r>
    <x v="1162"/>
    <x v="5"/>
    <s v="46.204391"/>
    <s v="6.143158"/>
    <x v="4"/>
    <s v="Micro (1-10)"/>
    <x v="2"/>
    <d v="2024-04-01T00:00:00"/>
    <x v="0"/>
    <x v="4"/>
    <n v="5"/>
    <x v="1"/>
    <n v="2"/>
    <n v="995"/>
    <n v="60"/>
    <x v="174"/>
    <x v="176"/>
    <s v=""/>
  </r>
  <r>
    <x v="1163"/>
    <x v="2"/>
    <s v="41.902782"/>
    <s v="12.496366"/>
    <x v="0"/>
    <s v="Micro (1-10)"/>
    <x v="3"/>
    <d v="2024-02-12T00:00:00"/>
    <x v="0"/>
    <x v="4"/>
    <n v="5"/>
    <x v="1"/>
    <n v="2"/>
    <n v="1078"/>
    <n v="50"/>
    <x v="196"/>
    <x v="176"/>
    <s v=""/>
  </r>
  <r>
    <x v="1164"/>
    <x v="3"/>
    <s v="52.520008"/>
    <s v="13.404954"/>
    <x v="4"/>
    <s v="Micro (1-10)"/>
    <x v="7"/>
    <d v="2024-03-31T00:00:00"/>
    <x v="1"/>
    <x v="4"/>
    <n v="5"/>
    <x v="1"/>
    <n v="2"/>
    <n v="786"/>
    <n v="30"/>
    <x v="313"/>
    <x v="176"/>
    <s v=""/>
  </r>
  <r>
    <x v="1165"/>
    <x v="5"/>
    <s v="46.204391"/>
    <s v="6.143158"/>
    <x v="13"/>
    <s v="Micro (1-10)"/>
    <x v="3"/>
    <d v="2024-03-09T00:00:00"/>
    <x v="2"/>
    <x v="4"/>
    <n v="5"/>
    <x v="1"/>
    <n v="2"/>
    <n v="827"/>
    <n v="100"/>
    <x v="159"/>
    <x v="176"/>
    <s v=""/>
  </r>
  <r>
    <x v="1166"/>
    <x v="6"/>
    <s v="48.864716"/>
    <s v="2.349014"/>
    <x v="0"/>
    <s v="Micro (1-10)"/>
    <x v="3"/>
    <d v="2024-01-12T00:00:00"/>
    <x v="2"/>
    <x v="4"/>
    <n v="5"/>
    <x v="1"/>
    <n v="2"/>
    <n v="741"/>
    <n v="20"/>
    <x v="284"/>
    <x v="176"/>
    <s v=""/>
  </r>
  <r>
    <x v="1167"/>
    <x v="5"/>
    <s v="46.204391"/>
    <s v="6.143158"/>
    <x v="3"/>
    <s v="Micro (1-10)"/>
    <x v="0"/>
    <d v="2024-04-21T00:00:00"/>
    <x v="2"/>
    <x v="4"/>
    <n v="5"/>
    <x v="1"/>
    <n v="2"/>
    <n v="614"/>
    <n v="20"/>
    <x v="134"/>
    <x v="176"/>
    <s v=""/>
  </r>
  <r>
    <x v="1168"/>
    <x v="2"/>
    <s v="41.902782"/>
    <s v="12.496366"/>
    <x v="12"/>
    <s v="Micro (1-10)"/>
    <x v="5"/>
    <d v="2024-04-12T00:00:00"/>
    <x v="0"/>
    <x v="4"/>
    <n v="5"/>
    <x v="1"/>
    <n v="2"/>
    <n v="907"/>
    <n v="40"/>
    <x v="164"/>
    <x v="176"/>
    <s v=""/>
  </r>
  <r>
    <x v="1169"/>
    <x v="5"/>
    <s v="46.204391"/>
    <s v="6.143158"/>
    <x v="4"/>
    <s v="Micro (1-10)"/>
    <x v="6"/>
    <d v="2024-03-23T00:00:00"/>
    <x v="0"/>
    <x v="4"/>
    <n v="5"/>
    <x v="1"/>
    <n v="2"/>
    <n v="646"/>
    <n v="60"/>
    <x v="301"/>
    <x v="176"/>
    <s v=""/>
  </r>
  <r>
    <x v="1170"/>
    <x v="0"/>
    <s v="52.370216"/>
    <s v="4.895168"/>
    <x v="10"/>
    <s v="Micro (1-10)"/>
    <x v="3"/>
    <d v="2024-05-28T00:00:00"/>
    <x v="2"/>
    <x v="4"/>
    <n v="5"/>
    <x v="1"/>
    <n v="2"/>
    <n v="355"/>
    <n v="20"/>
    <x v="69"/>
    <x v="176"/>
    <s v=""/>
  </r>
  <r>
    <x v="1171"/>
    <x v="6"/>
    <s v="48.864716"/>
    <s v="2.349014"/>
    <x v="8"/>
    <s v="Micro (1-10)"/>
    <x v="5"/>
    <d v="2024-03-18T00:00:00"/>
    <x v="0"/>
    <x v="4"/>
    <n v="5"/>
    <x v="1"/>
    <n v="2"/>
    <n v="1112"/>
    <n v="40"/>
    <x v="183"/>
    <x v="176"/>
    <s v=""/>
  </r>
  <r>
    <x v="1172"/>
    <x v="5"/>
    <s v="46.204391"/>
    <s v="6.143158"/>
    <x v="11"/>
    <s v="Micro (1-10)"/>
    <x v="0"/>
    <d v="2024-05-02T00:00:00"/>
    <x v="2"/>
    <x v="4"/>
    <n v="5"/>
    <x v="1"/>
    <n v="2"/>
    <n v="206"/>
    <n v="10"/>
    <x v="395"/>
    <x v="176"/>
    <s v=""/>
  </r>
  <r>
    <x v="1173"/>
    <x v="4"/>
    <s v="51.260197"/>
    <s v="4.402771"/>
    <x v="4"/>
    <s v="Micro (1-10)"/>
    <x v="3"/>
    <d v="2024-03-23T00:00:00"/>
    <x v="2"/>
    <x v="4"/>
    <n v="5"/>
    <x v="1"/>
    <n v="2"/>
    <n v="683"/>
    <n v="40"/>
    <x v="12"/>
    <x v="176"/>
    <s v=""/>
  </r>
  <r>
    <x v="1174"/>
    <x v="1"/>
    <s v="40.416775"/>
    <s v="-3.703790"/>
    <x v="0"/>
    <s v="Micro (1-10)"/>
    <x v="6"/>
    <d v="2024-02-04T00:00:00"/>
    <x v="0"/>
    <x v="4"/>
    <n v="5"/>
    <x v="1"/>
    <n v="2"/>
    <n v="279"/>
    <n v="50"/>
    <x v="298"/>
    <x v="176"/>
    <s v=""/>
  </r>
  <r>
    <x v="1175"/>
    <x v="2"/>
    <s v="41.902782"/>
    <s v="12.496366"/>
    <x v="5"/>
    <s v="Micro (1-10)"/>
    <x v="3"/>
    <d v="2024-05-19T00:00:00"/>
    <x v="0"/>
    <x v="4"/>
    <n v="5"/>
    <x v="1"/>
    <n v="2"/>
    <n v="764"/>
    <n v="50"/>
    <x v="99"/>
    <x v="176"/>
    <s v=""/>
  </r>
  <r>
    <x v="1176"/>
    <x v="2"/>
    <s v="41.902782"/>
    <s v="12.496366"/>
    <x v="12"/>
    <s v="Micro (1-10)"/>
    <x v="6"/>
    <d v="2024-01-26T00:00:00"/>
    <x v="0"/>
    <x v="4"/>
    <n v="5"/>
    <x v="1"/>
    <n v="2"/>
    <n v="341"/>
    <n v="20"/>
    <x v="300"/>
    <x v="176"/>
    <s v=""/>
  </r>
  <r>
    <x v="1177"/>
    <x v="1"/>
    <s v="40.416775"/>
    <s v="-3.703790"/>
    <x v="10"/>
    <s v="Micro (1-10)"/>
    <x v="4"/>
    <d v="2024-01-17T00:00:00"/>
    <x v="0"/>
    <x v="4"/>
    <n v="5"/>
    <x v="1"/>
    <n v="2"/>
    <n v="976"/>
    <n v="30"/>
    <x v="45"/>
    <x v="176"/>
    <s v=""/>
  </r>
  <r>
    <x v="1178"/>
    <x v="5"/>
    <s v="46.204391"/>
    <s v="6.143158"/>
    <x v="6"/>
    <s v="Micro (1-10)"/>
    <x v="2"/>
    <d v="2024-01-10T00:00:00"/>
    <x v="2"/>
    <x v="4"/>
    <n v="5"/>
    <x v="1"/>
    <n v="2"/>
    <n v="489"/>
    <n v="60"/>
    <x v="251"/>
    <x v="176"/>
    <s v=""/>
  </r>
  <r>
    <x v="1179"/>
    <x v="8"/>
    <s v="38.736946"/>
    <s v="-9.142685"/>
    <x v="7"/>
    <s v="Micro (1-10)"/>
    <x v="2"/>
    <d v="2024-05-27T00:00:00"/>
    <x v="2"/>
    <x v="4"/>
    <n v="5"/>
    <x v="1"/>
    <n v="2"/>
    <n v="366"/>
    <n v="10"/>
    <x v="396"/>
    <x v="176"/>
    <s v=""/>
  </r>
  <r>
    <x v="1180"/>
    <x v="2"/>
    <s v="41.902782"/>
    <s v="12.496366"/>
    <x v="4"/>
    <s v="Micro (1-10)"/>
    <x v="2"/>
    <d v="2024-04-19T00:00:00"/>
    <x v="0"/>
    <x v="4"/>
    <n v="5"/>
    <x v="1"/>
    <n v="2"/>
    <n v="274"/>
    <n v="20"/>
    <x v="199"/>
    <x v="176"/>
    <s v=""/>
  </r>
  <r>
    <x v="1181"/>
    <x v="3"/>
    <s v="52.520008"/>
    <s v="13.404954"/>
    <x v="5"/>
    <s v="Micro (1-10)"/>
    <x v="7"/>
    <d v="2024-03-18T00:00:00"/>
    <x v="2"/>
    <x v="4"/>
    <n v="5"/>
    <x v="1"/>
    <n v="2"/>
    <n v="544"/>
    <n v="20"/>
    <x v="256"/>
    <x v="176"/>
    <s v=""/>
  </r>
  <r>
    <x v="1182"/>
    <x v="7"/>
    <s v="48.210033"/>
    <s v="16.363449"/>
    <x v="0"/>
    <s v="Micro (1-10)"/>
    <x v="3"/>
    <d v="2024-02-27T00:00:00"/>
    <x v="0"/>
    <x v="4"/>
    <n v="5"/>
    <x v="1"/>
    <n v="2"/>
    <n v="1172"/>
    <n v="40"/>
    <x v="29"/>
    <x v="176"/>
    <s v=""/>
  </r>
  <r>
    <x v="1183"/>
    <x v="3"/>
    <s v="52.520008"/>
    <s v="13.404954"/>
    <x v="4"/>
    <s v="Micro (1-10)"/>
    <x v="6"/>
    <d v="2024-01-09T00:00:00"/>
    <x v="2"/>
    <x v="4"/>
    <n v="5"/>
    <x v="1"/>
    <n v="2"/>
    <n v="675"/>
    <n v="60"/>
    <x v="136"/>
    <x v="176"/>
    <s v=""/>
  </r>
  <r>
    <x v="1184"/>
    <x v="0"/>
    <s v="52.370216"/>
    <s v="4.895168"/>
    <x v="10"/>
    <s v="Micro (1-10)"/>
    <x v="7"/>
    <d v="2024-01-27T00:00:00"/>
    <x v="0"/>
    <x v="4"/>
    <n v="5"/>
    <x v="1"/>
    <n v="2"/>
    <n v="795"/>
    <n v="50"/>
    <x v="397"/>
    <x v="176"/>
    <s v=""/>
  </r>
  <r>
    <x v="1185"/>
    <x v="3"/>
    <s v="52.520008"/>
    <s v="13.404954"/>
    <x v="8"/>
    <s v="Micro (1-10)"/>
    <x v="3"/>
    <d v="2024-02-23T00:00:00"/>
    <x v="1"/>
    <x v="4"/>
    <n v="5"/>
    <x v="1"/>
    <n v="2"/>
    <n v="510"/>
    <n v="50"/>
    <x v="195"/>
    <x v="176"/>
    <s v=""/>
  </r>
  <r>
    <x v="1186"/>
    <x v="5"/>
    <s v="46.204391"/>
    <s v="6.143158"/>
    <x v="4"/>
    <s v="Micro (1-10)"/>
    <x v="5"/>
    <d v="2024-03-22T00:00:00"/>
    <x v="2"/>
    <x v="4"/>
    <n v="5"/>
    <x v="1"/>
    <n v="2"/>
    <n v="314"/>
    <n v="10"/>
    <x v="30"/>
    <x v="176"/>
    <s v=""/>
  </r>
  <r>
    <x v="1187"/>
    <x v="6"/>
    <s v="48.864716"/>
    <s v="2.349014"/>
    <x v="0"/>
    <s v="Micro (1-10)"/>
    <x v="2"/>
    <d v="2024-01-06T00:00:00"/>
    <x v="0"/>
    <x v="4"/>
    <n v="5"/>
    <x v="1"/>
    <n v="2"/>
    <n v="1109"/>
    <n v="30"/>
    <x v="283"/>
    <x v="176"/>
    <s v=""/>
  </r>
  <r>
    <x v="1188"/>
    <x v="0"/>
    <s v="52.370216"/>
    <s v="4.895168"/>
    <x v="0"/>
    <s v="Micro (1-10)"/>
    <x v="4"/>
    <d v="2024-04-19T00:00:00"/>
    <x v="1"/>
    <x v="4"/>
    <n v="5"/>
    <x v="1"/>
    <n v="2"/>
    <n v="986"/>
    <n v="90"/>
    <x v="134"/>
    <x v="176"/>
    <s v=""/>
  </r>
  <r>
    <x v="1189"/>
    <x v="5"/>
    <s v="46.204391"/>
    <s v="6.143158"/>
    <x v="3"/>
    <s v="Micro (1-10)"/>
    <x v="6"/>
    <d v="2024-05-06T00:00:00"/>
    <x v="2"/>
    <x v="4"/>
    <n v="5"/>
    <x v="1"/>
    <n v="2"/>
    <n v="213"/>
    <n v="60"/>
    <x v="50"/>
    <x v="176"/>
    <s v=""/>
  </r>
  <r>
    <x v="1190"/>
    <x v="0"/>
    <s v="52.370216"/>
    <s v="4.895168"/>
    <x v="8"/>
    <s v="Micro (1-10)"/>
    <x v="4"/>
    <d v="2024-04-22T00:00:00"/>
    <x v="1"/>
    <x v="4"/>
    <n v="5"/>
    <x v="1"/>
    <n v="2"/>
    <n v="401"/>
    <n v="40"/>
    <x v="353"/>
    <x v="176"/>
    <s v=""/>
  </r>
  <r>
    <x v="1191"/>
    <x v="6"/>
    <s v="48.864716"/>
    <s v="2.349014"/>
    <x v="3"/>
    <s v="Micro (1-10)"/>
    <x v="2"/>
    <d v="2024-03-23T00:00:00"/>
    <x v="0"/>
    <x v="4"/>
    <n v="5"/>
    <x v="1"/>
    <n v="2"/>
    <n v="994"/>
    <n v="100"/>
    <x v="115"/>
    <x v="176"/>
    <s v=""/>
  </r>
  <r>
    <x v="1192"/>
    <x v="8"/>
    <s v="38.736946"/>
    <s v="-9.142685"/>
    <x v="11"/>
    <s v="Micro (1-10)"/>
    <x v="6"/>
    <d v="2024-03-01T00:00:00"/>
    <x v="0"/>
    <x v="4"/>
    <n v="5"/>
    <x v="1"/>
    <n v="2"/>
    <n v="909"/>
    <n v="20"/>
    <x v="52"/>
    <x v="176"/>
    <s v=""/>
  </r>
  <r>
    <x v="1193"/>
    <x v="0"/>
    <s v="52.370216"/>
    <s v="4.895168"/>
    <x v="7"/>
    <s v="Medium (201-500)"/>
    <x v="6"/>
    <d v="2024-04-30T00:00:00"/>
    <x v="0"/>
    <x v="4"/>
    <n v="5"/>
    <x v="1"/>
    <n v="2"/>
    <n v="4836"/>
    <n v="30"/>
    <x v="398"/>
    <x v="176"/>
    <s v=""/>
  </r>
  <r>
    <x v="1194"/>
    <x v="2"/>
    <s v="41.902782"/>
    <s v="12.496366"/>
    <x v="9"/>
    <s v="Medium (201-500)"/>
    <x v="3"/>
    <d v="2024-05-19T00:00:00"/>
    <x v="0"/>
    <x v="4"/>
    <n v="5"/>
    <x v="1"/>
    <n v="2"/>
    <n v="358"/>
    <n v="20"/>
    <x v="149"/>
    <x v="176"/>
    <s v=""/>
  </r>
  <r>
    <x v="1195"/>
    <x v="2"/>
    <s v="41.902782"/>
    <s v="12.496366"/>
    <x v="5"/>
    <s v="Medium (201-500)"/>
    <x v="6"/>
    <d v="2024-03-09T00:00:00"/>
    <x v="0"/>
    <x v="4"/>
    <n v="5"/>
    <x v="1"/>
    <n v="2"/>
    <n v="7664"/>
    <n v="30"/>
    <x v="56"/>
    <x v="176"/>
    <s v=""/>
  </r>
  <r>
    <x v="1196"/>
    <x v="7"/>
    <s v="48.210033"/>
    <s v="16.363449"/>
    <x v="0"/>
    <s v="Medium (201-500)"/>
    <x v="3"/>
    <d v="2024-05-22T00:00:00"/>
    <x v="2"/>
    <x v="4"/>
    <n v="5"/>
    <x v="1"/>
    <n v="2"/>
    <n v="7607"/>
    <n v="80"/>
    <x v="47"/>
    <x v="176"/>
    <s v=""/>
  </r>
  <r>
    <x v="1197"/>
    <x v="2"/>
    <s v="41.902782"/>
    <s v="12.496366"/>
    <x v="5"/>
    <s v="Medium (201-500)"/>
    <x v="3"/>
    <d v="2024-04-19T00:00:00"/>
    <x v="1"/>
    <x v="4"/>
    <n v="5"/>
    <x v="1"/>
    <n v="2"/>
    <n v="7542"/>
    <n v="90"/>
    <x v="399"/>
    <x v="176"/>
    <s v=""/>
  </r>
  <r>
    <x v="1198"/>
    <x v="3"/>
    <s v="52.520008"/>
    <s v="13.404954"/>
    <x v="3"/>
    <s v="Medium (201-500)"/>
    <x v="5"/>
    <d v="2024-01-18T00:00:00"/>
    <x v="2"/>
    <x v="4"/>
    <n v="5"/>
    <x v="1"/>
    <n v="2"/>
    <n v="6196"/>
    <n v="40"/>
    <x v="400"/>
    <x v="176"/>
    <s v=""/>
  </r>
  <r>
    <x v="1199"/>
    <x v="2"/>
    <s v="41.902782"/>
    <s v="12.496366"/>
    <x v="7"/>
    <s v="Medium (201-500)"/>
    <x v="4"/>
    <d v="2024-05-29T00:00:00"/>
    <x v="0"/>
    <x v="4"/>
    <n v="5"/>
    <x v="1"/>
    <n v="2"/>
    <n v="4051"/>
    <n v="30"/>
    <x v="70"/>
    <x v="176"/>
    <s v=""/>
  </r>
  <r>
    <x v="1200"/>
    <x v="5"/>
    <s v="46.204391"/>
    <s v="6.143158"/>
    <x v="11"/>
    <s v="Medium (201-500)"/>
    <x v="3"/>
    <d v="2024-04-06T00:00:00"/>
    <x v="2"/>
    <x v="4"/>
    <n v="5"/>
    <x v="1"/>
    <n v="2"/>
    <n v="7588"/>
    <n v="40"/>
    <x v="207"/>
    <x v="176"/>
    <s v=""/>
  </r>
  <r>
    <x v="1201"/>
    <x v="2"/>
    <s v="41.902782"/>
    <s v="12.496366"/>
    <x v="11"/>
    <s v="Medium (201-500)"/>
    <x v="6"/>
    <d v="2024-05-01T00:00:00"/>
    <x v="0"/>
    <x v="4"/>
    <n v="5"/>
    <x v="1"/>
    <n v="2"/>
    <n v="409"/>
    <n v="20"/>
    <x v="305"/>
    <x v="176"/>
    <s v=""/>
  </r>
  <r>
    <x v="1202"/>
    <x v="1"/>
    <s v="40.416775"/>
    <s v="-3.703790"/>
    <x v="6"/>
    <s v="Medium (201-500)"/>
    <x v="3"/>
    <d v="2024-03-24T00:00:00"/>
    <x v="0"/>
    <x v="4"/>
    <n v="5"/>
    <x v="1"/>
    <n v="2"/>
    <n v="2102"/>
    <n v="50"/>
    <x v="372"/>
    <x v="176"/>
    <s v=""/>
  </r>
  <r>
    <x v="1203"/>
    <x v="6"/>
    <s v="48.864716"/>
    <s v="2.349014"/>
    <x v="6"/>
    <s v="Medium (201-500)"/>
    <x v="1"/>
    <d v="2024-04-07T00:00:00"/>
    <x v="0"/>
    <x v="4"/>
    <n v="5"/>
    <x v="1"/>
    <n v="2"/>
    <n v="7972"/>
    <n v="90"/>
    <x v="401"/>
    <x v="176"/>
    <s v=""/>
  </r>
  <r>
    <x v="1204"/>
    <x v="2"/>
    <s v="41.902782"/>
    <s v="12.496366"/>
    <x v="1"/>
    <s v="Medium (201-500)"/>
    <x v="0"/>
    <d v="2024-04-22T00:00:00"/>
    <x v="2"/>
    <x v="4"/>
    <n v="5"/>
    <x v="1"/>
    <n v="2"/>
    <n v="482"/>
    <n v="50"/>
    <x v="60"/>
    <x v="176"/>
    <s v=""/>
  </r>
  <r>
    <x v="1205"/>
    <x v="6"/>
    <s v="48.864716"/>
    <s v="2.349014"/>
    <x v="6"/>
    <s v="Medium (201-500)"/>
    <x v="3"/>
    <d v="2024-04-02T00:00:00"/>
    <x v="0"/>
    <x v="4"/>
    <n v="5"/>
    <x v="1"/>
    <n v="2"/>
    <n v="4302"/>
    <n v="20"/>
    <x v="225"/>
    <x v="176"/>
    <s v=""/>
  </r>
  <r>
    <x v="1206"/>
    <x v="6"/>
    <s v="48.864716"/>
    <s v="2.349014"/>
    <x v="11"/>
    <s v="Medium (201-500)"/>
    <x v="3"/>
    <d v="2024-03-07T00:00:00"/>
    <x v="2"/>
    <x v="4"/>
    <n v="5"/>
    <x v="1"/>
    <n v="2"/>
    <n v="3625"/>
    <n v="90"/>
    <x v="95"/>
    <x v="176"/>
    <s v=""/>
  </r>
  <r>
    <x v="1207"/>
    <x v="1"/>
    <s v="40.416775"/>
    <s v="-3.703790"/>
    <x v="0"/>
    <s v="Medium (201-500)"/>
    <x v="3"/>
    <d v="2024-03-11T00:00:00"/>
    <x v="0"/>
    <x v="4"/>
    <n v="5"/>
    <x v="1"/>
    <n v="2"/>
    <n v="7215"/>
    <n v="40"/>
    <x v="231"/>
    <x v="176"/>
    <s v=""/>
  </r>
  <r>
    <x v="1208"/>
    <x v="2"/>
    <s v="41.902782"/>
    <s v="12.496366"/>
    <x v="3"/>
    <s v="Medium (201-500)"/>
    <x v="1"/>
    <d v="2024-04-06T00:00:00"/>
    <x v="0"/>
    <x v="4"/>
    <n v="5"/>
    <x v="1"/>
    <n v="2"/>
    <n v="3724"/>
    <n v="20"/>
    <x v="63"/>
    <x v="176"/>
    <s v=""/>
  </r>
  <r>
    <x v="1209"/>
    <x v="6"/>
    <s v="48.864716"/>
    <s v="2.349014"/>
    <x v="1"/>
    <s v="Medium (201-500)"/>
    <x v="5"/>
    <d v="2024-01-08T00:00:00"/>
    <x v="1"/>
    <x v="4"/>
    <n v="5"/>
    <x v="1"/>
    <n v="2"/>
    <n v="6024"/>
    <n v="50"/>
    <x v="27"/>
    <x v="176"/>
    <s v=""/>
  </r>
  <r>
    <x v="1210"/>
    <x v="2"/>
    <s v="41.902782"/>
    <s v="12.496366"/>
    <x v="11"/>
    <s v="Medium (201-500)"/>
    <x v="3"/>
    <d v="2024-04-13T00:00:00"/>
    <x v="2"/>
    <x v="4"/>
    <n v="5"/>
    <x v="1"/>
    <n v="2"/>
    <n v="5798"/>
    <n v="40"/>
    <x v="312"/>
    <x v="176"/>
    <s v=""/>
  </r>
  <r>
    <x v="1211"/>
    <x v="0"/>
    <s v="52.370216"/>
    <s v="4.895168"/>
    <x v="5"/>
    <s v="Medium (201-500)"/>
    <x v="2"/>
    <d v="2024-04-07T00:00:00"/>
    <x v="2"/>
    <x v="4"/>
    <n v="5"/>
    <x v="1"/>
    <n v="2"/>
    <n v="1863"/>
    <n v="20"/>
    <x v="58"/>
    <x v="176"/>
    <s v=""/>
  </r>
  <r>
    <x v="1212"/>
    <x v="3"/>
    <s v="52.520008"/>
    <s v="13.404954"/>
    <x v="8"/>
    <s v="Medium (201-500)"/>
    <x v="3"/>
    <d v="2024-04-28T00:00:00"/>
    <x v="0"/>
    <x v="4"/>
    <n v="5"/>
    <x v="1"/>
    <n v="2"/>
    <n v="2059"/>
    <n v="40"/>
    <x v="266"/>
    <x v="176"/>
    <s v=""/>
  </r>
  <r>
    <x v="1213"/>
    <x v="5"/>
    <s v="46.204391"/>
    <s v="6.143158"/>
    <x v="13"/>
    <s v="Medium (201-500)"/>
    <x v="6"/>
    <d v="2024-03-10T00:00:00"/>
    <x v="0"/>
    <x v="4"/>
    <n v="5"/>
    <x v="1"/>
    <n v="2"/>
    <n v="7739"/>
    <n v="60"/>
    <x v="252"/>
    <x v="176"/>
    <s v=""/>
  </r>
  <r>
    <x v="1214"/>
    <x v="7"/>
    <s v="48.210033"/>
    <s v="16.363449"/>
    <x v="8"/>
    <s v="Medium (201-500)"/>
    <x v="1"/>
    <d v="2024-04-12T00:00:00"/>
    <x v="0"/>
    <x v="4"/>
    <n v="5"/>
    <x v="1"/>
    <n v="2"/>
    <n v="3809"/>
    <n v="30"/>
    <x v="402"/>
    <x v="176"/>
    <s v=""/>
  </r>
  <r>
    <x v="1215"/>
    <x v="5"/>
    <s v="46.204391"/>
    <s v="6.143158"/>
    <x v="8"/>
    <s v="Medium (201-500)"/>
    <x v="2"/>
    <d v="2024-01-25T00:00:00"/>
    <x v="1"/>
    <x v="4"/>
    <n v="5"/>
    <x v="1"/>
    <n v="2"/>
    <n v="1530"/>
    <n v="30"/>
    <x v="239"/>
    <x v="176"/>
    <s v=""/>
  </r>
  <r>
    <x v="1216"/>
    <x v="5"/>
    <s v="46.204391"/>
    <s v="6.143158"/>
    <x v="4"/>
    <s v="Medium (201-500)"/>
    <x v="2"/>
    <d v="2024-01-25T00:00:00"/>
    <x v="0"/>
    <x v="4"/>
    <n v="5"/>
    <x v="1"/>
    <n v="2"/>
    <n v="6962"/>
    <n v="30"/>
    <x v="101"/>
    <x v="176"/>
    <s v=""/>
  </r>
  <r>
    <x v="1217"/>
    <x v="8"/>
    <s v="38.736946"/>
    <s v="-9.142685"/>
    <x v="8"/>
    <s v="Medium (201-500)"/>
    <x v="4"/>
    <d v="2024-02-22T00:00:00"/>
    <x v="1"/>
    <x v="4"/>
    <n v="5"/>
    <x v="1"/>
    <n v="2"/>
    <n v="2172"/>
    <n v="40"/>
    <x v="76"/>
    <x v="176"/>
    <s v=""/>
  </r>
  <r>
    <x v="1218"/>
    <x v="5"/>
    <s v="46.204391"/>
    <s v="6.143158"/>
    <x v="12"/>
    <s v="Medium (201-500)"/>
    <x v="2"/>
    <d v="2024-03-23T00:00:00"/>
    <x v="2"/>
    <x v="4"/>
    <n v="5"/>
    <x v="1"/>
    <n v="2"/>
    <n v="1825"/>
    <n v="60"/>
    <x v="274"/>
    <x v="176"/>
    <s v=""/>
  </r>
  <r>
    <x v="1219"/>
    <x v="5"/>
    <s v="46.204391"/>
    <s v="6.143158"/>
    <x v="12"/>
    <s v="Medium (201-500)"/>
    <x v="6"/>
    <d v="2024-03-17T00:00:00"/>
    <x v="0"/>
    <x v="4"/>
    <n v="5"/>
    <x v="1"/>
    <n v="2"/>
    <n v="2418"/>
    <n v="20"/>
    <x v="390"/>
    <x v="176"/>
    <s v=""/>
  </r>
  <r>
    <x v="1220"/>
    <x v="7"/>
    <s v="48.210033"/>
    <s v="16.363449"/>
    <x v="3"/>
    <s v="Medium (201-500)"/>
    <x v="4"/>
    <d v="2024-05-27T00:00:00"/>
    <x v="2"/>
    <x v="4"/>
    <n v="5"/>
    <x v="1"/>
    <n v="2"/>
    <n v="1784"/>
    <n v="50"/>
    <x v="248"/>
    <x v="176"/>
    <s v=""/>
  </r>
  <r>
    <x v="1221"/>
    <x v="5"/>
    <s v="46.204391"/>
    <s v="6.143158"/>
    <x v="0"/>
    <s v="Medium (201-500)"/>
    <x v="4"/>
    <d v="2024-01-05T00:00:00"/>
    <x v="2"/>
    <x v="4"/>
    <n v="5"/>
    <x v="1"/>
    <n v="2"/>
    <n v="6739"/>
    <n v="20"/>
    <x v="403"/>
    <x v="176"/>
    <s v=""/>
  </r>
  <r>
    <x v="1222"/>
    <x v="2"/>
    <s v="41.902782"/>
    <s v="12.496366"/>
    <x v="3"/>
    <s v="Medium (201-500)"/>
    <x v="6"/>
    <d v="2024-04-24T00:00:00"/>
    <x v="0"/>
    <x v="4"/>
    <n v="5"/>
    <x v="1"/>
    <n v="2"/>
    <n v="2127"/>
    <n v="50"/>
    <x v="279"/>
    <x v="176"/>
    <s v=""/>
  </r>
  <r>
    <x v="1223"/>
    <x v="0"/>
    <s v="52.370216"/>
    <s v="4.895168"/>
    <x v="4"/>
    <s v="Medium (201-500)"/>
    <x v="0"/>
    <d v="2024-01-11T00:00:00"/>
    <x v="2"/>
    <x v="4"/>
    <n v="5"/>
    <x v="1"/>
    <n v="2"/>
    <n v="5436"/>
    <n v="20"/>
    <x v="309"/>
    <x v="176"/>
    <s v=""/>
  </r>
  <r>
    <x v="1224"/>
    <x v="8"/>
    <s v="38.736946"/>
    <s v="-9.142685"/>
    <x v="8"/>
    <s v="Medium (201-500)"/>
    <x v="4"/>
    <d v="2024-05-07T00:00:00"/>
    <x v="2"/>
    <x v="4"/>
    <n v="5"/>
    <x v="1"/>
    <n v="2"/>
    <n v="1227"/>
    <n v="30"/>
    <x v="404"/>
    <x v="176"/>
    <s v=""/>
  </r>
  <r>
    <x v="1225"/>
    <x v="2"/>
    <s v="41.902782"/>
    <s v="12.496366"/>
    <x v="4"/>
    <s v="Medium (201-500)"/>
    <x v="3"/>
    <d v="2024-04-27T00:00:00"/>
    <x v="0"/>
    <x v="4"/>
    <n v="5"/>
    <x v="1"/>
    <n v="2"/>
    <n v="2746"/>
    <n v="10"/>
    <x v="386"/>
    <x v="176"/>
    <s v=""/>
  </r>
  <r>
    <x v="1226"/>
    <x v="3"/>
    <s v="52.520008"/>
    <s v="13.404954"/>
    <x v="4"/>
    <s v="Medium (201-500)"/>
    <x v="7"/>
    <d v="2024-03-26T00:00:00"/>
    <x v="0"/>
    <x v="4"/>
    <n v="5"/>
    <x v="1"/>
    <n v="2"/>
    <n v="4185"/>
    <n v="60"/>
    <x v="107"/>
    <x v="176"/>
    <s v=""/>
  </r>
  <r>
    <x v="1227"/>
    <x v="3"/>
    <s v="52.520008"/>
    <s v="13.404954"/>
    <x v="4"/>
    <s v="Medium (201-500)"/>
    <x v="4"/>
    <d v="2024-04-20T00:00:00"/>
    <x v="2"/>
    <x v="4"/>
    <n v="5"/>
    <x v="1"/>
    <n v="2"/>
    <n v="4630"/>
    <n v="20"/>
    <x v="214"/>
    <x v="176"/>
    <s v=""/>
  </r>
  <r>
    <x v="1228"/>
    <x v="7"/>
    <s v="48.210033"/>
    <s v="16.363449"/>
    <x v="12"/>
    <s v="Medium (201-500)"/>
    <x v="4"/>
    <d v="2024-05-17T00:00:00"/>
    <x v="2"/>
    <x v="4"/>
    <n v="5"/>
    <x v="1"/>
    <n v="2"/>
    <n v="5254"/>
    <n v="10"/>
    <x v="79"/>
    <x v="176"/>
    <s v=""/>
  </r>
  <r>
    <x v="1229"/>
    <x v="5"/>
    <s v="46.204391"/>
    <s v="6.143158"/>
    <x v="7"/>
    <s v="Medium (201-500)"/>
    <x v="2"/>
    <d v="2024-02-04T00:00:00"/>
    <x v="0"/>
    <x v="4"/>
    <n v="5"/>
    <x v="1"/>
    <n v="2"/>
    <n v="2328"/>
    <n v="90"/>
    <x v="405"/>
    <x v="176"/>
    <s v=""/>
  </r>
  <r>
    <x v="1230"/>
    <x v="1"/>
    <s v="40.416775"/>
    <s v="-3.703790"/>
    <x v="9"/>
    <s v="Medium (201-500)"/>
    <x v="0"/>
    <d v="2024-02-01T00:00:00"/>
    <x v="0"/>
    <x v="4"/>
    <n v="5"/>
    <x v="1"/>
    <n v="2"/>
    <n v="755"/>
    <n v="90"/>
    <x v="359"/>
    <x v="176"/>
    <s v=""/>
  </r>
  <r>
    <x v="1231"/>
    <x v="8"/>
    <s v="38.736946"/>
    <s v="-9.142685"/>
    <x v="4"/>
    <s v="Medium (201-500)"/>
    <x v="4"/>
    <d v="2024-01-02T00:00:00"/>
    <x v="0"/>
    <x v="4"/>
    <n v="5"/>
    <x v="1"/>
    <n v="2"/>
    <n v="4682"/>
    <n v="20"/>
    <x v="33"/>
    <x v="176"/>
    <s v=""/>
  </r>
  <r>
    <x v="1232"/>
    <x v="3"/>
    <s v="52.520008"/>
    <s v="13.404954"/>
    <x v="1"/>
    <s v="Medium (201-500)"/>
    <x v="4"/>
    <d v="2024-05-25T00:00:00"/>
    <x v="2"/>
    <x v="4"/>
    <n v="5"/>
    <x v="1"/>
    <n v="2"/>
    <n v="3732"/>
    <n v="100"/>
    <x v="207"/>
    <x v="176"/>
    <s v=""/>
  </r>
  <r>
    <x v="1233"/>
    <x v="1"/>
    <s v="40.416775"/>
    <s v="-3.703790"/>
    <x v="5"/>
    <s v="Medium (201-500)"/>
    <x v="4"/>
    <d v="2024-03-07T00:00:00"/>
    <x v="1"/>
    <x v="4"/>
    <n v="5"/>
    <x v="1"/>
    <n v="2"/>
    <n v="3569"/>
    <n v="60"/>
    <x v="90"/>
    <x v="176"/>
    <s v=""/>
  </r>
  <r>
    <x v="1234"/>
    <x v="2"/>
    <s v="41.902782"/>
    <s v="12.496366"/>
    <x v="4"/>
    <s v="Medium (201-500)"/>
    <x v="6"/>
    <d v="2024-05-15T00:00:00"/>
    <x v="2"/>
    <x v="4"/>
    <n v="5"/>
    <x v="1"/>
    <n v="2"/>
    <n v="7885"/>
    <n v="40"/>
    <x v="94"/>
    <x v="176"/>
    <s v=""/>
  </r>
  <r>
    <x v="1235"/>
    <x v="5"/>
    <s v="46.204391"/>
    <s v="6.143158"/>
    <x v="3"/>
    <s v="Medium (201-500)"/>
    <x v="3"/>
    <d v="2024-05-03T00:00:00"/>
    <x v="0"/>
    <x v="4"/>
    <n v="5"/>
    <x v="1"/>
    <n v="2"/>
    <n v="5152"/>
    <n v="40"/>
    <x v="159"/>
    <x v="176"/>
    <s v=""/>
  </r>
  <r>
    <x v="1236"/>
    <x v="1"/>
    <s v="40.416775"/>
    <s v="-3.703790"/>
    <x v="3"/>
    <s v="Medium (201-500)"/>
    <x v="5"/>
    <d v="2024-05-15T00:00:00"/>
    <x v="2"/>
    <x v="4"/>
    <n v="5"/>
    <x v="1"/>
    <n v="2"/>
    <n v="2691"/>
    <n v="100"/>
    <x v="74"/>
    <x v="176"/>
    <s v=""/>
  </r>
  <r>
    <x v="1237"/>
    <x v="0"/>
    <s v="52.370216"/>
    <s v="4.895168"/>
    <x v="6"/>
    <s v="Medium (201-500)"/>
    <x v="5"/>
    <d v="2024-02-01T00:00:00"/>
    <x v="1"/>
    <x v="4"/>
    <n v="5"/>
    <x v="1"/>
    <n v="2"/>
    <n v="5532"/>
    <n v="10"/>
    <x v="129"/>
    <x v="176"/>
    <s v=""/>
  </r>
  <r>
    <x v="1238"/>
    <x v="7"/>
    <s v="48.210033"/>
    <s v="16.363449"/>
    <x v="0"/>
    <s v="Medium (201-500)"/>
    <x v="3"/>
    <d v="2024-01-31T00:00:00"/>
    <x v="2"/>
    <x v="4"/>
    <n v="5"/>
    <x v="1"/>
    <n v="2"/>
    <n v="4387"/>
    <n v="90"/>
    <x v="191"/>
    <x v="176"/>
    <s v=""/>
  </r>
  <r>
    <x v="1239"/>
    <x v="0"/>
    <s v="52.370216"/>
    <s v="4.895168"/>
    <x v="2"/>
    <s v="Medium (201-500)"/>
    <x v="7"/>
    <d v="2024-03-06T00:00:00"/>
    <x v="2"/>
    <x v="4"/>
    <n v="5"/>
    <x v="1"/>
    <n v="2"/>
    <n v="6640"/>
    <n v="40"/>
    <x v="100"/>
    <x v="176"/>
    <s v=""/>
  </r>
  <r>
    <x v="1240"/>
    <x v="8"/>
    <s v="38.736946"/>
    <s v="-9.142685"/>
    <x v="8"/>
    <s v="Medium (201-500)"/>
    <x v="0"/>
    <d v="2024-04-22T00:00:00"/>
    <x v="1"/>
    <x v="4"/>
    <n v="5"/>
    <x v="1"/>
    <n v="2"/>
    <n v="3640"/>
    <n v="30"/>
    <x v="154"/>
    <x v="176"/>
    <s v=""/>
  </r>
  <r>
    <x v="1241"/>
    <x v="5"/>
    <s v="46.204391"/>
    <s v="6.143158"/>
    <x v="10"/>
    <s v="Medium (201-500)"/>
    <x v="7"/>
    <d v="2024-04-07T00:00:00"/>
    <x v="0"/>
    <x v="4"/>
    <n v="5"/>
    <x v="1"/>
    <n v="2"/>
    <n v="3237"/>
    <n v="30"/>
    <x v="44"/>
    <x v="176"/>
    <s v=""/>
  </r>
  <r>
    <x v="1242"/>
    <x v="2"/>
    <s v="41.902782"/>
    <s v="12.496366"/>
    <x v="4"/>
    <s v="Medium (201-500)"/>
    <x v="7"/>
    <d v="2024-03-19T00:00:00"/>
    <x v="2"/>
    <x v="4"/>
    <n v="5"/>
    <x v="1"/>
    <n v="2"/>
    <n v="3071"/>
    <n v="90"/>
    <x v="124"/>
    <x v="176"/>
    <s v=""/>
  </r>
  <r>
    <x v="1243"/>
    <x v="2"/>
    <s v="41.902782"/>
    <s v="12.496366"/>
    <x v="4"/>
    <s v="Medium (201-500)"/>
    <x v="2"/>
    <d v="2024-03-17T00:00:00"/>
    <x v="0"/>
    <x v="4"/>
    <n v="5"/>
    <x v="1"/>
    <n v="2"/>
    <n v="7500"/>
    <n v="50"/>
    <x v="48"/>
    <x v="176"/>
    <s v=""/>
  </r>
  <r>
    <x v="1244"/>
    <x v="3"/>
    <s v="52.520008"/>
    <s v="13.404954"/>
    <x v="1"/>
    <s v="Medium (201-500)"/>
    <x v="7"/>
    <d v="2024-03-07T00:00:00"/>
    <x v="2"/>
    <x v="4"/>
    <n v="5"/>
    <x v="1"/>
    <n v="2"/>
    <n v="5842"/>
    <n v="10"/>
    <x v="6"/>
    <x v="176"/>
    <s v=""/>
  </r>
  <r>
    <x v="1245"/>
    <x v="8"/>
    <s v="38.736946"/>
    <s v="-9.142685"/>
    <x v="4"/>
    <s v="Medium (201-500)"/>
    <x v="2"/>
    <d v="2024-04-28T00:00:00"/>
    <x v="2"/>
    <x v="4"/>
    <n v="5"/>
    <x v="1"/>
    <n v="2"/>
    <n v="7677"/>
    <n v="100"/>
    <x v="391"/>
    <x v="176"/>
    <s v=""/>
  </r>
  <r>
    <x v="1246"/>
    <x v="3"/>
    <s v="52.520008"/>
    <s v="13.404954"/>
    <x v="6"/>
    <s v="Medium (201-500)"/>
    <x v="7"/>
    <d v="2024-03-15T00:00:00"/>
    <x v="0"/>
    <x v="4"/>
    <n v="5"/>
    <x v="1"/>
    <n v="2"/>
    <n v="4904"/>
    <n v="100"/>
    <x v="16"/>
    <x v="176"/>
    <s v=""/>
  </r>
  <r>
    <x v="1247"/>
    <x v="6"/>
    <s v="48.864716"/>
    <s v="2.349014"/>
    <x v="11"/>
    <s v="Medium (201-500)"/>
    <x v="0"/>
    <d v="2024-02-04T00:00:00"/>
    <x v="2"/>
    <x v="4"/>
    <n v="5"/>
    <x v="1"/>
    <n v="2"/>
    <n v="1657"/>
    <n v="30"/>
    <x v="371"/>
    <x v="176"/>
    <s v=""/>
  </r>
  <r>
    <x v="1248"/>
    <x v="7"/>
    <s v="48.210033"/>
    <s v="16.363449"/>
    <x v="9"/>
    <s v="Medium (201-500)"/>
    <x v="6"/>
    <d v="2024-03-28T00:00:00"/>
    <x v="0"/>
    <x v="4"/>
    <n v="5"/>
    <x v="1"/>
    <n v="2"/>
    <n v="2112"/>
    <n v="70"/>
    <x v="387"/>
    <x v="176"/>
    <s v=""/>
  </r>
  <r>
    <x v="1249"/>
    <x v="2"/>
    <s v="41.902782"/>
    <s v="12.496366"/>
    <x v="1"/>
    <s v="Medium (201-500)"/>
    <x v="6"/>
    <d v="2024-01-27T00:00:00"/>
    <x v="2"/>
    <x v="4"/>
    <n v="5"/>
    <x v="1"/>
    <n v="2"/>
    <n v="1284"/>
    <n v="40"/>
    <x v="27"/>
    <x v="176"/>
    <s v=""/>
  </r>
  <r>
    <x v="1250"/>
    <x v="3"/>
    <s v="52.520008"/>
    <s v="13.404954"/>
    <x v="12"/>
    <s v="Medium (201-500)"/>
    <x v="1"/>
    <d v="2024-01-13T00:00:00"/>
    <x v="0"/>
    <x v="4"/>
    <n v="5"/>
    <x v="1"/>
    <n v="2"/>
    <n v="6205"/>
    <n v="30"/>
    <x v="328"/>
    <x v="176"/>
    <s v=""/>
  </r>
  <r>
    <x v="1251"/>
    <x v="0"/>
    <s v="52.370216"/>
    <s v="4.895168"/>
    <x v="3"/>
    <s v="Medium (201-500)"/>
    <x v="2"/>
    <d v="2024-01-10T00:00:00"/>
    <x v="2"/>
    <x v="4"/>
    <n v="5"/>
    <x v="1"/>
    <n v="2"/>
    <n v="502"/>
    <n v="10"/>
    <x v="100"/>
    <x v="176"/>
    <s v=""/>
  </r>
  <r>
    <x v="1252"/>
    <x v="6"/>
    <s v="48.864716"/>
    <s v="2.349014"/>
    <x v="8"/>
    <s v="Medium (201-500)"/>
    <x v="4"/>
    <d v="2024-02-04T00:00:00"/>
    <x v="2"/>
    <x v="4"/>
    <n v="5"/>
    <x v="1"/>
    <n v="2"/>
    <n v="7094"/>
    <n v="40"/>
    <x v="307"/>
    <x v="176"/>
    <s v=""/>
  </r>
  <r>
    <x v="1253"/>
    <x v="5"/>
    <s v="46.204391"/>
    <s v="6.143158"/>
    <x v="8"/>
    <s v="Medium (201-500)"/>
    <x v="4"/>
    <d v="2024-03-23T00:00:00"/>
    <x v="0"/>
    <x v="4"/>
    <n v="5"/>
    <x v="1"/>
    <n v="2"/>
    <n v="3955"/>
    <n v="30"/>
    <x v="210"/>
    <x v="176"/>
    <s v=""/>
  </r>
  <r>
    <x v="1254"/>
    <x v="2"/>
    <s v="41.902782"/>
    <s v="12.496366"/>
    <x v="1"/>
    <s v="Medium (201-500)"/>
    <x v="2"/>
    <d v="2024-04-29T00:00:00"/>
    <x v="2"/>
    <x v="4"/>
    <n v="5"/>
    <x v="1"/>
    <n v="2"/>
    <n v="7725"/>
    <n v="20"/>
    <x v="289"/>
    <x v="176"/>
    <s v=""/>
  </r>
  <r>
    <x v="1255"/>
    <x v="6"/>
    <s v="48.864716"/>
    <s v="2.349014"/>
    <x v="4"/>
    <s v="Medium (201-500)"/>
    <x v="1"/>
    <d v="2024-05-17T00:00:00"/>
    <x v="2"/>
    <x v="4"/>
    <n v="5"/>
    <x v="1"/>
    <n v="2"/>
    <n v="5993"/>
    <n v="80"/>
    <x v="186"/>
    <x v="176"/>
    <s v=""/>
  </r>
  <r>
    <x v="1256"/>
    <x v="5"/>
    <s v="46.204391"/>
    <s v="6.143158"/>
    <x v="3"/>
    <s v="Medium (201-500)"/>
    <x v="2"/>
    <d v="2024-03-03T00:00:00"/>
    <x v="2"/>
    <x v="4"/>
    <n v="5"/>
    <x v="1"/>
    <n v="2"/>
    <n v="4910"/>
    <n v="40"/>
    <x v="11"/>
    <x v="176"/>
    <s v=""/>
  </r>
  <r>
    <x v="1257"/>
    <x v="4"/>
    <s v="51.260197"/>
    <s v="4.402771"/>
    <x v="7"/>
    <s v="Medium (201-500)"/>
    <x v="2"/>
    <d v="2024-01-30T00:00:00"/>
    <x v="0"/>
    <x v="4"/>
    <n v="5"/>
    <x v="1"/>
    <n v="2"/>
    <n v="6186"/>
    <n v="40"/>
    <x v="356"/>
    <x v="176"/>
    <s v=""/>
  </r>
  <r>
    <x v="1258"/>
    <x v="8"/>
    <s v="38.736946"/>
    <s v="-9.142685"/>
    <x v="3"/>
    <s v="Medium (201-500)"/>
    <x v="2"/>
    <d v="2024-02-26T00:00:00"/>
    <x v="1"/>
    <x v="4"/>
    <n v="5"/>
    <x v="1"/>
    <n v="2"/>
    <n v="4143"/>
    <n v="20"/>
    <x v="344"/>
    <x v="176"/>
    <s v=""/>
  </r>
  <r>
    <x v="1259"/>
    <x v="3"/>
    <s v="52.520008"/>
    <s v="13.404954"/>
    <x v="4"/>
    <s v="Medium (201-500)"/>
    <x v="3"/>
    <d v="2024-02-08T00:00:00"/>
    <x v="2"/>
    <x v="4"/>
    <n v="5"/>
    <x v="1"/>
    <n v="2"/>
    <n v="1932"/>
    <n v="70"/>
    <x v="53"/>
    <x v="176"/>
    <s v=""/>
  </r>
  <r>
    <x v="1260"/>
    <x v="5"/>
    <s v="46.204391"/>
    <s v="6.143158"/>
    <x v="0"/>
    <s v="Medium (201-500)"/>
    <x v="2"/>
    <d v="2024-05-08T00:00:00"/>
    <x v="2"/>
    <x v="4"/>
    <n v="5"/>
    <x v="1"/>
    <n v="2"/>
    <n v="5594"/>
    <n v="10"/>
    <x v="295"/>
    <x v="176"/>
    <s v=""/>
  </r>
  <r>
    <x v="1261"/>
    <x v="8"/>
    <s v="38.736946"/>
    <s v="-9.142685"/>
    <x v="3"/>
    <s v="Medium (201-500)"/>
    <x v="7"/>
    <d v="2024-03-08T00:00:00"/>
    <x v="1"/>
    <x v="4"/>
    <n v="5"/>
    <x v="1"/>
    <n v="2"/>
    <n v="7212"/>
    <n v="50"/>
    <x v="175"/>
    <x v="176"/>
    <s v=""/>
  </r>
  <r>
    <x v="1262"/>
    <x v="6"/>
    <s v="48.864716"/>
    <s v="2.349014"/>
    <x v="8"/>
    <s v="Medium (201-500)"/>
    <x v="6"/>
    <d v="2024-04-21T00:00:00"/>
    <x v="0"/>
    <x v="4"/>
    <n v="5"/>
    <x v="1"/>
    <n v="2"/>
    <n v="1094"/>
    <n v="50"/>
    <x v="253"/>
    <x v="176"/>
    <s v=""/>
  </r>
  <r>
    <x v="1263"/>
    <x v="8"/>
    <s v="38.736946"/>
    <s v="-9.142685"/>
    <x v="5"/>
    <s v="Medium (201-500)"/>
    <x v="4"/>
    <d v="2024-01-23T00:00:00"/>
    <x v="0"/>
    <x v="4"/>
    <n v="5"/>
    <x v="1"/>
    <n v="2"/>
    <n v="7972"/>
    <n v="30"/>
    <x v="124"/>
    <x v="176"/>
    <s v=""/>
  </r>
  <r>
    <x v="1264"/>
    <x v="6"/>
    <s v="48.864716"/>
    <s v="2.349014"/>
    <x v="5"/>
    <s v="Medium (201-500)"/>
    <x v="3"/>
    <d v="2024-02-04T00:00:00"/>
    <x v="2"/>
    <x v="4"/>
    <n v="5"/>
    <x v="1"/>
    <n v="2"/>
    <n v="5743"/>
    <n v="40"/>
    <x v="307"/>
    <x v="176"/>
    <s v=""/>
  </r>
  <r>
    <x v="1265"/>
    <x v="3"/>
    <s v="52.520008"/>
    <s v="13.404954"/>
    <x v="8"/>
    <s v="Medium (201-500)"/>
    <x v="0"/>
    <d v="2024-04-21T00:00:00"/>
    <x v="2"/>
    <x v="4"/>
    <n v="5"/>
    <x v="1"/>
    <n v="2"/>
    <n v="1906"/>
    <n v="50"/>
    <x v="47"/>
    <x v="176"/>
    <s v=""/>
  </r>
  <r>
    <x v="1266"/>
    <x v="6"/>
    <s v="48.864716"/>
    <s v="2.349014"/>
    <x v="9"/>
    <s v="Medium (201-500)"/>
    <x v="2"/>
    <d v="2024-05-10T00:00:00"/>
    <x v="0"/>
    <x v="4"/>
    <n v="5"/>
    <x v="1"/>
    <n v="2"/>
    <n v="635"/>
    <n v="10"/>
    <x v="258"/>
    <x v="176"/>
    <s v=""/>
  </r>
  <r>
    <x v="1267"/>
    <x v="4"/>
    <s v="51.260197"/>
    <s v="4.402771"/>
    <x v="0"/>
    <s v="Medium (201-500)"/>
    <x v="3"/>
    <d v="2024-02-13T00:00:00"/>
    <x v="1"/>
    <x v="4"/>
    <n v="5"/>
    <x v="1"/>
    <n v="2"/>
    <n v="1429"/>
    <n v="20"/>
    <x v="84"/>
    <x v="176"/>
    <s v=""/>
  </r>
  <r>
    <x v="1268"/>
    <x v="3"/>
    <s v="52.520008"/>
    <s v="13.404954"/>
    <x v="9"/>
    <s v="Medium (201-500)"/>
    <x v="7"/>
    <d v="2024-02-03T00:00:00"/>
    <x v="2"/>
    <x v="4"/>
    <n v="5"/>
    <x v="1"/>
    <n v="2"/>
    <n v="4340"/>
    <n v="50"/>
    <x v="148"/>
    <x v="176"/>
    <s v=""/>
  </r>
  <r>
    <x v="1269"/>
    <x v="2"/>
    <s v="41.902782"/>
    <s v="12.496366"/>
    <x v="4"/>
    <s v="Medium (201-500)"/>
    <x v="3"/>
    <d v="2024-01-18T00:00:00"/>
    <x v="1"/>
    <x v="4"/>
    <n v="5"/>
    <x v="1"/>
    <n v="2"/>
    <n v="3907"/>
    <n v="40"/>
    <x v="150"/>
    <x v="176"/>
    <s v=""/>
  </r>
  <r>
    <x v="1270"/>
    <x v="0"/>
    <s v="52.370216"/>
    <s v="4.895168"/>
    <x v="3"/>
    <s v="Medium (201-500)"/>
    <x v="6"/>
    <d v="2024-01-03T00:00:00"/>
    <x v="0"/>
    <x v="4"/>
    <n v="5"/>
    <x v="1"/>
    <n v="2"/>
    <n v="671"/>
    <n v="20"/>
    <x v="406"/>
    <x v="176"/>
    <s v=""/>
  </r>
  <r>
    <x v="1271"/>
    <x v="5"/>
    <s v="46.204391"/>
    <s v="6.143158"/>
    <x v="3"/>
    <s v="Medium (201-500)"/>
    <x v="2"/>
    <d v="2024-02-12T00:00:00"/>
    <x v="1"/>
    <x v="4"/>
    <n v="5"/>
    <x v="1"/>
    <n v="2"/>
    <n v="7563"/>
    <n v="30"/>
    <x v="407"/>
    <x v="176"/>
    <s v=""/>
  </r>
  <r>
    <x v="1272"/>
    <x v="0"/>
    <s v="52.370216"/>
    <s v="4.895168"/>
    <x v="3"/>
    <s v="Medium (201-500)"/>
    <x v="6"/>
    <d v="2024-03-23T00:00:00"/>
    <x v="2"/>
    <x v="4"/>
    <n v="5"/>
    <x v="1"/>
    <n v="2"/>
    <n v="1083"/>
    <n v="60"/>
    <x v="408"/>
    <x v="176"/>
    <s v=""/>
  </r>
  <r>
    <x v="1273"/>
    <x v="8"/>
    <s v="38.736946"/>
    <s v="-9.142685"/>
    <x v="3"/>
    <s v="Medium (201-500)"/>
    <x v="3"/>
    <d v="2024-01-14T00:00:00"/>
    <x v="0"/>
    <x v="4"/>
    <n v="5"/>
    <x v="1"/>
    <n v="2"/>
    <n v="5813"/>
    <n v="10"/>
    <x v="92"/>
    <x v="176"/>
    <s v=""/>
  </r>
  <r>
    <x v="1274"/>
    <x v="4"/>
    <s v="51.260197"/>
    <s v="4.402771"/>
    <x v="5"/>
    <s v="Medium (201-500)"/>
    <x v="6"/>
    <d v="2024-02-06T00:00:00"/>
    <x v="1"/>
    <x v="4"/>
    <n v="5"/>
    <x v="1"/>
    <n v="2"/>
    <n v="2873"/>
    <n v="60"/>
    <x v="409"/>
    <x v="176"/>
    <s v=""/>
  </r>
  <r>
    <x v="1275"/>
    <x v="1"/>
    <s v="40.416775"/>
    <s v="-3.703790"/>
    <x v="4"/>
    <s v="Medium (201-500)"/>
    <x v="4"/>
    <d v="2024-04-25T00:00:00"/>
    <x v="0"/>
    <x v="4"/>
    <n v="5"/>
    <x v="1"/>
    <n v="2"/>
    <n v="5053"/>
    <n v="20"/>
    <x v="330"/>
    <x v="176"/>
    <s v=""/>
  </r>
  <r>
    <x v="1276"/>
    <x v="4"/>
    <s v="51.260197"/>
    <s v="4.402771"/>
    <x v="2"/>
    <s v="Medium (201-500)"/>
    <x v="7"/>
    <d v="2024-01-31T00:00:00"/>
    <x v="0"/>
    <x v="4"/>
    <n v="5"/>
    <x v="1"/>
    <n v="2"/>
    <n v="8000"/>
    <n v="40"/>
    <x v="316"/>
    <x v="176"/>
    <s v=""/>
  </r>
  <r>
    <x v="1277"/>
    <x v="7"/>
    <s v="48.210033"/>
    <s v="16.363449"/>
    <x v="5"/>
    <s v="Medium (201-500)"/>
    <x v="3"/>
    <d v="2024-05-25T00:00:00"/>
    <x v="1"/>
    <x v="4"/>
    <n v="5"/>
    <x v="1"/>
    <n v="2"/>
    <n v="7020"/>
    <n v="80"/>
    <x v="96"/>
    <x v="176"/>
    <s v=""/>
  </r>
  <r>
    <x v="1278"/>
    <x v="7"/>
    <s v="48.210033"/>
    <s v="16.363449"/>
    <x v="5"/>
    <s v="Medium (201-500)"/>
    <x v="2"/>
    <d v="2024-03-07T00:00:00"/>
    <x v="2"/>
    <x v="4"/>
    <n v="5"/>
    <x v="1"/>
    <n v="2"/>
    <n v="3691"/>
    <n v="30"/>
    <x v="298"/>
    <x v="176"/>
    <s v=""/>
  </r>
  <r>
    <x v="1279"/>
    <x v="0"/>
    <s v="52.370216"/>
    <s v="4.895168"/>
    <x v="13"/>
    <s v="Medium (201-500)"/>
    <x v="5"/>
    <d v="2024-02-05T00:00:00"/>
    <x v="1"/>
    <x v="4"/>
    <n v="5"/>
    <x v="1"/>
    <n v="2"/>
    <n v="7971"/>
    <n v="50"/>
    <x v="317"/>
    <x v="176"/>
    <s v=""/>
  </r>
  <r>
    <x v="1280"/>
    <x v="1"/>
    <s v="40.416775"/>
    <s v="-3.703790"/>
    <x v="9"/>
    <s v="Medium (201-500)"/>
    <x v="2"/>
    <d v="2024-03-04T00:00:00"/>
    <x v="2"/>
    <x v="4"/>
    <n v="5"/>
    <x v="1"/>
    <n v="2"/>
    <n v="2545"/>
    <n v="100"/>
    <x v="56"/>
    <x v="176"/>
    <s v=""/>
  </r>
  <r>
    <x v="1281"/>
    <x v="1"/>
    <s v="40.416775"/>
    <s v="-3.703790"/>
    <x v="4"/>
    <s v="Medium (201-500)"/>
    <x v="4"/>
    <d v="2024-05-15T00:00:00"/>
    <x v="1"/>
    <x v="4"/>
    <n v="5"/>
    <x v="1"/>
    <n v="2"/>
    <n v="3848"/>
    <n v="90"/>
    <x v="237"/>
    <x v="176"/>
    <s v=""/>
  </r>
  <r>
    <x v="1282"/>
    <x v="4"/>
    <s v="51.260197"/>
    <s v="4.402771"/>
    <x v="0"/>
    <s v="Medium (201-500)"/>
    <x v="6"/>
    <d v="2024-05-23T00:00:00"/>
    <x v="1"/>
    <x v="4"/>
    <n v="5"/>
    <x v="1"/>
    <n v="2"/>
    <n v="386"/>
    <n v="50"/>
    <x v="343"/>
    <x v="176"/>
    <s v=""/>
  </r>
  <r>
    <x v="1283"/>
    <x v="6"/>
    <s v="48.864716"/>
    <s v="2.349014"/>
    <x v="3"/>
    <s v="Medium (201-500)"/>
    <x v="4"/>
    <d v="2024-05-20T00:00:00"/>
    <x v="0"/>
    <x v="4"/>
    <n v="5"/>
    <x v="1"/>
    <n v="2"/>
    <n v="1523"/>
    <n v="30"/>
    <x v="23"/>
    <x v="176"/>
    <s v=""/>
  </r>
  <r>
    <x v="1284"/>
    <x v="5"/>
    <s v="46.204391"/>
    <s v="6.143158"/>
    <x v="12"/>
    <s v="Medium (201-500)"/>
    <x v="4"/>
    <d v="2024-04-30T00:00:00"/>
    <x v="0"/>
    <x v="4"/>
    <n v="5"/>
    <x v="1"/>
    <n v="2"/>
    <n v="1672"/>
    <n v="90"/>
    <x v="82"/>
    <x v="176"/>
    <s v=""/>
  </r>
  <r>
    <x v="1285"/>
    <x v="8"/>
    <s v="38.736946"/>
    <s v="-9.142685"/>
    <x v="11"/>
    <s v="Medium (201-500)"/>
    <x v="1"/>
    <d v="2024-01-18T00:00:00"/>
    <x v="0"/>
    <x v="4"/>
    <n v="5"/>
    <x v="1"/>
    <n v="2"/>
    <n v="2045"/>
    <n v="50"/>
    <x v="226"/>
    <x v="176"/>
    <s v=""/>
  </r>
  <r>
    <x v="1286"/>
    <x v="6"/>
    <s v="48.864716"/>
    <s v="2.349014"/>
    <x v="12"/>
    <s v="Medium (201-500)"/>
    <x v="1"/>
    <d v="2024-04-27T00:00:00"/>
    <x v="0"/>
    <x v="4"/>
    <n v="5"/>
    <x v="1"/>
    <n v="2"/>
    <n v="2968"/>
    <n v="20"/>
    <x v="83"/>
    <x v="176"/>
    <s v=""/>
  </r>
  <r>
    <x v="1287"/>
    <x v="2"/>
    <s v="41.902782"/>
    <s v="12.496366"/>
    <x v="4"/>
    <s v="Medium (201-500)"/>
    <x v="0"/>
    <d v="2024-03-19T00:00:00"/>
    <x v="1"/>
    <x v="4"/>
    <n v="5"/>
    <x v="1"/>
    <n v="2"/>
    <n v="1307"/>
    <n v="20"/>
    <x v="89"/>
    <x v="176"/>
    <s v=""/>
  </r>
  <r>
    <x v="1288"/>
    <x v="6"/>
    <s v="48.864716"/>
    <s v="2.349014"/>
    <x v="0"/>
    <s v="Medium (201-500)"/>
    <x v="6"/>
    <d v="2024-03-10T00:00:00"/>
    <x v="0"/>
    <x v="4"/>
    <n v="5"/>
    <x v="1"/>
    <n v="2"/>
    <n v="3725"/>
    <n v="40"/>
    <x v="40"/>
    <x v="176"/>
    <s v=""/>
  </r>
  <r>
    <x v="1289"/>
    <x v="7"/>
    <s v="48.210033"/>
    <s v="16.363449"/>
    <x v="1"/>
    <s v="Medium (201-500)"/>
    <x v="4"/>
    <d v="2024-04-26T00:00:00"/>
    <x v="2"/>
    <x v="4"/>
    <n v="5"/>
    <x v="1"/>
    <n v="2"/>
    <n v="5200"/>
    <n v="40"/>
    <x v="217"/>
    <x v="176"/>
    <s v=""/>
  </r>
  <r>
    <x v="1290"/>
    <x v="6"/>
    <s v="48.864716"/>
    <s v="2.349014"/>
    <x v="1"/>
    <s v="Medium (201-500)"/>
    <x v="4"/>
    <d v="2024-05-22T00:00:00"/>
    <x v="1"/>
    <x v="4"/>
    <n v="5"/>
    <x v="1"/>
    <n v="2"/>
    <n v="7311"/>
    <n v="70"/>
    <x v="337"/>
    <x v="176"/>
    <s v=""/>
  </r>
  <r>
    <x v="1291"/>
    <x v="4"/>
    <s v="51.260197"/>
    <s v="4.402771"/>
    <x v="8"/>
    <s v="Medium (201-500)"/>
    <x v="3"/>
    <d v="2024-01-28T00:00:00"/>
    <x v="1"/>
    <x v="4"/>
    <n v="5"/>
    <x v="1"/>
    <n v="2"/>
    <n v="1173"/>
    <n v="40"/>
    <x v="20"/>
    <x v="176"/>
    <s v=""/>
  </r>
  <r>
    <x v="1292"/>
    <x v="8"/>
    <s v="38.736946"/>
    <s v="-9.142685"/>
    <x v="6"/>
    <s v="Medium (201-500)"/>
    <x v="7"/>
    <d v="2024-05-05T00:00:00"/>
    <x v="1"/>
    <x v="4"/>
    <n v="5"/>
    <x v="1"/>
    <n v="2"/>
    <n v="7339"/>
    <n v="70"/>
    <x v="213"/>
    <x v="176"/>
    <s v=""/>
  </r>
  <r>
    <x v="1293"/>
    <x v="3"/>
    <s v="52.520008"/>
    <s v="13.404954"/>
    <x v="12"/>
    <s v="Medium (201-500)"/>
    <x v="1"/>
    <d v="2024-05-18T00:00:00"/>
    <x v="0"/>
    <x v="4"/>
    <n v="5"/>
    <x v="1"/>
    <n v="2"/>
    <n v="5441"/>
    <n v="40"/>
    <x v="130"/>
    <x v="176"/>
    <s v=""/>
  </r>
  <r>
    <x v="1294"/>
    <x v="3"/>
    <s v="52.520008"/>
    <s v="13.404954"/>
    <x v="13"/>
    <s v="Medium (201-500)"/>
    <x v="7"/>
    <d v="2024-03-04T00:00:00"/>
    <x v="0"/>
    <x v="4"/>
    <n v="5"/>
    <x v="1"/>
    <n v="2"/>
    <n v="6675"/>
    <n v="20"/>
    <x v="94"/>
    <x v="176"/>
    <s v=""/>
  </r>
  <r>
    <x v="1295"/>
    <x v="4"/>
    <s v="51.260197"/>
    <s v="4.402771"/>
    <x v="0"/>
    <s v="Medium (201-500)"/>
    <x v="7"/>
    <d v="2024-03-15T00:00:00"/>
    <x v="1"/>
    <x v="4"/>
    <n v="5"/>
    <x v="1"/>
    <n v="2"/>
    <n v="6553"/>
    <n v="30"/>
    <x v="61"/>
    <x v="176"/>
    <s v=""/>
  </r>
  <r>
    <x v="1296"/>
    <x v="3"/>
    <s v="52.520008"/>
    <s v="13.404954"/>
    <x v="10"/>
    <s v="Medium (201-500)"/>
    <x v="1"/>
    <d v="2024-04-20T00:00:00"/>
    <x v="1"/>
    <x v="4"/>
    <n v="5"/>
    <x v="1"/>
    <n v="2"/>
    <n v="6215"/>
    <n v="40"/>
    <x v="150"/>
    <x v="176"/>
    <s v=""/>
  </r>
  <r>
    <x v="1297"/>
    <x v="3"/>
    <s v="52.520008"/>
    <s v="13.404954"/>
    <x v="5"/>
    <s v="Medium (201-500)"/>
    <x v="3"/>
    <d v="2024-03-30T00:00:00"/>
    <x v="0"/>
    <x v="4"/>
    <n v="5"/>
    <x v="1"/>
    <n v="2"/>
    <n v="7596"/>
    <n v="30"/>
    <x v="410"/>
    <x v="176"/>
    <s v=""/>
  </r>
  <r>
    <x v="1298"/>
    <x v="2"/>
    <s v="41.902782"/>
    <s v="12.496366"/>
    <x v="11"/>
    <s v="Medium (201-500)"/>
    <x v="4"/>
    <d v="2024-05-26T00:00:00"/>
    <x v="0"/>
    <x v="4"/>
    <n v="5"/>
    <x v="1"/>
    <n v="2"/>
    <n v="7503"/>
    <n v="50"/>
    <x v="408"/>
    <x v="176"/>
    <s v=""/>
  </r>
  <r>
    <x v="1299"/>
    <x v="2"/>
    <s v="41.902782"/>
    <s v="12.496366"/>
    <x v="5"/>
    <s v="Medium (201-500)"/>
    <x v="4"/>
    <d v="2024-03-01T00:00:00"/>
    <x v="1"/>
    <x v="4"/>
    <n v="5"/>
    <x v="1"/>
    <n v="2"/>
    <n v="3606"/>
    <n v="30"/>
    <x v="72"/>
    <x v="176"/>
    <s v=""/>
  </r>
  <r>
    <x v="1300"/>
    <x v="5"/>
    <s v="46.204391"/>
    <s v="6.143158"/>
    <x v="7"/>
    <s v="Medium (201-500)"/>
    <x v="3"/>
    <d v="2024-02-03T00:00:00"/>
    <x v="0"/>
    <x v="4"/>
    <n v="5"/>
    <x v="1"/>
    <n v="2"/>
    <n v="4178"/>
    <n v="60"/>
    <x v="66"/>
    <x v="176"/>
    <s v=""/>
  </r>
  <r>
    <x v="1301"/>
    <x v="5"/>
    <s v="46.204391"/>
    <s v="6.143158"/>
    <x v="0"/>
    <s v="Medium (201-500)"/>
    <x v="0"/>
    <d v="2024-04-08T00:00:00"/>
    <x v="1"/>
    <x v="4"/>
    <n v="5"/>
    <x v="1"/>
    <n v="2"/>
    <n v="529"/>
    <n v="20"/>
    <x v="157"/>
    <x v="176"/>
    <s v=""/>
  </r>
  <r>
    <x v="1302"/>
    <x v="2"/>
    <s v="41.902782"/>
    <s v="12.496366"/>
    <x v="5"/>
    <s v="Medium (201-500)"/>
    <x v="1"/>
    <d v="2024-03-05T00:00:00"/>
    <x v="1"/>
    <x v="4"/>
    <n v="5"/>
    <x v="1"/>
    <n v="2"/>
    <n v="6577"/>
    <n v="20"/>
    <x v="390"/>
    <x v="176"/>
    <s v=""/>
  </r>
  <r>
    <x v="1303"/>
    <x v="8"/>
    <s v="38.736946"/>
    <s v="-9.142685"/>
    <x v="5"/>
    <s v="Medium (201-500)"/>
    <x v="4"/>
    <d v="2024-01-23T00:00:00"/>
    <x v="2"/>
    <x v="4"/>
    <n v="5"/>
    <x v="1"/>
    <n v="2"/>
    <n v="1908"/>
    <n v="50"/>
    <x v="290"/>
    <x v="176"/>
    <s v=""/>
  </r>
  <r>
    <x v="1304"/>
    <x v="3"/>
    <s v="52.520008"/>
    <s v="13.404954"/>
    <x v="4"/>
    <s v="Medium (201-500)"/>
    <x v="4"/>
    <d v="2024-04-28T00:00:00"/>
    <x v="2"/>
    <x v="4"/>
    <n v="5"/>
    <x v="1"/>
    <n v="2"/>
    <n v="360"/>
    <n v="10"/>
    <x v="17"/>
    <x v="176"/>
    <s v=""/>
  </r>
  <r>
    <x v="1305"/>
    <x v="3"/>
    <s v="52.520008"/>
    <s v="13.404954"/>
    <x v="5"/>
    <s v="Medium (201-500)"/>
    <x v="3"/>
    <d v="2024-04-29T00:00:00"/>
    <x v="0"/>
    <x v="4"/>
    <n v="5"/>
    <x v="1"/>
    <n v="2"/>
    <n v="7973"/>
    <n v="30"/>
    <x v="146"/>
    <x v="176"/>
    <s v=""/>
  </r>
  <r>
    <x v="1306"/>
    <x v="3"/>
    <s v="52.520008"/>
    <s v="13.404954"/>
    <x v="10"/>
    <s v="Medium (201-500)"/>
    <x v="2"/>
    <d v="2024-05-18T00:00:00"/>
    <x v="2"/>
    <x v="4"/>
    <n v="5"/>
    <x v="1"/>
    <n v="2"/>
    <n v="2029"/>
    <n v="20"/>
    <x v="139"/>
    <x v="176"/>
    <s v=""/>
  </r>
  <r>
    <x v="1307"/>
    <x v="3"/>
    <s v="52.520008"/>
    <s v="13.404954"/>
    <x v="4"/>
    <s v="Medium (201-500)"/>
    <x v="6"/>
    <d v="2024-05-21T00:00:00"/>
    <x v="0"/>
    <x v="4"/>
    <n v="5"/>
    <x v="1"/>
    <n v="2"/>
    <n v="3487"/>
    <n v="30"/>
    <x v="359"/>
    <x v="176"/>
    <s v=""/>
  </r>
  <r>
    <x v="1308"/>
    <x v="0"/>
    <s v="52.370216"/>
    <s v="4.895168"/>
    <x v="3"/>
    <s v="Medium (201-500)"/>
    <x v="3"/>
    <d v="2024-05-26T00:00:00"/>
    <x v="1"/>
    <x v="4"/>
    <n v="5"/>
    <x v="1"/>
    <n v="2"/>
    <n v="5274"/>
    <n v="70"/>
    <x v="411"/>
    <x v="176"/>
    <s v=""/>
  </r>
  <r>
    <x v="1309"/>
    <x v="7"/>
    <s v="48.210033"/>
    <s v="16.363449"/>
    <x v="10"/>
    <s v="Medium (201-500)"/>
    <x v="4"/>
    <d v="2024-05-26T00:00:00"/>
    <x v="2"/>
    <x v="4"/>
    <n v="5"/>
    <x v="1"/>
    <n v="2"/>
    <n v="7451"/>
    <n v="20"/>
    <x v="84"/>
    <x v="176"/>
    <s v=""/>
  </r>
  <r>
    <x v="1310"/>
    <x v="6"/>
    <s v="48.864716"/>
    <s v="2.349014"/>
    <x v="12"/>
    <s v="Medium (201-500)"/>
    <x v="3"/>
    <d v="2024-01-13T00:00:00"/>
    <x v="0"/>
    <x v="4"/>
    <n v="5"/>
    <x v="1"/>
    <n v="2"/>
    <n v="4486"/>
    <n v="60"/>
    <x v="213"/>
    <x v="176"/>
    <s v=""/>
  </r>
  <r>
    <x v="1311"/>
    <x v="3"/>
    <s v="52.520008"/>
    <s v="13.404954"/>
    <x v="3"/>
    <s v="Medium (201-500)"/>
    <x v="0"/>
    <d v="2024-02-06T00:00:00"/>
    <x v="1"/>
    <x v="4"/>
    <n v="5"/>
    <x v="1"/>
    <n v="2"/>
    <n v="7066"/>
    <n v="80"/>
    <x v="249"/>
    <x v="176"/>
    <s v=""/>
  </r>
  <r>
    <x v="1312"/>
    <x v="8"/>
    <s v="38.736946"/>
    <s v="-9.142685"/>
    <x v="5"/>
    <s v="Medium (201-500)"/>
    <x v="0"/>
    <d v="2024-05-23T00:00:00"/>
    <x v="0"/>
    <x v="4"/>
    <n v="5"/>
    <x v="1"/>
    <n v="2"/>
    <n v="1015"/>
    <n v="20"/>
    <x v="126"/>
    <x v="176"/>
    <s v=""/>
  </r>
  <r>
    <x v="1313"/>
    <x v="6"/>
    <s v="48.864716"/>
    <s v="2.349014"/>
    <x v="12"/>
    <s v="Medium (201-500)"/>
    <x v="3"/>
    <d v="2024-05-21T00:00:00"/>
    <x v="1"/>
    <x v="4"/>
    <n v="5"/>
    <x v="1"/>
    <n v="2"/>
    <n v="6185"/>
    <n v="70"/>
    <x v="230"/>
    <x v="176"/>
    <s v=""/>
  </r>
  <r>
    <x v="1314"/>
    <x v="2"/>
    <s v="41.902782"/>
    <s v="12.496366"/>
    <x v="4"/>
    <s v="Medium (201-500)"/>
    <x v="4"/>
    <d v="2024-04-13T00:00:00"/>
    <x v="2"/>
    <x v="4"/>
    <n v="5"/>
    <x v="1"/>
    <n v="2"/>
    <n v="4202"/>
    <n v="40"/>
    <x v="196"/>
    <x v="176"/>
    <s v=""/>
  </r>
  <r>
    <x v="1315"/>
    <x v="3"/>
    <s v="52.520008"/>
    <s v="13.404954"/>
    <x v="0"/>
    <s v="Medium (201-500)"/>
    <x v="2"/>
    <d v="2024-03-05T00:00:00"/>
    <x v="1"/>
    <x v="4"/>
    <n v="5"/>
    <x v="1"/>
    <n v="2"/>
    <n v="4592"/>
    <n v="20"/>
    <x v="204"/>
    <x v="176"/>
    <s v=""/>
  </r>
  <r>
    <x v="1316"/>
    <x v="0"/>
    <s v="52.370216"/>
    <s v="4.895168"/>
    <x v="5"/>
    <s v="Medium (201-500)"/>
    <x v="3"/>
    <d v="2024-03-23T00:00:00"/>
    <x v="2"/>
    <x v="4"/>
    <n v="5"/>
    <x v="1"/>
    <n v="2"/>
    <n v="5567"/>
    <n v="30"/>
    <x v="139"/>
    <x v="176"/>
    <s v=""/>
  </r>
  <r>
    <x v="1317"/>
    <x v="8"/>
    <s v="38.736946"/>
    <s v="-9.142685"/>
    <x v="13"/>
    <s v="Medium (201-500)"/>
    <x v="4"/>
    <d v="2024-04-11T00:00:00"/>
    <x v="0"/>
    <x v="4"/>
    <n v="5"/>
    <x v="1"/>
    <n v="2"/>
    <n v="7438"/>
    <n v="60"/>
    <x v="139"/>
    <x v="176"/>
    <s v=""/>
  </r>
  <r>
    <x v="1318"/>
    <x v="2"/>
    <s v="41.902782"/>
    <s v="12.496366"/>
    <x v="13"/>
    <s v="Medium (201-500)"/>
    <x v="3"/>
    <d v="2024-02-26T00:00:00"/>
    <x v="0"/>
    <x v="4"/>
    <n v="5"/>
    <x v="1"/>
    <n v="2"/>
    <n v="7116"/>
    <n v="20"/>
    <x v="252"/>
    <x v="176"/>
    <s v=""/>
  </r>
  <r>
    <x v="1319"/>
    <x v="2"/>
    <s v="41.902782"/>
    <s v="12.496366"/>
    <x v="0"/>
    <s v="Medium (201-500)"/>
    <x v="5"/>
    <d v="2024-05-09T00:00:00"/>
    <x v="0"/>
    <x v="4"/>
    <n v="5"/>
    <x v="1"/>
    <n v="2"/>
    <n v="3763"/>
    <n v="60"/>
    <x v="290"/>
    <x v="176"/>
    <s v=""/>
  </r>
  <r>
    <x v="1320"/>
    <x v="7"/>
    <s v="48.210033"/>
    <s v="16.363449"/>
    <x v="2"/>
    <s v="Medium (201-500)"/>
    <x v="3"/>
    <d v="2024-05-15T00:00:00"/>
    <x v="0"/>
    <x v="4"/>
    <n v="5"/>
    <x v="1"/>
    <n v="2"/>
    <n v="520"/>
    <n v="30"/>
    <x v="53"/>
    <x v="176"/>
    <s v=""/>
  </r>
  <r>
    <x v="1321"/>
    <x v="3"/>
    <s v="52.520008"/>
    <s v="13.404954"/>
    <x v="4"/>
    <s v="Medium (201-500)"/>
    <x v="3"/>
    <d v="2024-02-02T00:00:00"/>
    <x v="2"/>
    <x v="4"/>
    <n v="5"/>
    <x v="1"/>
    <n v="2"/>
    <n v="7236"/>
    <n v="70"/>
    <x v="180"/>
    <x v="176"/>
    <s v=""/>
  </r>
  <r>
    <x v="1322"/>
    <x v="6"/>
    <s v="48.864716"/>
    <s v="2.349014"/>
    <x v="12"/>
    <s v="Medium (201-500)"/>
    <x v="4"/>
    <d v="2024-03-07T00:00:00"/>
    <x v="2"/>
    <x v="4"/>
    <n v="5"/>
    <x v="1"/>
    <n v="2"/>
    <n v="7972"/>
    <n v="30"/>
    <x v="327"/>
    <x v="176"/>
    <s v=""/>
  </r>
  <r>
    <x v="1323"/>
    <x v="8"/>
    <s v="38.736946"/>
    <s v="-9.142685"/>
    <x v="6"/>
    <s v="Medium (201-500)"/>
    <x v="2"/>
    <d v="2024-01-03T00:00:00"/>
    <x v="2"/>
    <x v="4"/>
    <n v="5"/>
    <x v="1"/>
    <n v="2"/>
    <n v="5674"/>
    <n v="50"/>
    <x v="354"/>
    <x v="176"/>
    <s v=""/>
  </r>
  <r>
    <x v="1324"/>
    <x v="1"/>
    <s v="40.416775"/>
    <s v="-3.703790"/>
    <x v="4"/>
    <s v="Large (501-1000)"/>
    <x v="5"/>
    <d v="2024-01-13T00:00:00"/>
    <x v="2"/>
    <x v="4"/>
    <n v="5"/>
    <x v="1"/>
    <n v="2"/>
    <n v="3461"/>
    <n v="30"/>
    <x v="191"/>
    <x v="176"/>
    <s v=""/>
  </r>
  <r>
    <x v="1325"/>
    <x v="3"/>
    <s v="52.520008"/>
    <s v="13.404954"/>
    <x v="5"/>
    <s v="Large (501-1000)"/>
    <x v="1"/>
    <d v="2024-02-17T00:00:00"/>
    <x v="2"/>
    <x v="4"/>
    <n v="5"/>
    <x v="1"/>
    <n v="2"/>
    <n v="2425"/>
    <n v="20"/>
    <x v="79"/>
    <x v="176"/>
    <s v=""/>
  </r>
  <r>
    <x v="1326"/>
    <x v="2"/>
    <s v="41.902782"/>
    <s v="12.496366"/>
    <x v="0"/>
    <s v="Large (501-1000)"/>
    <x v="0"/>
    <d v="2024-04-01T00:00:00"/>
    <x v="0"/>
    <x v="4"/>
    <n v="5"/>
    <x v="1"/>
    <n v="2"/>
    <n v="19997"/>
    <n v="100"/>
    <x v="7"/>
    <x v="176"/>
    <s v=""/>
  </r>
  <r>
    <x v="1327"/>
    <x v="2"/>
    <s v="41.902782"/>
    <s v="12.496366"/>
    <x v="12"/>
    <s v="Large (501-1000)"/>
    <x v="2"/>
    <d v="2024-04-29T00:00:00"/>
    <x v="2"/>
    <x v="4"/>
    <n v="5"/>
    <x v="1"/>
    <n v="2"/>
    <n v="3823"/>
    <n v="50"/>
    <x v="235"/>
    <x v="176"/>
    <s v=""/>
  </r>
  <r>
    <x v="1328"/>
    <x v="5"/>
    <s v="46.204391"/>
    <s v="6.143158"/>
    <x v="12"/>
    <s v="Large (501-1000)"/>
    <x v="0"/>
    <d v="2024-04-06T00:00:00"/>
    <x v="1"/>
    <x v="4"/>
    <n v="5"/>
    <x v="1"/>
    <n v="2"/>
    <n v="9441"/>
    <n v="50"/>
    <x v="411"/>
    <x v="176"/>
    <s v=""/>
  </r>
  <r>
    <x v="1329"/>
    <x v="8"/>
    <s v="38.736946"/>
    <s v="-9.142685"/>
    <x v="0"/>
    <s v="Large (501-1000)"/>
    <x v="3"/>
    <d v="2024-04-26T00:00:00"/>
    <x v="2"/>
    <x v="4"/>
    <n v="5"/>
    <x v="1"/>
    <n v="2"/>
    <n v="16217"/>
    <n v="40"/>
    <x v="377"/>
    <x v="176"/>
    <s v=""/>
  </r>
  <r>
    <x v="1330"/>
    <x v="1"/>
    <s v="40.416775"/>
    <s v="-3.703790"/>
    <x v="3"/>
    <s v="Large (501-1000)"/>
    <x v="4"/>
    <d v="2024-04-15T00:00:00"/>
    <x v="0"/>
    <x v="4"/>
    <n v="5"/>
    <x v="1"/>
    <n v="2"/>
    <n v="15769"/>
    <n v="50"/>
    <x v="11"/>
    <x v="176"/>
    <s v=""/>
  </r>
  <r>
    <x v="1331"/>
    <x v="3"/>
    <s v="52.520008"/>
    <s v="13.404954"/>
    <x v="0"/>
    <s v="Large (501-1000)"/>
    <x v="7"/>
    <d v="2024-02-28T00:00:00"/>
    <x v="1"/>
    <x v="4"/>
    <n v="5"/>
    <x v="1"/>
    <n v="2"/>
    <n v="8716"/>
    <n v="30"/>
    <x v="174"/>
    <x v="176"/>
    <s v=""/>
  </r>
  <r>
    <x v="1332"/>
    <x v="3"/>
    <s v="52.520008"/>
    <s v="13.404954"/>
    <x v="4"/>
    <s v="Large (501-1000)"/>
    <x v="4"/>
    <d v="2024-03-22T00:00:00"/>
    <x v="1"/>
    <x v="4"/>
    <n v="5"/>
    <x v="1"/>
    <n v="2"/>
    <n v="11913"/>
    <n v="50"/>
    <x v="235"/>
    <x v="176"/>
    <s v=""/>
  </r>
  <r>
    <x v="1333"/>
    <x v="6"/>
    <s v="48.864716"/>
    <s v="2.349014"/>
    <x v="9"/>
    <s v="Enterprise (1001+)"/>
    <x v="4"/>
    <d v="2024-05-25T00:00:00"/>
    <x v="2"/>
    <x v="4"/>
    <n v="5"/>
    <x v="1"/>
    <n v="2"/>
    <n v="17606"/>
    <n v="20"/>
    <x v="68"/>
    <x v="176"/>
    <s v=""/>
  </r>
  <r>
    <x v="1334"/>
    <x v="4"/>
    <s v="51.260197"/>
    <s v="4.402771"/>
    <x v="7"/>
    <s v="Enterprise (1001+)"/>
    <x v="3"/>
    <d v="2024-05-10T00:00:00"/>
    <x v="0"/>
    <x v="4"/>
    <n v="5"/>
    <x v="1"/>
    <n v="2"/>
    <n v="17361"/>
    <n v="30"/>
    <x v="171"/>
    <x v="176"/>
    <s v=""/>
  </r>
  <r>
    <x v="1335"/>
    <x v="6"/>
    <s v="48.864716"/>
    <s v="2.349014"/>
    <x v="12"/>
    <s v="Enterprise (1001+)"/>
    <x v="3"/>
    <d v="2024-05-10T00:00:00"/>
    <x v="1"/>
    <x v="4"/>
    <n v="5"/>
    <x v="1"/>
    <n v="2"/>
    <n v="15588"/>
    <n v="40"/>
    <x v="272"/>
    <x v="176"/>
    <s v=""/>
  </r>
  <r>
    <x v="1336"/>
    <x v="8"/>
    <s v="38.736946"/>
    <s v="-9.142685"/>
    <x v="3"/>
    <s v="Small (11-200)"/>
    <x v="2"/>
    <d v="2024-01-28T00:00:00"/>
    <x v="0"/>
    <x v="4"/>
    <n v="5"/>
    <x v="2"/>
    <n v="6"/>
    <n v="1615"/>
    <n v="30"/>
    <x v="98"/>
    <x v="176"/>
    <s v=""/>
  </r>
  <r>
    <x v="1337"/>
    <x v="3"/>
    <s v="52.520008"/>
    <s v="13.404954"/>
    <x v="5"/>
    <s v="Small (11-200)"/>
    <x v="3"/>
    <d v="2024-02-27T00:00:00"/>
    <x v="2"/>
    <x v="4"/>
    <n v="5"/>
    <x v="2"/>
    <n v="6"/>
    <n v="1317"/>
    <n v="20"/>
    <x v="260"/>
    <x v="176"/>
    <s v=""/>
  </r>
  <r>
    <x v="1338"/>
    <x v="2"/>
    <s v="41.902782"/>
    <s v="12.496366"/>
    <x v="5"/>
    <s v="Small (11-200)"/>
    <x v="6"/>
    <d v="2024-04-09T00:00:00"/>
    <x v="0"/>
    <x v="4"/>
    <n v="5"/>
    <x v="2"/>
    <n v="6"/>
    <n v="1152"/>
    <n v="50"/>
    <x v="16"/>
    <x v="176"/>
    <s v=""/>
  </r>
  <r>
    <x v="1339"/>
    <x v="6"/>
    <s v="48.864716"/>
    <s v="2.349014"/>
    <x v="7"/>
    <s v="Small (11-200)"/>
    <x v="7"/>
    <d v="2024-04-10T00:00:00"/>
    <x v="0"/>
    <x v="4"/>
    <n v="5"/>
    <x v="2"/>
    <n v="6"/>
    <n v="1158"/>
    <n v="30"/>
    <x v="103"/>
    <x v="176"/>
    <s v=""/>
  </r>
  <r>
    <x v="1340"/>
    <x v="4"/>
    <s v="51.260197"/>
    <s v="4.402771"/>
    <x v="4"/>
    <s v="Small (11-200)"/>
    <x v="3"/>
    <d v="2024-04-26T00:00:00"/>
    <x v="1"/>
    <x v="4"/>
    <n v="5"/>
    <x v="2"/>
    <n v="6"/>
    <n v="1306"/>
    <n v="50"/>
    <x v="258"/>
    <x v="176"/>
    <s v=""/>
  </r>
  <r>
    <x v="1341"/>
    <x v="3"/>
    <s v="52.520008"/>
    <s v="13.404954"/>
    <x v="9"/>
    <s v="Small (11-200)"/>
    <x v="0"/>
    <d v="2024-01-13T00:00:00"/>
    <x v="2"/>
    <x v="4"/>
    <n v="5"/>
    <x v="2"/>
    <n v="6"/>
    <n v="1170"/>
    <n v="20"/>
    <x v="66"/>
    <x v="176"/>
    <s v=""/>
  </r>
  <r>
    <x v="1342"/>
    <x v="3"/>
    <s v="52.520008"/>
    <s v="13.404954"/>
    <x v="7"/>
    <s v="Small (11-200)"/>
    <x v="1"/>
    <d v="2024-01-13T00:00:00"/>
    <x v="1"/>
    <x v="4"/>
    <n v="5"/>
    <x v="2"/>
    <n v="6"/>
    <n v="1791"/>
    <n v="30"/>
    <x v="254"/>
    <x v="176"/>
    <s v=""/>
  </r>
  <r>
    <x v="1343"/>
    <x v="3"/>
    <s v="52.520008"/>
    <s v="13.404954"/>
    <x v="9"/>
    <s v="Small (11-200)"/>
    <x v="1"/>
    <d v="2024-02-07T00:00:00"/>
    <x v="0"/>
    <x v="4"/>
    <n v="5"/>
    <x v="2"/>
    <n v="6"/>
    <n v="632"/>
    <n v="50"/>
    <x v="163"/>
    <x v="176"/>
    <s v=""/>
  </r>
  <r>
    <x v="1344"/>
    <x v="4"/>
    <s v="51.260197"/>
    <s v="4.402771"/>
    <x v="12"/>
    <s v="Small (11-200)"/>
    <x v="2"/>
    <d v="2024-05-11T00:00:00"/>
    <x v="1"/>
    <x v="4"/>
    <n v="5"/>
    <x v="2"/>
    <n v="6"/>
    <n v="644"/>
    <n v="20"/>
    <x v="9"/>
    <x v="176"/>
    <s v=""/>
  </r>
  <r>
    <x v="1345"/>
    <x v="6"/>
    <s v="48.864716"/>
    <s v="2.349014"/>
    <x v="4"/>
    <s v="Small (11-200)"/>
    <x v="7"/>
    <d v="2024-03-30T00:00:00"/>
    <x v="0"/>
    <x v="4"/>
    <n v="5"/>
    <x v="2"/>
    <n v="6"/>
    <n v="229"/>
    <n v="20"/>
    <x v="46"/>
    <x v="176"/>
    <s v=""/>
  </r>
  <r>
    <x v="1346"/>
    <x v="5"/>
    <s v="46.204391"/>
    <s v="6.143158"/>
    <x v="8"/>
    <s v="Small (11-200)"/>
    <x v="5"/>
    <d v="2024-05-02T00:00:00"/>
    <x v="1"/>
    <x v="4"/>
    <n v="5"/>
    <x v="2"/>
    <n v="6"/>
    <n v="1767"/>
    <n v="40"/>
    <x v="12"/>
    <x v="176"/>
    <s v=""/>
  </r>
  <r>
    <x v="1347"/>
    <x v="3"/>
    <s v="52.520008"/>
    <s v="13.404954"/>
    <x v="1"/>
    <s v="Small (11-200)"/>
    <x v="1"/>
    <d v="2024-04-07T00:00:00"/>
    <x v="0"/>
    <x v="4"/>
    <n v="5"/>
    <x v="2"/>
    <n v="6"/>
    <n v="1844"/>
    <n v="20"/>
    <x v="214"/>
    <x v="176"/>
    <s v=""/>
  </r>
  <r>
    <x v="1348"/>
    <x v="2"/>
    <s v="41.902782"/>
    <s v="12.496366"/>
    <x v="7"/>
    <s v="Small (11-200)"/>
    <x v="2"/>
    <d v="2024-01-21T00:00:00"/>
    <x v="1"/>
    <x v="4"/>
    <n v="5"/>
    <x v="2"/>
    <n v="6"/>
    <n v="1361"/>
    <n v="40"/>
    <x v="147"/>
    <x v="176"/>
    <s v=""/>
  </r>
  <r>
    <x v="1349"/>
    <x v="2"/>
    <s v="41.902782"/>
    <s v="12.496366"/>
    <x v="4"/>
    <s v="Small (11-200)"/>
    <x v="0"/>
    <d v="2024-04-19T00:00:00"/>
    <x v="2"/>
    <x v="4"/>
    <n v="5"/>
    <x v="2"/>
    <n v="6"/>
    <n v="1548"/>
    <n v="20"/>
    <x v="145"/>
    <x v="176"/>
    <s v=""/>
  </r>
  <r>
    <x v="1350"/>
    <x v="0"/>
    <s v="52.370216"/>
    <s v="4.895168"/>
    <x v="0"/>
    <s v="Small (11-200)"/>
    <x v="7"/>
    <d v="2024-01-06T00:00:00"/>
    <x v="2"/>
    <x v="4"/>
    <n v="5"/>
    <x v="2"/>
    <n v="6"/>
    <n v="1976"/>
    <n v="40"/>
    <x v="31"/>
    <x v="176"/>
    <s v=""/>
  </r>
  <r>
    <x v="1351"/>
    <x v="3"/>
    <s v="52.520008"/>
    <s v="13.404954"/>
    <x v="9"/>
    <s v="Small (11-200)"/>
    <x v="2"/>
    <d v="2024-03-12T00:00:00"/>
    <x v="0"/>
    <x v="4"/>
    <n v="5"/>
    <x v="2"/>
    <n v="6"/>
    <n v="741"/>
    <n v="30"/>
    <x v="409"/>
    <x v="176"/>
    <s v=""/>
  </r>
  <r>
    <x v="1352"/>
    <x v="2"/>
    <s v="41.902782"/>
    <s v="12.496366"/>
    <x v="13"/>
    <s v="Small (11-200)"/>
    <x v="7"/>
    <d v="2024-04-20T00:00:00"/>
    <x v="2"/>
    <x v="4"/>
    <n v="5"/>
    <x v="2"/>
    <n v="6"/>
    <n v="1006"/>
    <n v="50"/>
    <x v="361"/>
    <x v="176"/>
    <s v=""/>
  </r>
  <r>
    <x v="1353"/>
    <x v="6"/>
    <s v="48.864716"/>
    <s v="2.349014"/>
    <x v="4"/>
    <s v="Small (11-200)"/>
    <x v="0"/>
    <d v="2024-05-07T00:00:00"/>
    <x v="2"/>
    <x v="4"/>
    <n v="5"/>
    <x v="2"/>
    <n v="6"/>
    <n v="1764"/>
    <n v="40"/>
    <x v="229"/>
    <x v="176"/>
    <s v=""/>
  </r>
  <r>
    <x v="1354"/>
    <x v="0"/>
    <s v="52.370216"/>
    <s v="4.895168"/>
    <x v="0"/>
    <s v="Small (11-200)"/>
    <x v="2"/>
    <d v="2024-01-14T00:00:00"/>
    <x v="0"/>
    <x v="4"/>
    <n v="5"/>
    <x v="2"/>
    <n v="6"/>
    <n v="1271"/>
    <n v="40"/>
    <x v="336"/>
    <x v="176"/>
    <s v=""/>
  </r>
  <r>
    <x v="1355"/>
    <x v="3"/>
    <s v="52.520008"/>
    <s v="13.404954"/>
    <x v="4"/>
    <s v="Small (11-200)"/>
    <x v="6"/>
    <d v="2024-05-25T00:00:00"/>
    <x v="2"/>
    <x v="4"/>
    <n v="5"/>
    <x v="2"/>
    <n v="6"/>
    <n v="1011"/>
    <n v="40"/>
    <x v="237"/>
    <x v="176"/>
    <s v=""/>
  </r>
  <r>
    <x v="1356"/>
    <x v="2"/>
    <s v="41.902782"/>
    <s v="12.496366"/>
    <x v="3"/>
    <s v="Micro (1-10)"/>
    <x v="2"/>
    <d v="2024-03-09T00:00:00"/>
    <x v="2"/>
    <x v="4"/>
    <n v="5"/>
    <x v="2"/>
    <n v="6"/>
    <n v="902"/>
    <n v="40"/>
    <x v="120"/>
    <x v="176"/>
    <s v=""/>
  </r>
  <r>
    <x v="1357"/>
    <x v="5"/>
    <s v="46.204391"/>
    <s v="6.143158"/>
    <x v="13"/>
    <s v="Micro (1-10)"/>
    <x v="5"/>
    <d v="2024-02-11T00:00:00"/>
    <x v="2"/>
    <x v="4"/>
    <n v="5"/>
    <x v="2"/>
    <n v="6"/>
    <n v="381"/>
    <n v="40"/>
    <x v="4"/>
    <x v="176"/>
    <s v=""/>
  </r>
  <r>
    <x v="1358"/>
    <x v="1"/>
    <s v="40.416775"/>
    <s v="-3.703790"/>
    <x v="13"/>
    <s v="Micro (1-10)"/>
    <x v="1"/>
    <d v="2024-03-24T00:00:00"/>
    <x v="1"/>
    <x v="4"/>
    <n v="5"/>
    <x v="2"/>
    <n v="6"/>
    <n v="274"/>
    <n v="20"/>
    <x v="412"/>
    <x v="176"/>
    <s v=""/>
  </r>
  <r>
    <x v="1359"/>
    <x v="6"/>
    <s v="48.864716"/>
    <s v="2.349014"/>
    <x v="7"/>
    <s v="Micro (1-10)"/>
    <x v="0"/>
    <d v="2024-03-09T00:00:00"/>
    <x v="2"/>
    <x v="4"/>
    <n v="5"/>
    <x v="2"/>
    <n v="6"/>
    <n v="444"/>
    <n v="70"/>
    <x v="387"/>
    <x v="176"/>
    <s v=""/>
  </r>
  <r>
    <x v="1360"/>
    <x v="8"/>
    <s v="38.736946"/>
    <s v="-9.142685"/>
    <x v="3"/>
    <s v="Micro (1-10)"/>
    <x v="3"/>
    <d v="2024-01-31T00:00:00"/>
    <x v="0"/>
    <x v="4"/>
    <n v="5"/>
    <x v="2"/>
    <n v="6"/>
    <n v="1041"/>
    <n v="60"/>
    <x v="195"/>
    <x v="176"/>
    <s v=""/>
  </r>
  <r>
    <x v="1361"/>
    <x v="5"/>
    <s v="46.204391"/>
    <s v="6.143158"/>
    <x v="5"/>
    <s v="Micro (1-10)"/>
    <x v="4"/>
    <d v="2024-04-01T00:00:00"/>
    <x v="1"/>
    <x v="4"/>
    <n v="5"/>
    <x v="2"/>
    <n v="6"/>
    <n v="891"/>
    <n v="30"/>
    <x v="218"/>
    <x v="176"/>
    <s v=""/>
  </r>
  <r>
    <x v="1362"/>
    <x v="6"/>
    <s v="48.864716"/>
    <s v="2.349014"/>
    <x v="7"/>
    <s v="Micro (1-10)"/>
    <x v="7"/>
    <d v="2024-04-24T00:00:00"/>
    <x v="2"/>
    <x v="4"/>
    <n v="5"/>
    <x v="2"/>
    <n v="6"/>
    <n v="273"/>
    <n v="90"/>
    <x v="398"/>
    <x v="176"/>
    <s v=""/>
  </r>
  <r>
    <x v="1363"/>
    <x v="7"/>
    <s v="48.210033"/>
    <s v="16.363449"/>
    <x v="4"/>
    <s v="Micro (1-10)"/>
    <x v="3"/>
    <d v="2024-04-26T00:00:00"/>
    <x v="0"/>
    <x v="4"/>
    <n v="5"/>
    <x v="2"/>
    <n v="6"/>
    <n v="602"/>
    <n v="60"/>
    <x v="413"/>
    <x v="176"/>
    <s v=""/>
  </r>
  <r>
    <x v="1364"/>
    <x v="2"/>
    <s v="41.902782"/>
    <s v="12.496366"/>
    <x v="3"/>
    <s v="Micro (1-10)"/>
    <x v="1"/>
    <d v="2024-02-02T00:00:00"/>
    <x v="0"/>
    <x v="4"/>
    <n v="5"/>
    <x v="2"/>
    <n v="6"/>
    <n v="419"/>
    <n v="70"/>
    <x v="163"/>
    <x v="176"/>
    <s v=""/>
  </r>
  <r>
    <x v="1365"/>
    <x v="8"/>
    <s v="38.736946"/>
    <s v="-9.142685"/>
    <x v="4"/>
    <s v="Micro (1-10)"/>
    <x v="2"/>
    <d v="2024-02-14T00:00:00"/>
    <x v="0"/>
    <x v="4"/>
    <n v="5"/>
    <x v="2"/>
    <n v="6"/>
    <n v="301"/>
    <n v="40"/>
    <x v="105"/>
    <x v="176"/>
    <s v=""/>
  </r>
  <r>
    <x v="1366"/>
    <x v="8"/>
    <s v="38.736946"/>
    <s v="-9.142685"/>
    <x v="10"/>
    <s v="Micro (1-10)"/>
    <x v="0"/>
    <d v="2024-03-10T00:00:00"/>
    <x v="2"/>
    <x v="4"/>
    <n v="5"/>
    <x v="2"/>
    <n v="6"/>
    <n v="673"/>
    <n v="50"/>
    <x v="116"/>
    <x v="176"/>
    <s v=""/>
  </r>
  <r>
    <x v="1367"/>
    <x v="2"/>
    <s v="41.902782"/>
    <s v="12.496366"/>
    <x v="11"/>
    <s v="Micro (1-10)"/>
    <x v="3"/>
    <d v="2024-03-26T00:00:00"/>
    <x v="1"/>
    <x v="4"/>
    <n v="5"/>
    <x v="2"/>
    <n v="6"/>
    <n v="458"/>
    <n v="20"/>
    <x v="254"/>
    <x v="176"/>
    <s v=""/>
  </r>
  <r>
    <x v="1368"/>
    <x v="3"/>
    <s v="52.520008"/>
    <s v="13.404954"/>
    <x v="1"/>
    <s v="Medium (201-500)"/>
    <x v="2"/>
    <d v="2024-05-08T00:00:00"/>
    <x v="0"/>
    <x v="4"/>
    <n v="5"/>
    <x v="2"/>
    <n v="6"/>
    <n v="6177"/>
    <n v="50"/>
    <x v="34"/>
    <x v="176"/>
    <s v=""/>
  </r>
  <r>
    <x v="1369"/>
    <x v="6"/>
    <s v="48.864716"/>
    <s v="2.349014"/>
    <x v="7"/>
    <s v="Medium (201-500)"/>
    <x v="3"/>
    <d v="2024-01-10T00:00:00"/>
    <x v="0"/>
    <x v="4"/>
    <n v="5"/>
    <x v="2"/>
    <n v="6"/>
    <n v="2950"/>
    <n v="20"/>
    <x v="346"/>
    <x v="176"/>
    <s v=""/>
  </r>
  <r>
    <x v="1370"/>
    <x v="2"/>
    <s v="41.902782"/>
    <s v="12.496366"/>
    <x v="0"/>
    <s v="Medium (201-500)"/>
    <x v="3"/>
    <d v="2024-01-22T00:00:00"/>
    <x v="0"/>
    <x v="4"/>
    <n v="5"/>
    <x v="2"/>
    <n v="6"/>
    <n v="5423"/>
    <n v="40"/>
    <x v="89"/>
    <x v="176"/>
    <s v=""/>
  </r>
  <r>
    <x v="1371"/>
    <x v="2"/>
    <s v="41.902782"/>
    <s v="12.496366"/>
    <x v="9"/>
    <s v="Medium (201-500)"/>
    <x v="4"/>
    <d v="2024-01-20T00:00:00"/>
    <x v="0"/>
    <x v="4"/>
    <n v="5"/>
    <x v="2"/>
    <n v="6"/>
    <n v="7277"/>
    <n v="50"/>
    <x v="289"/>
    <x v="176"/>
    <s v=""/>
  </r>
  <r>
    <x v="1372"/>
    <x v="2"/>
    <s v="41.902782"/>
    <s v="12.496366"/>
    <x v="1"/>
    <s v="Medium (201-500)"/>
    <x v="7"/>
    <d v="2024-01-07T00:00:00"/>
    <x v="2"/>
    <x v="4"/>
    <n v="5"/>
    <x v="2"/>
    <n v="6"/>
    <n v="1133"/>
    <n v="50"/>
    <x v="373"/>
    <x v="176"/>
    <s v=""/>
  </r>
  <r>
    <x v="1373"/>
    <x v="5"/>
    <s v="46.204391"/>
    <s v="6.143158"/>
    <x v="1"/>
    <s v="Medium (201-500)"/>
    <x v="7"/>
    <d v="2024-01-02T00:00:00"/>
    <x v="0"/>
    <x v="4"/>
    <n v="5"/>
    <x v="2"/>
    <n v="6"/>
    <n v="6015"/>
    <n v="40"/>
    <x v="64"/>
    <x v="176"/>
    <s v=""/>
  </r>
  <r>
    <x v="1374"/>
    <x v="0"/>
    <s v="52.370216"/>
    <s v="4.895168"/>
    <x v="7"/>
    <s v="Medium (201-500)"/>
    <x v="4"/>
    <d v="2024-05-23T00:00:00"/>
    <x v="2"/>
    <x v="4"/>
    <n v="5"/>
    <x v="2"/>
    <n v="6"/>
    <n v="3264"/>
    <n v="100"/>
    <x v="224"/>
    <x v="176"/>
    <s v=""/>
  </r>
  <r>
    <x v="1375"/>
    <x v="7"/>
    <s v="48.210033"/>
    <s v="16.363449"/>
    <x v="6"/>
    <s v="Medium (201-500)"/>
    <x v="4"/>
    <d v="2024-04-15T00:00:00"/>
    <x v="2"/>
    <x v="4"/>
    <n v="5"/>
    <x v="2"/>
    <n v="6"/>
    <n v="2913"/>
    <n v="40"/>
    <x v="109"/>
    <x v="176"/>
    <s v=""/>
  </r>
  <r>
    <x v="1376"/>
    <x v="2"/>
    <s v="41.902782"/>
    <s v="12.496366"/>
    <x v="6"/>
    <s v="Medium (201-500)"/>
    <x v="4"/>
    <d v="2024-02-02T00:00:00"/>
    <x v="0"/>
    <x v="4"/>
    <n v="5"/>
    <x v="2"/>
    <n v="6"/>
    <n v="3059"/>
    <n v="70"/>
    <x v="400"/>
    <x v="176"/>
    <s v=""/>
  </r>
  <r>
    <x v="1377"/>
    <x v="8"/>
    <s v="38.736946"/>
    <s v="-9.142685"/>
    <x v="3"/>
    <s v="Medium (201-500)"/>
    <x v="3"/>
    <d v="2024-05-21T00:00:00"/>
    <x v="0"/>
    <x v="4"/>
    <n v="5"/>
    <x v="2"/>
    <n v="6"/>
    <n v="7763"/>
    <n v="30"/>
    <x v="16"/>
    <x v="176"/>
    <s v=""/>
  </r>
  <r>
    <x v="1378"/>
    <x v="8"/>
    <s v="38.736946"/>
    <s v="-9.142685"/>
    <x v="0"/>
    <s v="Medium (201-500)"/>
    <x v="3"/>
    <d v="2024-02-06T00:00:00"/>
    <x v="0"/>
    <x v="4"/>
    <n v="5"/>
    <x v="2"/>
    <n v="6"/>
    <n v="4052"/>
    <n v="70"/>
    <x v="386"/>
    <x v="176"/>
    <s v=""/>
  </r>
  <r>
    <x v="1379"/>
    <x v="2"/>
    <s v="41.902782"/>
    <s v="12.496366"/>
    <x v="13"/>
    <s v="Medium (201-500)"/>
    <x v="3"/>
    <d v="2024-02-23T00:00:00"/>
    <x v="0"/>
    <x v="4"/>
    <n v="5"/>
    <x v="2"/>
    <n v="6"/>
    <n v="1430"/>
    <n v="30"/>
    <x v="1"/>
    <x v="176"/>
    <s v=""/>
  </r>
  <r>
    <x v="1380"/>
    <x v="5"/>
    <s v="46.204391"/>
    <s v="6.143158"/>
    <x v="3"/>
    <s v="Medium (201-500)"/>
    <x v="0"/>
    <d v="2024-01-20T00:00:00"/>
    <x v="0"/>
    <x v="4"/>
    <n v="5"/>
    <x v="2"/>
    <n v="6"/>
    <n v="7438"/>
    <n v="90"/>
    <x v="15"/>
    <x v="176"/>
    <s v=""/>
  </r>
  <r>
    <x v="1381"/>
    <x v="6"/>
    <s v="48.864716"/>
    <s v="2.349014"/>
    <x v="0"/>
    <s v="Medium (201-500)"/>
    <x v="3"/>
    <d v="2024-04-03T00:00:00"/>
    <x v="2"/>
    <x v="4"/>
    <n v="5"/>
    <x v="2"/>
    <n v="6"/>
    <n v="1882"/>
    <n v="30"/>
    <x v="85"/>
    <x v="176"/>
    <s v=""/>
  </r>
  <r>
    <x v="1382"/>
    <x v="1"/>
    <s v="40.416775"/>
    <s v="-3.703790"/>
    <x v="4"/>
    <s v="Medium (201-500)"/>
    <x v="2"/>
    <d v="2024-05-18T00:00:00"/>
    <x v="2"/>
    <x v="4"/>
    <n v="5"/>
    <x v="2"/>
    <n v="6"/>
    <n v="2633"/>
    <n v="40"/>
    <x v="158"/>
    <x v="176"/>
    <s v=""/>
  </r>
  <r>
    <x v="1383"/>
    <x v="5"/>
    <s v="46.204391"/>
    <s v="6.143158"/>
    <x v="8"/>
    <s v="Medium (201-500)"/>
    <x v="5"/>
    <d v="2024-04-28T00:00:00"/>
    <x v="2"/>
    <x v="4"/>
    <n v="5"/>
    <x v="2"/>
    <n v="6"/>
    <n v="7268"/>
    <n v="70"/>
    <x v="243"/>
    <x v="176"/>
    <s v=""/>
  </r>
  <r>
    <x v="1384"/>
    <x v="4"/>
    <s v="51.260197"/>
    <s v="4.402771"/>
    <x v="13"/>
    <s v="Medium (201-500)"/>
    <x v="3"/>
    <d v="2024-04-04T00:00:00"/>
    <x v="0"/>
    <x v="4"/>
    <n v="5"/>
    <x v="2"/>
    <n v="6"/>
    <n v="7312"/>
    <n v="80"/>
    <x v="72"/>
    <x v="176"/>
    <s v=""/>
  </r>
  <r>
    <x v="1385"/>
    <x v="2"/>
    <s v="41.902782"/>
    <s v="12.496366"/>
    <x v="3"/>
    <s v="Medium (201-500)"/>
    <x v="7"/>
    <d v="2024-04-22T00:00:00"/>
    <x v="0"/>
    <x v="4"/>
    <n v="5"/>
    <x v="2"/>
    <n v="6"/>
    <n v="5619"/>
    <n v="10"/>
    <x v="224"/>
    <x v="176"/>
    <s v=""/>
  </r>
  <r>
    <x v="1386"/>
    <x v="3"/>
    <s v="52.520008"/>
    <s v="13.404954"/>
    <x v="0"/>
    <s v="Medium (201-500)"/>
    <x v="5"/>
    <d v="2024-01-18T00:00:00"/>
    <x v="0"/>
    <x v="4"/>
    <n v="5"/>
    <x v="2"/>
    <n v="6"/>
    <n v="6395"/>
    <n v="20"/>
    <x v="90"/>
    <x v="176"/>
    <s v=""/>
  </r>
  <r>
    <x v="1387"/>
    <x v="7"/>
    <s v="48.210033"/>
    <s v="16.363449"/>
    <x v="4"/>
    <s v="Medium (201-500)"/>
    <x v="4"/>
    <d v="2024-03-29T00:00:00"/>
    <x v="2"/>
    <x v="4"/>
    <n v="5"/>
    <x v="2"/>
    <n v="6"/>
    <n v="7392"/>
    <n v="30"/>
    <x v="224"/>
    <x v="176"/>
    <s v=""/>
  </r>
  <r>
    <x v="1388"/>
    <x v="4"/>
    <s v="51.260197"/>
    <s v="4.402771"/>
    <x v="8"/>
    <s v="Medium (201-500)"/>
    <x v="6"/>
    <d v="2024-04-15T00:00:00"/>
    <x v="1"/>
    <x v="4"/>
    <n v="5"/>
    <x v="2"/>
    <n v="6"/>
    <n v="3692"/>
    <n v="20"/>
    <x v="234"/>
    <x v="176"/>
    <s v=""/>
  </r>
  <r>
    <x v="1389"/>
    <x v="6"/>
    <s v="48.864716"/>
    <s v="2.349014"/>
    <x v="3"/>
    <s v="Medium (201-500)"/>
    <x v="3"/>
    <d v="2024-05-29T00:00:00"/>
    <x v="0"/>
    <x v="4"/>
    <n v="5"/>
    <x v="2"/>
    <n v="6"/>
    <n v="6882"/>
    <n v="30"/>
    <x v="414"/>
    <x v="176"/>
    <s v=""/>
  </r>
  <r>
    <x v="1390"/>
    <x v="2"/>
    <s v="41.902782"/>
    <s v="12.496366"/>
    <x v="10"/>
    <s v="Medium (201-500)"/>
    <x v="2"/>
    <d v="2024-03-28T00:00:00"/>
    <x v="2"/>
    <x v="4"/>
    <n v="5"/>
    <x v="2"/>
    <n v="6"/>
    <n v="7069"/>
    <n v="30"/>
    <x v="168"/>
    <x v="176"/>
    <s v=""/>
  </r>
  <r>
    <x v="1391"/>
    <x v="8"/>
    <s v="38.736946"/>
    <s v="-9.142685"/>
    <x v="6"/>
    <s v="Medium (201-500)"/>
    <x v="0"/>
    <d v="2024-02-11T00:00:00"/>
    <x v="0"/>
    <x v="4"/>
    <n v="5"/>
    <x v="2"/>
    <n v="6"/>
    <n v="5658"/>
    <n v="60"/>
    <x v="113"/>
    <x v="176"/>
    <s v=""/>
  </r>
  <r>
    <x v="1392"/>
    <x v="8"/>
    <s v="38.736946"/>
    <s v="-9.142685"/>
    <x v="8"/>
    <s v="Medium (201-500)"/>
    <x v="4"/>
    <d v="2024-03-11T00:00:00"/>
    <x v="2"/>
    <x v="4"/>
    <n v="5"/>
    <x v="2"/>
    <n v="6"/>
    <n v="6364"/>
    <n v="20"/>
    <x v="286"/>
    <x v="176"/>
    <s v=""/>
  </r>
  <r>
    <x v="1393"/>
    <x v="2"/>
    <s v="41.902782"/>
    <s v="12.496366"/>
    <x v="4"/>
    <s v="Medium (201-500)"/>
    <x v="3"/>
    <d v="2024-04-14T00:00:00"/>
    <x v="1"/>
    <x v="4"/>
    <n v="5"/>
    <x v="2"/>
    <n v="6"/>
    <n v="4017"/>
    <n v="10"/>
    <x v="61"/>
    <x v="176"/>
    <s v=""/>
  </r>
  <r>
    <x v="1394"/>
    <x v="3"/>
    <s v="52.520008"/>
    <s v="13.404954"/>
    <x v="4"/>
    <s v="Large (501-1000)"/>
    <x v="3"/>
    <d v="2024-04-11T00:00:00"/>
    <x v="1"/>
    <x v="4"/>
    <n v="5"/>
    <x v="2"/>
    <n v="6"/>
    <n v="14173"/>
    <n v="50"/>
    <x v="170"/>
    <x v="176"/>
    <s v=""/>
  </r>
  <r>
    <x v="1395"/>
    <x v="6"/>
    <s v="48.864716"/>
    <s v="2.349014"/>
    <x v="8"/>
    <s v="Enterprise (1001+)"/>
    <x v="4"/>
    <d v="2024-03-29T00:00:00"/>
    <x v="2"/>
    <x v="4"/>
    <n v="5"/>
    <x v="2"/>
    <n v="6"/>
    <n v="4825"/>
    <n v="90"/>
    <x v="92"/>
    <x v="176"/>
    <s v=""/>
  </r>
  <r>
    <x v="1396"/>
    <x v="8"/>
    <s v="38.736946"/>
    <s v="-9.142685"/>
    <x v="5"/>
    <s v="Enterprise (1001+)"/>
    <x v="3"/>
    <d v="2024-04-17T00:00:00"/>
    <x v="2"/>
    <x v="4"/>
    <n v="5"/>
    <x v="2"/>
    <n v="6"/>
    <n v="18078"/>
    <n v="40"/>
    <x v="107"/>
    <x v="176"/>
    <s v=""/>
  </r>
  <r>
    <x v="1397"/>
    <x v="7"/>
    <s v="48.210033"/>
    <s v="16.363449"/>
    <x v="7"/>
    <s v="Small (11-200)"/>
    <x v="3"/>
    <d v="2024-05-17T00:00:00"/>
    <x v="1"/>
    <x v="4"/>
    <n v="5"/>
    <x v="3"/>
    <n v="3"/>
    <n v="454"/>
    <n v="50"/>
    <x v="388"/>
    <x v="176"/>
    <s v=""/>
  </r>
  <r>
    <x v="1398"/>
    <x v="8"/>
    <s v="38.736946"/>
    <s v="-9.142685"/>
    <x v="5"/>
    <s v="Small (11-200)"/>
    <x v="4"/>
    <d v="2024-03-14T00:00:00"/>
    <x v="0"/>
    <x v="4"/>
    <n v="5"/>
    <x v="3"/>
    <n v="3"/>
    <n v="1138"/>
    <n v="30"/>
    <x v="219"/>
    <x v="176"/>
    <s v=""/>
  </r>
  <r>
    <x v="1399"/>
    <x v="6"/>
    <s v="48.864716"/>
    <s v="2.349014"/>
    <x v="0"/>
    <s v="Small (11-200)"/>
    <x v="6"/>
    <d v="2024-03-19T00:00:00"/>
    <x v="2"/>
    <x v="4"/>
    <n v="5"/>
    <x v="3"/>
    <n v="3"/>
    <n v="1648"/>
    <n v="30"/>
    <x v="300"/>
    <x v="176"/>
    <s v=""/>
  </r>
  <r>
    <x v="1400"/>
    <x v="2"/>
    <s v="41.902782"/>
    <s v="12.496366"/>
    <x v="5"/>
    <s v="Small (11-200)"/>
    <x v="7"/>
    <d v="2024-03-30T00:00:00"/>
    <x v="0"/>
    <x v="4"/>
    <n v="5"/>
    <x v="3"/>
    <n v="3"/>
    <n v="804"/>
    <n v="40"/>
    <x v="103"/>
    <x v="176"/>
    <s v=""/>
  </r>
  <r>
    <x v="1401"/>
    <x v="6"/>
    <s v="48.864716"/>
    <s v="2.349014"/>
    <x v="10"/>
    <s v="Small (11-200)"/>
    <x v="3"/>
    <d v="2024-05-30T00:00:00"/>
    <x v="0"/>
    <x v="4"/>
    <n v="5"/>
    <x v="3"/>
    <n v="3"/>
    <n v="1056"/>
    <n v="40"/>
    <x v="62"/>
    <x v="176"/>
    <s v=""/>
  </r>
  <r>
    <x v="1402"/>
    <x v="3"/>
    <s v="52.520008"/>
    <s v="13.404954"/>
    <x v="5"/>
    <s v="Small (11-200)"/>
    <x v="0"/>
    <d v="2024-05-10T00:00:00"/>
    <x v="2"/>
    <x v="4"/>
    <n v="5"/>
    <x v="3"/>
    <n v="3"/>
    <n v="1440"/>
    <n v="10"/>
    <x v="370"/>
    <x v="176"/>
    <s v=""/>
  </r>
  <r>
    <x v="1403"/>
    <x v="2"/>
    <s v="41.902782"/>
    <s v="12.496366"/>
    <x v="3"/>
    <s v="Small (11-200)"/>
    <x v="7"/>
    <d v="2024-02-14T00:00:00"/>
    <x v="0"/>
    <x v="4"/>
    <n v="5"/>
    <x v="3"/>
    <n v="3"/>
    <n v="1572"/>
    <n v="40"/>
    <x v="244"/>
    <x v="176"/>
    <s v=""/>
  </r>
  <r>
    <x v="1404"/>
    <x v="3"/>
    <s v="52.520008"/>
    <s v="13.404954"/>
    <x v="8"/>
    <s v="Small (11-200)"/>
    <x v="2"/>
    <d v="2024-03-20T00:00:00"/>
    <x v="0"/>
    <x v="4"/>
    <n v="5"/>
    <x v="3"/>
    <n v="3"/>
    <n v="1604"/>
    <n v="50"/>
    <x v="90"/>
    <x v="176"/>
    <s v=""/>
  </r>
  <r>
    <x v="1405"/>
    <x v="2"/>
    <s v="41.902782"/>
    <s v="12.496366"/>
    <x v="4"/>
    <s v="Small (11-200)"/>
    <x v="3"/>
    <d v="2024-03-19T00:00:00"/>
    <x v="0"/>
    <x v="4"/>
    <n v="5"/>
    <x v="3"/>
    <n v="3"/>
    <n v="687"/>
    <n v="20"/>
    <x v="138"/>
    <x v="176"/>
    <s v=""/>
  </r>
  <r>
    <x v="1406"/>
    <x v="1"/>
    <s v="40.416775"/>
    <s v="-3.703790"/>
    <x v="5"/>
    <s v="Small (11-200)"/>
    <x v="2"/>
    <d v="2024-05-13T00:00:00"/>
    <x v="0"/>
    <x v="4"/>
    <n v="5"/>
    <x v="3"/>
    <n v="3"/>
    <n v="1322"/>
    <n v="20"/>
    <x v="44"/>
    <x v="176"/>
    <s v=""/>
  </r>
  <r>
    <x v="1407"/>
    <x v="8"/>
    <s v="38.736946"/>
    <s v="-9.142685"/>
    <x v="7"/>
    <s v="Small (11-200)"/>
    <x v="0"/>
    <d v="2024-03-26T00:00:00"/>
    <x v="2"/>
    <x v="4"/>
    <n v="5"/>
    <x v="3"/>
    <n v="3"/>
    <n v="399"/>
    <n v="40"/>
    <x v="211"/>
    <x v="176"/>
    <s v=""/>
  </r>
  <r>
    <x v="1408"/>
    <x v="5"/>
    <s v="46.204391"/>
    <s v="6.143158"/>
    <x v="5"/>
    <s v="Small (11-200)"/>
    <x v="1"/>
    <d v="2024-04-29T00:00:00"/>
    <x v="0"/>
    <x v="4"/>
    <n v="5"/>
    <x v="3"/>
    <n v="3"/>
    <n v="904"/>
    <n v="30"/>
    <x v="257"/>
    <x v="176"/>
    <s v=""/>
  </r>
  <r>
    <x v="1409"/>
    <x v="8"/>
    <s v="38.736946"/>
    <s v="-9.142685"/>
    <x v="0"/>
    <s v="Small (11-200)"/>
    <x v="7"/>
    <d v="2024-04-23T00:00:00"/>
    <x v="0"/>
    <x v="4"/>
    <n v="5"/>
    <x v="3"/>
    <n v="3"/>
    <n v="334"/>
    <n v="40"/>
    <x v="191"/>
    <x v="176"/>
    <s v=""/>
  </r>
  <r>
    <x v="1410"/>
    <x v="2"/>
    <s v="41.902782"/>
    <s v="12.496366"/>
    <x v="4"/>
    <s v="Small (11-200)"/>
    <x v="3"/>
    <d v="2024-03-17T00:00:00"/>
    <x v="0"/>
    <x v="4"/>
    <n v="5"/>
    <x v="3"/>
    <n v="3"/>
    <n v="730"/>
    <n v="70"/>
    <x v="313"/>
    <x v="176"/>
    <s v=""/>
  </r>
  <r>
    <x v="1411"/>
    <x v="4"/>
    <s v="51.260197"/>
    <s v="4.402771"/>
    <x v="4"/>
    <s v="Small (11-200)"/>
    <x v="3"/>
    <d v="2024-05-26T00:00:00"/>
    <x v="0"/>
    <x v="4"/>
    <n v="5"/>
    <x v="3"/>
    <n v="3"/>
    <n v="861"/>
    <n v="30"/>
    <x v="99"/>
    <x v="176"/>
    <s v=""/>
  </r>
  <r>
    <x v="1412"/>
    <x v="6"/>
    <s v="48.864716"/>
    <s v="2.349014"/>
    <x v="11"/>
    <s v="Small (11-200)"/>
    <x v="4"/>
    <d v="2024-02-16T00:00:00"/>
    <x v="1"/>
    <x v="4"/>
    <n v="5"/>
    <x v="3"/>
    <n v="3"/>
    <n v="540"/>
    <n v="50"/>
    <x v="307"/>
    <x v="176"/>
    <s v=""/>
  </r>
  <r>
    <x v="1413"/>
    <x v="2"/>
    <s v="41.902782"/>
    <s v="12.496366"/>
    <x v="6"/>
    <s v="Small (11-200)"/>
    <x v="3"/>
    <d v="2024-01-09T00:00:00"/>
    <x v="2"/>
    <x v="4"/>
    <n v="5"/>
    <x v="3"/>
    <n v="3"/>
    <n v="1776"/>
    <n v="40"/>
    <x v="181"/>
    <x v="176"/>
    <s v=""/>
  </r>
  <r>
    <x v="1414"/>
    <x v="8"/>
    <s v="38.736946"/>
    <s v="-9.142685"/>
    <x v="5"/>
    <s v="Small (11-200)"/>
    <x v="3"/>
    <d v="2024-05-04T00:00:00"/>
    <x v="0"/>
    <x v="4"/>
    <n v="5"/>
    <x v="3"/>
    <n v="3"/>
    <n v="498"/>
    <n v="80"/>
    <x v="65"/>
    <x v="176"/>
    <s v=""/>
  </r>
  <r>
    <x v="1415"/>
    <x v="2"/>
    <s v="41.902782"/>
    <s v="12.496366"/>
    <x v="0"/>
    <s v="Small (11-200)"/>
    <x v="6"/>
    <d v="2024-05-19T00:00:00"/>
    <x v="2"/>
    <x v="4"/>
    <n v="5"/>
    <x v="3"/>
    <n v="3"/>
    <n v="1992"/>
    <n v="90"/>
    <x v="205"/>
    <x v="176"/>
    <s v=""/>
  </r>
  <r>
    <x v="1416"/>
    <x v="8"/>
    <s v="38.736946"/>
    <s v="-9.142685"/>
    <x v="1"/>
    <s v="Small (11-200)"/>
    <x v="6"/>
    <d v="2024-02-11T00:00:00"/>
    <x v="0"/>
    <x v="4"/>
    <n v="5"/>
    <x v="3"/>
    <n v="3"/>
    <n v="1156"/>
    <n v="40"/>
    <x v="62"/>
    <x v="176"/>
    <s v=""/>
  </r>
  <r>
    <x v="1417"/>
    <x v="2"/>
    <s v="41.902782"/>
    <s v="12.496366"/>
    <x v="3"/>
    <s v="Small (11-200)"/>
    <x v="0"/>
    <d v="2024-01-15T00:00:00"/>
    <x v="1"/>
    <x v="4"/>
    <n v="5"/>
    <x v="3"/>
    <n v="3"/>
    <n v="404"/>
    <n v="50"/>
    <x v="151"/>
    <x v="176"/>
    <s v=""/>
  </r>
  <r>
    <x v="1418"/>
    <x v="6"/>
    <s v="48.864716"/>
    <s v="2.349014"/>
    <x v="3"/>
    <s v="Small (11-200)"/>
    <x v="5"/>
    <d v="2024-02-15T00:00:00"/>
    <x v="2"/>
    <x v="4"/>
    <n v="5"/>
    <x v="3"/>
    <n v="3"/>
    <n v="1883"/>
    <n v="60"/>
    <x v="176"/>
    <x v="176"/>
    <s v=""/>
  </r>
  <r>
    <x v="1419"/>
    <x v="2"/>
    <s v="41.902782"/>
    <s v="12.496366"/>
    <x v="8"/>
    <s v="Small (11-200)"/>
    <x v="4"/>
    <d v="2024-05-03T00:00:00"/>
    <x v="1"/>
    <x v="4"/>
    <n v="5"/>
    <x v="3"/>
    <n v="3"/>
    <n v="1101"/>
    <n v="10"/>
    <x v="42"/>
    <x v="176"/>
    <s v=""/>
  </r>
  <r>
    <x v="1420"/>
    <x v="5"/>
    <s v="46.204391"/>
    <s v="6.143158"/>
    <x v="4"/>
    <s v="Small (11-200)"/>
    <x v="4"/>
    <d v="2024-02-02T00:00:00"/>
    <x v="2"/>
    <x v="4"/>
    <n v="5"/>
    <x v="3"/>
    <n v="3"/>
    <n v="299"/>
    <n v="30"/>
    <x v="415"/>
    <x v="176"/>
    <s v=""/>
  </r>
  <r>
    <x v="1421"/>
    <x v="4"/>
    <s v="51.260197"/>
    <s v="4.402771"/>
    <x v="7"/>
    <s v="Small (11-200)"/>
    <x v="0"/>
    <d v="2024-05-21T00:00:00"/>
    <x v="2"/>
    <x v="4"/>
    <n v="5"/>
    <x v="3"/>
    <n v="3"/>
    <n v="1722"/>
    <n v="40"/>
    <x v="313"/>
    <x v="176"/>
    <s v=""/>
  </r>
  <r>
    <x v="1422"/>
    <x v="3"/>
    <s v="52.520008"/>
    <s v="13.404954"/>
    <x v="6"/>
    <s v="Small (11-200)"/>
    <x v="3"/>
    <d v="2024-03-01T00:00:00"/>
    <x v="1"/>
    <x v="4"/>
    <n v="5"/>
    <x v="3"/>
    <n v="3"/>
    <n v="330"/>
    <n v="30"/>
    <x v="254"/>
    <x v="176"/>
    <s v=""/>
  </r>
  <r>
    <x v="1423"/>
    <x v="5"/>
    <s v="46.204391"/>
    <s v="6.143158"/>
    <x v="4"/>
    <s v="Small (11-200)"/>
    <x v="7"/>
    <d v="2024-02-03T00:00:00"/>
    <x v="1"/>
    <x v="4"/>
    <n v="5"/>
    <x v="3"/>
    <n v="3"/>
    <n v="994"/>
    <n v="20"/>
    <x v="147"/>
    <x v="176"/>
    <s v=""/>
  </r>
  <r>
    <x v="1424"/>
    <x v="5"/>
    <s v="46.204391"/>
    <s v="6.143158"/>
    <x v="6"/>
    <s v="Small (11-200)"/>
    <x v="7"/>
    <d v="2024-03-30T00:00:00"/>
    <x v="2"/>
    <x v="4"/>
    <n v="5"/>
    <x v="3"/>
    <n v="3"/>
    <n v="927"/>
    <n v="80"/>
    <x v="123"/>
    <x v="176"/>
    <s v=""/>
  </r>
  <r>
    <x v="1425"/>
    <x v="3"/>
    <s v="52.520008"/>
    <s v="13.404954"/>
    <x v="5"/>
    <s v="Small (11-200)"/>
    <x v="3"/>
    <d v="2024-05-15T00:00:00"/>
    <x v="0"/>
    <x v="4"/>
    <n v="5"/>
    <x v="3"/>
    <n v="3"/>
    <n v="1155"/>
    <n v="50"/>
    <x v="258"/>
    <x v="176"/>
    <s v=""/>
  </r>
  <r>
    <x v="1426"/>
    <x v="3"/>
    <s v="52.520008"/>
    <s v="13.404954"/>
    <x v="2"/>
    <s v="Small (11-200)"/>
    <x v="6"/>
    <d v="2024-02-17T00:00:00"/>
    <x v="0"/>
    <x v="4"/>
    <n v="5"/>
    <x v="3"/>
    <n v="3"/>
    <n v="735"/>
    <n v="50"/>
    <x v="416"/>
    <x v="176"/>
    <s v=""/>
  </r>
  <r>
    <x v="1427"/>
    <x v="5"/>
    <s v="46.204391"/>
    <s v="6.143158"/>
    <x v="9"/>
    <s v="Small (11-200)"/>
    <x v="2"/>
    <d v="2024-01-24T00:00:00"/>
    <x v="1"/>
    <x v="4"/>
    <n v="5"/>
    <x v="3"/>
    <n v="3"/>
    <n v="459"/>
    <n v="90"/>
    <x v="15"/>
    <x v="176"/>
    <s v=""/>
  </r>
  <r>
    <x v="1428"/>
    <x v="2"/>
    <s v="41.902782"/>
    <s v="12.496366"/>
    <x v="3"/>
    <s v="Small (11-200)"/>
    <x v="4"/>
    <d v="2024-05-13T00:00:00"/>
    <x v="0"/>
    <x v="4"/>
    <n v="5"/>
    <x v="3"/>
    <n v="3"/>
    <n v="492"/>
    <n v="60"/>
    <x v="221"/>
    <x v="176"/>
    <s v=""/>
  </r>
  <r>
    <x v="1429"/>
    <x v="5"/>
    <s v="46.204391"/>
    <s v="6.143158"/>
    <x v="8"/>
    <s v="Small (11-200)"/>
    <x v="3"/>
    <d v="2024-03-11T00:00:00"/>
    <x v="1"/>
    <x v="4"/>
    <n v="5"/>
    <x v="3"/>
    <n v="3"/>
    <n v="1115"/>
    <n v="10"/>
    <x v="376"/>
    <x v="176"/>
    <s v=""/>
  </r>
  <r>
    <x v="1430"/>
    <x v="8"/>
    <s v="38.736946"/>
    <s v="-9.142685"/>
    <x v="2"/>
    <s v="Small (11-200)"/>
    <x v="1"/>
    <d v="2024-04-02T00:00:00"/>
    <x v="0"/>
    <x v="4"/>
    <n v="5"/>
    <x v="3"/>
    <n v="3"/>
    <n v="935"/>
    <n v="30"/>
    <x v="38"/>
    <x v="176"/>
    <s v=""/>
  </r>
  <r>
    <x v="1431"/>
    <x v="1"/>
    <s v="40.416775"/>
    <s v="-3.703790"/>
    <x v="8"/>
    <s v="Small (11-200)"/>
    <x v="3"/>
    <d v="2024-01-29T00:00:00"/>
    <x v="0"/>
    <x v="4"/>
    <n v="5"/>
    <x v="3"/>
    <n v="3"/>
    <n v="847"/>
    <n v="30"/>
    <x v="101"/>
    <x v="176"/>
    <s v=""/>
  </r>
  <r>
    <x v="1432"/>
    <x v="7"/>
    <s v="48.210033"/>
    <s v="16.363449"/>
    <x v="4"/>
    <s v="Small (11-200)"/>
    <x v="7"/>
    <d v="2024-01-06T00:00:00"/>
    <x v="2"/>
    <x v="4"/>
    <n v="5"/>
    <x v="3"/>
    <n v="3"/>
    <n v="1738"/>
    <n v="50"/>
    <x v="98"/>
    <x v="176"/>
    <s v=""/>
  </r>
  <r>
    <x v="1433"/>
    <x v="2"/>
    <s v="41.902782"/>
    <s v="12.496366"/>
    <x v="13"/>
    <s v="Small (11-200)"/>
    <x v="0"/>
    <d v="2024-01-11T00:00:00"/>
    <x v="0"/>
    <x v="4"/>
    <n v="5"/>
    <x v="3"/>
    <n v="3"/>
    <n v="784"/>
    <n v="50"/>
    <x v="417"/>
    <x v="176"/>
    <s v=""/>
  </r>
  <r>
    <x v="1434"/>
    <x v="6"/>
    <s v="48.864716"/>
    <s v="2.349014"/>
    <x v="6"/>
    <s v="Small (11-200)"/>
    <x v="3"/>
    <d v="2024-01-02T00:00:00"/>
    <x v="1"/>
    <x v="4"/>
    <n v="5"/>
    <x v="3"/>
    <n v="3"/>
    <n v="832"/>
    <n v="20"/>
    <x v="71"/>
    <x v="176"/>
    <s v=""/>
  </r>
  <r>
    <x v="1435"/>
    <x v="5"/>
    <s v="46.204391"/>
    <s v="6.143158"/>
    <x v="0"/>
    <s v="Small (11-200)"/>
    <x v="3"/>
    <d v="2024-05-13T00:00:00"/>
    <x v="2"/>
    <x v="4"/>
    <n v="5"/>
    <x v="3"/>
    <n v="3"/>
    <n v="327"/>
    <n v="90"/>
    <x v="265"/>
    <x v="176"/>
    <s v=""/>
  </r>
  <r>
    <x v="1436"/>
    <x v="0"/>
    <s v="52.370216"/>
    <s v="4.895168"/>
    <x v="0"/>
    <s v="Small (11-200)"/>
    <x v="3"/>
    <d v="2024-03-03T00:00:00"/>
    <x v="2"/>
    <x v="4"/>
    <n v="5"/>
    <x v="3"/>
    <n v="3"/>
    <n v="778"/>
    <n v="40"/>
    <x v="159"/>
    <x v="176"/>
    <s v=""/>
  </r>
  <r>
    <x v="1437"/>
    <x v="3"/>
    <s v="52.520008"/>
    <s v="13.404954"/>
    <x v="0"/>
    <s v="Small (11-200)"/>
    <x v="2"/>
    <d v="2024-01-27T00:00:00"/>
    <x v="0"/>
    <x v="4"/>
    <n v="5"/>
    <x v="3"/>
    <n v="3"/>
    <n v="934"/>
    <n v="20"/>
    <x v="339"/>
    <x v="176"/>
    <s v=""/>
  </r>
  <r>
    <x v="1438"/>
    <x v="6"/>
    <s v="48.864716"/>
    <s v="2.349014"/>
    <x v="3"/>
    <s v="Small (11-200)"/>
    <x v="3"/>
    <d v="2024-03-10T00:00:00"/>
    <x v="0"/>
    <x v="4"/>
    <n v="5"/>
    <x v="3"/>
    <n v="3"/>
    <n v="858"/>
    <n v="40"/>
    <x v="132"/>
    <x v="176"/>
    <s v=""/>
  </r>
  <r>
    <x v="1439"/>
    <x v="1"/>
    <s v="40.416775"/>
    <s v="-3.703790"/>
    <x v="4"/>
    <s v="Small (11-200)"/>
    <x v="3"/>
    <d v="2024-05-14T00:00:00"/>
    <x v="0"/>
    <x v="4"/>
    <n v="5"/>
    <x v="3"/>
    <n v="3"/>
    <n v="857"/>
    <n v="50"/>
    <x v="418"/>
    <x v="176"/>
    <s v=""/>
  </r>
  <r>
    <x v="1440"/>
    <x v="8"/>
    <s v="38.736946"/>
    <s v="-9.142685"/>
    <x v="4"/>
    <s v="Small (11-200)"/>
    <x v="7"/>
    <d v="2024-04-26T00:00:00"/>
    <x v="0"/>
    <x v="4"/>
    <n v="5"/>
    <x v="3"/>
    <n v="3"/>
    <n v="995"/>
    <n v="80"/>
    <x v="234"/>
    <x v="176"/>
    <s v=""/>
  </r>
  <r>
    <x v="1441"/>
    <x v="2"/>
    <s v="41.902782"/>
    <s v="12.496366"/>
    <x v="1"/>
    <s v="Small (11-200)"/>
    <x v="0"/>
    <d v="2024-05-17T00:00:00"/>
    <x v="2"/>
    <x v="4"/>
    <n v="5"/>
    <x v="3"/>
    <n v="3"/>
    <n v="1245"/>
    <n v="20"/>
    <x v="196"/>
    <x v="176"/>
    <s v=""/>
  </r>
  <r>
    <x v="1442"/>
    <x v="1"/>
    <s v="40.416775"/>
    <s v="-3.703790"/>
    <x v="3"/>
    <s v="Small (11-200)"/>
    <x v="3"/>
    <d v="2024-01-07T00:00:00"/>
    <x v="2"/>
    <x v="4"/>
    <n v="5"/>
    <x v="3"/>
    <n v="3"/>
    <n v="1970"/>
    <n v="40"/>
    <x v="188"/>
    <x v="176"/>
    <s v=""/>
  </r>
  <r>
    <x v="1443"/>
    <x v="3"/>
    <s v="52.520008"/>
    <s v="13.404954"/>
    <x v="8"/>
    <s v="Small (11-200)"/>
    <x v="3"/>
    <d v="2024-03-28T00:00:00"/>
    <x v="1"/>
    <x v="4"/>
    <n v="5"/>
    <x v="3"/>
    <n v="3"/>
    <n v="1458"/>
    <n v="40"/>
    <x v="38"/>
    <x v="176"/>
    <s v=""/>
  </r>
  <r>
    <x v="1444"/>
    <x v="2"/>
    <s v="41.902782"/>
    <s v="12.496366"/>
    <x v="2"/>
    <s v="Small (11-200)"/>
    <x v="3"/>
    <d v="2024-04-04T00:00:00"/>
    <x v="2"/>
    <x v="4"/>
    <n v="5"/>
    <x v="3"/>
    <n v="3"/>
    <n v="513"/>
    <n v="50"/>
    <x v="30"/>
    <x v="176"/>
    <s v=""/>
  </r>
  <r>
    <x v="1445"/>
    <x v="6"/>
    <s v="48.864716"/>
    <s v="2.349014"/>
    <x v="0"/>
    <s v="Small (11-200)"/>
    <x v="6"/>
    <d v="2024-05-23T00:00:00"/>
    <x v="0"/>
    <x v="4"/>
    <n v="5"/>
    <x v="3"/>
    <n v="3"/>
    <n v="677"/>
    <n v="30"/>
    <x v="113"/>
    <x v="176"/>
    <s v=""/>
  </r>
  <r>
    <x v="1446"/>
    <x v="8"/>
    <s v="38.736946"/>
    <s v="-9.142685"/>
    <x v="3"/>
    <s v="Small (11-200)"/>
    <x v="5"/>
    <d v="2024-03-28T00:00:00"/>
    <x v="1"/>
    <x v="4"/>
    <n v="5"/>
    <x v="3"/>
    <n v="3"/>
    <n v="485"/>
    <n v="30"/>
    <x v="106"/>
    <x v="176"/>
    <s v=""/>
  </r>
  <r>
    <x v="1447"/>
    <x v="6"/>
    <s v="48.864716"/>
    <s v="2.349014"/>
    <x v="2"/>
    <s v="Small (11-200)"/>
    <x v="5"/>
    <d v="2024-03-22T00:00:00"/>
    <x v="2"/>
    <x v="4"/>
    <n v="5"/>
    <x v="3"/>
    <n v="3"/>
    <n v="429"/>
    <n v="20"/>
    <x v="273"/>
    <x v="176"/>
    <s v=""/>
  </r>
  <r>
    <x v="1448"/>
    <x v="4"/>
    <s v="51.260197"/>
    <s v="4.402771"/>
    <x v="12"/>
    <s v="Small (11-200)"/>
    <x v="4"/>
    <d v="2024-01-22T00:00:00"/>
    <x v="1"/>
    <x v="4"/>
    <n v="5"/>
    <x v="3"/>
    <n v="3"/>
    <n v="1347"/>
    <n v="40"/>
    <x v="260"/>
    <x v="176"/>
    <s v=""/>
  </r>
  <r>
    <x v="1449"/>
    <x v="6"/>
    <s v="48.864716"/>
    <s v="2.349014"/>
    <x v="4"/>
    <s v="Small (11-200)"/>
    <x v="4"/>
    <d v="2024-05-28T00:00:00"/>
    <x v="0"/>
    <x v="4"/>
    <n v="5"/>
    <x v="3"/>
    <n v="3"/>
    <n v="1029"/>
    <n v="20"/>
    <x v="393"/>
    <x v="176"/>
    <s v=""/>
  </r>
  <r>
    <x v="1450"/>
    <x v="8"/>
    <s v="38.736946"/>
    <s v="-9.142685"/>
    <x v="6"/>
    <s v="Small (11-200)"/>
    <x v="3"/>
    <d v="2024-02-27T00:00:00"/>
    <x v="2"/>
    <x v="4"/>
    <n v="5"/>
    <x v="3"/>
    <n v="3"/>
    <n v="1989"/>
    <n v="60"/>
    <x v="405"/>
    <x v="176"/>
    <s v=""/>
  </r>
  <r>
    <x v="1451"/>
    <x v="3"/>
    <s v="52.520008"/>
    <s v="13.404954"/>
    <x v="9"/>
    <s v="Small (11-200)"/>
    <x v="0"/>
    <d v="2024-03-15T00:00:00"/>
    <x v="0"/>
    <x v="4"/>
    <n v="5"/>
    <x v="3"/>
    <n v="3"/>
    <n v="292"/>
    <n v="30"/>
    <x v="73"/>
    <x v="176"/>
    <s v=""/>
  </r>
  <r>
    <x v="1452"/>
    <x v="7"/>
    <s v="48.210033"/>
    <s v="16.363449"/>
    <x v="13"/>
    <s v="Small (11-200)"/>
    <x v="2"/>
    <d v="2024-05-31T00:00:00"/>
    <x v="0"/>
    <x v="4"/>
    <n v="5"/>
    <x v="3"/>
    <n v="3"/>
    <n v="1476"/>
    <n v="100"/>
    <x v="253"/>
    <x v="176"/>
    <s v=""/>
  </r>
  <r>
    <x v="1453"/>
    <x v="3"/>
    <s v="52.520008"/>
    <s v="13.404954"/>
    <x v="0"/>
    <s v="Small (11-200)"/>
    <x v="0"/>
    <d v="2024-05-17T00:00:00"/>
    <x v="2"/>
    <x v="4"/>
    <n v="5"/>
    <x v="3"/>
    <n v="3"/>
    <n v="384"/>
    <n v="90"/>
    <x v="154"/>
    <x v="176"/>
    <s v=""/>
  </r>
  <r>
    <x v="1454"/>
    <x v="6"/>
    <s v="48.864716"/>
    <s v="2.349014"/>
    <x v="11"/>
    <s v="Small (11-200)"/>
    <x v="7"/>
    <d v="2024-02-09T00:00:00"/>
    <x v="1"/>
    <x v="4"/>
    <n v="5"/>
    <x v="3"/>
    <n v="3"/>
    <n v="1199"/>
    <n v="10"/>
    <x v="98"/>
    <x v="176"/>
    <s v=""/>
  </r>
  <r>
    <x v="1455"/>
    <x v="6"/>
    <s v="48.864716"/>
    <s v="2.349014"/>
    <x v="4"/>
    <s v="Small (11-200)"/>
    <x v="7"/>
    <d v="2024-02-02T00:00:00"/>
    <x v="0"/>
    <x v="4"/>
    <n v="5"/>
    <x v="3"/>
    <n v="3"/>
    <n v="1984"/>
    <n v="20"/>
    <x v="278"/>
    <x v="176"/>
    <s v=""/>
  </r>
  <r>
    <x v="1456"/>
    <x v="6"/>
    <s v="48.864716"/>
    <s v="2.349014"/>
    <x v="10"/>
    <s v="Small (11-200)"/>
    <x v="3"/>
    <d v="2024-05-14T00:00:00"/>
    <x v="0"/>
    <x v="4"/>
    <n v="5"/>
    <x v="3"/>
    <n v="3"/>
    <n v="207"/>
    <n v="20"/>
    <x v="376"/>
    <x v="176"/>
    <s v=""/>
  </r>
  <r>
    <x v="1457"/>
    <x v="2"/>
    <s v="41.902782"/>
    <s v="12.496366"/>
    <x v="6"/>
    <s v="Small (11-200)"/>
    <x v="0"/>
    <d v="2024-02-22T00:00:00"/>
    <x v="0"/>
    <x v="4"/>
    <n v="5"/>
    <x v="3"/>
    <n v="3"/>
    <n v="691"/>
    <n v="30"/>
    <x v="386"/>
    <x v="176"/>
    <s v=""/>
  </r>
  <r>
    <x v="1458"/>
    <x v="5"/>
    <s v="46.204391"/>
    <s v="6.143158"/>
    <x v="12"/>
    <s v="Small (11-200)"/>
    <x v="4"/>
    <d v="2024-03-26T00:00:00"/>
    <x v="2"/>
    <x v="4"/>
    <n v="5"/>
    <x v="3"/>
    <n v="3"/>
    <n v="1155"/>
    <n v="50"/>
    <x v="327"/>
    <x v="176"/>
    <s v=""/>
  </r>
  <r>
    <x v="1459"/>
    <x v="7"/>
    <s v="48.210033"/>
    <s v="16.363449"/>
    <x v="2"/>
    <s v="Small (11-200)"/>
    <x v="4"/>
    <d v="2024-04-26T00:00:00"/>
    <x v="0"/>
    <x v="4"/>
    <n v="5"/>
    <x v="3"/>
    <n v="3"/>
    <n v="361"/>
    <n v="20"/>
    <x v="60"/>
    <x v="176"/>
    <s v=""/>
  </r>
  <r>
    <x v="1460"/>
    <x v="3"/>
    <s v="52.520008"/>
    <s v="13.404954"/>
    <x v="6"/>
    <s v="Small (11-200)"/>
    <x v="3"/>
    <d v="2024-02-04T00:00:00"/>
    <x v="1"/>
    <x v="4"/>
    <n v="5"/>
    <x v="3"/>
    <n v="3"/>
    <n v="1522"/>
    <n v="20"/>
    <x v="419"/>
    <x v="176"/>
    <s v=""/>
  </r>
  <r>
    <x v="1461"/>
    <x v="0"/>
    <s v="52.370216"/>
    <s v="4.895168"/>
    <x v="11"/>
    <s v="Small (11-200)"/>
    <x v="4"/>
    <d v="2024-04-07T00:00:00"/>
    <x v="0"/>
    <x v="4"/>
    <n v="5"/>
    <x v="3"/>
    <n v="3"/>
    <n v="545"/>
    <n v="60"/>
    <x v="50"/>
    <x v="176"/>
    <s v=""/>
  </r>
  <r>
    <x v="1462"/>
    <x v="5"/>
    <s v="46.204391"/>
    <s v="6.143158"/>
    <x v="0"/>
    <s v="Small (11-200)"/>
    <x v="3"/>
    <d v="2024-05-11T00:00:00"/>
    <x v="0"/>
    <x v="4"/>
    <n v="5"/>
    <x v="3"/>
    <n v="3"/>
    <n v="1246"/>
    <n v="80"/>
    <x v="79"/>
    <x v="176"/>
    <s v=""/>
  </r>
  <r>
    <x v="1463"/>
    <x v="8"/>
    <s v="38.736946"/>
    <s v="-9.142685"/>
    <x v="7"/>
    <s v="Small (11-200)"/>
    <x v="3"/>
    <d v="2024-01-28T00:00:00"/>
    <x v="0"/>
    <x v="4"/>
    <n v="5"/>
    <x v="3"/>
    <n v="3"/>
    <n v="1123"/>
    <n v="30"/>
    <x v="420"/>
    <x v="176"/>
    <s v=""/>
  </r>
  <r>
    <x v="1464"/>
    <x v="0"/>
    <s v="52.370216"/>
    <s v="4.895168"/>
    <x v="12"/>
    <s v="Small (11-200)"/>
    <x v="2"/>
    <d v="2024-04-20T00:00:00"/>
    <x v="0"/>
    <x v="4"/>
    <n v="5"/>
    <x v="3"/>
    <n v="3"/>
    <n v="1527"/>
    <n v="60"/>
    <x v="191"/>
    <x v="176"/>
    <s v=""/>
  </r>
  <r>
    <x v="1465"/>
    <x v="3"/>
    <s v="52.520008"/>
    <s v="13.404954"/>
    <x v="5"/>
    <s v="Small (11-200)"/>
    <x v="5"/>
    <d v="2024-02-22T00:00:00"/>
    <x v="2"/>
    <x v="4"/>
    <n v="5"/>
    <x v="3"/>
    <n v="3"/>
    <n v="974"/>
    <n v="50"/>
    <x v="96"/>
    <x v="176"/>
    <s v=""/>
  </r>
  <r>
    <x v="1466"/>
    <x v="2"/>
    <s v="41.902782"/>
    <s v="12.496366"/>
    <x v="3"/>
    <s v="Small (11-200)"/>
    <x v="4"/>
    <d v="2024-03-26T00:00:00"/>
    <x v="2"/>
    <x v="4"/>
    <n v="5"/>
    <x v="3"/>
    <n v="3"/>
    <n v="1840"/>
    <n v="70"/>
    <x v="262"/>
    <x v="176"/>
    <s v=""/>
  </r>
  <r>
    <x v="1467"/>
    <x v="3"/>
    <s v="52.520008"/>
    <s v="13.404954"/>
    <x v="1"/>
    <s v="Small (11-200)"/>
    <x v="0"/>
    <d v="2024-03-28T00:00:00"/>
    <x v="2"/>
    <x v="4"/>
    <n v="5"/>
    <x v="3"/>
    <n v="3"/>
    <n v="1970"/>
    <n v="50"/>
    <x v="188"/>
    <x v="176"/>
    <s v=""/>
  </r>
  <r>
    <x v="1468"/>
    <x v="5"/>
    <s v="46.204391"/>
    <s v="6.143158"/>
    <x v="4"/>
    <s v="Small (11-200)"/>
    <x v="3"/>
    <d v="2024-04-12T00:00:00"/>
    <x v="2"/>
    <x v="4"/>
    <n v="5"/>
    <x v="3"/>
    <n v="3"/>
    <n v="1803"/>
    <n v="20"/>
    <x v="245"/>
    <x v="176"/>
    <s v=""/>
  </r>
  <r>
    <x v="1469"/>
    <x v="5"/>
    <s v="46.204391"/>
    <s v="6.143158"/>
    <x v="3"/>
    <s v="Small (11-200)"/>
    <x v="2"/>
    <d v="2024-01-05T00:00:00"/>
    <x v="2"/>
    <x v="4"/>
    <n v="5"/>
    <x v="3"/>
    <n v="3"/>
    <n v="1086"/>
    <n v="80"/>
    <x v="211"/>
    <x v="176"/>
    <s v=""/>
  </r>
  <r>
    <x v="1470"/>
    <x v="0"/>
    <s v="52.370216"/>
    <s v="4.895168"/>
    <x v="0"/>
    <s v="Micro (1-10)"/>
    <x v="2"/>
    <d v="2024-01-15T00:00:00"/>
    <x v="2"/>
    <x v="4"/>
    <n v="5"/>
    <x v="3"/>
    <n v="3"/>
    <n v="904"/>
    <n v="50"/>
    <x v="301"/>
    <x v="176"/>
    <s v=""/>
  </r>
  <r>
    <x v="1471"/>
    <x v="2"/>
    <s v="41.902782"/>
    <s v="12.496366"/>
    <x v="8"/>
    <s v="Micro (1-10)"/>
    <x v="5"/>
    <d v="2024-03-31T00:00:00"/>
    <x v="1"/>
    <x v="4"/>
    <n v="5"/>
    <x v="3"/>
    <n v="3"/>
    <n v="357"/>
    <n v="40"/>
    <x v="194"/>
    <x v="176"/>
    <s v=""/>
  </r>
  <r>
    <x v="1472"/>
    <x v="2"/>
    <s v="41.902782"/>
    <s v="12.496366"/>
    <x v="13"/>
    <s v="Micro (1-10)"/>
    <x v="7"/>
    <d v="2024-01-22T00:00:00"/>
    <x v="2"/>
    <x v="4"/>
    <n v="5"/>
    <x v="3"/>
    <n v="3"/>
    <n v="1158"/>
    <n v="40"/>
    <x v="322"/>
    <x v="176"/>
    <s v=""/>
  </r>
  <r>
    <x v="1473"/>
    <x v="1"/>
    <s v="40.416775"/>
    <s v="-3.703790"/>
    <x v="9"/>
    <s v="Micro (1-10)"/>
    <x v="5"/>
    <d v="2024-05-01T00:00:00"/>
    <x v="2"/>
    <x v="4"/>
    <n v="5"/>
    <x v="3"/>
    <n v="3"/>
    <n v="830"/>
    <n v="100"/>
    <x v="7"/>
    <x v="176"/>
    <s v=""/>
  </r>
  <r>
    <x v="1474"/>
    <x v="7"/>
    <s v="48.210033"/>
    <s v="16.363449"/>
    <x v="5"/>
    <s v="Micro (1-10)"/>
    <x v="3"/>
    <d v="2024-01-25T00:00:00"/>
    <x v="0"/>
    <x v="4"/>
    <n v="5"/>
    <x v="3"/>
    <n v="3"/>
    <n v="1055"/>
    <n v="30"/>
    <x v="230"/>
    <x v="176"/>
    <s v=""/>
  </r>
  <r>
    <x v="1475"/>
    <x v="4"/>
    <s v="51.260197"/>
    <s v="4.402771"/>
    <x v="3"/>
    <s v="Micro (1-10)"/>
    <x v="4"/>
    <d v="2024-05-31T00:00:00"/>
    <x v="0"/>
    <x v="4"/>
    <n v="5"/>
    <x v="3"/>
    <n v="3"/>
    <n v="1128"/>
    <n v="90"/>
    <x v="272"/>
    <x v="176"/>
    <s v=""/>
  </r>
  <r>
    <x v="1476"/>
    <x v="1"/>
    <s v="40.416775"/>
    <s v="-3.703790"/>
    <x v="5"/>
    <s v="Micro (1-10)"/>
    <x v="0"/>
    <d v="2024-03-14T00:00:00"/>
    <x v="0"/>
    <x v="4"/>
    <n v="5"/>
    <x v="3"/>
    <n v="3"/>
    <n v="649"/>
    <n v="20"/>
    <x v="216"/>
    <x v="176"/>
    <s v=""/>
  </r>
  <r>
    <x v="1477"/>
    <x v="4"/>
    <s v="51.260197"/>
    <s v="4.402771"/>
    <x v="0"/>
    <s v="Micro (1-10)"/>
    <x v="3"/>
    <d v="2024-02-15T00:00:00"/>
    <x v="0"/>
    <x v="4"/>
    <n v="5"/>
    <x v="3"/>
    <n v="3"/>
    <n v="240"/>
    <n v="40"/>
    <x v="164"/>
    <x v="176"/>
    <s v=""/>
  </r>
  <r>
    <x v="1478"/>
    <x v="5"/>
    <s v="46.204391"/>
    <s v="6.143158"/>
    <x v="4"/>
    <s v="Micro (1-10)"/>
    <x v="3"/>
    <d v="2024-02-15T00:00:00"/>
    <x v="2"/>
    <x v="4"/>
    <n v="5"/>
    <x v="3"/>
    <n v="3"/>
    <n v="639"/>
    <n v="20"/>
    <x v="175"/>
    <x v="176"/>
    <s v=""/>
  </r>
  <r>
    <x v="1479"/>
    <x v="8"/>
    <s v="38.736946"/>
    <s v="-9.142685"/>
    <x v="3"/>
    <s v="Micro (1-10)"/>
    <x v="1"/>
    <d v="2024-04-02T00:00:00"/>
    <x v="0"/>
    <x v="4"/>
    <n v="5"/>
    <x v="3"/>
    <n v="3"/>
    <n v="895"/>
    <n v="50"/>
    <x v="267"/>
    <x v="176"/>
    <s v=""/>
  </r>
  <r>
    <x v="1480"/>
    <x v="5"/>
    <s v="46.204391"/>
    <s v="6.143158"/>
    <x v="5"/>
    <s v="Micro (1-10)"/>
    <x v="2"/>
    <d v="2024-04-25T00:00:00"/>
    <x v="0"/>
    <x v="4"/>
    <n v="5"/>
    <x v="3"/>
    <n v="3"/>
    <n v="617"/>
    <n v="20"/>
    <x v="116"/>
    <x v="176"/>
    <s v=""/>
  </r>
  <r>
    <x v="1481"/>
    <x v="8"/>
    <s v="38.736946"/>
    <s v="-9.142685"/>
    <x v="4"/>
    <s v="Micro (1-10)"/>
    <x v="5"/>
    <d v="2024-03-09T00:00:00"/>
    <x v="2"/>
    <x v="4"/>
    <n v="5"/>
    <x v="3"/>
    <n v="3"/>
    <n v="805"/>
    <n v="40"/>
    <x v="10"/>
    <x v="176"/>
    <s v=""/>
  </r>
  <r>
    <x v="1482"/>
    <x v="8"/>
    <s v="38.736946"/>
    <s v="-9.142685"/>
    <x v="4"/>
    <s v="Micro (1-10)"/>
    <x v="4"/>
    <d v="2024-03-18T00:00:00"/>
    <x v="0"/>
    <x v="4"/>
    <n v="5"/>
    <x v="3"/>
    <n v="3"/>
    <n v="870"/>
    <n v="10"/>
    <x v="223"/>
    <x v="176"/>
    <s v=""/>
  </r>
  <r>
    <x v="1483"/>
    <x v="2"/>
    <s v="41.902782"/>
    <s v="12.496366"/>
    <x v="13"/>
    <s v="Micro (1-10)"/>
    <x v="2"/>
    <d v="2024-02-13T00:00:00"/>
    <x v="1"/>
    <x v="4"/>
    <n v="5"/>
    <x v="3"/>
    <n v="3"/>
    <n v="1026"/>
    <n v="90"/>
    <x v="241"/>
    <x v="176"/>
    <s v=""/>
  </r>
  <r>
    <x v="1484"/>
    <x v="8"/>
    <s v="38.736946"/>
    <s v="-9.142685"/>
    <x v="4"/>
    <s v="Micro (1-10)"/>
    <x v="0"/>
    <d v="2024-03-21T00:00:00"/>
    <x v="2"/>
    <x v="4"/>
    <n v="5"/>
    <x v="3"/>
    <n v="3"/>
    <n v="1149"/>
    <n v="20"/>
    <x v="393"/>
    <x v="176"/>
    <s v=""/>
  </r>
  <r>
    <x v="1485"/>
    <x v="6"/>
    <s v="48.864716"/>
    <s v="2.349014"/>
    <x v="10"/>
    <s v="Micro (1-10)"/>
    <x v="1"/>
    <d v="2024-05-20T00:00:00"/>
    <x v="0"/>
    <x v="4"/>
    <n v="5"/>
    <x v="3"/>
    <n v="3"/>
    <n v="568"/>
    <n v="90"/>
    <x v="232"/>
    <x v="176"/>
    <s v=""/>
  </r>
  <r>
    <x v="1486"/>
    <x v="3"/>
    <s v="52.520008"/>
    <s v="13.404954"/>
    <x v="4"/>
    <s v="Micro (1-10)"/>
    <x v="0"/>
    <d v="2024-02-25T00:00:00"/>
    <x v="0"/>
    <x v="4"/>
    <n v="5"/>
    <x v="3"/>
    <n v="3"/>
    <n v="1110"/>
    <n v="60"/>
    <x v="416"/>
    <x v="176"/>
    <s v=""/>
  </r>
  <r>
    <x v="1487"/>
    <x v="3"/>
    <s v="52.520008"/>
    <s v="13.404954"/>
    <x v="4"/>
    <s v="Micro (1-10)"/>
    <x v="4"/>
    <d v="2024-02-10T00:00:00"/>
    <x v="0"/>
    <x v="4"/>
    <n v="5"/>
    <x v="3"/>
    <n v="3"/>
    <n v="350"/>
    <n v="20"/>
    <x v="63"/>
    <x v="176"/>
    <s v=""/>
  </r>
  <r>
    <x v="1488"/>
    <x v="6"/>
    <s v="48.864716"/>
    <s v="2.349014"/>
    <x v="9"/>
    <s v="Micro (1-10)"/>
    <x v="3"/>
    <d v="2024-03-29T00:00:00"/>
    <x v="0"/>
    <x v="4"/>
    <n v="5"/>
    <x v="3"/>
    <n v="3"/>
    <n v="551"/>
    <n v="100"/>
    <x v="260"/>
    <x v="176"/>
    <s v=""/>
  </r>
  <r>
    <x v="1489"/>
    <x v="8"/>
    <s v="38.736946"/>
    <s v="-9.142685"/>
    <x v="2"/>
    <s v="Micro (1-10)"/>
    <x v="3"/>
    <d v="2024-01-22T00:00:00"/>
    <x v="2"/>
    <x v="4"/>
    <n v="5"/>
    <x v="3"/>
    <n v="3"/>
    <n v="900"/>
    <n v="30"/>
    <x v="93"/>
    <x v="176"/>
    <s v=""/>
  </r>
  <r>
    <x v="1490"/>
    <x v="1"/>
    <s v="40.416775"/>
    <s v="-3.703790"/>
    <x v="1"/>
    <s v="Micro (1-10)"/>
    <x v="3"/>
    <d v="2024-03-19T00:00:00"/>
    <x v="2"/>
    <x v="4"/>
    <n v="5"/>
    <x v="3"/>
    <n v="3"/>
    <n v="885"/>
    <n v="30"/>
    <x v="120"/>
    <x v="176"/>
    <s v=""/>
  </r>
  <r>
    <x v="1491"/>
    <x v="2"/>
    <s v="41.902782"/>
    <s v="12.496366"/>
    <x v="13"/>
    <s v="Micro (1-10)"/>
    <x v="3"/>
    <d v="2024-04-10T00:00:00"/>
    <x v="2"/>
    <x v="4"/>
    <n v="5"/>
    <x v="3"/>
    <n v="3"/>
    <n v="585"/>
    <n v="40"/>
    <x v="87"/>
    <x v="176"/>
    <s v=""/>
  </r>
  <r>
    <x v="1492"/>
    <x v="2"/>
    <s v="41.902782"/>
    <s v="12.496366"/>
    <x v="8"/>
    <s v="Micro (1-10)"/>
    <x v="0"/>
    <d v="2024-05-13T00:00:00"/>
    <x v="0"/>
    <x v="4"/>
    <n v="5"/>
    <x v="3"/>
    <n v="3"/>
    <n v="694"/>
    <n v="10"/>
    <x v="305"/>
    <x v="176"/>
    <s v=""/>
  </r>
  <r>
    <x v="1493"/>
    <x v="3"/>
    <s v="52.520008"/>
    <s v="13.404954"/>
    <x v="8"/>
    <s v="Micro (1-10)"/>
    <x v="1"/>
    <d v="2024-03-20T00:00:00"/>
    <x v="1"/>
    <x v="4"/>
    <n v="5"/>
    <x v="3"/>
    <n v="3"/>
    <n v="1061"/>
    <n v="80"/>
    <x v="224"/>
    <x v="176"/>
    <s v=""/>
  </r>
  <r>
    <x v="1494"/>
    <x v="7"/>
    <s v="48.210033"/>
    <s v="16.363449"/>
    <x v="7"/>
    <s v="Micro (1-10)"/>
    <x v="7"/>
    <d v="2024-01-17T00:00:00"/>
    <x v="0"/>
    <x v="4"/>
    <n v="5"/>
    <x v="3"/>
    <n v="3"/>
    <n v="664"/>
    <n v="10"/>
    <x v="357"/>
    <x v="176"/>
    <s v=""/>
  </r>
  <r>
    <x v="1495"/>
    <x v="8"/>
    <s v="38.736946"/>
    <s v="-9.142685"/>
    <x v="0"/>
    <s v="Micro (1-10)"/>
    <x v="4"/>
    <d v="2024-03-09T00:00:00"/>
    <x v="0"/>
    <x v="4"/>
    <n v="5"/>
    <x v="3"/>
    <n v="3"/>
    <n v="990"/>
    <n v="80"/>
    <x v="421"/>
    <x v="176"/>
    <s v=""/>
  </r>
  <r>
    <x v="1496"/>
    <x v="3"/>
    <s v="52.520008"/>
    <s v="13.404954"/>
    <x v="4"/>
    <s v="Micro (1-10)"/>
    <x v="4"/>
    <d v="2024-01-03T00:00:00"/>
    <x v="0"/>
    <x v="4"/>
    <n v="5"/>
    <x v="3"/>
    <n v="3"/>
    <n v="1074"/>
    <n v="60"/>
    <x v="67"/>
    <x v="176"/>
    <s v=""/>
  </r>
  <r>
    <x v="1497"/>
    <x v="2"/>
    <s v="41.902782"/>
    <s v="12.496366"/>
    <x v="4"/>
    <s v="Micro (1-10)"/>
    <x v="3"/>
    <d v="2024-01-16T00:00:00"/>
    <x v="0"/>
    <x v="4"/>
    <n v="5"/>
    <x v="3"/>
    <n v="3"/>
    <n v="496"/>
    <n v="10"/>
    <x v="322"/>
    <x v="176"/>
    <s v=""/>
  </r>
  <r>
    <x v="1498"/>
    <x v="5"/>
    <s v="46.204391"/>
    <s v="6.143158"/>
    <x v="8"/>
    <s v="Micro (1-10)"/>
    <x v="3"/>
    <d v="2024-04-04T00:00:00"/>
    <x v="0"/>
    <x v="4"/>
    <n v="5"/>
    <x v="3"/>
    <n v="3"/>
    <n v="715"/>
    <n v="20"/>
    <x v="368"/>
    <x v="176"/>
    <s v=""/>
  </r>
  <r>
    <x v="1499"/>
    <x v="5"/>
    <s v="46.204391"/>
    <s v="6.143158"/>
    <x v="3"/>
    <s v="Micro (1-10)"/>
    <x v="4"/>
    <d v="2024-05-18T00:00:00"/>
    <x v="2"/>
    <x v="4"/>
    <n v="5"/>
    <x v="3"/>
    <n v="3"/>
    <n v="475"/>
    <n v="50"/>
    <x v="99"/>
    <x v="176"/>
    <s v=""/>
  </r>
  <r>
    <x v="1500"/>
    <x v="6"/>
    <s v="48.864716"/>
    <s v="2.349014"/>
    <x v="11"/>
    <s v="Micro (1-10)"/>
    <x v="3"/>
    <d v="2024-03-01T00:00:00"/>
    <x v="2"/>
    <x v="4"/>
    <n v="5"/>
    <x v="3"/>
    <n v="3"/>
    <n v="530"/>
    <n v="60"/>
    <x v="138"/>
    <x v="176"/>
    <s v=""/>
  </r>
  <r>
    <x v="1501"/>
    <x v="5"/>
    <s v="46.204391"/>
    <s v="6.143158"/>
    <x v="4"/>
    <s v="Micro (1-10)"/>
    <x v="2"/>
    <d v="2024-03-19T00:00:00"/>
    <x v="1"/>
    <x v="4"/>
    <n v="5"/>
    <x v="3"/>
    <n v="3"/>
    <n v="984"/>
    <n v="30"/>
    <x v="42"/>
    <x v="176"/>
    <s v=""/>
  </r>
  <r>
    <x v="1502"/>
    <x v="3"/>
    <s v="52.520008"/>
    <s v="13.404954"/>
    <x v="2"/>
    <s v="Micro (1-10)"/>
    <x v="4"/>
    <d v="2024-01-25T00:00:00"/>
    <x v="2"/>
    <x v="4"/>
    <n v="5"/>
    <x v="3"/>
    <n v="3"/>
    <n v="550"/>
    <n v="60"/>
    <x v="97"/>
    <x v="176"/>
    <s v=""/>
  </r>
  <r>
    <x v="1503"/>
    <x v="3"/>
    <s v="52.520008"/>
    <s v="13.404954"/>
    <x v="0"/>
    <s v="Micro (1-10)"/>
    <x v="3"/>
    <d v="2024-05-27T00:00:00"/>
    <x v="0"/>
    <x v="4"/>
    <n v="5"/>
    <x v="3"/>
    <n v="3"/>
    <n v="849"/>
    <n v="30"/>
    <x v="56"/>
    <x v="176"/>
    <s v=""/>
  </r>
  <r>
    <x v="1504"/>
    <x v="2"/>
    <s v="41.902782"/>
    <s v="12.496366"/>
    <x v="9"/>
    <s v="Micro (1-10)"/>
    <x v="0"/>
    <d v="2024-03-15T00:00:00"/>
    <x v="2"/>
    <x v="4"/>
    <n v="5"/>
    <x v="3"/>
    <n v="3"/>
    <n v="933"/>
    <n v="60"/>
    <x v="162"/>
    <x v="176"/>
    <s v=""/>
  </r>
  <r>
    <x v="1505"/>
    <x v="3"/>
    <s v="52.520008"/>
    <s v="13.404954"/>
    <x v="8"/>
    <s v="Micro (1-10)"/>
    <x v="1"/>
    <d v="2024-05-21T00:00:00"/>
    <x v="0"/>
    <x v="4"/>
    <n v="5"/>
    <x v="3"/>
    <n v="3"/>
    <n v="550"/>
    <n v="50"/>
    <x v="208"/>
    <x v="176"/>
    <s v=""/>
  </r>
  <r>
    <x v="1506"/>
    <x v="1"/>
    <s v="40.416775"/>
    <s v="-3.703790"/>
    <x v="4"/>
    <s v="Micro (1-10)"/>
    <x v="3"/>
    <d v="2024-03-18T00:00:00"/>
    <x v="2"/>
    <x v="4"/>
    <n v="5"/>
    <x v="3"/>
    <n v="3"/>
    <n v="540"/>
    <n v="20"/>
    <x v="179"/>
    <x v="176"/>
    <s v=""/>
  </r>
  <r>
    <x v="1507"/>
    <x v="7"/>
    <s v="48.210033"/>
    <s v="16.363449"/>
    <x v="4"/>
    <s v="Micro (1-10)"/>
    <x v="3"/>
    <d v="2024-01-16T00:00:00"/>
    <x v="2"/>
    <x v="4"/>
    <n v="5"/>
    <x v="3"/>
    <n v="3"/>
    <n v="537"/>
    <n v="50"/>
    <x v="73"/>
    <x v="176"/>
    <s v=""/>
  </r>
  <r>
    <x v="1508"/>
    <x v="8"/>
    <s v="38.736946"/>
    <s v="-9.142685"/>
    <x v="0"/>
    <s v="Micro (1-10)"/>
    <x v="6"/>
    <d v="2024-03-21T00:00:00"/>
    <x v="2"/>
    <x v="4"/>
    <n v="5"/>
    <x v="3"/>
    <n v="3"/>
    <n v="210"/>
    <n v="20"/>
    <x v="213"/>
    <x v="176"/>
    <s v=""/>
  </r>
  <r>
    <x v="1509"/>
    <x v="7"/>
    <s v="48.210033"/>
    <s v="16.363449"/>
    <x v="12"/>
    <s v="Micro (1-10)"/>
    <x v="4"/>
    <d v="2024-03-20T00:00:00"/>
    <x v="0"/>
    <x v="4"/>
    <n v="5"/>
    <x v="3"/>
    <n v="3"/>
    <n v="404"/>
    <n v="80"/>
    <x v="58"/>
    <x v="176"/>
    <s v=""/>
  </r>
  <r>
    <x v="1510"/>
    <x v="6"/>
    <s v="48.864716"/>
    <s v="2.349014"/>
    <x v="6"/>
    <s v="Micro (1-10)"/>
    <x v="6"/>
    <d v="2024-03-21T00:00:00"/>
    <x v="0"/>
    <x v="4"/>
    <n v="5"/>
    <x v="3"/>
    <n v="3"/>
    <n v="894"/>
    <n v="50"/>
    <x v="85"/>
    <x v="176"/>
    <s v=""/>
  </r>
  <r>
    <x v="1511"/>
    <x v="2"/>
    <s v="41.902782"/>
    <s v="12.496366"/>
    <x v="5"/>
    <s v="Micro (1-10)"/>
    <x v="3"/>
    <d v="2024-01-09T00:00:00"/>
    <x v="1"/>
    <x v="4"/>
    <n v="5"/>
    <x v="3"/>
    <n v="3"/>
    <n v="823"/>
    <n v="50"/>
    <x v="39"/>
    <x v="176"/>
    <s v=""/>
  </r>
  <r>
    <x v="1512"/>
    <x v="0"/>
    <s v="52.370216"/>
    <s v="4.895168"/>
    <x v="11"/>
    <s v="Micro (1-10)"/>
    <x v="4"/>
    <d v="2024-05-25T00:00:00"/>
    <x v="1"/>
    <x v="4"/>
    <n v="5"/>
    <x v="3"/>
    <n v="3"/>
    <n v="1159"/>
    <n v="30"/>
    <x v="261"/>
    <x v="176"/>
    <s v=""/>
  </r>
  <r>
    <x v="1513"/>
    <x v="8"/>
    <s v="38.736946"/>
    <s v="-9.142685"/>
    <x v="3"/>
    <s v="Micro (1-10)"/>
    <x v="7"/>
    <d v="2024-01-21T00:00:00"/>
    <x v="1"/>
    <x v="4"/>
    <n v="5"/>
    <x v="3"/>
    <n v="3"/>
    <n v="903"/>
    <n v="60"/>
    <x v="148"/>
    <x v="176"/>
    <s v=""/>
  </r>
  <r>
    <x v="1514"/>
    <x v="7"/>
    <s v="48.210033"/>
    <s v="16.363449"/>
    <x v="5"/>
    <s v="Micro (1-10)"/>
    <x v="3"/>
    <d v="2024-03-22T00:00:00"/>
    <x v="2"/>
    <x v="4"/>
    <n v="5"/>
    <x v="3"/>
    <n v="3"/>
    <n v="365"/>
    <n v="90"/>
    <x v="133"/>
    <x v="176"/>
    <s v=""/>
  </r>
  <r>
    <x v="1515"/>
    <x v="5"/>
    <s v="46.204391"/>
    <s v="6.143158"/>
    <x v="4"/>
    <s v="Micro (1-10)"/>
    <x v="3"/>
    <d v="2024-05-19T00:00:00"/>
    <x v="0"/>
    <x v="4"/>
    <n v="5"/>
    <x v="3"/>
    <n v="3"/>
    <n v="865"/>
    <n v="30"/>
    <x v="46"/>
    <x v="176"/>
    <s v=""/>
  </r>
  <r>
    <x v="1516"/>
    <x v="4"/>
    <s v="51.260197"/>
    <s v="4.402771"/>
    <x v="5"/>
    <s v="Micro (1-10)"/>
    <x v="2"/>
    <d v="2024-02-20T00:00:00"/>
    <x v="1"/>
    <x v="4"/>
    <n v="5"/>
    <x v="3"/>
    <n v="3"/>
    <n v="315"/>
    <n v="30"/>
    <x v="374"/>
    <x v="176"/>
    <s v=""/>
  </r>
  <r>
    <x v="1517"/>
    <x v="2"/>
    <s v="41.902782"/>
    <s v="12.496366"/>
    <x v="0"/>
    <s v="Micro (1-10)"/>
    <x v="7"/>
    <d v="2024-01-04T00:00:00"/>
    <x v="0"/>
    <x v="4"/>
    <n v="5"/>
    <x v="3"/>
    <n v="3"/>
    <n v="747"/>
    <n v="60"/>
    <x v="283"/>
    <x v="176"/>
    <s v=""/>
  </r>
  <r>
    <x v="1518"/>
    <x v="2"/>
    <s v="41.902782"/>
    <s v="12.496366"/>
    <x v="2"/>
    <s v="Micro (1-10)"/>
    <x v="4"/>
    <d v="2024-03-10T00:00:00"/>
    <x v="1"/>
    <x v="4"/>
    <n v="5"/>
    <x v="3"/>
    <n v="3"/>
    <n v="368"/>
    <n v="50"/>
    <x v="323"/>
    <x v="176"/>
    <s v=""/>
  </r>
  <r>
    <x v="1519"/>
    <x v="5"/>
    <s v="46.204391"/>
    <s v="6.143158"/>
    <x v="4"/>
    <s v="Micro (1-10)"/>
    <x v="5"/>
    <d v="2024-03-24T00:00:00"/>
    <x v="0"/>
    <x v="4"/>
    <n v="5"/>
    <x v="3"/>
    <n v="3"/>
    <n v="1005"/>
    <n v="30"/>
    <x v="160"/>
    <x v="176"/>
    <s v=""/>
  </r>
  <r>
    <x v="1520"/>
    <x v="7"/>
    <s v="48.210033"/>
    <s v="16.363449"/>
    <x v="4"/>
    <s v="Micro (1-10)"/>
    <x v="2"/>
    <d v="2024-01-24T00:00:00"/>
    <x v="0"/>
    <x v="4"/>
    <n v="5"/>
    <x v="3"/>
    <n v="3"/>
    <n v="454"/>
    <n v="100"/>
    <x v="120"/>
    <x v="176"/>
    <s v=""/>
  </r>
  <r>
    <x v="1521"/>
    <x v="6"/>
    <s v="48.864716"/>
    <s v="2.349014"/>
    <x v="6"/>
    <s v="Micro (1-10)"/>
    <x v="1"/>
    <d v="2024-05-15T00:00:00"/>
    <x v="0"/>
    <x v="4"/>
    <n v="5"/>
    <x v="3"/>
    <n v="3"/>
    <n v="495"/>
    <n v="40"/>
    <x v="390"/>
    <x v="176"/>
    <s v=""/>
  </r>
  <r>
    <x v="1522"/>
    <x v="6"/>
    <s v="48.864716"/>
    <s v="2.349014"/>
    <x v="0"/>
    <s v="Medium (201-500)"/>
    <x v="2"/>
    <d v="2024-03-31T00:00:00"/>
    <x v="2"/>
    <x v="4"/>
    <n v="5"/>
    <x v="3"/>
    <n v="3"/>
    <n v="4935"/>
    <n v="50"/>
    <x v="105"/>
    <x v="176"/>
    <s v=""/>
  </r>
  <r>
    <x v="1523"/>
    <x v="7"/>
    <s v="48.210033"/>
    <s v="16.363449"/>
    <x v="4"/>
    <s v="Medium (201-500)"/>
    <x v="3"/>
    <d v="2024-05-05T00:00:00"/>
    <x v="2"/>
    <x v="4"/>
    <n v="5"/>
    <x v="3"/>
    <n v="3"/>
    <n v="4189"/>
    <n v="80"/>
    <x v="123"/>
    <x v="176"/>
    <s v=""/>
  </r>
  <r>
    <x v="1524"/>
    <x v="4"/>
    <s v="51.260197"/>
    <s v="4.402771"/>
    <x v="4"/>
    <s v="Medium (201-500)"/>
    <x v="4"/>
    <d v="2024-01-09T00:00:00"/>
    <x v="0"/>
    <x v="4"/>
    <n v="5"/>
    <x v="3"/>
    <n v="3"/>
    <n v="2434"/>
    <n v="50"/>
    <x v="422"/>
    <x v="176"/>
    <s v=""/>
  </r>
  <r>
    <x v="1525"/>
    <x v="4"/>
    <s v="51.260197"/>
    <s v="4.402771"/>
    <x v="10"/>
    <s v="Medium (201-500)"/>
    <x v="4"/>
    <d v="2024-03-07T00:00:00"/>
    <x v="2"/>
    <x v="4"/>
    <n v="5"/>
    <x v="3"/>
    <n v="3"/>
    <n v="4418"/>
    <n v="100"/>
    <x v="147"/>
    <x v="176"/>
    <s v=""/>
  </r>
  <r>
    <x v="1526"/>
    <x v="1"/>
    <s v="40.416775"/>
    <s v="-3.703790"/>
    <x v="4"/>
    <s v="Medium (201-500)"/>
    <x v="1"/>
    <d v="2024-04-17T00:00:00"/>
    <x v="1"/>
    <x v="4"/>
    <n v="5"/>
    <x v="3"/>
    <n v="3"/>
    <n v="3012"/>
    <n v="60"/>
    <x v="286"/>
    <x v="176"/>
    <s v=""/>
  </r>
  <r>
    <x v="1527"/>
    <x v="4"/>
    <s v="51.260197"/>
    <s v="4.402771"/>
    <x v="3"/>
    <s v="Medium (201-500)"/>
    <x v="2"/>
    <d v="2024-03-27T00:00:00"/>
    <x v="2"/>
    <x v="4"/>
    <n v="5"/>
    <x v="3"/>
    <n v="3"/>
    <n v="3207"/>
    <n v="10"/>
    <x v="243"/>
    <x v="176"/>
    <s v=""/>
  </r>
  <r>
    <x v="1528"/>
    <x v="8"/>
    <s v="38.736946"/>
    <s v="-9.142685"/>
    <x v="4"/>
    <s v="Medium (201-500)"/>
    <x v="0"/>
    <d v="2024-05-09T00:00:00"/>
    <x v="2"/>
    <x v="4"/>
    <n v="5"/>
    <x v="3"/>
    <n v="3"/>
    <n v="7583"/>
    <n v="60"/>
    <x v="9"/>
    <x v="176"/>
    <s v=""/>
  </r>
  <r>
    <x v="1529"/>
    <x v="2"/>
    <s v="41.902782"/>
    <s v="12.496366"/>
    <x v="0"/>
    <s v="Medium (201-500)"/>
    <x v="7"/>
    <d v="2024-05-27T00:00:00"/>
    <x v="2"/>
    <x v="4"/>
    <n v="5"/>
    <x v="3"/>
    <n v="3"/>
    <n v="318"/>
    <n v="80"/>
    <x v="194"/>
    <x v="176"/>
    <s v=""/>
  </r>
  <r>
    <x v="1530"/>
    <x v="3"/>
    <s v="52.520008"/>
    <s v="13.404954"/>
    <x v="5"/>
    <s v="Medium (201-500)"/>
    <x v="5"/>
    <d v="2024-05-01T00:00:00"/>
    <x v="2"/>
    <x v="4"/>
    <n v="5"/>
    <x v="3"/>
    <n v="3"/>
    <n v="7472"/>
    <n v="60"/>
    <x v="391"/>
    <x v="176"/>
    <s v=""/>
  </r>
  <r>
    <x v="1531"/>
    <x v="2"/>
    <s v="41.902782"/>
    <s v="12.496366"/>
    <x v="4"/>
    <s v="Medium (201-500)"/>
    <x v="2"/>
    <d v="2024-02-25T00:00:00"/>
    <x v="1"/>
    <x v="4"/>
    <n v="5"/>
    <x v="3"/>
    <n v="3"/>
    <n v="6543"/>
    <n v="40"/>
    <x v="220"/>
    <x v="176"/>
    <s v=""/>
  </r>
  <r>
    <x v="1532"/>
    <x v="3"/>
    <s v="52.520008"/>
    <s v="13.404954"/>
    <x v="13"/>
    <s v="Medium (201-500)"/>
    <x v="5"/>
    <d v="2024-04-10T00:00:00"/>
    <x v="1"/>
    <x v="4"/>
    <n v="5"/>
    <x v="3"/>
    <n v="3"/>
    <n v="4577"/>
    <n v="20"/>
    <x v="62"/>
    <x v="176"/>
    <s v=""/>
  </r>
  <r>
    <x v="1533"/>
    <x v="7"/>
    <s v="48.210033"/>
    <s v="16.363449"/>
    <x v="3"/>
    <s v="Medium (201-500)"/>
    <x v="7"/>
    <d v="2024-03-04T00:00:00"/>
    <x v="2"/>
    <x v="4"/>
    <n v="5"/>
    <x v="3"/>
    <n v="3"/>
    <n v="2169"/>
    <n v="70"/>
    <x v="105"/>
    <x v="176"/>
    <s v=""/>
  </r>
  <r>
    <x v="1534"/>
    <x v="7"/>
    <s v="48.210033"/>
    <s v="16.363449"/>
    <x v="5"/>
    <s v="Medium (201-500)"/>
    <x v="5"/>
    <d v="2024-05-21T00:00:00"/>
    <x v="0"/>
    <x v="4"/>
    <n v="5"/>
    <x v="3"/>
    <n v="3"/>
    <n v="5718"/>
    <n v="40"/>
    <x v="276"/>
    <x v="176"/>
    <s v=""/>
  </r>
  <r>
    <x v="1535"/>
    <x v="4"/>
    <s v="51.260197"/>
    <s v="4.402771"/>
    <x v="3"/>
    <s v="Medium (201-500)"/>
    <x v="2"/>
    <d v="2024-05-21T00:00:00"/>
    <x v="0"/>
    <x v="4"/>
    <n v="5"/>
    <x v="3"/>
    <n v="3"/>
    <n v="4346"/>
    <n v="50"/>
    <x v="62"/>
    <x v="176"/>
    <s v=""/>
  </r>
  <r>
    <x v="1536"/>
    <x v="8"/>
    <s v="38.736946"/>
    <s v="-9.142685"/>
    <x v="1"/>
    <s v="Medium (201-500)"/>
    <x v="3"/>
    <d v="2024-02-13T00:00:00"/>
    <x v="0"/>
    <x v="4"/>
    <n v="5"/>
    <x v="3"/>
    <n v="3"/>
    <n v="4200"/>
    <n v="100"/>
    <x v="300"/>
    <x v="176"/>
    <s v=""/>
  </r>
  <r>
    <x v="1537"/>
    <x v="0"/>
    <s v="52.370216"/>
    <s v="4.895168"/>
    <x v="12"/>
    <s v="Medium (201-500)"/>
    <x v="3"/>
    <d v="2024-01-14T00:00:00"/>
    <x v="0"/>
    <x v="4"/>
    <n v="5"/>
    <x v="3"/>
    <n v="3"/>
    <n v="7387"/>
    <n v="100"/>
    <x v="326"/>
    <x v="176"/>
    <s v=""/>
  </r>
  <r>
    <x v="1538"/>
    <x v="2"/>
    <s v="41.902782"/>
    <s v="12.496366"/>
    <x v="0"/>
    <s v="Medium (201-500)"/>
    <x v="3"/>
    <d v="2024-03-28T00:00:00"/>
    <x v="2"/>
    <x v="4"/>
    <n v="5"/>
    <x v="3"/>
    <n v="3"/>
    <n v="3777"/>
    <n v="20"/>
    <x v="423"/>
    <x v="176"/>
    <s v=""/>
  </r>
  <r>
    <x v="1539"/>
    <x v="6"/>
    <s v="48.864716"/>
    <s v="2.349014"/>
    <x v="4"/>
    <s v="Medium (201-500)"/>
    <x v="6"/>
    <d v="2024-05-16T00:00:00"/>
    <x v="1"/>
    <x v="4"/>
    <n v="5"/>
    <x v="3"/>
    <n v="3"/>
    <n v="5951"/>
    <n v="20"/>
    <x v="424"/>
    <x v="176"/>
    <s v=""/>
  </r>
  <r>
    <x v="1540"/>
    <x v="2"/>
    <s v="41.902782"/>
    <s v="12.496366"/>
    <x v="8"/>
    <s v="Medium (201-500)"/>
    <x v="5"/>
    <d v="2024-04-09T00:00:00"/>
    <x v="0"/>
    <x v="4"/>
    <n v="5"/>
    <x v="3"/>
    <n v="3"/>
    <n v="7344"/>
    <n v="60"/>
    <x v="425"/>
    <x v="176"/>
    <s v=""/>
  </r>
  <r>
    <x v="1541"/>
    <x v="0"/>
    <s v="52.370216"/>
    <s v="4.895168"/>
    <x v="1"/>
    <s v="Medium (201-500)"/>
    <x v="0"/>
    <d v="2024-01-30T00:00:00"/>
    <x v="0"/>
    <x v="4"/>
    <n v="5"/>
    <x v="3"/>
    <n v="3"/>
    <n v="732"/>
    <n v="10"/>
    <x v="27"/>
    <x v="176"/>
    <s v=""/>
  </r>
  <r>
    <x v="1542"/>
    <x v="5"/>
    <s v="46.204391"/>
    <s v="6.143158"/>
    <x v="5"/>
    <s v="Medium (201-500)"/>
    <x v="0"/>
    <d v="2024-01-29T00:00:00"/>
    <x v="1"/>
    <x v="4"/>
    <n v="5"/>
    <x v="3"/>
    <n v="3"/>
    <n v="3550"/>
    <n v="70"/>
    <x v="328"/>
    <x v="176"/>
    <s v=""/>
  </r>
  <r>
    <x v="1543"/>
    <x v="6"/>
    <s v="48.864716"/>
    <s v="2.349014"/>
    <x v="6"/>
    <s v="Medium (201-500)"/>
    <x v="4"/>
    <d v="2024-04-22T00:00:00"/>
    <x v="0"/>
    <x v="4"/>
    <n v="5"/>
    <x v="3"/>
    <n v="3"/>
    <n v="4610"/>
    <n v="20"/>
    <x v="399"/>
    <x v="176"/>
    <s v=""/>
  </r>
  <r>
    <x v="1544"/>
    <x v="5"/>
    <s v="46.204391"/>
    <s v="6.143158"/>
    <x v="6"/>
    <s v="Medium (201-500)"/>
    <x v="4"/>
    <d v="2024-02-28T00:00:00"/>
    <x v="0"/>
    <x v="4"/>
    <n v="5"/>
    <x v="3"/>
    <n v="3"/>
    <n v="2071"/>
    <n v="70"/>
    <x v="166"/>
    <x v="176"/>
    <s v=""/>
  </r>
  <r>
    <x v="1545"/>
    <x v="6"/>
    <s v="48.864716"/>
    <s v="2.349014"/>
    <x v="8"/>
    <s v="Medium (201-500)"/>
    <x v="6"/>
    <d v="2024-01-02T00:00:00"/>
    <x v="2"/>
    <x v="4"/>
    <n v="5"/>
    <x v="3"/>
    <n v="3"/>
    <n v="911"/>
    <n v="40"/>
    <x v="188"/>
    <x v="176"/>
    <s v=""/>
  </r>
  <r>
    <x v="1546"/>
    <x v="8"/>
    <s v="38.736946"/>
    <s v="-9.142685"/>
    <x v="7"/>
    <s v="Medium (201-500)"/>
    <x v="0"/>
    <d v="2024-02-04T00:00:00"/>
    <x v="0"/>
    <x v="4"/>
    <n v="5"/>
    <x v="3"/>
    <n v="3"/>
    <n v="7703"/>
    <n v="40"/>
    <x v="239"/>
    <x v="176"/>
    <s v=""/>
  </r>
  <r>
    <x v="1547"/>
    <x v="2"/>
    <s v="41.902782"/>
    <s v="12.496366"/>
    <x v="11"/>
    <s v="Medium (201-500)"/>
    <x v="7"/>
    <d v="2024-01-31T00:00:00"/>
    <x v="2"/>
    <x v="4"/>
    <n v="5"/>
    <x v="3"/>
    <n v="3"/>
    <n v="7134"/>
    <n v="30"/>
    <x v="336"/>
    <x v="176"/>
    <s v=""/>
  </r>
  <r>
    <x v="1548"/>
    <x v="3"/>
    <s v="52.520008"/>
    <s v="13.404954"/>
    <x v="0"/>
    <s v="Medium (201-500)"/>
    <x v="3"/>
    <d v="2024-02-20T00:00:00"/>
    <x v="1"/>
    <x v="4"/>
    <n v="5"/>
    <x v="3"/>
    <n v="3"/>
    <n v="1184"/>
    <n v="50"/>
    <x v="113"/>
    <x v="176"/>
    <s v=""/>
  </r>
  <r>
    <x v="1549"/>
    <x v="5"/>
    <s v="46.204391"/>
    <s v="6.143158"/>
    <x v="6"/>
    <s v="Medium (201-500)"/>
    <x v="0"/>
    <d v="2024-03-07T00:00:00"/>
    <x v="1"/>
    <x v="4"/>
    <n v="5"/>
    <x v="3"/>
    <n v="3"/>
    <n v="767"/>
    <n v="70"/>
    <x v="426"/>
    <x v="176"/>
    <s v=""/>
  </r>
  <r>
    <x v="1550"/>
    <x v="7"/>
    <s v="48.210033"/>
    <s v="16.363449"/>
    <x v="0"/>
    <s v="Medium (201-500)"/>
    <x v="4"/>
    <d v="2024-05-09T00:00:00"/>
    <x v="0"/>
    <x v="4"/>
    <n v="5"/>
    <x v="3"/>
    <n v="3"/>
    <n v="4296"/>
    <n v="50"/>
    <x v="424"/>
    <x v="176"/>
    <s v=""/>
  </r>
  <r>
    <x v="1551"/>
    <x v="3"/>
    <s v="52.520008"/>
    <s v="13.404954"/>
    <x v="5"/>
    <s v="Medium (201-500)"/>
    <x v="2"/>
    <d v="2024-01-29T00:00:00"/>
    <x v="2"/>
    <x v="4"/>
    <n v="5"/>
    <x v="3"/>
    <n v="3"/>
    <n v="1395"/>
    <n v="30"/>
    <x v="370"/>
    <x v="176"/>
    <s v=""/>
  </r>
  <r>
    <x v="1552"/>
    <x v="1"/>
    <s v="40.416775"/>
    <s v="-3.703790"/>
    <x v="11"/>
    <s v="Medium (201-500)"/>
    <x v="6"/>
    <d v="2024-05-29T00:00:00"/>
    <x v="2"/>
    <x v="4"/>
    <n v="5"/>
    <x v="3"/>
    <n v="3"/>
    <n v="1440"/>
    <n v="40"/>
    <x v="226"/>
    <x v="176"/>
    <s v=""/>
  </r>
  <r>
    <x v="1553"/>
    <x v="6"/>
    <s v="48.864716"/>
    <s v="2.349014"/>
    <x v="13"/>
    <s v="Medium (201-500)"/>
    <x v="5"/>
    <d v="2024-03-19T00:00:00"/>
    <x v="0"/>
    <x v="4"/>
    <n v="5"/>
    <x v="3"/>
    <n v="3"/>
    <n v="3831"/>
    <n v="40"/>
    <x v="339"/>
    <x v="176"/>
    <s v=""/>
  </r>
  <r>
    <x v="1554"/>
    <x v="3"/>
    <s v="52.520008"/>
    <s v="13.404954"/>
    <x v="5"/>
    <s v="Medium (201-500)"/>
    <x v="5"/>
    <d v="2024-05-21T00:00:00"/>
    <x v="0"/>
    <x v="4"/>
    <n v="5"/>
    <x v="3"/>
    <n v="3"/>
    <n v="678"/>
    <n v="40"/>
    <x v="149"/>
    <x v="176"/>
    <s v=""/>
  </r>
  <r>
    <x v="1555"/>
    <x v="5"/>
    <s v="46.204391"/>
    <s v="6.143158"/>
    <x v="6"/>
    <s v="Medium (201-500)"/>
    <x v="3"/>
    <d v="2024-05-29T00:00:00"/>
    <x v="0"/>
    <x v="4"/>
    <n v="5"/>
    <x v="3"/>
    <n v="3"/>
    <n v="535"/>
    <n v="40"/>
    <x v="252"/>
    <x v="176"/>
    <s v=""/>
  </r>
  <r>
    <x v="1556"/>
    <x v="5"/>
    <s v="46.204391"/>
    <s v="6.143158"/>
    <x v="4"/>
    <s v="Medium (201-500)"/>
    <x v="4"/>
    <d v="2024-04-27T00:00:00"/>
    <x v="0"/>
    <x v="4"/>
    <n v="5"/>
    <x v="3"/>
    <n v="3"/>
    <n v="6841"/>
    <n v="40"/>
    <x v="31"/>
    <x v="176"/>
    <s v=""/>
  </r>
  <r>
    <x v="1557"/>
    <x v="1"/>
    <s v="40.416775"/>
    <s v="-3.703790"/>
    <x v="12"/>
    <s v="Medium (201-500)"/>
    <x v="1"/>
    <d v="2024-03-03T00:00:00"/>
    <x v="1"/>
    <x v="4"/>
    <n v="5"/>
    <x v="3"/>
    <n v="3"/>
    <n v="5122"/>
    <n v="40"/>
    <x v="195"/>
    <x v="176"/>
    <s v=""/>
  </r>
  <r>
    <x v="1558"/>
    <x v="8"/>
    <s v="38.736946"/>
    <s v="-9.142685"/>
    <x v="7"/>
    <s v="Medium (201-500)"/>
    <x v="5"/>
    <d v="2024-03-08T00:00:00"/>
    <x v="2"/>
    <x v="4"/>
    <n v="5"/>
    <x v="3"/>
    <n v="3"/>
    <n v="3449"/>
    <n v="50"/>
    <x v="174"/>
    <x v="176"/>
    <s v=""/>
  </r>
  <r>
    <x v="1559"/>
    <x v="5"/>
    <s v="46.204391"/>
    <s v="6.143158"/>
    <x v="2"/>
    <s v="Medium (201-500)"/>
    <x v="3"/>
    <d v="2024-01-10T00:00:00"/>
    <x v="1"/>
    <x v="4"/>
    <n v="5"/>
    <x v="3"/>
    <n v="3"/>
    <n v="1989"/>
    <n v="30"/>
    <x v="426"/>
    <x v="176"/>
    <s v=""/>
  </r>
  <r>
    <x v="1560"/>
    <x v="6"/>
    <s v="48.864716"/>
    <s v="2.349014"/>
    <x v="5"/>
    <s v="Medium (201-500)"/>
    <x v="4"/>
    <d v="2024-01-28T00:00:00"/>
    <x v="2"/>
    <x v="4"/>
    <n v="5"/>
    <x v="3"/>
    <n v="3"/>
    <n v="7029"/>
    <n v="50"/>
    <x v="95"/>
    <x v="176"/>
    <s v=""/>
  </r>
  <r>
    <x v="1561"/>
    <x v="3"/>
    <s v="52.520008"/>
    <s v="13.404954"/>
    <x v="8"/>
    <s v="Medium (201-500)"/>
    <x v="6"/>
    <d v="2024-01-08T00:00:00"/>
    <x v="0"/>
    <x v="4"/>
    <n v="5"/>
    <x v="3"/>
    <n v="3"/>
    <n v="431"/>
    <n v="60"/>
    <x v="341"/>
    <x v="176"/>
    <s v=""/>
  </r>
  <r>
    <x v="1562"/>
    <x v="4"/>
    <s v="51.260197"/>
    <s v="4.402771"/>
    <x v="4"/>
    <s v="Medium (201-500)"/>
    <x v="3"/>
    <d v="2024-01-08T00:00:00"/>
    <x v="2"/>
    <x v="4"/>
    <n v="5"/>
    <x v="3"/>
    <n v="3"/>
    <n v="3731"/>
    <n v="50"/>
    <x v="161"/>
    <x v="176"/>
    <s v=""/>
  </r>
  <r>
    <x v="1563"/>
    <x v="0"/>
    <s v="52.370216"/>
    <s v="4.895168"/>
    <x v="13"/>
    <s v="Medium (201-500)"/>
    <x v="2"/>
    <d v="2024-05-15T00:00:00"/>
    <x v="0"/>
    <x v="4"/>
    <n v="5"/>
    <x v="3"/>
    <n v="3"/>
    <n v="3030"/>
    <n v="20"/>
    <x v="158"/>
    <x v="176"/>
    <s v=""/>
  </r>
  <r>
    <x v="1564"/>
    <x v="3"/>
    <s v="52.520008"/>
    <s v="13.404954"/>
    <x v="9"/>
    <s v="Medium (201-500)"/>
    <x v="7"/>
    <d v="2024-04-30T00:00:00"/>
    <x v="2"/>
    <x v="4"/>
    <n v="5"/>
    <x v="3"/>
    <n v="3"/>
    <n v="7169"/>
    <n v="20"/>
    <x v="24"/>
    <x v="176"/>
    <s v=""/>
  </r>
  <r>
    <x v="1565"/>
    <x v="2"/>
    <s v="41.902782"/>
    <s v="12.496366"/>
    <x v="0"/>
    <s v="Medium (201-500)"/>
    <x v="6"/>
    <d v="2024-01-05T00:00:00"/>
    <x v="2"/>
    <x v="4"/>
    <n v="5"/>
    <x v="3"/>
    <n v="3"/>
    <n v="5386"/>
    <n v="40"/>
    <x v="158"/>
    <x v="176"/>
    <s v=""/>
  </r>
  <r>
    <x v="1566"/>
    <x v="0"/>
    <s v="52.370216"/>
    <s v="4.895168"/>
    <x v="8"/>
    <s v="Medium (201-500)"/>
    <x v="5"/>
    <d v="2024-04-09T00:00:00"/>
    <x v="0"/>
    <x v="4"/>
    <n v="5"/>
    <x v="3"/>
    <n v="3"/>
    <n v="1299"/>
    <n v="50"/>
    <x v="26"/>
    <x v="176"/>
    <s v=""/>
  </r>
  <r>
    <x v="1567"/>
    <x v="8"/>
    <s v="38.736946"/>
    <s v="-9.142685"/>
    <x v="4"/>
    <s v="Medium (201-500)"/>
    <x v="3"/>
    <d v="2024-03-12T00:00:00"/>
    <x v="2"/>
    <x v="4"/>
    <n v="5"/>
    <x v="3"/>
    <n v="3"/>
    <n v="534"/>
    <n v="50"/>
    <x v="54"/>
    <x v="176"/>
    <s v=""/>
  </r>
  <r>
    <x v="1568"/>
    <x v="4"/>
    <s v="51.260197"/>
    <s v="4.402771"/>
    <x v="2"/>
    <s v="Medium (201-500)"/>
    <x v="2"/>
    <d v="2024-04-01T00:00:00"/>
    <x v="0"/>
    <x v="4"/>
    <n v="5"/>
    <x v="3"/>
    <n v="3"/>
    <n v="1785"/>
    <n v="20"/>
    <x v="341"/>
    <x v="176"/>
    <s v=""/>
  </r>
  <r>
    <x v="1569"/>
    <x v="2"/>
    <s v="41.902782"/>
    <s v="12.496366"/>
    <x v="6"/>
    <s v="Medium (201-500)"/>
    <x v="4"/>
    <d v="2024-04-22T00:00:00"/>
    <x v="0"/>
    <x v="4"/>
    <n v="5"/>
    <x v="3"/>
    <n v="3"/>
    <n v="7551"/>
    <n v="20"/>
    <x v="427"/>
    <x v="176"/>
    <s v=""/>
  </r>
  <r>
    <x v="1570"/>
    <x v="2"/>
    <s v="41.902782"/>
    <s v="12.496366"/>
    <x v="8"/>
    <s v="Medium (201-500)"/>
    <x v="2"/>
    <d v="2024-05-08T00:00:00"/>
    <x v="0"/>
    <x v="4"/>
    <n v="5"/>
    <x v="3"/>
    <n v="3"/>
    <n v="5017"/>
    <n v="60"/>
    <x v="46"/>
    <x v="176"/>
    <s v=""/>
  </r>
  <r>
    <x v="1571"/>
    <x v="6"/>
    <s v="48.864716"/>
    <s v="2.349014"/>
    <x v="11"/>
    <s v="Medium (201-500)"/>
    <x v="7"/>
    <d v="2024-04-30T00:00:00"/>
    <x v="0"/>
    <x v="4"/>
    <n v="5"/>
    <x v="3"/>
    <n v="3"/>
    <n v="7055"/>
    <n v="70"/>
    <x v="149"/>
    <x v="176"/>
    <s v=""/>
  </r>
  <r>
    <x v="1572"/>
    <x v="5"/>
    <s v="46.204391"/>
    <s v="6.143158"/>
    <x v="4"/>
    <s v="Medium (201-500)"/>
    <x v="6"/>
    <d v="2024-03-26T00:00:00"/>
    <x v="1"/>
    <x v="4"/>
    <n v="5"/>
    <x v="3"/>
    <n v="3"/>
    <n v="2713"/>
    <n v="50"/>
    <x v="138"/>
    <x v="176"/>
    <s v=""/>
  </r>
  <r>
    <x v="1573"/>
    <x v="6"/>
    <s v="48.864716"/>
    <s v="2.349014"/>
    <x v="11"/>
    <s v="Medium (201-500)"/>
    <x v="3"/>
    <d v="2024-03-22T00:00:00"/>
    <x v="1"/>
    <x v="4"/>
    <n v="5"/>
    <x v="3"/>
    <n v="3"/>
    <n v="3423"/>
    <n v="60"/>
    <x v="95"/>
    <x v="176"/>
    <s v=""/>
  </r>
  <r>
    <x v="1574"/>
    <x v="8"/>
    <s v="38.736946"/>
    <s v="-9.142685"/>
    <x v="3"/>
    <s v="Medium (201-500)"/>
    <x v="4"/>
    <d v="2024-05-14T00:00:00"/>
    <x v="0"/>
    <x v="4"/>
    <n v="5"/>
    <x v="3"/>
    <n v="3"/>
    <n v="7899"/>
    <n v="50"/>
    <x v="276"/>
    <x v="176"/>
    <s v=""/>
  </r>
  <r>
    <x v="1575"/>
    <x v="0"/>
    <s v="52.370216"/>
    <s v="4.895168"/>
    <x v="3"/>
    <s v="Medium (201-500)"/>
    <x v="3"/>
    <d v="2024-03-12T00:00:00"/>
    <x v="2"/>
    <x v="4"/>
    <n v="5"/>
    <x v="3"/>
    <n v="3"/>
    <n v="5182"/>
    <n v="70"/>
    <x v="220"/>
    <x v="176"/>
    <s v=""/>
  </r>
  <r>
    <x v="1576"/>
    <x v="3"/>
    <s v="52.520008"/>
    <s v="13.404954"/>
    <x v="5"/>
    <s v="Medium (201-500)"/>
    <x v="0"/>
    <d v="2024-02-29T00:00:00"/>
    <x v="0"/>
    <x v="4"/>
    <n v="5"/>
    <x v="3"/>
    <n v="3"/>
    <n v="4640"/>
    <n v="50"/>
    <x v="140"/>
    <x v="176"/>
    <s v=""/>
  </r>
  <r>
    <x v="1577"/>
    <x v="5"/>
    <s v="46.204391"/>
    <s v="6.143158"/>
    <x v="4"/>
    <s v="Medium (201-500)"/>
    <x v="4"/>
    <d v="2024-01-03T00:00:00"/>
    <x v="1"/>
    <x v="4"/>
    <n v="5"/>
    <x v="3"/>
    <n v="3"/>
    <n v="1778"/>
    <n v="60"/>
    <x v="221"/>
    <x v="176"/>
    <s v=""/>
  </r>
  <r>
    <x v="1578"/>
    <x v="2"/>
    <s v="41.902782"/>
    <s v="12.496366"/>
    <x v="6"/>
    <s v="Medium (201-500)"/>
    <x v="1"/>
    <d v="2024-01-13T00:00:00"/>
    <x v="2"/>
    <x v="4"/>
    <n v="5"/>
    <x v="3"/>
    <n v="3"/>
    <n v="2485"/>
    <n v="10"/>
    <x v="211"/>
    <x v="176"/>
    <s v=""/>
  </r>
  <r>
    <x v="1579"/>
    <x v="6"/>
    <s v="48.864716"/>
    <s v="2.349014"/>
    <x v="11"/>
    <s v="Medium (201-500)"/>
    <x v="7"/>
    <d v="2024-04-04T00:00:00"/>
    <x v="2"/>
    <x v="4"/>
    <n v="5"/>
    <x v="3"/>
    <n v="3"/>
    <n v="805"/>
    <n v="30"/>
    <x v="227"/>
    <x v="176"/>
    <s v=""/>
  </r>
  <r>
    <x v="1580"/>
    <x v="0"/>
    <s v="52.370216"/>
    <s v="4.895168"/>
    <x v="3"/>
    <s v="Medium (201-500)"/>
    <x v="3"/>
    <d v="2024-02-06T00:00:00"/>
    <x v="2"/>
    <x v="4"/>
    <n v="5"/>
    <x v="3"/>
    <n v="3"/>
    <n v="4919"/>
    <n v="20"/>
    <x v="398"/>
    <x v="176"/>
    <s v=""/>
  </r>
  <r>
    <x v="1581"/>
    <x v="8"/>
    <s v="38.736946"/>
    <s v="-9.142685"/>
    <x v="10"/>
    <s v="Medium (201-500)"/>
    <x v="4"/>
    <d v="2024-01-03T00:00:00"/>
    <x v="2"/>
    <x v="4"/>
    <n v="5"/>
    <x v="3"/>
    <n v="3"/>
    <n v="1009"/>
    <n v="30"/>
    <x v="319"/>
    <x v="176"/>
    <s v=""/>
  </r>
  <r>
    <x v="1582"/>
    <x v="8"/>
    <s v="38.736946"/>
    <s v="-9.142685"/>
    <x v="4"/>
    <s v="Medium (201-500)"/>
    <x v="3"/>
    <d v="2024-03-04T00:00:00"/>
    <x v="1"/>
    <x v="4"/>
    <n v="5"/>
    <x v="3"/>
    <n v="3"/>
    <n v="4587"/>
    <n v="60"/>
    <x v="60"/>
    <x v="176"/>
    <s v=""/>
  </r>
  <r>
    <x v="1583"/>
    <x v="6"/>
    <s v="48.864716"/>
    <s v="2.349014"/>
    <x v="5"/>
    <s v="Medium (201-500)"/>
    <x v="3"/>
    <d v="2024-01-11T00:00:00"/>
    <x v="0"/>
    <x v="4"/>
    <n v="5"/>
    <x v="3"/>
    <n v="3"/>
    <n v="728"/>
    <n v="80"/>
    <x v="253"/>
    <x v="176"/>
    <s v=""/>
  </r>
  <r>
    <x v="1584"/>
    <x v="3"/>
    <s v="52.520008"/>
    <s v="13.404954"/>
    <x v="0"/>
    <s v="Medium (201-500)"/>
    <x v="3"/>
    <d v="2024-05-13T00:00:00"/>
    <x v="0"/>
    <x v="4"/>
    <n v="5"/>
    <x v="3"/>
    <n v="3"/>
    <n v="2331"/>
    <n v="40"/>
    <x v="68"/>
    <x v="176"/>
    <s v=""/>
  </r>
  <r>
    <x v="1585"/>
    <x v="3"/>
    <s v="52.520008"/>
    <s v="13.404954"/>
    <x v="4"/>
    <s v="Medium (201-500)"/>
    <x v="1"/>
    <d v="2024-03-24T00:00:00"/>
    <x v="2"/>
    <x v="4"/>
    <n v="5"/>
    <x v="3"/>
    <n v="3"/>
    <n v="4073"/>
    <n v="30"/>
    <x v="342"/>
    <x v="176"/>
    <s v=""/>
  </r>
  <r>
    <x v="1586"/>
    <x v="2"/>
    <s v="41.902782"/>
    <s v="12.496366"/>
    <x v="8"/>
    <s v="Medium (201-500)"/>
    <x v="2"/>
    <d v="2024-02-28T00:00:00"/>
    <x v="2"/>
    <x v="4"/>
    <n v="5"/>
    <x v="3"/>
    <n v="3"/>
    <n v="5905"/>
    <n v="10"/>
    <x v="66"/>
    <x v="176"/>
    <s v=""/>
  </r>
  <r>
    <x v="1587"/>
    <x v="3"/>
    <s v="52.520008"/>
    <s v="13.404954"/>
    <x v="5"/>
    <s v="Medium (201-500)"/>
    <x v="0"/>
    <d v="2024-05-06T00:00:00"/>
    <x v="0"/>
    <x v="4"/>
    <n v="5"/>
    <x v="3"/>
    <n v="3"/>
    <n v="2950"/>
    <n v="100"/>
    <x v="91"/>
    <x v="176"/>
    <s v=""/>
  </r>
  <r>
    <x v="1588"/>
    <x v="8"/>
    <s v="38.736946"/>
    <s v="-9.142685"/>
    <x v="3"/>
    <s v="Medium (201-500)"/>
    <x v="3"/>
    <d v="2024-02-28T00:00:00"/>
    <x v="0"/>
    <x v="4"/>
    <n v="5"/>
    <x v="3"/>
    <n v="3"/>
    <n v="6122"/>
    <n v="10"/>
    <x v="300"/>
    <x v="176"/>
    <s v=""/>
  </r>
  <r>
    <x v="1589"/>
    <x v="2"/>
    <s v="41.902782"/>
    <s v="12.496366"/>
    <x v="0"/>
    <s v="Medium (201-500)"/>
    <x v="1"/>
    <d v="2024-02-26T00:00:00"/>
    <x v="2"/>
    <x v="4"/>
    <n v="5"/>
    <x v="3"/>
    <n v="3"/>
    <n v="7780"/>
    <n v="80"/>
    <x v="40"/>
    <x v="176"/>
    <s v=""/>
  </r>
  <r>
    <x v="1590"/>
    <x v="4"/>
    <s v="51.260197"/>
    <s v="4.402771"/>
    <x v="8"/>
    <s v="Medium (201-500)"/>
    <x v="1"/>
    <d v="2024-02-21T00:00:00"/>
    <x v="0"/>
    <x v="4"/>
    <n v="5"/>
    <x v="3"/>
    <n v="3"/>
    <n v="3253"/>
    <n v="40"/>
    <x v="1"/>
    <x v="176"/>
    <s v=""/>
  </r>
  <r>
    <x v="1591"/>
    <x v="1"/>
    <s v="40.416775"/>
    <s v="-3.703790"/>
    <x v="11"/>
    <s v="Medium (201-500)"/>
    <x v="6"/>
    <d v="2024-04-06T00:00:00"/>
    <x v="2"/>
    <x v="4"/>
    <n v="5"/>
    <x v="3"/>
    <n v="3"/>
    <n v="4301"/>
    <n v="60"/>
    <x v="54"/>
    <x v="176"/>
    <s v=""/>
  </r>
  <r>
    <x v="1592"/>
    <x v="4"/>
    <s v="51.260197"/>
    <s v="4.402771"/>
    <x v="10"/>
    <s v="Medium (201-500)"/>
    <x v="0"/>
    <d v="2024-05-04T00:00:00"/>
    <x v="0"/>
    <x v="4"/>
    <n v="5"/>
    <x v="3"/>
    <n v="3"/>
    <n v="6505"/>
    <n v="80"/>
    <x v="129"/>
    <x v="176"/>
    <s v=""/>
  </r>
  <r>
    <x v="1593"/>
    <x v="8"/>
    <s v="38.736946"/>
    <s v="-9.142685"/>
    <x v="5"/>
    <s v="Medium (201-500)"/>
    <x v="0"/>
    <d v="2024-02-25T00:00:00"/>
    <x v="1"/>
    <x v="4"/>
    <n v="5"/>
    <x v="3"/>
    <n v="3"/>
    <n v="5576"/>
    <n v="10"/>
    <x v="312"/>
    <x v="176"/>
    <s v=""/>
  </r>
  <r>
    <x v="1594"/>
    <x v="5"/>
    <s v="46.204391"/>
    <s v="6.143158"/>
    <x v="12"/>
    <s v="Medium (201-500)"/>
    <x v="3"/>
    <d v="2024-04-04T00:00:00"/>
    <x v="2"/>
    <x v="4"/>
    <n v="5"/>
    <x v="3"/>
    <n v="3"/>
    <n v="1462"/>
    <n v="60"/>
    <x v="79"/>
    <x v="176"/>
    <s v=""/>
  </r>
  <r>
    <x v="1595"/>
    <x v="2"/>
    <s v="41.902782"/>
    <s v="12.496366"/>
    <x v="3"/>
    <s v="Medium (201-500)"/>
    <x v="2"/>
    <d v="2024-02-18T00:00:00"/>
    <x v="2"/>
    <x v="4"/>
    <n v="5"/>
    <x v="3"/>
    <n v="3"/>
    <n v="2795"/>
    <n v="70"/>
    <x v="251"/>
    <x v="176"/>
    <s v=""/>
  </r>
  <r>
    <x v="1596"/>
    <x v="6"/>
    <s v="48.864716"/>
    <s v="2.349014"/>
    <x v="13"/>
    <s v="Medium (201-500)"/>
    <x v="2"/>
    <d v="2024-03-11T00:00:00"/>
    <x v="0"/>
    <x v="4"/>
    <n v="5"/>
    <x v="3"/>
    <n v="3"/>
    <n v="1713"/>
    <n v="40"/>
    <x v="428"/>
    <x v="176"/>
    <s v=""/>
  </r>
  <r>
    <x v="1597"/>
    <x v="2"/>
    <s v="41.902782"/>
    <s v="12.496366"/>
    <x v="4"/>
    <s v="Medium (201-500)"/>
    <x v="6"/>
    <d v="2024-01-23T00:00:00"/>
    <x v="1"/>
    <x v="4"/>
    <n v="5"/>
    <x v="3"/>
    <n v="3"/>
    <n v="1681"/>
    <n v="50"/>
    <x v="429"/>
    <x v="176"/>
    <s v=""/>
  </r>
  <r>
    <x v="1598"/>
    <x v="6"/>
    <s v="48.864716"/>
    <s v="2.349014"/>
    <x v="0"/>
    <s v="Medium (201-500)"/>
    <x v="1"/>
    <d v="2024-01-30T00:00:00"/>
    <x v="0"/>
    <x v="4"/>
    <n v="5"/>
    <x v="3"/>
    <n v="3"/>
    <n v="5011"/>
    <n v="10"/>
    <x v="400"/>
    <x v="176"/>
    <s v=""/>
  </r>
  <r>
    <x v="1599"/>
    <x v="2"/>
    <s v="41.902782"/>
    <s v="12.496366"/>
    <x v="4"/>
    <s v="Medium (201-500)"/>
    <x v="7"/>
    <d v="2024-04-16T00:00:00"/>
    <x v="1"/>
    <x v="4"/>
    <n v="5"/>
    <x v="3"/>
    <n v="3"/>
    <n v="5828"/>
    <n v="20"/>
    <x v="86"/>
    <x v="176"/>
    <s v=""/>
  </r>
  <r>
    <x v="1600"/>
    <x v="3"/>
    <s v="52.520008"/>
    <s v="13.404954"/>
    <x v="3"/>
    <s v="Medium (201-500)"/>
    <x v="4"/>
    <d v="2024-01-29T00:00:00"/>
    <x v="0"/>
    <x v="4"/>
    <n v="5"/>
    <x v="3"/>
    <n v="3"/>
    <n v="5159"/>
    <n v="40"/>
    <x v="89"/>
    <x v="176"/>
    <s v=""/>
  </r>
  <r>
    <x v="1601"/>
    <x v="8"/>
    <s v="38.736946"/>
    <s v="-9.142685"/>
    <x v="4"/>
    <s v="Medium (201-500)"/>
    <x v="6"/>
    <d v="2024-05-29T00:00:00"/>
    <x v="2"/>
    <x v="4"/>
    <n v="5"/>
    <x v="3"/>
    <n v="3"/>
    <n v="3808"/>
    <n v="40"/>
    <x v="347"/>
    <x v="176"/>
    <s v=""/>
  </r>
  <r>
    <x v="1602"/>
    <x v="2"/>
    <s v="41.902782"/>
    <s v="12.496366"/>
    <x v="6"/>
    <s v="Medium (201-500)"/>
    <x v="4"/>
    <d v="2024-05-03T00:00:00"/>
    <x v="1"/>
    <x v="4"/>
    <n v="5"/>
    <x v="3"/>
    <n v="3"/>
    <n v="4480"/>
    <n v="50"/>
    <x v="262"/>
    <x v="176"/>
    <s v=""/>
  </r>
  <r>
    <x v="1603"/>
    <x v="4"/>
    <s v="51.260197"/>
    <s v="4.402771"/>
    <x v="3"/>
    <s v="Medium (201-500)"/>
    <x v="6"/>
    <d v="2024-01-26T00:00:00"/>
    <x v="0"/>
    <x v="4"/>
    <n v="5"/>
    <x v="3"/>
    <n v="3"/>
    <n v="710"/>
    <n v="40"/>
    <x v="339"/>
    <x v="176"/>
    <s v=""/>
  </r>
  <r>
    <x v="1604"/>
    <x v="6"/>
    <s v="48.864716"/>
    <s v="2.349014"/>
    <x v="4"/>
    <s v="Medium (201-500)"/>
    <x v="0"/>
    <d v="2024-03-08T00:00:00"/>
    <x v="2"/>
    <x v="4"/>
    <n v="5"/>
    <x v="3"/>
    <n v="3"/>
    <n v="7963"/>
    <n v="20"/>
    <x v="430"/>
    <x v="176"/>
    <s v=""/>
  </r>
  <r>
    <x v="1605"/>
    <x v="2"/>
    <s v="41.902782"/>
    <s v="12.496366"/>
    <x v="7"/>
    <s v="Medium (201-500)"/>
    <x v="2"/>
    <d v="2024-04-12T00:00:00"/>
    <x v="0"/>
    <x v="4"/>
    <n v="5"/>
    <x v="3"/>
    <n v="3"/>
    <n v="5180"/>
    <n v="70"/>
    <x v="157"/>
    <x v="176"/>
    <s v=""/>
  </r>
  <r>
    <x v="1606"/>
    <x v="5"/>
    <s v="46.204391"/>
    <s v="6.143158"/>
    <x v="6"/>
    <s v="Medium (201-500)"/>
    <x v="5"/>
    <d v="2024-03-26T00:00:00"/>
    <x v="0"/>
    <x v="4"/>
    <n v="5"/>
    <x v="3"/>
    <n v="3"/>
    <n v="1016"/>
    <n v="20"/>
    <x v="49"/>
    <x v="176"/>
    <s v=""/>
  </r>
  <r>
    <x v="1607"/>
    <x v="8"/>
    <s v="38.736946"/>
    <s v="-9.142685"/>
    <x v="11"/>
    <s v="Medium (201-500)"/>
    <x v="2"/>
    <d v="2024-02-04T00:00:00"/>
    <x v="0"/>
    <x v="4"/>
    <n v="5"/>
    <x v="3"/>
    <n v="3"/>
    <n v="3851"/>
    <n v="30"/>
    <x v="48"/>
    <x v="176"/>
    <s v=""/>
  </r>
  <r>
    <x v="1608"/>
    <x v="6"/>
    <s v="48.864716"/>
    <s v="2.349014"/>
    <x v="6"/>
    <s v="Medium (201-500)"/>
    <x v="5"/>
    <d v="2024-05-13T00:00:00"/>
    <x v="0"/>
    <x v="4"/>
    <n v="5"/>
    <x v="3"/>
    <n v="3"/>
    <n v="1140"/>
    <n v="90"/>
    <x v="71"/>
    <x v="176"/>
    <s v=""/>
  </r>
  <r>
    <x v="1609"/>
    <x v="5"/>
    <s v="46.204391"/>
    <s v="6.143158"/>
    <x v="10"/>
    <s v="Large (501-1000)"/>
    <x v="0"/>
    <d v="2024-03-23T00:00:00"/>
    <x v="1"/>
    <x v="4"/>
    <n v="5"/>
    <x v="3"/>
    <n v="3"/>
    <n v="14552"/>
    <n v="60"/>
    <x v="376"/>
    <x v="176"/>
    <s v=""/>
  </r>
  <r>
    <x v="1610"/>
    <x v="8"/>
    <s v="38.736946"/>
    <s v="-9.142685"/>
    <x v="5"/>
    <s v="Large (501-1000)"/>
    <x v="4"/>
    <d v="2024-02-12T00:00:00"/>
    <x v="0"/>
    <x v="4"/>
    <n v="5"/>
    <x v="3"/>
    <n v="3"/>
    <n v="5806"/>
    <n v="10"/>
    <x v="375"/>
    <x v="176"/>
    <s v=""/>
  </r>
  <r>
    <x v="1611"/>
    <x v="6"/>
    <s v="48.864716"/>
    <s v="2.349014"/>
    <x v="11"/>
    <s v="Large (501-1000)"/>
    <x v="4"/>
    <d v="2024-03-12T00:00:00"/>
    <x v="0"/>
    <x v="4"/>
    <n v="5"/>
    <x v="3"/>
    <n v="3"/>
    <n v="8727"/>
    <n v="100"/>
    <x v="175"/>
    <x v="176"/>
    <s v=""/>
  </r>
  <r>
    <x v="1612"/>
    <x v="5"/>
    <s v="46.204391"/>
    <s v="6.143158"/>
    <x v="8"/>
    <s v="Large (501-1000)"/>
    <x v="7"/>
    <d v="2024-04-02T00:00:00"/>
    <x v="2"/>
    <x v="4"/>
    <n v="5"/>
    <x v="3"/>
    <n v="3"/>
    <n v="9186"/>
    <n v="60"/>
    <x v="52"/>
    <x v="176"/>
    <s v=""/>
  </r>
  <r>
    <x v="1613"/>
    <x v="6"/>
    <s v="48.864716"/>
    <s v="2.349014"/>
    <x v="4"/>
    <s v="Large (501-1000)"/>
    <x v="5"/>
    <d v="2024-02-27T00:00:00"/>
    <x v="0"/>
    <x v="4"/>
    <n v="5"/>
    <x v="3"/>
    <n v="3"/>
    <n v="9819"/>
    <n v="50"/>
    <x v="70"/>
    <x v="176"/>
    <s v=""/>
  </r>
  <r>
    <x v="1614"/>
    <x v="5"/>
    <s v="46.204391"/>
    <s v="6.143158"/>
    <x v="10"/>
    <s v="Large (501-1000)"/>
    <x v="3"/>
    <d v="2024-02-06T00:00:00"/>
    <x v="0"/>
    <x v="4"/>
    <n v="5"/>
    <x v="3"/>
    <n v="3"/>
    <n v="16771"/>
    <n v="40"/>
    <x v="28"/>
    <x v="176"/>
    <s v=""/>
  </r>
  <r>
    <x v="1615"/>
    <x v="5"/>
    <s v="46.204391"/>
    <s v="6.143158"/>
    <x v="4"/>
    <s v="Enterprise (1001+)"/>
    <x v="7"/>
    <d v="2024-03-28T00:00:00"/>
    <x v="1"/>
    <x v="4"/>
    <n v="5"/>
    <x v="3"/>
    <n v="3"/>
    <n v="19226"/>
    <n v="20"/>
    <x v="147"/>
    <x v="176"/>
    <s v=""/>
  </r>
  <r>
    <x v="1616"/>
    <x v="3"/>
    <s v="52.520008"/>
    <s v="13.404954"/>
    <x v="12"/>
    <s v="Enterprise (1001+)"/>
    <x v="4"/>
    <d v="2024-02-24T00:00:00"/>
    <x v="2"/>
    <x v="4"/>
    <n v="5"/>
    <x v="3"/>
    <n v="3"/>
    <n v="3087"/>
    <n v="40"/>
    <x v="267"/>
    <x v="176"/>
    <s v=""/>
  </r>
  <r>
    <x v="1617"/>
    <x v="1"/>
    <s v="40.416775"/>
    <s v="-3.703790"/>
    <x v="5"/>
    <s v="Small (11-200)"/>
    <x v="2"/>
    <d v="2024-05-11T00:00:00"/>
    <x v="0"/>
    <x v="4"/>
    <n v="5"/>
    <x v="4"/>
    <n v="1"/>
    <n v="391"/>
    <n v="100"/>
    <x v="233"/>
    <x v="176"/>
    <s v=""/>
  </r>
  <r>
    <x v="1618"/>
    <x v="3"/>
    <s v="52.520008"/>
    <s v="13.404954"/>
    <x v="5"/>
    <s v="Small (11-200)"/>
    <x v="4"/>
    <d v="2024-01-16T00:00:00"/>
    <x v="2"/>
    <x v="4"/>
    <n v="5"/>
    <x v="4"/>
    <n v="1"/>
    <n v="314"/>
    <n v="10"/>
    <x v="256"/>
    <x v="176"/>
    <s v=""/>
  </r>
  <r>
    <x v="1619"/>
    <x v="2"/>
    <s v="41.902782"/>
    <s v="12.496366"/>
    <x v="4"/>
    <s v="Small (11-200)"/>
    <x v="7"/>
    <d v="2024-04-17T00:00:00"/>
    <x v="2"/>
    <x v="4"/>
    <n v="5"/>
    <x v="4"/>
    <n v="1"/>
    <n v="1628"/>
    <n v="30"/>
    <x v="431"/>
    <x v="176"/>
    <s v=""/>
  </r>
  <r>
    <x v="1620"/>
    <x v="2"/>
    <s v="41.902782"/>
    <s v="12.496366"/>
    <x v="1"/>
    <s v="Small (11-200)"/>
    <x v="3"/>
    <d v="2024-05-06T00:00:00"/>
    <x v="0"/>
    <x v="4"/>
    <n v="5"/>
    <x v="4"/>
    <n v="1"/>
    <n v="1546"/>
    <n v="60"/>
    <x v="432"/>
    <x v="176"/>
    <s v=""/>
  </r>
  <r>
    <x v="1621"/>
    <x v="0"/>
    <s v="52.370216"/>
    <s v="4.895168"/>
    <x v="6"/>
    <s v="Small (11-200)"/>
    <x v="5"/>
    <d v="2024-03-11T00:00:00"/>
    <x v="0"/>
    <x v="4"/>
    <n v="5"/>
    <x v="4"/>
    <n v="1"/>
    <n v="1925"/>
    <n v="50"/>
    <x v="259"/>
    <x v="176"/>
    <s v=""/>
  </r>
  <r>
    <x v="1622"/>
    <x v="5"/>
    <s v="46.204391"/>
    <s v="6.143158"/>
    <x v="4"/>
    <s v="Small (11-200)"/>
    <x v="5"/>
    <d v="2024-05-21T00:00:00"/>
    <x v="0"/>
    <x v="4"/>
    <n v="5"/>
    <x v="4"/>
    <n v="1"/>
    <n v="469"/>
    <n v="50"/>
    <x v="431"/>
    <x v="176"/>
    <s v=""/>
  </r>
  <r>
    <x v="1623"/>
    <x v="8"/>
    <s v="38.736946"/>
    <s v="-9.142685"/>
    <x v="0"/>
    <s v="Small (11-200)"/>
    <x v="3"/>
    <d v="2024-03-30T00:00:00"/>
    <x v="0"/>
    <x v="4"/>
    <n v="5"/>
    <x v="4"/>
    <n v="1"/>
    <n v="234"/>
    <n v="40"/>
    <x v="226"/>
    <x v="176"/>
    <s v=""/>
  </r>
  <r>
    <x v="1624"/>
    <x v="6"/>
    <s v="48.864716"/>
    <s v="2.349014"/>
    <x v="1"/>
    <s v="Small (11-200)"/>
    <x v="2"/>
    <d v="2024-04-06T00:00:00"/>
    <x v="2"/>
    <x v="4"/>
    <n v="5"/>
    <x v="4"/>
    <n v="1"/>
    <n v="1890"/>
    <n v="100"/>
    <x v="336"/>
    <x v="176"/>
    <s v=""/>
  </r>
  <r>
    <x v="1625"/>
    <x v="4"/>
    <s v="51.260197"/>
    <s v="4.402771"/>
    <x v="13"/>
    <s v="Small (11-200)"/>
    <x v="3"/>
    <d v="2024-04-07T00:00:00"/>
    <x v="2"/>
    <x v="4"/>
    <n v="5"/>
    <x v="4"/>
    <n v="1"/>
    <n v="536"/>
    <n v="20"/>
    <x v="191"/>
    <x v="176"/>
    <s v=""/>
  </r>
  <r>
    <x v="1626"/>
    <x v="4"/>
    <s v="51.260197"/>
    <s v="4.402771"/>
    <x v="0"/>
    <s v="Small (11-200)"/>
    <x v="4"/>
    <d v="2024-05-23T00:00:00"/>
    <x v="0"/>
    <x v="4"/>
    <n v="5"/>
    <x v="4"/>
    <n v="1"/>
    <n v="1982"/>
    <n v="30"/>
    <x v="11"/>
    <x v="176"/>
    <s v=""/>
  </r>
  <r>
    <x v="1627"/>
    <x v="2"/>
    <s v="41.902782"/>
    <s v="12.496366"/>
    <x v="0"/>
    <s v="Small (11-200)"/>
    <x v="4"/>
    <d v="2024-05-27T00:00:00"/>
    <x v="0"/>
    <x v="4"/>
    <n v="5"/>
    <x v="4"/>
    <n v="1"/>
    <n v="769"/>
    <n v="60"/>
    <x v="411"/>
    <x v="176"/>
    <s v=""/>
  </r>
  <r>
    <x v="1628"/>
    <x v="5"/>
    <s v="46.204391"/>
    <s v="6.143158"/>
    <x v="0"/>
    <s v="Small (11-200)"/>
    <x v="7"/>
    <d v="2024-03-16T00:00:00"/>
    <x v="2"/>
    <x v="4"/>
    <n v="5"/>
    <x v="4"/>
    <n v="1"/>
    <n v="1700"/>
    <n v="20"/>
    <x v="9"/>
    <x v="176"/>
    <s v=""/>
  </r>
  <r>
    <x v="1629"/>
    <x v="7"/>
    <s v="48.210033"/>
    <s v="16.363449"/>
    <x v="7"/>
    <s v="Small (11-200)"/>
    <x v="3"/>
    <d v="2024-02-11T00:00:00"/>
    <x v="2"/>
    <x v="4"/>
    <n v="5"/>
    <x v="4"/>
    <n v="1"/>
    <n v="1573"/>
    <n v="30"/>
    <x v="309"/>
    <x v="176"/>
    <s v=""/>
  </r>
  <r>
    <x v="1630"/>
    <x v="0"/>
    <s v="52.370216"/>
    <s v="4.895168"/>
    <x v="12"/>
    <s v="Small (11-200)"/>
    <x v="6"/>
    <d v="2024-03-01T00:00:00"/>
    <x v="1"/>
    <x v="4"/>
    <n v="5"/>
    <x v="4"/>
    <n v="1"/>
    <n v="1399"/>
    <n v="30"/>
    <x v="65"/>
    <x v="176"/>
    <s v=""/>
  </r>
  <r>
    <x v="1631"/>
    <x v="2"/>
    <s v="41.902782"/>
    <s v="12.496366"/>
    <x v="2"/>
    <s v="Small (11-200)"/>
    <x v="2"/>
    <d v="2024-01-24T00:00:00"/>
    <x v="0"/>
    <x v="4"/>
    <n v="5"/>
    <x v="4"/>
    <n v="1"/>
    <n v="1567"/>
    <n v="70"/>
    <x v="166"/>
    <x v="176"/>
    <s v=""/>
  </r>
  <r>
    <x v="1632"/>
    <x v="5"/>
    <s v="46.204391"/>
    <s v="6.143158"/>
    <x v="2"/>
    <s v="Small (11-200)"/>
    <x v="4"/>
    <d v="2024-01-13T00:00:00"/>
    <x v="0"/>
    <x v="4"/>
    <n v="5"/>
    <x v="4"/>
    <n v="1"/>
    <n v="1456"/>
    <n v="20"/>
    <x v="384"/>
    <x v="176"/>
    <s v=""/>
  </r>
  <r>
    <x v="1633"/>
    <x v="2"/>
    <s v="41.902782"/>
    <s v="12.496366"/>
    <x v="5"/>
    <s v="Small (11-200)"/>
    <x v="4"/>
    <d v="2024-04-28T00:00:00"/>
    <x v="0"/>
    <x v="4"/>
    <n v="5"/>
    <x v="4"/>
    <n v="1"/>
    <n v="1134"/>
    <n v="40"/>
    <x v="226"/>
    <x v="176"/>
    <s v=""/>
  </r>
  <r>
    <x v="1634"/>
    <x v="5"/>
    <s v="46.204391"/>
    <s v="6.143158"/>
    <x v="0"/>
    <s v="Small (11-200)"/>
    <x v="0"/>
    <d v="2024-01-14T00:00:00"/>
    <x v="0"/>
    <x v="4"/>
    <n v="5"/>
    <x v="4"/>
    <n v="1"/>
    <n v="1418"/>
    <n v="100"/>
    <x v="267"/>
    <x v="176"/>
    <s v=""/>
  </r>
  <r>
    <x v="1635"/>
    <x v="7"/>
    <s v="48.210033"/>
    <s v="16.363449"/>
    <x v="9"/>
    <s v="Small (11-200)"/>
    <x v="3"/>
    <d v="2024-01-22T00:00:00"/>
    <x v="2"/>
    <x v="4"/>
    <n v="5"/>
    <x v="4"/>
    <n v="1"/>
    <n v="1994"/>
    <n v="70"/>
    <x v="356"/>
    <x v="176"/>
    <s v=""/>
  </r>
  <r>
    <x v="1636"/>
    <x v="7"/>
    <s v="48.210033"/>
    <s v="16.363449"/>
    <x v="8"/>
    <s v="Small (11-200)"/>
    <x v="6"/>
    <d v="2024-03-10T00:00:00"/>
    <x v="0"/>
    <x v="4"/>
    <n v="5"/>
    <x v="4"/>
    <n v="1"/>
    <n v="597"/>
    <n v="40"/>
    <x v="151"/>
    <x v="176"/>
    <s v=""/>
  </r>
  <r>
    <x v="1637"/>
    <x v="3"/>
    <s v="52.520008"/>
    <s v="13.404954"/>
    <x v="8"/>
    <s v="Small (11-200)"/>
    <x v="4"/>
    <d v="2024-05-01T00:00:00"/>
    <x v="2"/>
    <x v="4"/>
    <n v="5"/>
    <x v="4"/>
    <n v="1"/>
    <n v="1332"/>
    <n v="90"/>
    <x v="196"/>
    <x v="176"/>
    <s v=""/>
  </r>
  <r>
    <x v="1638"/>
    <x v="3"/>
    <s v="52.520008"/>
    <s v="13.404954"/>
    <x v="5"/>
    <s v="Small (11-200)"/>
    <x v="3"/>
    <d v="2024-04-11T00:00:00"/>
    <x v="1"/>
    <x v="4"/>
    <n v="5"/>
    <x v="4"/>
    <n v="1"/>
    <n v="1600"/>
    <n v="40"/>
    <x v="278"/>
    <x v="176"/>
    <s v=""/>
  </r>
  <r>
    <x v="1639"/>
    <x v="3"/>
    <s v="52.520008"/>
    <s v="13.404954"/>
    <x v="1"/>
    <s v="Small (11-200)"/>
    <x v="5"/>
    <d v="2024-04-03T00:00:00"/>
    <x v="2"/>
    <x v="4"/>
    <n v="5"/>
    <x v="4"/>
    <n v="1"/>
    <n v="462"/>
    <n v="90"/>
    <x v="266"/>
    <x v="176"/>
    <s v=""/>
  </r>
  <r>
    <x v="1640"/>
    <x v="3"/>
    <s v="52.520008"/>
    <s v="13.404954"/>
    <x v="4"/>
    <s v="Small (11-200)"/>
    <x v="3"/>
    <d v="2024-01-13T00:00:00"/>
    <x v="0"/>
    <x v="4"/>
    <n v="5"/>
    <x v="4"/>
    <n v="1"/>
    <n v="404"/>
    <n v="40"/>
    <x v="433"/>
    <x v="176"/>
    <s v=""/>
  </r>
  <r>
    <x v="1641"/>
    <x v="8"/>
    <s v="38.736946"/>
    <s v="-9.142685"/>
    <x v="11"/>
    <s v="Micro (1-10)"/>
    <x v="4"/>
    <d v="2024-04-30T00:00:00"/>
    <x v="1"/>
    <x v="4"/>
    <n v="5"/>
    <x v="4"/>
    <n v="1"/>
    <n v="1000"/>
    <n v="20"/>
    <x v="119"/>
    <x v="176"/>
    <s v=""/>
  </r>
  <r>
    <x v="1642"/>
    <x v="4"/>
    <s v="51.260197"/>
    <s v="4.402771"/>
    <x v="10"/>
    <s v="Micro (1-10)"/>
    <x v="0"/>
    <d v="2024-04-01T00:00:00"/>
    <x v="1"/>
    <x v="4"/>
    <n v="5"/>
    <x v="4"/>
    <n v="1"/>
    <n v="1153"/>
    <n v="10"/>
    <x v="123"/>
    <x v="176"/>
    <s v=""/>
  </r>
  <r>
    <x v="1643"/>
    <x v="3"/>
    <s v="52.520008"/>
    <s v="13.404954"/>
    <x v="8"/>
    <s v="Micro (1-10)"/>
    <x v="4"/>
    <d v="2024-05-01T00:00:00"/>
    <x v="2"/>
    <x v="4"/>
    <n v="5"/>
    <x v="4"/>
    <n v="1"/>
    <n v="207"/>
    <n v="10"/>
    <x v="159"/>
    <x v="176"/>
    <s v=""/>
  </r>
  <r>
    <x v="1644"/>
    <x v="4"/>
    <s v="51.260197"/>
    <s v="4.402771"/>
    <x v="4"/>
    <s v="Micro (1-10)"/>
    <x v="1"/>
    <d v="2024-04-09T00:00:00"/>
    <x v="2"/>
    <x v="4"/>
    <n v="5"/>
    <x v="4"/>
    <n v="1"/>
    <n v="389"/>
    <n v="50"/>
    <x v="300"/>
    <x v="176"/>
    <s v=""/>
  </r>
  <r>
    <x v="1645"/>
    <x v="2"/>
    <s v="41.902782"/>
    <s v="12.496366"/>
    <x v="0"/>
    <s v="Micro (1-10)"/>
    <x v="6"/>
    <d v="2024-05-08T00:00:00"/>
    <x v="0"/>
    <x v="4"/>
    <n v="5"/>
    <x v="4"/>
    <n v="1"/>
    <n v="893"/>
    <n v="30"/>
    <x v="100"/>
    <x v="176"/>
    <s v=""/>
  </r>
  <r>
    <x v="1646"/>
    <x v="2"/>
    <s v="41.902782"/>
    <s v="12.496366"/>
    <x v="13"/>
    <s v="Micro (1-10)"/>
    <x v="0"/>
    <d v="2024-02-07T00:00:00"/>
    <x v="0"/>
    <x v="4"/>
    <n v="5"/>
    <x v="4"/>
    <n v="1"/>
    <n v="1147"/>
    <n v="30"/>
    <x v="30"/>
    <x v="176"/>
    <s v=""/>
  </r>
  <r>
    <x v="1647"/>
    <x v="4"/>
    <s v="51.260197"/>
    <s v="4.402771"/>
    <x v="9"/>
    <s v="Micro (1-10)"/>
    <x v="4"/>
    <d v="2024-04-12T00:00:00"/>
    <x v="0"/>
    <x v="4"/>
    <n v="5"/>
    <x v="4"/>
    <n v="1"/>
    <n v="1042"/>
    <n v="60"/>
    <x v="274"/>
    <x v="176"/>
    <s v=""/>
  </r>
  <r>
    <x v="1648"/>
    <x v="0"/>
    <s v="52.370216"/>
    <s v="4.895168"/>
    <x v="6"/>
    <s v="Micro (1-10)"/>
    <x v="4"/>
    <d v="2024-01-31T00:00:00"/>
    <x v="0"/>
    <x v="4"/>
    <n v="5"/>
    <x v="4"/>
    <n v="1"/>
    <n v="1021"/>
    <n v="30"/>
    <x v="411"/>
    <x v="176"/>
    <s v=""/>
  </r>
  <r>
    <x v="1649"/>
    <x v="1"/>
    <s v="40.416775"/>
    <s v="-3.703790"/>
    <x v="0"/>
    <s v="Micro (1-10)"/>
    <x v="2"/>
    <d v="2024-04-10T00:00:00"/>
    <x v="0"/>
    <x v="4"/>
    <n v="5"/>
    <x v="4"/>
    <n v="1"/>
    <n v="729"/>
    <n v="100"/>
    <x v="390"/>
    <x v="176"/>
    <s v=""/>
  </r>
  <r>
    <x v="1650"/>
    <x v="2"/>
    <s v="41.902782"/>
    <s v="12.496366"/>
    <x v="6"/>
    <s v="Micro (1-10)"/>
    <x v="4"/>
    <d v="2024-03-07T00:00:00"/>
    <x v="2"/>
    <x v="4"/>
    <n v="5"/>
    <x v="4"/>
    <n v="1"/>
    <n v="271"/>
    <n v="20"/>
    <x v="247"/>
    <x v="176"/>
    <s v=""/>
  </r>
  <r>
    <x v="1651"/>
    <x v="5"/>
    <s v="46.204391"/>
    <s v="6.143158"/>
    <x v="8"/>
    <s v="Micro (1-10)"/>
    <x v="4"/>
    <d v="2024-01-11T00:00:00"/>
    <x v="0"/>
    <x v="4"/>
    <n v="5"/>
    <x v="4"/>
    <n v="1"/>
    <n v="386"/>
    <n v="40"/>
    <x v="410"/>
    <x v="176"/>
    <s v=""/>
  </r>
  <r>
    <x v="1652"/>
    <x v="7"/>
    <s v="48.210033"/>
    <s v="16.363449"/>
    <x v="2"/>
    <s v="Micro (1-10)"/>
    <x v="3"/>
    <d v="2024-01-28T00:00:00"/>
    <x v="0"/>
    <x v="4"/>
    <n v="5"/>
    <x v="4"/>
    <n v="1"/>
    <n v="746"/>
    <n v="30"/>
    <x v="7"/>
    <x v="176"/>
    <s v=""/>
  </r>
  <r>
    <x v="1653"/>
    <x v="7"/>
    <s v="48.210033"/>
    <s v="16.363449"/>
    <x v="8"/>
    <s v="Micro (1-10)"/>
    <x v="2"/>
    <d v="2024-01-05T00:00:00"/>
    <x v="1"/>
    <x v="4"/>
    <n v="5"/>
    <x v="4"/>
    <n v="1"/>
    <n v="1083"/>
    <n v="20"/>
    <x v="117"/>
    <x v="176"/>
    <s v=""/>
  </r>
  <r>
    <x v="1654"/>
    <x v="2"/>
    <s v="41.902782"/>
    <s v="12.496366"/>
    <x v="6"/>
    <s v="Micro (1-10)"/>
    <x v="4"/>
    <d v="2024-04-06T00:00:00"/>
    <x v="2"/>
    <x v="4"/>
    <n v="5"/>
    <x v="4"/>
    <n v="1"/>
    <n v="717"/>
    <n v="50"/>
    <x v="276"/>
    <x v="176"/>
    <s v=""/>
  </r>
  <r>
    <x v="1655"/>
    <x v="6"/>
    <s v="48.864716"/>
    <s v="2.349014"/>
    <x v="5"/>
    <s v="Micro (1-10)"/>
    <x v="2"/>
    <d v="2024-04-12T00:00:00"/>
    <x v="0"/>
    <x v="4"/>
    <n v="5"/>
    <x v="4"/>
    <n v="1"/>
    <n v="385"/>
    <n v="60"/>
    <x v="155"/>
    <x v="176"/>
    <s v=""/>
  </r>
  <r>
    <x v="1656"/>
    <x v="8"/>
    <s v="38.736946"/>
    <s v="-9.142685"/>
    <x v="12"/>
    <s v="Micro (1-10)"/>
    <x v="3"/>
    <d v="2024-01-13T00:00:00"/>
    <x v="0"/>
    <x v="4"/>
    <n v="5"/>
    <x v="4"/>
    <n v="1"/>
    <n v="532"/>
    <n v="100"/>
    <x v="193"/>
    <x v="176"/>
    <s v=""/>
  </r>
  <r>
    <x v="1657"/>
    <x v="2"/>
    <s v="41.902782"/>
    <s v="12.496366"/>
    <x v="5"/>
    <s v="Micro (1-10)"/>
    <x v="4"/>
    <d v="2024-03-10T00:00:00"/>
    <x v="1"/>
    <x v="4"/>
    <n v="5"/>
    <x v="4"/>
    <n v="1"/>
    <n v="615"/>
    <n v="60"/>
    <x v="33"/>
    <x v="176"/>
    <s v=""/>
  </r>
  <r>
    <x v="1658"/>
    <x v="8"/>
    <s v="38.736946"/>
    <s v="-9.142685"/>
    <x v="9"/>
    <s v="Medium (201-500)"/>
    <x v="7"/>
    <d v="2024-03-21T00:00:00"/>
    <x v="1"/>
    <x v="4"/>
    <n v="5"/>
    <x v="4"/>
    <n v="1"/>
    <n v="1042"/>
    <n v="60"/>
    <x v="381"/>
    <x v="176"/>
    <s v=""/>
  </r>
  <r>
    <x v="1659"/>
    <x v="5"/>
    <s v="46.204391"/>
    <s v="6.143158"/>
    <x v="10"/>
    <s v="Medium (201-500)"/>
    <x v="2"/>
    <d v="2024-02-09T00:00:00"/>
    <x v="1"/>
    <x v="4"/>
    <n v="5"/>
    <x v="4"/>
    <n v="1"/>
    <n v="7375"/>
    <n v="30"/>
    <x v="134"/>
    <x v="176"/>
    <s v=""/>
  </r>
  <r>
    <x v="1660"/>
    <x v="3"/>
    <s v="52.520008"/>
    <s v="13.404954"/>
    <x v="1"/>
    <s v="Medium (201-500)"/>
    <x v="2"/>
    <d v="2024-03-25T00:00:00"/>
    <x v="2"/>
    <x v="4"/>
    <n v="5"/>
    <x v="4"/>
    <n v="1"/>
    <n v="2976"/>
    <n v="30"/>
    <x v="173"/>
    <x v="176"/>
    <s v=""/>
  </r>
  <r>
    <x v="1661"/>
    <x v="4"/>
    <s v="51.260197"/>
    <s v="4.402771"/>
    <x v="0"/>
    <s v="Medium (201-500)"/>
    <x v="5"/>
    <d v="2024-01-04T00:00:00"/>
    <x v="2"/>
    <x v="4"/>
    <n v="5"/>
    <x v="4"/>
    <n v="1"/>
    <n v="1111"/>
    <n v="20"/>
    <x v="319"/>
    <x v="176"/>
    <s v=""/>
  </r>
  <r>
    <x v="1662"/>
    <x v="1"/>
    <s v="40.416775"/>
    <s v="-3.703790"/>
    <x v="10"/>
    <s v="Medium (201-500)"/>
    <x v="3"/>
    <d v="2024-05-11T00:00:00"/>
    <x v="0"/>
    <x v="4"/>
    <n v="5"/>
    <x v="4"/>
    <n v="1"/>
    <n v="1978"/>
    <n v="20"/>
    <x v="382"/>
    <x v="176"/>
    <s v=""/>
  </r>
  <r>
    <x v="1663"/>
    <x v="2"/>
    <s v="41.902782"/>
    <s v="12.496366"/>
    <x v="4"/>
    <s v="Medium (201-500)"/>
    <x v="3"/>
    <d v="2024-04-12T00:00:00"/>
    <x v="0"/>
    <x v="4"/>
    <n v="5"/>
    <x v="4"/>
    <n v="1"/>
    <n v="2355"/>
    <n v="20"/>
    <x v="204"/>
    <x v="176"/>
    <s v=""/>
  </r>
  <r>
    <x v="1664"/>
    <x v="0"/>
    <s v="52.370216"/>
    <s v="4.895168"/>
    <x v="3"/>
    <s v="Medium (201-500)"/>
    <x v="6"/>
    <d v="2024-03-31T00:00:00"/>
    <x v="2"/>
    <x v="4"/>
    <n v="5"/>
    <x v="4"/>
    <n v="1"/>
    <n v="1935"/>
    <n v="20"/>
    <x v="29"/>
    <x v="176"/>
    <s v=""/>
  </r>
  <r>
    <x v="1665"/>
    <x v="6"/>
    <s v="48.864716"/>
    <s v="2.349014"/>
    <x v="0"/>
    <s v="Medium (201-500)"/>
    <x v="1"/>
    <d v="2024-04-09T00:00:00"/>
    <x v="0"/>
    <x v="4"/>
    <n v="5"/>
    <x v="4"/>
    <n v="1"/>
    <n v="837"/>
    <n v="80"/>
    <x v="412"/>
    <x v="176"/>
    <s v=""/>
  </r>
  <r>
    <x v="1666"/>
    <x v="3"/>
    <s v="52.520008"/>
    <s v="13.404954"/>
    <x v="4"/>
    <s v="Medium (201-500)"/>
    <x v="3"/>
    <d v="2024-03-18T00:00:00"/>
    <x v="0"/>
    <x v="4"/>
    <n v="5"/>
    <x v="4"/>
    <n v="1"/>
    <n v="1774"/>
    <n v="50"/>
    <x v="59"/>
    <x v="176"/>
    <s v=""/>
  </r>
  <r>
    <x v="1667"/>
    <x v="6"/>
    <s v="48.864716"/>
    <s v="2.349014"/>
    <x v="4"/>
    <s v="Medium (201-500)"/>
    <x v="3"/>
    <d v="2024-02-25T00:00:00"/>
    <x v="0"/>
    <x v="4"/>
    <n v="5"/>
    <x v="4"/>
    <n v="1"/>
    <n v="1964"/>
    <n v="60"/>
    <x v="25"/>
    <x v="176"/>
    <s v=""/>
  </r>
  <r>
    <x v="1668"/>
    <x v="2"/>
    <s v="41.902782"/>
    <s v="12.496366"/>
    <x v="4"/>
    <s v="Medium (201-500)"/>
    <x v="5"/>
    <d v="2024-05-15T00:00:00"/>
    <x v="2"/>
    <x v="4"/>
    <n v="5"/>
    <x v="4"/>
    <n v="1"/>
    <n v="3157"/>
    <n v="100"/>
    <x v="137"/>
    <x v="176"/>
    <s v=""/>
  </r>
  <r>
    <x v="1669"/>
    <x v="2"/>
    <s v="41.902782"/>
    <s v="12.496366"/>
    <x v="4"/>
    <s v="Medium (201-500)"/>
    <x v="0"/>
    <d v="2024-04-18T00:00:00"/>
    <x v="1"/>
    <x v="4"/>
    <n v="5"/>
    <x v="4"/>
    <n v="1"/>
    <n v="6618"/>
    <n v="10"/>
    <x v="105"/>
    <x v="176"/>
    <s v=""/>
  </r>
  <r>
    <x v="1670"/>
    <x v="4"/>
    <s v="51.260197"/>
    <s v="4.402771"/>
    <x v="0"/>
    <s v="Medium (201-500)"/>
    <x v="3"/>
    <d v="2024-03-23T00:00:00"/>
    <x v="2"/>
    <x v="4"/>
    <n v="5"/>
    <x v="4"/>
    <n v="1"/>
    <n v="7091"/>
    <n v="50"/>
    <x v="50"/>
    <x v="176"/>
    <s v=""/>
  </r>
  <r>
    <x v="1671"/>
    <x v="4"/>
    <s v="51.260197"/>
    <s v="4.402771"/>
    <x v="12"/>
    <s v="Medium (201-500)"/>
    <x v="5"/>
    <d v="2024-02-29T00:00:00"/>
    <x v="0"/>
    <x v="4"/>
    <n v="5"/>
    <x v="4"/>
    <n v="1"/>
    <n v="1898"/>
    <n v="40"/>
    <x v="348"/>
    <x v="176"/>
    <s v=""/>
  </r>
  <r>
    <x v="1672"/>
    <x v="8"/>
    <s v="38.736946"/>
    <s v="-9.142685"/>
    <x v="13"/>
    <s v="Medium (201-500)"/>
    <x v="2"/>
    <d v="2024-03-05T00:00:00"/>
    <x v="1"/>
    <x v="4"/>
    <n v="5"/>
    <x v="4"/>
    <n v="1"/>
    <n v="3098"/>
    <n v="20"/>
    <x v="360"/>
    <x v="176"/>
    <s v=""/>
  </r>
  <r>
    <x v="1673"/>
    <x v="8"/>
    <s v="38.736946"/>
    <s v="-9.142685"/>
    <x v="10"/>
    <s v="Medium (201-500)"/>
    <x v="0"/>
    <d v="2024-03-02T00:00:00"/>
    <x v="0"/>
    <x v="4"/>
    <n v="5"/>
    <x v="4"/>
    <n v="1"/>
    <n v="2741"/>
    <n v="30"/>
    <x v="31"/>
    <x v="176"/>
    <s v=""/>
  </r>
  <r>
    <x v="1674"/>
    <x v="2"/>
    <s v="41.902782"/>
    <s v="12.496366"/>
    <x v="4"/>
    <s v="Medium (201-500)"/>
    <x v="2"/>
    <d v="2024-01-14T00:00:00"/>
    <x v="1"/>
    <x v="4"/>
    <n v="5"/>
    <x v="4"/>
    <n v="1"/>
    <n v="4042"/>
    <n v="30"/>
    <x v="175"/>
    <x v="176"/>
    <s v=""/>
  </r>
  <r>
    <x v="1675"/>
    <x v="0"/>
    <s v="52.370216"/>
    <s v="4.895168"/>
    <x v="4"/>
    <s v="Medium (201-500)"/>
    <x v="4"/>
    <d v="2024-02-25T00:00:00"/>
    <x v="2"/>
    <x v="4"/>
    <n v="5"/>
    <x v="4"/>
    <n v="1"/>
    <n v="3123"/>
    <n v="40"/>
    <x v="297"/>
    <x v="176"/>
    <s v=""/>
  </r>
  <r>
    <x v="1676"/>
    <x v="6"/>
    <s v="48.864716"/>
    <s v="2.349014"/>
    <x v="0"/>
    <s v="Medium (201-500)"/>
    <x v="5"/>
    <d v="2024-04-14T00:00:00"/>
    <x v="2"/>
    <x v="4"/>
    <n v="5"/>
    <x v="4"/>
    <n v="1"/>
    <n v="5056"/>
    <n v="80"/>
    <x v="415"/>
    <x v="176"/>
    <s v=""/>
  </r>
  <r>
    <x v="1677"/>
    <x v="3"/>
    <s v="52.520008"/>
    <s v="13.404954"/>
    <x v="4"/>
    <s v="Medium (201-500)"/>
    <x v="4"/>
    <d v="2024-05-18T00:00:00"/>
    <x v="0"/>
    <x v="4"/>
    <n v="5"/>
    <x v="4"/>
    <n v="1"/>
    <n v="1422"/>
    <n v="30"/>
    <x v="150"/>
    <x v="176"/>
    <s v=""/>
  </r>
  <r>
    <x v="1678"/>
    <x v="1"/>
    <s v="40.416775"/>
    <s v="-3.703790"/>
    <x v="7"/>
    <s v="Medium (201-500)"/>
    <x v="5"/>
    <d v="2024-05-10T00:00:00"/>
    <x v="2"/>
    <x v="4"/>
    <n v="5"/>
    <x v="4"/>
    <n v="1"/>
    <n v="1671"/>
    <n v="100"/>
    <x v="226"/>
    <x v="176"/>
    <s v=""/>
  </r>
  <r>
    <x v="1679"/>
    <x v="6"/>
    <s v="48.864716"/>
    <s v="2.349014"/>
    <x v="2"/>
    <s v="Large (501-1000)"/>
    <x v="3"/>
    <d v="2024-05-21T00:00:00"/>
    <x v="0"/>
    <x v="4"/>
    <n v="5"/>
    <x v="4"/>
    <n v="1"/>
    <n v="13700"/>
    <n v="50"/>
    <x v="290"/>
    <x v="176"/>
    <s v=""/>
  </r>
  <r>
    <x v="1680"/>
    <x v="6"/>
    <s v="48.864716"/>
    <s v="2.349014"/>
    <x v="8"/>
    <s v="Enterprise (1001+)"/>
    <x v="5"/>
    <d v="2024-02-10T00:00:00"/>
    <x v="0"/>
    <x v="4"/>
    <n v="5"/>
    <x v="4"/>
    <n v="1"/>
    <n v="13263"/>
    <n v="50"/>
    <x v="89"/>
    <x v="176"/>
    <s v=""/>
  </r>
  <r>
    <x v="1681"/>
    <x v="4"/>
    <s v="51.260197"/>
    <s v="4.402771"/>
    <x v="11"/>
    <s v="Enterprise (1001+)"/>
    <x v="6"/>
    <d v="2024-01-07T00:00:00"/>
    <x v="0"/>
    <x v="4"/>
    <n v="5"/>
    <x v="4"/>
    <n v="1"/>
    <n v="5197"/>
    <n v="40"/>
    <x v="166"/>
    <x v="176"/>
    <s v=""/>
  </r>
  <r>
    <x v="1682"/>
    <x v="6"/>
    <s v="48.864716"/>
    <s v="2.349014"/>
    <x v="8"/>
    <s v="Small (11-200)"/>
    <x v="0"/>
    <d v="2024-02-14T00:00:00"/>
    <x v="2"/>
    <x v="4"/>
    <n v="5"/>
    <x v="5"/>
    <n v="4"/>
    <n v="1527"/>
    <n v="40"/>
    <x v="167"/>
    <x v="176"/>
    <s v=""/>
  </r>
  <r>
    <x v="1683"/>
    <x v="1"/>
    <s v="40.416775"/>
    <s v="-3.703790"/>
    <x v="12"/>
    <s v="Small (11-200)"/>
    <x v="5"/>
    <d v="2024-03-29T00:00:00"/>
    <x v="2"/>
    <x v="4"/>
    <n v="5"/>
    <x v="5"/>
    <n v="4"/>
    <n v="720"/>
    <n v="100"/>
    <x v="85"/>
    <x v="176"/>
    <s v=""/>
  </r>
  <r>
    <x v="1684"/>
    <x v="6"/>
    <s v="48.864716"/>
    <s v="2.349014"/>
    <x v="4"/>
    <s v="Small (11-200)"/>
    <x v="1"/>
    <d v="2024-02-19T00:00:00"/>
    <x v="1"/>
    <x v="4"/>
    <n v="5"/>
    <x v="5"/>
    <n v="4"/>
    <n v="1310"/>
    <n v="20"/>
    <x v="155"/>
    <x v="176"/>
    <s v=""/>
  </r>
  <r>
    <x v="1685"/>
    <x v="0"/>
    <s v="52.370216"/>
    <s v="4.895168"/>
    <x v="13"/>
    <s v="Small (11-200)"/>
    <x v="4"/>
    <d v="2024-03-14T00:00:00"/>
    <x v="1"/>
    <x v="4"/>
    <n v="5"/>
    <x v="5"/>
    <n v="4"/>
    <n v="1605"/>
    <n v="40"/>
    <x v="387"/>
    <x v="176"/>
    <s v=""/>
  </r>
  <r>
    <x v="1686"/>
    <x v="6"/>
    <s v="48.864716"/>
    <s v="2.349014"/>
    <x v="0"/>
    <s v="Small (11-200)"/>
    <x v="1"/>
    <d v="2024-03-09T00:00:00"/>
    <x v="2"/>
    <x v="4"/>
    <n v="5"/>
    <x v="5"/>
    <n v="4"/>
    <n v="838"/>
    <n v="100"/>
    <x v="260"/>
    <x v="176"/>
    <s v=""/>
  </r>
  <r>
    <x v="1687"/>
    <x v="3"/>
    <s v="52.520008"/>
    <s v="13.404954"/>
    <x v="8"/>
    <s v="Small (11-200)"/>
    <x v="2"/>
    <d v="2024-03-09T00:00:00"/>
    <x v="2"/>
    <x v="4"/>
    <n v="5"/>
    <x v="5"/>
    <n v="4"/>
    <n v="708"/>
    <n v="40"/>
    <x v="209"/>
    <x v="176"/>
    <s v=""/>
  </r>
  <r>
    <x v="1688"/>
    <x v="5"/>
    <s v="46.204391"/>
    <s v="6.143158"/>
    <x v="13"/>
    <s v="Small (11-200)"/>
    <x v="2"/>
    <d v="2024-01-03T00:00:00"/>
    <x v="2"/>
    <x v="4"/>
    <n v="5"/>
    <x v="5"/>
    <n v="4"/>
    <n v="1391"/>
    <n v="60"/>
    <x v="117"/>
    <x v="176"/>
    <s v=""/>
  </r>
  <r>
    <x v="1689"/>
    <x v="3"/>
    <s v="52.520008"/>
    <s v="13.404954"/>
    <x v="8"/>
    <s v="Small (11-200)"/>
    <x v="4"/>
    <d v="2024-04-23T00:00:00"/>
    <x v="0"/>
    <x v="4"/>
    <n v="5"/>
    <x v="5"/>
    <n v="4"/>
    <n v="826"/>
    <n v="60"/>
    <x v="252"/>
    <x v="176"/>
    <s v=""/>
  </r>
  <r>
    <x v="1690"/>
    <x v="0"/>
    <s v="52.370216"/>
    <s v="4.895168"/>
    <x v="2"/>
    <s v="Small (11-200)"/>
    <x v="4"/>
    <d v="2024-01-16T00:00:00"/>
    <x v="0"/>
    <x v="4"/>
    <n v="5"/>
    <x v="5"/>
    <n v="4"/>
    <n v="1174"/>
    <n v="40"/>
    <x v="82"/>
    <x v="176"/>
    <s v=""/>
  </r>
  <r>
    <x v="1691"/>
    <x v="1"/>
    <s v="40.416775"/>
    <s v="-3.703790"/>
    <x v="1"/>
    <s v="Small (11-200)"/>
    <x v="3"/>
    <d v="2024-03-05T00:00:00"/>
    <x v="2"/>
    <x v="4"/>
    <n v="5"/>
    <x v="5"/>
    <n v="4"/>
    <n v="1245"/>
    <n v="20"/>
    <x v="274"/>
    <x v="176"/>
    <s v=""/>
  </r>
  <r>
    <x v="1692"/>
    <x v="7"/>
    <s v="48.210033"/>
    <s v="16.363449"/>
    <x v="0"/>
    <s v="Small (11-200)"/>
    <x v="2"/>
    <d v="2024-02-02T00:00:00"/>
    <x v="0"/>
    <x v="4"/>
    <n v="5"/>
    <x v="5"/>
    <n v="4"/>
    <n v="1215"/>
    <n v="30"/>
    <x v="70"/>
    <x v="176"/>
    <s v=""/>
  </r>
  <r>
    <x v="1693"/>
    <x v="5"/>
    <s v="46.204391"/>
    <s v="6.143158"/>
    <x v="0"/>
    <s v="Small (11-200)"/>
    <x v="3"/>
    <d v="2024-03-19T00:00:00"/>
    <x v="1"/>
    <x v="4"/>
    <n v="5"/>
    <x v="5"/>
    <n v="4"/>
    <n v="1203"/>
    <n v="40"/>
    <x v="218"/>
    <x v="176"/>
    <s v=""/>
  </r>
  <r>
    <x v="1694"/>
    <x v="1"/>
    <s v="40.416775"/>
    <s v="-3.703790"/>
    <x v="12"/>
    <s v="Small (11-200)"/>
    <x v="3"/>
    <d v="2024-02-10T00:00:00"/>
    <x v="1"/>
    <x v="4"/>
    <n v="5"/>
    <x v="5"/>
    <n v="4"/>
    <n v="1325"/>
    <n v="50"/>
    <x v="291"/>
    <x v="176"/>
    <s v=""/>
  </r>
  <r>
    <x v="1695"/>
    <x v="5"/>
    <s v="46.204391"/>
    <s v="6.143158"/>
    <x v="5"/>
    <s v="Small (11-200)"/>
    <x v="3"/>
    <d v="2024-04-27T00:00:00"/>
    <x v="0"/>
    <x v="4"/>
    <n v="5"/>
    <x v="5"/>
    <n v="4"/>
    <n v="1856"/>
    <n v="20"/>
    <x v="338"/>
    <x v="176"/>
    <s v=""/>
  </r>
  <r>
    <x v="1696"/>
    <x v="2"/>
    <s v="41.902782"/>
    <s v="12.496366"/>
    <x v="4"/>
    <s v="Small (11-200)"/>
    <x v="4"/>
    <d v="2024-03-16T00:00:00"/>
    <x v="1"/>
    <x v="4"/>
    <n v="5"/>
    <x v="5"/>
    <n v="4"/>
    <n v="663"/>
    <n v="50"/>
    <x v="248"/>
    <x v="176"/>
    <s v=""/>
  </r>
  <r>
    <x v="1697"/>
    <x v="0"/>
    <s v="52.370216"/>
    <s v="4.895168"/>
    <x v="5"/>
    <s v="Small (11-200)"/>
    <x v="4"/>
    <d v="2024-02-29T00:00:00"/>
    <x v="0"/>
    <x v="4"/>
    <n v="5"/>
    <x v="5"/>
    <n v="4"/>
    <n v="1589"/>
    <n v="30"/>
    <x v="1"/>
    <x v="176"/>
    <s v=""/>
  </r>
  <r>
    <x v="1698"/>
    <x v="8"/>
    <s v="38.736946"/>
    <s v="-9.142685"/>
    <x v="7"/>
    <s v="Small (11-200)"/>
    <x v="4"/>
    <d v="2024-03-14T00:00:00"/>
    <x v="2"/>
    <x v="4"/>
    <n v="5"/>
    <x v="5"/>
    <n v="4"/>
    <n v="1153"/>
    <n v="20"/>
    <x v="170"/>
    <x v="176"/>
    <s v=""/>
  </r>
  <r>
    <x v="1699"/>
    <x v="8"/>
    <s v="38.736946"/>
    <s v="-9.142685"/>
    <x v="9"/>
    <s v="Small (11-200)"/>
    <x v="4"/>
    <d v="2024-03-13T00:00:00"/>
    <x v="0"/>
    <x v="4"/>
    <n v="5"/>
    <x v="5"/>
    <n v="4"/>
    <n v="1084"/>
    <n v="50"/>
    <x v="267"/>
    <x v="176"/>
    <s v=""/>
  </r>
  <r>
    <x v="1700"/>
    <x v="2"/>
    <s v="41.902782"/>
    <s v="12.496366"/>
    <x v="4"/>
    <s v="Small (11-200)"/>
    <x v="2"/>
    <d v="2024-02-23T00:00:00"/>
    <x v="0"/>
    <x v="4"/>
    <n v="5"/>
    <x v="5"/>
    <n v="4"/>
    <n v="541"/>
    <n v="80"/>
    <x v="415"/>
    <x v="176"/>
    <s v=""/>
  </r>
  <r>
    <x v="1701"/>
    <x v="6"/>
    <s v="48.864716"/>
    <s v="2.349014"/>
    <x v="4"/>
    <s v="Small (11-200)"/>
    <x v="4"/>
    <d v="2024-02-27T00:00:00"/>
    <x v="0"/>
    <x v="4"/>
    <n v="5"/>
    <x v="5"/>
    <n v="4"/>
    <n v="694"/>
    <n v="40"/>
    <x v="260"/>
    <x v="176"/>
    <s v=""/>
  </r>
  <r>
    <x v="1702"/>
    <x v="7"/>
    <s v="48.210033"/>
    <s v="16.363449"/>
    <x v="8"/>
    <s v="Small (11-200)"/>
    <x v="3"/>
    <d v="2024-03-06T00:00:00"/>
    <x v="0"/>
    <x v="4"/>
    <n v="5"/>
    <x v="5"/>
    <n v="4"/>
    <n v="416"/>
    <n v="20"/>
    <x v="65"/>
    <x v="176"/>
    <s v=""/>
  </r>
  <r>
    <x v="1703"/>
    <x v="7"/>
    <s v="48.210033"/>
    <s v="16.363449"/>
    <x v="10"/>
    <s v="Small (11-200)"/>
    <x v="2"/>
    <d v="2024-01-20T00:00:00"/>
    <x v="0"/>
    <x v="4"/>
    <n v="5"/>
    <x v="5"/>
    <n v="4"/>
    <n v="1693"/>
    <n v="10"/>
    <x v="211"/>
    <x v="176"/>
    <s v=""/>
  </r>
  <r>
    <x v="1704"/>
    <x v="0"/>
    <s v="52.370216"/>
    <s v="4.895168"/>
    <x v="0"/>
    <s v="Small (11-200)"/>
    <x v="3"/>
    <d v="2024-05-06T00:00:00"/>
    <x v="2"/>
    <x v="4"/>
    <n v="5"/>
    <x v="5"/>
    <n v="4"/>
    <n v="1516"/>
    <n v="20"/>
    <x v="347"/>
    <x v="176"/>
    <s v=""/>
  </r>
  <r>
    <x v="1705"/>
    <x v="5"/>
    <s v="46.204391"/>
    <s v="6.143158"/>
    <x v="0"/>
    <s v="Small (11-200)"/>
    <x v="3"/>
    <d v="2024-05-21T00:00:00"/>
    <x v="0"/>
    <x v="4"/>
    <n v="5"/>
    <x v="5"/>
    <n v="4"/>
    <n v="1172"/>
    <n v="60"/>
    <x v="351"/>
    <x v="176"/>
    <s v=""/>
  </r>
  <r>
    <x v="1706"/>
    <x v="8"/>
    <s v="38.736946"/>
    <s v="-9.142685"/>
    <x v="13"/>
    <s v="Small (11-200)"/>
    <x v="4"/>
    <d v="2024-03-23T00:00:00"/>
    <x v="2"/>
    <x v="4"/>
    <n v="5"/>
    <x v="5"/>
    <n v="4"/>
    <n v="1829"/>
    <n v="30"/>
    <x v="49"/>
    <x v="176"/>
    <s v=""/>
  </r>
  <r>
    <x v="1707"/>
    <x v="3"/>
    <s v="52.520008"/>
    <s v="13.404954"/>
    <x v="11"/>
    <s v="Small (11-200)"/>
    <x v="4"/>
    <d v="2024-02-19T00:00:00"/>
    <x v="0"/>
    <x v="4"/>
    <n v="5"/>
    <x v="5"/>
    <n v="4"/>
    <n v="785"/>
    <n v="30"/>
    <x v="288"/>
    <x v="176"/>
    <s v=""/>
  </r>
  <r>
    <x v="1708"/>
    <x v="2"/>
    <s v="41.902782"/>
    <s v="12.496366"/>
    <x v="5"/>
    <s v="Small (11-200)"/>
    <x v="2"/>
    <d v="2024-03-23T00:00:00"/>
    <x v="0"/>
    <x v="4"/>
    <n v="5"/>
    <x v="5"/>
    <n v="4"/>
    <n v="1699"/>
    <n v="30"/>
    <x v="418"/>
    <x v="176"/>
    <s v=""/>
  </r>
  <r>
    <x v="1709"/>
    <x v="8"/>
    <s v="38.736946"/>
    <s v="-9.142685"/>
    <x v="7"/>
    <s v="Small (11-200)"/>
    <x v="7"/>
    <d v="2024-02-01T00:00:00"/>
    <x v="0"/>
    <x v="4"/>
    <n v="5"/>
    <x v="5"/>
    <n v="4"/>
    <n v="697"/>
    <n v="70"/>
    <x v="421"/>
    <x v="176"/>
    <s v=""/>
  </r>
  <r>
    <x v="1710"/>
    <x v="5"/>
    <s v="46.204391"/>
    <s v="6.143158"/>
    <x v="12"/>
    <s v="Small (11-200)"/>
    <x v="3"/>
    <d v="2024-03-24T00:00:00"/>
    <x v="1"/>
    <x v="4"/>
    <n v="5"/>
    <x v="5"/>
    <n v="4"/>
    <n v="1971"/>
    <n v="40"/>
    <x v="63"/>
    <x v="176"/>
    <s v=""/>
  </r>
  <r>
    <x v="1711"/>
    <x v="0"/>
    <s v="52.370216"/>
    <s v="4.895168"/>
    <x v="8"/>
    <s v="Small (11-200)"/>
    <x v="7"/>
    <d v="2024-05-12T00:00:00"/>
    <x v="0"/>
    <x v="4"/>
    <n v="5"/>
    <x v="5"/>
    <n v="4"/>
    <n v="1835"/>
    <n v="30"/>
    <x v="279"/>
    <x v="176"/>
    <s v=""/>
  </r>
  <r>
    <x v="1712"/>
    <x v="8"/>
    <s v="38.736946"/>
    <s v="-9.142685"/>
    <x v="9"/>
    <s v="Small (11-200)"/>
    <x v="3"/>
    <d v="2024-01-19T00:00:00"/>
    <x v="1"/>
    <x v="4"/>
    <n v="5"/>
    <x v="5"/>
    <n v="4"/>
    <n v="402"/>
    <n v="10"/>
    <x v="322"/>
    <x v="176"/>
    <s v=""/>
  </r>
  <r>
    <x v="1713"/>
    <x v="2"/>
    <s v="41.902782"/>
    <s v="12.496366"/>
    <x v="0"/>
    <s v="Small (11-200)"/>
    <x v="1"/>
    <d v="2024-02-22T00:00:00"/>
    <x v="0"/>
    <x v="4"/>
    <n v="5"/>
    <x v="5"/>
    <n v="4"/>
    <n v="280"/>
    <n v="30"/>
    <x v="130"/>
    <x v="176"/>
    <s v=""/>
  </r>
  <r>
    <x v="1714"/>
    <x v="7"/>
    <s v="48.210033"/>
    <s v="16.363449"/>
    <x v="4"/>
    <s v="Small (11-200)"/>
    <x v="1"/>
    <d v="2024-04-16T00:00:00"/>
    <x v="0"/>
    <x v="4"/>
    <n v="5"/>
    <x v="5"/>
    <n v="4"/>
    <n v="1312"/>
    <n v="40"/>
    <x v="270"/>
    <x v="176"/>
    <s v=""/>
  </r>
  <r>
    <x v="1715"/>
    <x v="2"/>
    <s v="41.902782"/>
    <s v="12.496366"/>
    <x v="10"/>
    <s v="Small (11-200)"/>
    <x v="5"/>
    <d v="2024-05-05T00:00:00"/>
    <x v="1"/>
    <x v="4"/>
    <n v="5"/>
    <x v="5"/>
    <n v="4"/>
    <n v="1424"/>
    <n v="30"/>
    <x v="172"/>
    <x v="176"/>
    <s v=""/>
  </r>
  <r>
    <x v="1716"/>
    <x v="5"/>
    <s v="46.204391"/>
    <s v="6.143158"/>
    <x v="7"/>
    <s v="Small (11-200)"/>
    <x v="4"/>
    <d v="2024-02-07T00:00:00"/>
    <x v="2"/>
    <x v="4"/>
    <n v="5"/>
    <x v="5"/>
    <n v="4"/>
    <n v="801"/>
    <n v="50"/>
    <x v="9"/>
    <x v="176"/>
    <s v=""/>
  </r>
  <r>
    <x v="1717"/>
    <x v="6"/>
    <s v="48.864716"/>
    <s v="2.349014"/>
    <x v="11"/>
    <s v="Small (11-200)"/>
    <x v="3"/>
    <d v="2024-05-09T00:00:00"/>
    <x v="0"/>
    <x v="4"/>
    <n v="5"/>
    <x v="5"/>
    <n v="4"/>
    <n v="287"/>
    <n v="60"/>
    <x v="200"/>
    <x v="176"/>
    <s v=""/>
  </r>
  <r>
    <x v="1718"/>
    <x v="2"/>
    <s v="41.902782"/>
    <s v="12.496366"/>
    <x v="13"/>
    <s v="Micro (1-10)"/>
    <x v="3"/>
    <d v="2024-01-13T00:00:00"/>
    <x v="0"/>
    <x v="4"/>
    <n v="5"/>
    <x v="5"/>
    <n v="4"/>
    <n v="726"/>
    <n v="90"/>
    <x v="77"/>
    <x v="176"/>
    <s v=""/>
  </r>
  <r>
    <x v="1719"/>
    <x v="2"/>
    <s v="41.902782"/>
    <s v="12.496366"/>
    <x v="8"/>
    <s v="Micro (1-10)"/>
    <x v="5"/>
    <d v="2024-01-19T00:00:00"/>
    <x v="2"/>
    <x v="4"/>
    <n v="5"/>
    <x v="5"/>
    <n v="4"/>
    <n v="648"/>
    <n v="60"/>
    <x v="14"/>
    <x v="176"/>
    <s v=""/>
  </r>
  <r>
    <x v="1720"/>
    <x v="8"/>
    <s v="38.736946"/>
    <s v="-9.142685"/>
    <x v="6"/>
    <s v="Micro (1-10)"/>
    <x v="2"/>
    <d v="2024-04-29T00:00:00"/>
    <x v="1"/>
    <x v="4"/>
    <n v="5"/>
    <x v="5"/>
    <n v="4"/>
    <n v="379"/>
    <n v="20"/>
    <x v="186"/>
    <x v="176"/>
    <s v=""/>
  </r>
  <r>
    <x v="1721"/>
    <x v="3"/>
    <s v="52.520008"/>
    <s v="13.404954"/>
    <x v="0"/>
    <s v="Micro (1-10)"/>
    <x v="3"/>
    <d v="2024-04-16T00:00:00"/>
    <x v="2"/>
    <x v="4"/>
    <n v="5"/>
    <x v="5"/>
    <n v="4"/>
    <n v="428"/>
    <n v="50"/>
    <x v="253"/>
    <x v="176"/>
    <s v=""/>
  </r>
  <r>
    <x v="1722"/>
    <x v="0"/>
    <s v="52.370216"/>
    <s v="4.895168"/>
    <x v="5"/>
    <s v="Micro (1-10)"/>
    <x v="2"/>
    <d v="2024-04-17T00:00:00"/>
    <x v="0"/>
    <x v="4"/>
    <n v="5"/>
    <x v="5"/>
    <n v="4"/>
    <n v="238"/>
    <n v="10"/>
    <x v="387"/>
    <x v="176"/>
    <s v=""/>
  </r>
  <r>
    <x v="1723"/>
    <x v="4"/>
    <s v="51.260197"/>
    <s v="4.402771"/>
    <x v="1"/>
    <s v="Micro (1-10)"/>
    <x v="4"/>
    <d v="2024-03-17T00:00:00"/>
    <x v="2"/>
    <x v="4"/>
    <n v="5"/>
    <x v="5"/>
    <n v="4"/>
    <n v="396"/>
    <n v="30"/>
    <x v="111"/>
    <x v="176"/>
    <s v=""/>
  </r>
  <r>
    <x v="1724"/>
    <x v="6"/>
    <s v="48.864716"/>
    <s v="2.349014"/>
    <x v="8"/>
    <s v="Micro (1-10)"/>
    <x v="0"/>
    <d v="2024-04-21T00:00:00"/>
    <x v="0"/>
    <x v="4"/>
    <n v="5"/>
    <x v="5"/>
    <n v="4"/>
    <n v="559"/>
    <n v="90"/>
    <x v="294"/>
    <x v="176"/>
    <s v=""/>
  </r>
  <r>
    <x v="1725"/>
    <x v="2"/>
    <s v="41.902782"/>
    <s v="12.496366"/>
    <x v="9"/>
    <s v="Micro (1-10)"/>
    <x v="2"/>
    <d v="2024-04-13T00:00:00"/>
    <x v="0"/>
    <x v="4"/>
    <n v="5"/>
    <x v="5"/>
    <n v="4"/>
    <n v="845"/>
    <n v="40"/>
    <x v="29"/>
    <x v="176"/>
    <s v=""/>
  </r>
  <r>
    <x v="1726"/>
    <x v="8"/>
    <s v="38.736946"/>
    <s v="-9.142685"/>
    <x v="9"/>
    <s v="Micro (1-10)"/>
    <x v="3"/>
    <d v="2024-02-29T00:00:00"/>
    <x v="2"/>
    <x v="4"/>
    <n v="5"/>
    <x v="5"/>
    <n v="4"/>
    <n v="776"/>
    <n v="40"/>
    <x v="371"/>
    <x v="176"/>
    <s v=""/>
  </r>
  <r>
    <x v="1727"/>
    <x v="6"/>
    <s v="48.864716"/>
    <s v="2.349014"/>
    <x v="4"/>
    <s v="Micro (1-10)"/>
    <x v="1"/>
    <d v="2024-04-27T00:00:00"/>
    <x v="0"/>
    <x v="4"/>
    <n v="5"/>
    <x v="5"/>
    <n v="4"/>
    <n v="1100"/>
    <n v="40"/>
    <x v="3"/>
    <x v="176"/>
    <s v=""/>
  </r>
  <r>
    <x v="1728"/>
    <x v="0"/>
    <s v="52.370216"/>
    <s v="4.895168"/>
    <x v="4"/>
    <s v="Micro (1-10)"/>
    <x v="2"/>
    <d v="2024-03-06T00:00:00"/>
    <x v="2"/>
    <x v="4"/>
    <n v="5"/>
    <x v="5"/>
    <n v="4"/>
    <n v="398"/>
    <n v="10"/>
    <x v="114"/>
    <x v="176"/>
    <s v=""/>
  </r>
  <r>
    <x v="1729"/>
    <x v="3"/>
    <s v="52.520008"/>
    <s v="13.404954"/>
    <x v="8"/>
    <s v="Micro (1-10)"/>
    <x v="4"/>
    <d v="2024-01-15T00:00:00"/>
    <x v="2"/>
    <x v="4"/>
    <n v="5"/>
    <x v="5"/>
    <n v="4"/>
    <n v="779"/>
    <n v="40"/>
    <x v="306"/>
    <x v="176"/>
    <s v=""/>
  </r>
  <r>
    <x v="1730"/>
    <x v="0"/>
    <s v="52.370216"/>
    <s v="4.895168"/>
    <x v="3"/>
    <s v="Micro (1-10)"/>
    <x v="4"/>
    <d v="2024-03-13T00:00:00"/>
    <x v="2"/>
    <x v="4"/>
    <n v="5"/>
    <x v="5"/>
    <n v="4"/>
    <n v="742"/>
    <n v="60"/>
    <x v="98"/>
    <x v="176"/>
    <s v=""/>
  </r>
  <r>
    <x v="1731"/>
    <x v="2"/>
    <s v="41.902782"/>
    <s v="12.496366"/>
    <x v="5"/>
    <s v="Micro (1-10)"/>
    <x v="3"/>
    <d v="2024-04-03T00:00:00"/>
    <x v="0"/>
    <x v="4"/>
    <n v="5"/>
    <x v="5"/>
    <n v="4"/>
    <n v="396"/>
    <n v="60"/>
    <x v="386"/>
    <x v="176"/>
    <s v=""/>
  </r>
  <r>
    <x v="1732"/>
    <x v="2"/>
    <s v="41.902782"/>
    <s v="12.496366"/>
    <x v="11"/>
    <s v="Micro (1-10)"/>
    <x v="5"/>
    <d v="2024-04-06T00:00:00"/>
    <x v="0"/>
    <x v="4"/>
    <n v="5"/>
    <x v="5"/>
    <n v="4"/>
    <n v="1128"/>
    <n v="60"/>
    <x v="2"/>
    <x v="176"/>
    <s v=""/>
  </r>
  <r>
    <x v="1733"/>
    <x v="3"/>
    <s v="52.520008"/>
    <s v="13.404954"/>
    <x v="4"/>
    <s v="Micro (1-10)"/>
    <x v="5"/>
    <d v="2024-01-25T00:00:00"/>
    <x v="2"/>
    <x v="4"/>
    <n v="5"/>
    <x v="5"/>
    <n v="4"/>
    <n v="525"/>
    <n v="20"/>
    <x v="294"/>
    <x v="176"/>
    <s v=""/>
  </r>
  <r>
    <x v="1734"/>
    <x v="6"/>
    <s v="48.864716"/>
    <s v="2.349014"/>
    <x v="8"/>
    <s v="Micro (1-10)"/>
    <x v="3"/>
    <d v="2024-02-18T00:00:00"/>
    <x v="0"/>
    <x v="4"/>
    <n v="5"/>
    <x v="5"/>
    <n v="4"/>
    <n v="1157"/>
    <n v="100"/>
    <x v="50"/>
    <x v="176"/>
    <s v=""/>
  </r>
  <r>
    <x v="1735"/>
    <x v="3"/>
    <s v="52.520008"/>
    <s v="13.404954"/>
    <x v="7"/>
    <s v="Micro (1-10)"/>
    <x v="2"/>
    <d v="2024-05-06T00:00:00"/>
    <x v="2"/>
    <x v="4"/>
    <n v="5"/>
    <x v="5"/>
    <n v="4"/>
    <n v="1102"/>
    <n v="50"/>
    <x v="325"/>
    <x v="176"/>
    <s v=""/>
  </r>
  <r>
    <x v="1736"/>
    <x v="8"/>
    <s v="38.736946"/>
    <s v="-9.142685"/>
    <x v="4"/>
    <s v="Micro (1-10)"/>
    <x v="1"/>
    <d v="2024-05-05T00:00:00"/>
    <x v="0"/>
    <x v="4"/>
    <n v="5"/>
    <x v="5"/>
    <n v="4"/>
    <n v="1057"/>
    <n v="20"/>
    <x v="190"/>
    <x v="176"/>
    <s v=""/>
  </r>
  <r>
    <x v="1737"/>
    <x v="2"/>
    <s v="41.902782"/>
    <s v="12.496366"/>
    <x v="4"/>
    <s v="Micro (1-10)"/>
    <x v="6"/>
    <d v="2024-04-23T00:00:00"/>
    <x v="0"/>
    <x v="4"/>
    <n v="5"/>
    <x v="5"/>
    <n v="4"/>
    <n v="595"/>
    <n v="60"/>
    <x v="2"/>
    <x v="176"/>
    <s v=""/>
  </r>
  <r>
    <x v="1738"/>
    <x v="8"/>
    <s v="38.736946"/>
    <s v="-9.142685"/>
    <x v="2"/>
    <s v="Micro (1-10)"/>
    <x v="2"/>
    <d v="2024-04-24T00:00:00"/>
    <x v="0"/>
    <x v="4"/>
    <n v="5"/>
    <x v="5"/>
    <n v="4"/>
    <n v="690"/>
    <n v="10"/>
    <x v="236"/>
    <x v="176"/>
    <s v=""/>
  </r>
  <r>
    <x v="1739"/>
    <x v="2"/>
    <s v="41.902782"/>
    <s v="12.496366"/>
    <x v="5"/>
    <s v="Micro (1-10)"/>
    <x v="0"/>
    <d v="2024-05-05T00:00:00"/>
    <x v="0"/>
    <x v="4"/>
    <n v="5"/>
    <x v="5"/>
    <n v="4"/>
    <n v="1133"/>
    <n v="20"/>
    <x v="57"/>
    <x v="176"/>
    <s v=""/>
  </r>
  <r>
    <x v="1740"/>
    <x v="3"/>
    <s v="52.520008"/>
    <s v="13.404954"/>
    <x v="2"/>
    <s v="Micro (1-10)"/>
    <x v="3"/>
    <d v="2024-01-30T00:00:00"/>
    <x v="1"/>
    <x v="4"/>
    <n v="5"/>
    <x v="5"/>
    <n v="4"/>
    <n v="507"/>
    <n v="40"/>
    <x v="381"/>
    <x v="176"/>
    <s v=""/>
  </r>
  <r>
    <x v="1741"/>
    <x v="2"/>
    <s v="41.902782"/>
    <s v="12.496366"/>
    <x v="1"/>
    <s v="Micro (1-10)"/>
    <x v="3"/>
    <d v="2024-05-14T00:00:00"/>
    <x v="0"/>
    <x v="4"/>
    <n v="5"/>
    <x v="5"/>
    <n v="4"/>
    <n v="1059"/>
    <n v="100"/>
    <x v="385"/>
    <x v="176"/>
    <s v=""/>
  </r>
  <r>
    <x v="1742"/>
    <x v="4"/>
    <s v="51.260197"/>
    <s v="4.402771"/>
    <x v="5"/>
    <s v="Micro (1-10)"/>
    <x v="2"/>
    <d v="2024-02-19T00:00:00"/>
    <x v="2"/>
    <x v="4"/>
    <n v="5"/>
    <x v="5"/>
    <n v="4"/>
    <n v="288"/>
    <n v="30"/>
    <x v="96"/>
    <x v="176"/>
    <s v=""/>
  </r>
  <r>
    <x v="1743"/>
    <x v="0"/>
    <s v="52.370216"/>
    <s v="4.895168"/>
    <x v="3"/>
    <s v="Micro (1-10)"/>
    <x v="3"/>
    <d v="2024-05-12T00:00:00"/>
    <x v="2"/>
    <x v="4"/>
    <n v="5"/>
    <x v="5"/>
    <n v="4"/>
    <n v="595"/>
    <n v="60"/>
    <x v="74"/>
    <x v="176"/>
    <s v=""/>
  </r>
  <r>
    <x v="1744"/>
    <x v="0"/>
    <s v="52.370216"/>
    <s v="4.895168"/>
    <x v="3"/>
    <s v="Micro (1-10)"/>
    <x v="6"/>
    <d v="2024-05-31T00:00:00"/>
    <x v="1"/>
    <x v="4"/>
    <n v="5"/>
    <x v="5"/>
    <n v="4"/>
    <n v="335"/>
    <n v="40"/>
    <x v="348"/>
    <x v="176"/>
    <s v=""/>
  </r>
  <r>
    <x v="1745"/>
    <x v="2"/>
    <s v="41.902782"/>
    <s v="12.496366"/>
    <x v="11"/>
    <s v="Micro (1-10)"/>
    <x v="6"/>
    <d v="2024-05-02T00:00:00"/>
    <x v="2"/>
    <x v="4"/>
    <n v="5"/>
    <x v="5"/>
    <n v="4"/>
    <n v="314"/>
    <n v="80"/>
    <x v="199"/>
    <x v="176"/>
    <s v=""/>
  </r>
  <r>
    <x v="1746"/>
    <x v="6"/>
    <s v="48.864716"/>
    <s v="2.349014"/>
    <x v="4"/>
    <s v="Micro (1-10)"/>
    <x v="3"/>
    <d v="2024-01-22T00:00:00"/>
    <x v="0"/>
    <x v="4"/>
    <n v="5"/>
    <x v="5"/>
    <n v="4"/>
    <n v="1031"/>
    <n v="30"/>
    <x v="67"/>
    <x v="176"/>
    <s v=""/>
  </r>
  <r>
    <x v="1747"/>
    <x v="0"/>
    <s v="52.370216"/>
    <s v="4.895168"/>
    <x v="5"/>
    <s v="Micro (1-10)"/>
    <x v="3"/>
    <d v="2024-03-12T00:00:00"/>
    <x v="2"/>
    <x v="4"/>
    <n v="5"/>
    <x v="5"/>
    <n v="4"/>
    <n v="219"/>
    <n v="40"/>
    <x v="168"/>
    <x v="176"/>
    <s v=""/>
  </r>
  <r>
    <x v="1748"/>
    <x v="7"/>
    <s v="48.210033"/>
    <s v="16.363449"/>
    <x v="4"/>
    <s v="Micro (1-10)"/>
    <x v="5"/>
    <d v="2024-02-24T00:00:00"/>
    <x v="2"/>
    <x v="4"/>
    <n v="5"/>
    <x v="5"/>
    <n v="4"/>
    <n v="878"/>
    <n v="40"/>
    <x v="170"/>
    <x v="176"/>
    <s v=""/>
  </r>
  <r>
    <x v="1749"/>
    <x v="2"/>
    <s v="41.902782"/>
    <s v="12.496366"/>
    <x v="0"/>
    <s v="Micro (1-10)"/>
    <x v="3"/>
    <d v="2024-04-10T00:00:00"/>
    <x v="0"/>
    <x v="4"/>
    <n v="5"/>
    <x v="5"/>
    <n v="4"/>
    <n v="646"/>
    <n v="40"/>
    <x v="369"/>
    <x v="176"/>
    <s v=""/>
  </r>
  <r>
    <x v="1750"/>
    <x v="6"/>
    <s v="48.864716"/>
    <s v="2.349014"/>
    <x v="6"/>
    <s v="Micro (1-10)"/>
    <x v="2"/>
    <d v="2024-04-05T00:00:00"/>
    <x v="0"/>
    <x v="4"/>
    <n v="5"/>
    <x v="5"/>
    <n v="4"/>
    <n v="1132"/>
    <n v="50"/>
    <x v="235"/>
    <x v="176"/>
    <s v=""/>
  </r>
  <r>
    <x v="1751"/>
    <x v="0"/>
    <s v="52.370216"/>
    <s v="4.895168"/>
    <x v="4"/>
    <s v="Micro (1-10)"/>
    <x v="6"/>
    <d v="2024-02-22T00:00:00"/>
    <x v="2"/>
    <x v="4"/>
    <n v="5"/>
    <x v="5"/>
    <n v="4"/>
    <n v="970"/>
    <n v="20"/>
    <x v="376"/>
    <x v="176"/>
    <s v=""/>
  </r>
  <r>
    <x v="1752"/>
    <x v="8"/>
    <s v="38.736946"/>
    <s v="-9.142685"/>
    <x v="4"/>
    <s v="Micro (1-10)"/>
    <x v="2"/>
    <d v="2024-05-25T00:00:00"/>
    <x v="2"/>
    <x v="4"/>
    <n v="5"/>
    <x v="5"/>
    <n v="4"/>
    <n v="721"/>
    <n v="90"/>
    <x v="261"/>
    <x v="176"/>
    <s v=""/>
  </r>
  <r>
    <x v="1753"/>
    <x v="8"/>
    <s v="38.736946"/>
    <s v="-9.142685"/>
    <x v="5"/>
    <s v="Micro (1-10)"/>
    <x v="3"/>
    <d v="2024-02-22T00:00:00"/>
    <x v="0"/>
    <x v="4"/>
    <n v="5"/>
    <x v="5"/>
    <n v="4"/>
    <n v="788"/>
    <n v="100"/>
    <x v="27"/>
    <x v="176"/>
    <s v=""/>
  </r>
  <r>
    <x v="1754"/>
    <x v="1"/>
    <s v="40.416775"/>
    <s v="-3.703790"/>
    <x v="4"/>
    <s v="Medium (201-500)"/>
    <x v="5"/>
    <d v="2024-05-30T00:00:00"/>
    <x v="2"/>
    <x v="4"/>
    <n v="5"/>
    <x v="5"/>
    <n v="4"/>
    <n v="7039"/>
    <n v="50"/>
    <x v="310"/>
    <x v="176"/>
    <s v=""/>
  </r>
  <r>
    <x v="1755"/>
    <x v="3"/>
    <s v="52.520008"/>
    <s v="13.404954"/>
    <x v="11"/>
    <s v="Medium (201-500)"/>
    <x v="3"/>
    <d v="2024-05-08T00:00:00"/>
    <x v="2"/>
    <x v="4"/>
    <n v="5"/>
    <x v="5"/>
    <n v="4"/>
    <n v="771"/>
    <n v="30"/>
    <x v="186"/>
    <x v="176"/>
    <s v=""/>
  </r>
  <r>
    <x v="1756"/>
    <x v="3"/>
    <s v="52.520008"/>
    <s v="13.404954"/>
    <x v="7"/>
    <s v="Medium (201-500)"/>
    <x v="6"/>
    <d v="2024-04-04T00:00:00"/>
    <x v="2"/>
    <x v="4"/>
    <n v="5"/>
    <x v="5"/>
    <n v="4"/>
    <n v="5565"/>
    <n v="30"/>
    <x v="194"/>
    <x v="176"/>
    <s v=""/>
  </r>
  <r>
    <x v="1757"/>
    <x v="7"/>
    <s v="48.210033"/>
    <s v="16.363449"/>
    <x v="12"/>
    <s v="Medium (201-500)"/>
    <x v="5"/>
    <d v="2024-01-09T00:00:00"/>
    <x v="1"/>
    <x v="4"/>
    <n v="5"/>
    <x v="5"/>
    <n v="4"/>
    <n v="5451"/>
    <n v="90"/>
    <x v="428"/>
    <x v="176"/>
    <s v=""/>
  </r>
  <r>
    <x v="1758"/>
    <x v="6"/>
    <s v="48.864716"/>
    <s v="2.349014"/>
    <x v="1"/>
    <s v="Medium (201-500)"/>
    <x v="1"/>
    <d v="2024-02-03T00:00:00"/>
    <x v="1"/>
    <x v="4"/>
    <n v="5"/>
    <x v="5"/>
    <n v="4"/>
    <n v="1667"/>
    <n v="30"/>
    <x v="350"/>
    <x v="176"/>
    <s v=""/>
  </r>
  <r>
    <x v="1759"/>
    <x v="1"/>
    <s v="40.416775"/>
    <s v="-3.703790"/>
    <x v="3"/>
    <s v="Medium (201-500)"/>
    <x v="7"/>
    <d v="2024-03-23T00:00:00"/>
    <x v="1"/>
    <x v="4"/>
    <n v="5"/>
    <x v="5"/>
    <n v="4"/>
    <n v="2685"/>
    <n v="60"/>
    <x v="0"/>
    <x v="176"/>
    <s v=""/>
  </r>
  <r>
    <x v="1760"/>
    <x v="2"/>
    <s v="41.902782"/>
    <s v="12.496366"/>
    <x v="0"/>
    <s v="Medium (201-500)"/>
    <x v="2"/>
    <d v="2024-02-08T00:00:00"/>
    <x v="2"/>
    <x v="4"/>
    <n v="5"/>
    <x v="5"/>
    <n v="4"/>
    <n v="6080"/>
    <n v="100"/>
    <x v="430"/>
    <x v="176"/>
    <s v=""/>
  </r>
  <r>
    <x v="1761"/>
    <x v="1"/>
    <s v="40.416775"/>
    <s v="-3.703790"/>
    <x v="12"/>
    <s v="Medium (201-500)"/>
    <x v="3"/>
    <d v="2024-04-12T00:00:00"/>
    <x v="0"/>
    <x v="4"/>
    <n v="5"/>
    <x v="5"/>
    <n v="4"/>
    <n v="1099"/>
    <n v="60"/>
    <x v="126"/>
    <x v="176"/>
    <s v=""/>
  </r>
  <r>
    <x v="1762"/>
    <x v="5"/>
    <s v="46.204391"/>
    <s v="6.143158"/>
    <x v="2"/>
    <s v="Medium (201-500)"/>
    <x v="4"/>
    <d v="2024-01-27T00:00:00"/>
    <x v="0"/>
    <x v="4"/>
    <n v="5"/>
    <x v="5"/>
    <n v="4"/>
    <n v="7919"/>
    <n v="30"/>
    <x v="349"/>
    <x v="176"/>
    <s v=""/>
  </r>
  <r>
    <x v="1763"/>
    <x v="2"/>
    <s v="41.902782"/>
    <s v="12.496366"/>
    <x v="8"/>
    <s v="Medium (201-500)"/>
    <x v="3"/>
    <d v="2024-05-26T00:00:00"/>
    <x v="2"/>
    <x v="4"/>
    <n v="5"/>
    <x v="5"/>
    <n v="4"/>
    <n v="5268"/>
    <n v="90"/>
    <x v="434"/>
    <x v="176"/>
    <s v=""/>
  </r>
  <r>
    <x v="1764"/>
    <x v="2"/>
    <s v="41.902782"/>
    <s v="12.496366"/>
    <x v="5"/>
    <s v="Medium (201-500)"/>
    <x v="3"/>
    <d v="2024-02-17T00:00:00"/>
    <x v="1"/>
    <x v="4"/>
    <n v="5"/>
    <x v="5"/>
    <n v="4"/>
    <n v="5597"/>
    <n v="50"/>
    <x v="101"/>
    <x v="176"/>
    <s v=""/>
  </r>
  <r>
    <x v="1765"/>
    <x v="8"/>
    <s v="38.736946"/>
    <s v="-9.142685"/>
    <x v="13"/>
    <s v="Medium (201-500)"/>
    <x v="7"/>
    <d v="2024-03-15T00:00:00"/>
    <x v="0"/>
    <x v="4"/>
    <n v="5"/>
    <x v="5"/>
    <n v="4"/>
    <n v="6927"/>
    <n v="20"/>
    <x v="126"/>
    <x v="176"/>
    <s v=""/>
  </r>
  <r>
    <x v="1766"/>
    <x v="7"/>
    <s v="48.210033"/>
    <s v="16.363449"/>
    <x v="4"/>
    <s v="Medium (201-500)"/>
    <x v="3"/>
    <d v="2024-05-26T00:00:00"/>
    <x v="2"/>
    <x v="4"/>
    <n v="5"/>
    <x v="5"/>
    <n v="4"/>
    <n v="7711"/>
    <n v="20"/>
    <x v="111"/>
    <x v="176"/>
    <s v=""/>
  </r>
  <r>
    <x v="1767"/>
    <x v="4"/>
    <s v="51.260197"/>
    <s v="4.402771"/>
    <x v="0"/>
    <s v="Medium (201-500)"/>
    <x v="4"/>
    <d v="2024-05-13T00:00:00"/>
    <x v="0"/>
    <x v="4"/>
    <n v="5"/>
    <x v="5"/>
    <n v="4"/>
    <n v="5878"/>
    <n v="30"/>
    <x v="182"/>
    <x v="176"/>
    <s v=""/>
  </r>
  <r>
    <x v="1768"/>
    <x v="2"/>
    <s v="41.902782"/>
    <s v="12.496366"/>
    <x v="11"/>
    <s v="Medium (201-500)"/>
    <x v="5"/>
    <d v="2024-05-24T00:00:00"/>
    <x v="2"/>
    <x v="4"/>
    <n v="5"/>
    <x v="5"/>
    <n v="4"/>
    <n v="7387"/>
    <n v="60"/>
    <x v="435"/>
    <x v="176"/>
    <s v=""/>
  </r>
  <r>
    <x v="1769"/>
    <x v="3"/>
    <s v="52.520008"/>
    <s v="13.404954"/>
    <x v="13"/>
    <s v="Medium (201-500)"/>
    <x v="7"/>
    <d v="2024-05-26T00:00:00"/>
    <x v="0"/>
    <x v="4"/>
    <n v="5"/>
    <x v="5"/>
    <n v="4"/>
    <n v="3342"/>
    <n v="40"/>
    <x v="346"/>
    <x v="176"/>
    <s v=""/>
  </r>
  <r>
    <x v="1770"/>
    <x v="8"/>
    <s v="38.736946"/>
    <s v="-9.142685"/>
    <x v="12"/>
    <s v="Medium (201-500)"/>
    <x v="6"/>
    <d v="2024-02-13T00:00:00"/>
    <x v="0"/>
    <x v="4"/>
    <n v="5"/>
    <x v="5"/>
    <n v="4"/>
    <n v="771"/>
    <n v="20"/>
    <x v="3"/>
    <x v="176"/>
    <s v=""/>
  </r>
  <r>
    <x v="1771"/>
    <x v="1"/>
    <s v="40.416775"/>
    <s v="-3.703790"/>
    <x v="5"/>
    <s v="Medium (201-500)"/>
    <x v="6"/>
    <d v="2024-04-03T00:00:00"/>
    <x v="2"/>
    <x v="4"/>
    <n v="5"/>
    <x v="5"/>
    <n v="4"/>
    <n v="6323"/>
    <n v="40"/>
    <x v="158"/>
    <x v="176"/>
    <s v=""/>
  </r>
  <r>
    <x v="1772"/>
    <x v="6"/>
    <s v="48.864716"/>
    <s v="2.349014"/>
    <x v="12"/>
    <s v="Medium (201-500)"/>
    <x v="0"/>
    <d v="2024-02-19T00:00:00"/>
    <x v="0"/>
    <x v="4"/>
    <n v="5"/>
    <x v="5"/>
    <n v="4"/>
    <n v="2662"/>
    <n v="40"/>
    <x v="24"/>
    <x v="176"/>
    <s v=""/>
  </r>
  <r>
    <x v="1773"/>
    <x v="6"/>
    <s v="48.864716"/>
    <s v="2.349014"/>
    <x v="6"/>
    <s v="Medium (201-500)"/>
    <x v="3"/>
    <d v="2024-04-12T00:00:00"/>
    <x v="2"/>
    <x v="4"/>
    <n v="5"/>
    <x v="5"/>
    <n v="4"/>
    <n v="2879"/>
    <n v="30"/>
    <x v="436"/>
    <x v="176"/>
    <s v=""/>
  </r>
  <r>
    <x v="1774"/>
    <x v="2"/>
    <s v="41.902782"/>
    <s v="12.496366"/>
    <x v="12"/>
    <s v="Medium (201-500)"/>
    <x v="4"/>
    <d v="2024-03-31T00:00:00"/>
    <x v="0"/>
    <x v="4"/>
    <n v="5"/>
    <x v="5"/>
    <n v="4"/>
    <n v="1235"/>
    <n v="100"/>
    <x v="412"/>
    <x v="176"/>
    <s v=""/>
  </r>
  <r>
    <x v="1775"/>
    <x v="6"/>
    <s v="48.864716"/>
    <s v="2.349014"/>
    <x v="13"/>
    <s v="Medium (201-500)"/>
    <x v="0"/>
    <d v="2024-04-10T00:00:00"/>
    <x v="2"/>
    <x v="4"/>
    <n v="5"/>
    <x v="5"/>
    <n v="4"/>
    <n v="7496"/>
    <n v="30"/>
    <x v="387"/>
    <x v="176"/>
    <s v=""/>
  </r>
  <r>
    <x v="1776"/>
    <x v="6"/>
    <s v="48.864716"/>
    <s v="2.349014"/>
    <x v="0"/>
    <s v="Medium (201-500)"/>
    <x v="2"/>
    <d v="2024-01-09T00:00:00"/>
    <x v="2"/>
    <x v="4"/>
    <n v="5"/>
    <x v="5"/>
    <n v="4"/>
    <n v="7008"/>
    <n v="30"/>
    <x v="215"/>
    <x v="176"/>
    <s v=""/>
  </r>
  <r>
    <x v="1777"/>
    <x v="2"/>
    <s v="41.902782"/>
    <s v="12.496366"/>
    <x v="4"/>
    <s v="Medium (201-500)"/>
    <x v="0"/>
    <d v="2024-02-27T00:00:00"/>
    <x v="2"/>
    <x v="4"/>
    <n v="5"/>
    <x v="5"/>
    <n v="4"/>
    <n v="613"/>
    <n v="30"/>
    <x v="84"/>
    <x v="176"/>
    <s v=""/>
  </r>
  <r>
    <x v="1778"/>
    <x v="2"/>
    <s v="41.902782"/>
    <s v="12.496366"/>
    <x v="6"/>
    <s v="Medium (201-500)"/>
    <x v="1"/>
    <d v="2024-05-31T00:00:00"/>
    <x v="0"/>
    <x v="4"/>
    <n v="5"/>
    <x v="5"/>
    <n v="4"/>
    <n v="5859"/>
    <n v="30"/>
    <x v="277"/>
    <x v="176"/>
    <s v=""/>
  </r>
  <r>
    <x v="1779"/>
    <x v="6"/>
    <s v="48.864716"/>
    <s v="2.349014"/>
    <x v="6"/>
    <s v="Medium (201-500)"/>
    <x v="4"/>
    <d v="2024-03-22T00:00:00"/>
    <x v="2"/>
    <x v="4"/>
    <n v="5"/>
    <x v="5"/>
    <n v="4"/>
    <n v="5386"/>
    <n v="40"/>
    <x v="263"/>
    <x v="176"/>
    <s v=""/>
  </r>
  <r>
    <x v="1780"/>
    <x v="7"/>
    <s v="48.210033"/>
    <s v="16.363449"/>
    <x v="2"/>
    <s v="Medium (201-500)"/>
    <x v="3"/>
    <d v="2024-04-06T00:00:00"/>
    <x v="2"/>
    <x v="4"/>
    <n v="5"/>
    <x v="5"/>
    <n v="4"/>
    <n v="5955"/>
    <n v="20"/>
    <x v="152"/>
    <x v="176"/>
    <s v=""/>
  </r>
  <r>
    <x v="1781"/>
    <x v="1"/>
    <s v="40.416775"/>
    <s v="-3.703790"/>
    <x v="13"/>
    <s v="Medium (201-500)"/>
    <x v="4"/>
    <d v="2024-04-07T00:00:00"/>
    <x v="2"/>
    <x v="4"/>
    <n v="5"/>
    <x v="5"/>
    <n v="4"/>
    <n v="4031"/>
    <n v="20"/>
    <x v="238"/>
    <x v="176"/>
    <s v=""/>
  </r>
  <r>
    <x v="1782"/>
    <x v="2"/>
    <s v="41.902782"/>
    <s v="12.496366"/>
    <x v="12"/>
    <s v="Medium (201-500)"/>
    <x v="4"/>
    <d v="2024-02-28T00:00:00"/>
    <x v="0"/>
    <x v="4"/>
    <n v="5"/>
    <x v="5"/>
    <n v="4"/>
    <n v="7020"/>
    <n v="40"/>
    <x v="152"/>
    <x v="176"/>
    <s v=""/>
  </r>
  <r>
    <x v="1783"/>
    <x v="2"/>
    <s v="41.902782"/>
    <s v="12.496366"/>
    <x v="12"/>
    <s v="Medium (201-500)"/>
    <x v="4"/>
    <d v="2024-02-29T00:00:00"/>
    <x v="0"/>
    <x v="4"/>
    <n v="5"/>
    <x v="5"/>
    <n v="4"/>
    <n v="5759"/>
    <n v="40"/>
    <x v="348"/>
    <x v="176"/>
    <s v=""/>
  </r>
  <r>
    <x v="1784"/>
    <x v="8"/>
    <s v="38.736946"/>
    <s v="-9.142685"/>
    <x v="12"/>
    <s v="Medium (201-500)"/>
    <x v="2"/>
    <d v="2024-02-15T00:00:00"/>
    <x v="0"/>
    <x v="4"/>
    <n v="5"/>
    <x v="5"/>
    <n v="4"/>
    <n v="5029"/>
    <n v="40"/>
    <x v="124"/>
    <x v="176"/>
    <s v=""/>
  </r>
  <r>
    <x v="1785"/>
    <x v="2"/>
    <s v="41.902782"/>
    <s v="12.496366"/>
    <x v="3"/>
    <s v="Medium (201-500)"/>
    <x v="3"/>
    <d v="2024-05-11T00:00:00"/>
    <x v="1"/>
    <x v="4"/>
    <n v="5"/>
    <x v="5"/>
    <n v="4"/>
    <n v="1737"/>
    <n v="80"/>
    <x v="147"/>
    <x v="176"/>
    <s v=""/>
  </r>
  <r>
    <x v="1786"/>
    <x v="6"/>
    <s v="48.864716"/>
    <s v="2.349014"/>
    <x v="4"/>
    <s v="Medium (201-500)"/>
    <x v="7"/>
    <d v="2024-05-29T00:00:00"/>
    <x v="2"/>
    <x v="4"/>
    <n v="5"/>
    <x v="5"/>
    <n v="4"/>
    <n v="5878"/>
    <n v="100"/>
    <x v="437"/>
    <x v="176"/>
    <s v=""/>
  </r>
  <r>
    <x v="1787"/>
    <x v="8"/>
    <s v="38.736946"/>
    <s v="-9.142685"/>
    <x v="4"/>
    <s v="Medium (201-500)"/>
    <x v="6"/>
    <d v="2024-03-12T00:00:00"/>
    <x v="0"/>
    <x v="4"/>
    <n v="5"/>
    <x v="5"/>
    <n v="4"/>
    <n v="467"/>
    <n v="40"/>
    <x v="56"/>
    <x v="176"/>
    <s v=""/>
  </r>
  <r>
    <x v="1788"/>
    <x v="2"/>
    <s v="41.902782"/>
    <s v="12.496366"/>
    <x v="12"/>
    <s v="Medium (201-500)"/>
    <x v="0"/>
    <d v="2024-04-25T00:00:00"/>
    <x v="1"/>
    <x v="4"/>
    <n v="5"/>
    <x v="5"/>
    <n v="4"/>
    <n v="1148"/>
    <n v="60"/>
    <x v="280"/>
    <x v="176"/>
    <s v=""/>
  </r>
  <r>
    <x v="1789"/>
    <x v="5"/>
    <s v="46.204391"/>
    <s v="6.143158"/>
    <x v="0"/>
    <s v="Medium (201-500)"/>
    <x v="4"/>
    <d v="2024-02-29T00:00:00"/>
    <x v="0"/>
    <x v="4"/>
    <n v="5"/>
    <x v="5"/>
    <n v="4"/>
    <n v="6322"/>
    <n v="50"/>
    <x v="145"/>
    <x v="176"/>
    <s v=""/>
  </r>
  <r>
    <x v="1790"/>
    <x v="3"/>
    <s v="52.520008"/>
    <s v="13.404954"/>
    <x v="3"/>
    <s v="Medium (201-500)"/>
    <x v="4"/>
    <d v="2024-04-08T00:00:00"/>
    <x v="0"/>
    <x v="4"/>
    <n v="5"/>
    <x v="5"/>
    <n v="4"/>
    <n v="7667"/>
    <n v="80"/>
    <x v="173"/>
    <x v="176"/>
    <s v=""/>
  </r>
  <r>
    <x v="1791"/>
    <x v="5"/>
    <s v="46.204391"/>
    <s v="6.143158"/>
    <x v="8"/>
    <s v="Medium (201-500)"/>
    <x v="4"/>
    <d v="2024-04-05T00:00:00"/>
    <x v="0"/>
    <x v="4"/>
    <n v="5"/>
    <x v="5"/>
    <n v="4"/>
    <n v="4290"/>
    <n v="30"/>
    <x v="341"/>
    <x v="176"/>
    <s v=""/>
  </r>
  <r>
    <x v="1792"/>
    <x v="6"/>
    <s v="48.864716"/>
    <s v="2.349014"/>
    <x v="0"/>
    <s v="Medium (201-500)"/>
    <x v="3"/>
    <d v="2024-04-04T00:00:00"/>
    <x v="2"/>
    <x v="4"/>
    <n v="5"/>
    <x v="5"/>
    <n v="4"/>
    <n v="4707"/>
    <n v="70"/>
    <x v="58"/>
    <x v="176"/>
    <s v=""/>
  </r>
  <r>
    <x v="1793"/>
    <x v="7"/>
    <s v="48.210033"/>
    <s v="16.363449"/>
    <x v="0"/>
    <s v="Medium (201-500)"/>
    <x v="7"/>
    <d v="2024-03-10T00:00:00"/>
    <x v="0"/>
    <x v="4"/>
    <n v="5"/>
    <x v="5"/>
    <n v="4"/>
    <n v="459"/>
    <n v="60"/>
    <x v="161"/>
    <x v="176"/>
    <s v=""/>
  </r>
  <r>
    <x v="1794"/>
    <x v="3"/>
    <s v="52.520008"/>
    <s v="13.404954"/>
    <x v="10"/>
    <s v="Medium (201-500)"/>
    <x v="4"/>
    <d v="2024-02-21T00:00:00"/>
    <x v="0"/>
    <x v="4"/>
    <n v="5"/>
    <x v="5"/>
    <n v="4"/>
    <n v="220"/>
    <n v="40"/>
    <x v="208"/>
    <x v="176"/>
    <s v=""/>
  </r>
  <r>
    <x v="1795"/>
    <x v="2"/>
    <s v="41.902782"/>
    <s v="12.496366"/>
    <x v="5"/>
    <s v="Medium (201-500)"/>
    <x v="4"/>
    <d v="2024-03-23T00:00:00"/>
    <x v="0"/>
    <x v="4"/>
    <n v="5"/>
    <x v="5"/>
    <n v="4"/>
    <n v="4663"/>
    <n v="20"/>
    <x v="297"/>
    <x v="176"/>
    <s v=""/>
  </r>
  <r>
    <x v="1796"/>
    <x v="2"/>
    <s v="41.902782"/>
    <s v="12.496366"/>
    <x v="5"/>
    <s v="Medium (201-500)"/>
    <x v="2"/>
    <d v="2024-05-22T00:00:00"/>
    <x v="1"/>
    <x v="4"/>
    <n v="5"/>
    <x v="5"/>
    <n v="4"/>
    <n v="7228"/>
    <n v="50"/>
    <x v="344"/>
    <x v="176"/>
    <s v=""/>
  </r>
  <r>
    <x v="1797"/>
    <x v="2"/>
    <s v="41.902782"/>
    <s v="12.496366"/>
    <x v="6"/>
    <s v="Medium (201-500)"/>
    <x v="7"/>
    <d v="2024-04-26T00:00:00"/>
    <x v="0"/>
    <x v="4"/>
    <n v="5"/>
    <x v="5"/>
    <n v="4"/>
    <n v="1156"/>
    <n v="20"/>
    <x v="325"/>
    <x v="176"/>
    <s v=""/>
  </r>
  <r>
    <x v="1798"/>
    <x v="2"/>
    <s v="41.902782"/>
    <s v="12.496366"/>
    <x v="4"/>
    <s v="Medium (201-500)"/>
    <x v="6"/>
    <d v="2024-03-21T00:00:00"/>
    <x v="2"/>
    <x v="4"/>
    <n v="5"/>
    <x v="5"/>
    <n v="4"/>
    <n v="4305"/>
    <n v="90"/>
    <x v="438"/>
    <x v="176"/>
    <s v=""/>
  </r>
  <r>
    <x v="1799"/>
    <x v="2"/>
    <s v="41.902782"/>
    <s v="12.496366"/>
    <x v="13"/>
    <s v="Medium (201-500)"/>
    <x v="6"/>
    <d v="2024-03-06T00:00:00"/>
    <x v="0"/>
    <x v="4"/>
    <n v="5"/>
    <x v="5"/>
    <n v="4"/>
    <n v="3479"/>
    <n v="10"/>
    <x v="279"/>
    <x v="176"/>
    <s v=""/>
  </r>
  <r>
    <x v="1800"/>
    <x v="8"/>
    <s v="38.736946"/>
    <s v="-9.142685"/>
    <x v="3"/>
    <s v="Medium (201-500)"/>
    <x v="1"/>
    <d v="2024-03-05T00:00:00"/>
    <x v="2"/>
    <x v="4"/>
    <n v="5"/>
    <x v="5"/>
    <n v="4"/>
    <n v="3733"/>
    <n v="40"/>
    <x v="62"/>
    <x v="176"/>
    <s v=""/>
  </r>
  <r>
    <x v="1801"/>
    <x v="4"/>
    <s v="51.260197"/>
    <s v="4.402771"/>
    <x v="4"/>
    <s v="Medium (201-500)"/>
    <x v="3"/>
    <d v="2024-02-18T00:00:00"/>
    <x v="1"/>
    <x v="4"/>
    <n v="5"/>
    <x v="5"/>
    <n v="4"/>
    <n v="2926"/>
    <n v="20"/>
    <x v="207"/>
    <x v="176"/>
    <s v=""/>
  </r>
  <r>
    <x v="1802"/>
    <x v="3"/>
    <s v="52.520008"/>
    <s v="13.404954"/>
    <x v="1"/>
    <s v="Medium (201-500)"/>
    <x v="1"/>
    <d v="2024-04-10T00:00:00"/>
    <x v="2"/>
    <x v="4"/>
    <n v="5"/>
    <x v="5"/>
    <n v="4"/>
    <n v="6552"/>
    <n v="40"/>
    <x v="205"/>
    <x v="176"/>
    <s v=""/>
  </r>
  <r>
    <x v="1803"/>
    <x v="6"/>
    <s v="48.864716"/>
    <s v="2.349014"/>
    <x v="2"/>
    <s v="Medium (201-500)"/>
    <x v="3"/>
    <d v="2024-02-15T00:00:00"/>
    <x v="0"/>
    <x v="4"/>
    <n v="5"/>
    <x v="5"/>
    <n v="4"/>
    <n v="2036"/>
    <n v="80"/>
    <x v="24"/>
    <x v="176"/>
    <s v=""/>
  </r>
  <r>
    <x v="1804"/>
    <x v="8"/>
    <s v="38.736946"/>
    <s v="-9.142685"/>
    <x v="3"/>
    <s v="Medium (201-500)"/>
    <x v="4"/>
    <d v="2024-03-30T00:00:00"/>
    <x v="2"/>
    <x v="4"/>
    <n v="5"/>
    <x v="5"/>
    <n v="4"/>
    <n v="4525"/>
    <n v="30"/>
    <x v="91"/>
    <x v="176"/>
    <s v=""/>
  </r>
  <r>
    <x v="1805"/>
    <x v="7"/>
    <s v="48.210033"/>
    <s v="16.363449"/>
    <x v="10"/>
    <s v="Medium (201-500)"/>
    <x v="2"/>
    <d v="2024-04-27T00:00:00"/>
    <x v="2"/>
    <x v="4"/>
    <n v="5"/>
    <x v="5"/>
    <n v="4"/>
    <n v="3490"/>
    <n v="40"/>
    <x v="171"/>
    <x v="176"/>
    <s v=""/>
  </r>
  <r>
    <x v="1806"/>
    <x v="2"/>
    <s v="41.902782"/>
    <s v="12.496366"/>
    <x v="2"/>
    <s v="Medium (201-500)"/>
    <x v="5"/>
    <d v="2024-03-06T00:00:00"/>
    <x v="1"/>
    <x v="4"/>
    <n v="5"/>
    <x v="5"/>
    <n v="4"/>
    <n v="2425"/>
    <n v="70"/>
    <x v="251"/>
    <x v="176"/>
    <s v=""/>
  </r>
  <r>
    <x v="1807"/>
    <x v="3"/>
    <s v="52.520008"/>
    <s v="13.404954"/>
    <x v="2"/>
    <s v="Medium (201-500)"/>
    <x v="3"/>
    <d v="2024-05-27T00:00:00"/>
    <x v="0"/>
    <x v="4"/>
    <n v="5"/>
    <x v="5"/>
    <n v="4"/>
    <n v="4625"/>
    <n v="40"/>
    <x v="62"/>
    <x v="176"/>
    <s v=""/>
  </r>
  <r>
    <x v="1808"/>
    <x v="4"/>
    <s v="51.260197"/>
    <s v="4.402771"/>
    <x v="2"/>
    <s v="Medium (201-500)"/>
    <x v="2"/>
    <d v="2024-02-20T00:00:00"/>
    <x v="2"/>
    <x v="4"/>
    <n v="5"/>
    <x v="5"/>
    <n v="4"/>
    <n v="1138"/>
    <n v="20"/>
    <x v="1"/>
    <x v="176"/>
    <s v=""/>
  </r>
  <r>
    <x v="1809"/>
    <x v="4"/>
    <s v="51.260197"/>
    <s v="4.402771"/>
    <x v="10"/>
    <s v="Medium (201-500)"/>
    <x v="7"/>
    <d v="2024-04-02T00:00:00"/>
    <x v="1"/>
    <x v="4"/>
    <n v="5"/>
    <x v="5"/>
    <n v="4"/>
    <n v="3276"/>
    <n v="100"/>
    <x v="190"/>
    <x v="176"/>
    <s v=""/>
  </r>
  <r>
    <x v="1810"/>
    <x v="2"/>
    <s v="41.902782"/>
    <s v="12.496366"/>
    <x v="4"/>
    <s v="Medium (201-500)"/>
    <x v="4"/>
    <d v="2024-03-25T00:00:00"/>
    <x v="0"/>
    <x v="4"/>
    <n v="5"/>
    <x v="5"/>
    <n v="4"/>
    <n v="7195"/>
    <n v="100"/>
    <x v="132"/>
    <x v="176"/>
    <s v=""/>
  </r>
  <r>
    <x v="1811"/>
    <x v="5"/>
    <s v="46.204391"/>
    <s v="6.143158"/>
    <x v="4"/>
    <s v="Medium (201-500)"/>
    <x v="3"/>
    <d v="2024-05-25T00:00:00"/>
    <x v="2"/>
    <x v="4"/>
    <n v="5"/>
    <x v="5"/>
    <n v="4"/>
    <n v="4718"/>
    <n v="50"/>
    <x v="250"/>
    <x v="176"/>
    <s v=""/>
  </r>
  <r>
    <x v="1812"/>
    <x v="2"/>
    <s v="41.902782"/>
    <s v="12.496366"/>
    <x v="7"/>
    <s v="Medium (201-500)"/>
    <x v="3"/>
    <d v="2024-01-25T00:00:00"/>
    <x v="2"/>
    <x v="4"/>
    <n v="5"/>
    <x v="5"/>
    <n v="4"/>
    <n v="729"/>
    <n v="20"/>
    <x v="61"/>
    <x v="176"/>
    <s v=""/>
  </r>
  <r>
    <x v="1813"/>
    <x v="3"/>
    <s v="52.520008"/>
    <s v="13.404954"/>
    <x v="5"/>
    <s v="Medium (201-500)"/>
    <x v="3"/>
    <d v="2024-01-31T00:00:00"/>
    <x v="2"/>
    <x v="4"/>
    <n v="5"/>
    <x v="5"/>
    <n v="4"/>
    <n v="7735"/>
    <n v="80"/>
    <x v="354"/>
    <x v="176"/>
    <s v=""/>
  </r>
  <r>
    <x v="1814"/>
    <x v="5"/>
    <s v="46.204391"/>
    <s v="6.143158"/>
    <x v="5"/>
    <s v="Medium (201-500)"/>
    <x v="4"/>
    <d v="2024-01-13T00:00:00"/>
    <x v="1"/>
    <x v="4"/>
    <n v="5"/>
    <x v="5"/>
    <n v="4"/>
    <n v="3872"/>
    <n v="30"/>
    <x v="111"/>
    <x v="176"/>
    <s v=""/>
  </r>
  <r>
    <x v="1815"/>
    <x v="2"/>
    <s v="41.902782"/>
    <s v="12.496366"/>
    <x v="5"/>
    <s v="Large (501-1000)"/>
    <x v="0"/>
    <d v="2024-04-13T00:00:00"/>
    <x v="1"/>
    <x v="4"/>
    <n v="5"/>
    <x v="5"/>
    <n v="4"/>
    <n v="9742"/>
    <n v="40"/>
    <x v="1"/>
    <x v="176"/>
    <s v=""/>
  </r>
  <r>
    <x v="1816"/>
    <x v="8"/>
    <s v="38.736946"/>
    <s v="-9.142685"/>
    <x v="3"/>
    <s v="Large (501-1000)"/>
    <x v="3"/>
    <d v="2024-04-08T00:00:00"/>
    <x v="1"/>
    <x v="4"/>
    <n v="5"/>
    <x v="5"/>
    <n v="4"/>
    <n v="3294"/>
    <n v="50"/>
    <x v="116"/>
    <x v="176"/>
    <s v=""/>
  </r>
  <r>
    <x v="1817"/>
    <x v="1"/>
    <s v="40.416775"/>
    <s v="-3.703790"/>
    <x v="8"/>
    <s v="Large (501-1000)"/>
    <x v="3"/>
    <d v="2024-03-25T00:00:00"/>
    <x v="0"/>
    <x v="4"/>
    <n v="5"/>
    <x v="5"/>
    <n v="4"/>
    <n v="5135"/>
    <n v="40"/>
    <x v="260"/>
    <x v="176"/>
    <s v=""/>
  </r>
  <r>
    <x v="1818"/>
    <x v="5"/>
    <s v="46.204391"/>
    <s v="6.143158"/>
    <x v="7"/>
    <s v="Large (501-1000)"/>
    <x v="5"/>
    <d v="2024-03-31T00:00:00"/>
    <x v="2"/>
    <x v="4"/>
    <n v="5"/>
    <x v="5"/>
    <n v="4"/>
    <n v="5645"/>
    <n v="20"/>
    <x v="148"/>
    <x v="176"/>
    <s v=""/>
  </r>
  <r>
    <x v="1819"/>
    <x v="5"/>
    <s v="46.204391"/>
    <s v="6.143158"/>
    <x v="1"/>
    <s v="Enterprise (1001+)"/>
    <x v="2"/>
    <d v="2024-03-30T00:00:00"/>
    <x v="0"/>
    <x v="4"/>
    <n v="5"/>
    <x v="5"/>
    <n v="4"/>
    <n v="4228"/>
    <n v="60"/>
    <x v="85"/>
    <x v="176"/>
    <s v=""/>
  </r>
  <r>
    <x v="1820"/>
    <x v="4"/>
    <s v="51.260197"/>
    <s v="4.402771"/>
    <x v="4"/>
    <s v="Enterprise (1001+)"/>
    <x v="1"/>
    <d v="2024-02-21T00:00:00"/>
    <x v="1"/>
    <x v="4"/>
    <n v="5"/>
    <x v="5"/>
    <n v="4"/>
    <n v="2633"/>
    <n v="40"/>
    <x v="58"/>
    <x v="176"/>
    <s v=""/>
  </r>
  <r>
    <x v="1821"/>
    <x v="1"/>
    <s v="40.416775"/>
    <s v="-3.703790"/>
    <x v="3"/>
    <s v="Enterprise (1001+)"/>
    <x v="5"/>
    <d v="2024-04-02T00:00:00"/>
    <x v="2"/>
    <x v="4"/>
    <n v="5"/>
    <x v="5"/>
    <n v="4"/>
    <n v="19246"/>
    <n v="40"/>
    <x v="194"/>
    <x v="176"/>
    <s v=""/>
  </r>
  <r>
    <x v="1822"/>
    <x v="6"/>
    <s v="48.864716"/>
    <s v="2.349014"/>
    <x v="5"/>
    <s v="Small (11-200)"/>
    <x v="3"/>
    <d v="2024-01-05T00:00:00"/>
    <x v="2"/>
    <x v="4"/>
    <n v="5"/>
    <x v="6"/>
    <n v="5"/>
    <n v="1226"/>
    <n v="20"/>
    <x v="292"/>
    <x v="176"/>
    <s v=""/>
  </r>
  <r>
    <x v="1823"/>
    <x v="1"/>
    <s v="40.416775"/>
    <s v="-3.703790"/>
    <x v="10"/>
    <s v="Small (11-200)"/>
    <x v="5"/>
    <d v="2024-03-18T00:00:00"/>
    <x v="0"/>
    <x v="4"/>
    <n v="5"/>
    <x v="6"/>
    <n v="5"/>
    <n v="1744"/>
    <n v="20"/>
    <x v="374"/>
    <x v="176"/>
    <s v=""/>
  </r>
  <r>
    <x v="1824"/>
    <x v="1"/>
    <s v="40.416775"/>
    <s v="-3.703790"/>
    <x v="5"/>
    <s v="Small (11-200)"/>
    <x v="0"/>
    <d v="2024-01-08T00:00:00"/>
    <x v="2"/>
    <x v="4"/>
    <n v="5"/>
    <x v="6"/>
    <n v="5"/>
    <n v="287"/>
    <n v="20"/>
    <x v="439"/>
    <x v="176"/>
    <s v=""/>
  </r>
  <r>
    <x v="1825"/>
    <x v="8"/>
    <s v="38.736946"/>
    <s v="-9.142685"/>
    <x v="4"/>
    <s v="Small (11-200)"/>
    <x v="3"/>
    <d v="2024-05-14T00:00:00"/>
    <x v="1"/>
    <x v="4"/>
    <n v="5"/>
    <x v="6"/>
    <n v="5"/>
    <n v="1501"/>
    <n v="40"/>
    <x v="235"/>
    <x v="176"/>
    <s v=""/>
  </r>
  <r>
    <x v="1826"/>
    <x v="6"/>
    <s v="48.864716"/>
    <s v="2.349014"/>
    <x v="7"/>
    <s v="Small (11-200)"/>
    <x v="2"/>
    <d v="2024-02-19T00:00:00"/>
    <x v="0"/>
    <x v="4"/>
    <n v="5"/>
    <x v="6"/>
    <n v="5"/>
    <n v="1440"/>
    <n v="10"/>
    <x v="21"/>
    <x v="176"/>
    <s v=""/>
  </r>
  <r>
    <x v="1827"/>
    <x v="5"/>
    <s v="46.204391"/>
    <s v="6.143158"/>
    <x v="5"/>
    <s v="Small (11-200)"/>
    <x v="3"/>
    <d v="2024-04-25T00:00:00"/>
    <x v="2"/>
    <x v="4"/>
    <n v="5"/>
    <x v="6"/>
    <n v="5"/>
    <n v="1915"/>
    <n v="20"/>
    <x v="252"/>
    <x v="176"/>
    <s v=""/>
  </r>
  <r>
    <x v="1828"/>
    <x v="3"/>
    <s v="52.520008"/>
    <s v="13.404954"/>
    <x v="13"/>
    <s v="Small (11-200)"/>
    <x v="4"/>
    <d v="2024-04-15T00:00:00"/>
    <x v="1"/>
    <x v="4"/>
    <n v="5"/>
    <x v="6"/>
    <n v="5"/>
    <n v="1029"/>
    <n v="20"/>
    <x v="408"/>
    <x v="176"/>
    <s v=""/>
  </r>
  <r>
    <x v="1829"/>
    <x v="2"/>
    <s v="41.902782"/>
    <s v="12.496366"/>
    <x v="0"/>
    <s v="Small (11-200)"/>
    <x v="0"/>
    <d v="2024-05-23T00:00:00"/>
    <x v="1"/>
    <x v="4"/>
    <n v="5"/>
    <x v="6"/>
    <n v="5"/>
    <n v="641"/>
    <n v="60"/>
    <x v="41"/>
    <x v="176"/>
    <s v=""/>
  </r>
  <r>
    <x v="1830"/>
    <x v="0"/>
    <s v="52.370216"/>
    <s v="4.895168"/>
    <x v="4"/>
    <s v="Small (11-200)"/>
    <x v="2"/>
    <d v="2024-05-27T00:00:00"/>
    <x v="1"/>
    <x v="4"/>
    <n v="5"/>
    <x v="6"/>
    <n v="5"/>
    <n v="1776"/>
    <n v="60"/>
    <x v="17"/>
    <x v="176"/>
    <s v=""/>
  </r>
  <r>
    <x v="1831"/>
    <x v="6"/>
    <s v="48.864716"/>
    <s v="2.349014"/>
    <x v="5"/>
    <s v="Small (11-200)"/>
    <x v="1"/>
    <d v="2024-03-20T00:00:00"/>
    <x v="0"/>
    <x v="4"/>
    <n v="5"/>
    <x v="6"/>
    <n v="5"/>
    <n v="1464"/>
    <n v="60"/>
    <x v="278"/>
    <x v="176"/>
    <s v=""/>
  </r>
  <r>
    <x v="1832"/>
    <x v="2"/>
    <s v="41.902782"/>
    <s v="12.496366"/>
    <x v="4"/>
    <s v="Small (11-200)"/>
    <x v="2"/>
    <d v="2024-05-22T00:00:00"/>
    <x v="0"/>
    <x v="4"/>
    <n v="5"/>
    <x v="6"/>
    <n v="5"/>
    <n v="1236"/>
    <n v="90"/>
    <x v="297"/>
    <x v="176"/>
    <s v=""/>
  </r>
  <r>
    <x v="1833"/>
    <x v="3"/>
    <s v="52.520008"/>
    <s v="13.404954"/>
    <x v="8"/>
    <s v="Small (11-200)"/>
    <x v="6"/>
    <d v="2024-03-20T00:00:00"/>
    <x v="0"/>
    <x v="4"/>
    <n v="5"/>
    <x v="6"/>
    <n v="5"/>
    <n v="200"/>
    <n v="30"/>
    <x v="312"/>
    <x v="176"/>
    <s v=""/>
  </r>
  <r>
    <x v="1834"/>
    <x v="6"/>
    <s v="48.864716"/>
    <s v="2.349014"/>
    <x v="13"/>
    <s v="Small (11-200)"/>
    <x v="6"/>
    <d v="2024-04-11T00:00:00"/>
    <x v="2"/>
    <x v="4"/>
    <n v="5"/>
    <x v="6"/>
    <n v="5"/>
    <n v="698"/>
    <n v="40"/>
    <x v="265"/>
    <x v="176"/>
    <s v=""/>
  </r>
  <r>
    <x v="1835"/>
    <x v="2"/>
    <s v="41.902782"/>
    <s v="12.496366"/>
    <x v="1"/>
    <s v="Small (11-200)"/>
    <x v="2"/>
    <d v="2024-01-21T00:00:00"/>
    <x v="0"/>
    <x v="4"/>
    <n v="5"/>
    <x v="6"/>
    <n v="5"/>
    <n v="1712"/>
    <n v="60"/>
    <x v="318"/>
    <x v="176"/>
    <s v=""/>
  </r>
  <r>
    <x v="1836"/>
    <x v="0"/>
    <s v="52.370216"/>
    <s v="4.895168"/>
    <x v="13"/>
    <s v="Small (11-200)"/>
    <x v="0"/>
    <d v="2024-04-29T00:00:00"/>
    <x v="0"/>
    <x v="4"/>
    <n v="5"/>
    <x v="6"/>
    <n v="5"/>
    <n v="726"/>
    <n v="60"/>
    <x v="305"/>
    <x v="176"/>
    <s v=""/>
  </r>
  <r>
    <x v="1837"/>
    <x v="5"/>
    <s v="46.204391"/>
    <s v="6.143158"/>
    <x v="0"/>
    <s v="Small (11-200)"/>
    <x v="4"/>
    <d v="2024-05-07T00:00:00"/>
    <x v="1"/>
    <x v="4"/>
    <n v="5"/>
    <x v="6"/>
    <n v="5"/>
    <n v="292"/>
    <n v="10"/>
    <x v="83"/>
    <x v="176"/>
    <s v=""/>
  </r>
  <r>
    <x v="1838"/>
    <x v="4"/>
    <s v="51.260197"/>
    <s v="4.402771"/>
    <x v="4"/>
    <s v="Small (11-200)"/>
    <x v="3"/>
    <d v="2024-05-05T00:00:00"/>
    <x v="0"/>
    <x v="4"/>
    <n v="5"/>
    <x v="6"/>
    <n v="5"/>
    <n v="265"/>
    <n v="20"/>
    <x v="377"/>
    <x v="176"/>
    <s v=""/>
  </r>
  <r>
    <x v="1839"/>
    <x v="8"/>
    <s v="38.736946"/>
    <s v="-9.142685"/>
    <x v="9"/>
    <s v="Small (11-200)"/>
    <x v="2"/>
    <d v="2024-05-22T00:00:00"/>
    <x v="0"/>
    <x v="4"/>
    <n v="5"/>
    <x v="6"/>
    <n v="5"/>
    <n v="424"/>
    <n v="20"/>
    <x v="324"/>
    <x v="176"/>
    <s v=""/>
  </r>
  <r>
    <x v="1840"/>
    <x v="0"/>
    <s v="52.370216"/>
    <s v="4.895168"/>
    <x v="13"/>
    <s v="Small (11-200)"/>
    <x v="4"/>
    <d v="2024-05-26T00:00:00"/>
    <x v="0"/>
    <x v="4"/>
    <n v="5"/>
    <x v="6"/>
    <n v="5"/>
    <n v="865"/>
    <n v="20"/>
    <x v="191"/>
    <x v="176"/>
    <s v=""/>
  </r>
  <r>
    <x v="1841"/>
    <x v="4"/>
    <s v="51.260197"/>
    <s v="4.402771"/>
    <x v="4"/>
    <s v="Small (11-200)"/>
    <x v="0"/>
    <d v="2024-02-02T00:00:00"/>
    <x v="0"/>
    <x v="4"/>
    <n v="5"/>
    <x v="6"/>
    <n v="5"/>
    <n v="1284"/>
    <n v="30"/>
    <x v="87"/>
    <x v="176"/>
    <s v=""/>
  </r>
  <r>
    <x v="1842"/>
    <x v="4"/>
    <s v="51.260197"/>
    <s v="4.402771"/>
    <x v="5"/>
    <s v="Small (11-200)"/>
    <x v="4"/>
    <d v="2024-03-08T00:00:00"/>
    <x v="0"/>
    <x v="4"/>
    <n v="5"/>
    <x v="6"/>
    <n v="5"/>
    <n v="1573"/>
    <n v="50"/>
    <x v="99"/>
    <x v="176"/>
    <s v=""/>
  </r>
  <r>
    <x v="1843"/>
    <x v="0"/>
    <s v="52.370216"/>
    <s v="4.895168"/>
    <x v="3"/>
    <s v="Small (11-200)"/>
    <x v="0"/>
    <d v="2024-01-12T00:00:00"/>
    <x v="0"/>
    <x v="4"/>
    <n v="5"/>
    <x v="6"/>
    <n v="5"/>
    <n v="799"/>
    <n v="10"/>
    <x v="85"/>
    <x v="176"/>
    <s v=""/>
  </r>
  <r>
    <x v="1844"/>
    <x v="4"/>
    <s v="51.260197"/>
    <s v="4.402771"/>
    <x v="5"/>
    <s v="Small (11-200)"/>
    <x v="2"/>
    <d v="2024-02-03T00:00:00"/>
    <x v="0"/>
    <x v="4"/>
    <n v="5"/>
    <x v="6"/>
    <n v="5"/>
    <n v="1108"/>
    <n v="60"/>
    <x v="346"/>
    <x v="176"/>
    <s v=""/>
  </r>
  <r>
    <x v="1845"/>
    <x v="7"/>
    <s v="48.210033"/>
    <s v="16.363449"/>
    <x v="4"/>
    <s v="Small (11-200)"/>
    <x v="5"/>
    <d v="2024-05-18T00:00:00"/>
    <x v="0"/>
    <x v="4"/>
    <n v="5"/>
    <x v="6"/>
    <n v="5"/>
    <n v="1859"/>
    <n v="40"/>
    <x v="159"/>
    <x v="176"/>
    <s v=""/>
  </r>
  <r>
    <x v="1846"/>
    <x v="8"/>
    <s v="38.736946"/>
    <s v="-9.142685"/>
    <x v="4"/>
    <s v="Small (11-200)"/>
    <x v="7"/>
    <d v="2024-05-09T00:00:00"/>
    <x v="0"/>
    <x v="4"/>
    <n v="5"/>
    <x v="6"/>
    <n v="5"/>
    <n v="1979"/>
    <n v="100"/>
    <x v="95"/>
    <x v="176"/>
    <s v=""/>
  </r>
  <r>
    <x v="1847"/>
    <x v="7"/>
    <s v="48.210033"/>
    <s v="16.363449"/>
    <x v="0"/>
    <s v="Small (11-200)"/>
    <x v="2"/>
    <d v="2024-01-16T00:00:00"/>
    <x v="1"/>
    <x v="4"/>
    <n v="5"/>
    <x v="6"/>
    <n v="5"/>
    <n v="272"/>
    <n v="20"/>
    <x v="367"/>
    <x v="176"/>
    <s v=""/>
  </r>
  <r>
    <x v="1848"/>
    <x v="1"/>
    <s v="40.416775"/>
    <s v="-3.703790"/>
    <x v="3"/>
    <s v="Small (11-200)"/>
    <x v="7"/>
    <d v="2024-03-21T00:00:00"/>
    <x v="0"/>
    <x v="4"/>
    <n v="5"/>
    <x v="6"/>
    <n v="5"/>
    <n v="320"/>
    <n v="40"/>
    <x v="260"/>
    <x v="176"/>
    <s v=""/>
  </r>
  <r>
    <x v="1849"/>
    <x v="6"/>
    <s v="48.864716"/>
    <s v="2.349014"/>
    <x v="5"/>
    <s v="Small (11-200)"/>
    <x v="4"/>
    <d v="2024-03-02T00:00:00"/>
    <x v="0"/>
    <x v="4"/>
    <n v="5"/>
    <x v="6"/>
    <n v="5"/>
    <n v="1097"/>
    <n v="80"/>
    <x v="14"/>
    <x v="176"/>
    <s v=""/>
  </r>
  <r>
    <x v="1850"/>
    <x v="5"/>
    <s v="46.204391"/>
    <s v="6.143158"/>
    <x v="6"/>
    <s v="Small (11-200)"/>
    <x v="3"/>
    <d v="2024-05-05T00:00:00"/>
    <x v="2"/>
    <x v="4"/>
    <n v="5"/>
    <x v="6"/>
    <n v="5"/>
    <n v="1443"/>
    <n v="40"/>
    <x v="153"/>
    <x v="176"/>
    <s v=""/>
  </r>
  <r>
    <x v="1851"/>
    <x v="2"/>
    <s v="41.902782"/>
    <s v="12.496366"/>
    <x v="4"/>
    <s v="Small (11-200)"/>
    <x v="0"/>
    <d v="2024-04-22T00:00:00"/>
    <x v="0"/>
    <x v="4"/>
    <n v="5"/>
    <x v="6"/>
    <n v="5"/>
    <n v="254"/>
    <n v="50"/>
    <x v="299"/>
    <x v="176"/>
    <s v=""/>
  </r>
  <r>
    <x v="1852"/>
    <x v="4"/>
    <s v="51.260197"/>
    <s v="4.402771"/>
    <x v="8"/>
    <s v="Small (11-200)"/>
    <x v="2"/>
    <d v="2024-04-01T00:00:00"/>
    <x v="1"/>
    <x v="4"/>
    <n v="5"/>
    <x v="6"/>
    <n v="5"/>
    <n v="424"/>
    <n v="40"/>
    <x v="200"/>
    <x v="176"/>
    <s v=""/>
  </r>
  <r>
    <x v="1853"/>
    <x v="2"/>
    <s v="41.902782"/>
    <s v="12.496366"/>
    <x v="11"/>
    <s v="Small (11-200)"/>
    <x v="1"/>
    <d v="2024-04-06T00:00:00"/>
    <x v="1"/>
    <x v="4"/>
    <n v="5"/>
    <x v="6"/>
    <n v="5"/>
    <n v="847"/>
    <n v="60"/>
    <x v="273"/>
    <x v="176"/>
    <s v=""/>
  </r>
  <r>
    <x v="1854"/>
    <x v="3"/>
    <s v="52.520008"/>
    <s v="13.404954"/>
    <x v="4"/>
    <s v="Small (11-200)"/>
    <x v="7"/>
    <d v="2024-05-27T00:00:00"/>
    <x v="1"/>
    <x v="4"/>
    <n v="5"/>
    <x v="6"/>
    <n v="5"/>
    <n v="1431"/>
    <n v="30"/>
    <x v="23"/>
    <x v="176"/>
    <s v=""/>
  </r>
  <r>
    <x v="1855"/>
    <x v="4"/>
    <s v="51.260197"/>
    <s v="4.402771"/>
    <x v="0"/>
    <s v="Small (11-200)"/>
    <x v="6"/>
    <d v="2024-01-02T00:00:00"/>
    <x v="2"/>
    <x v="4"/>
    <n v="5"/>
    <x v="6"/>
    <n v="5"/>
    <n v="719"/>
    <n v="40"/>
    <x v="433"/>
    <x v="176"/>
    <s v=""/>
  </r>
  <r>
    <x v="1856"/>
    <x v="3"/>
    <s v="52.520008"/>
    <s v="13.404954"/>
    <x v="5"/>
    <s v="Micro (1-10)"/>
    <x v="2"/>
    <d v="2024-04-20T00:00:00"/>
    <x v="0"/>
    <x v="4"/>
    <n v="5"/>
    <x v="6"/>
    <n v="5"/>
    <n v="938"/>
    <n v="80"/>
    <x v="265"/>
    <x v="176"/>
    <s v=""/>
  </r>
  <r>
    <x v="1857"/>
    <x v="5"/>
    <s v="46.204391"/>
    <s v="6.143158"/>
    <x v="6"/>
    <s v="Micro (1-10)"/>
    <x v="6"/>
    <d v="2024-02-21T00:00:00"/>
    <x v="0"/>
    <x v="4"/>
    <n v="5"/>
    <x v="6"/>
    <n v="5"/>
    <n v="1159"/>
    <n v="30"/>
    <x v="276"/>
    <x v="176"/>
    <s v=""/>
  </r>
  <r>
    <x v="1858"/>
    <x v="1"/>
    <s v="40.416775"/>
    <s v="-3.703790"/>
    <x v="4"/>
    <s v="Micro (1-10)"/>
    <x v="0"/>
    <d v="2024-05-03T00:00:00"/>
    <x v="2"/>
    <x v="4"/>
    <n v="5"/>
    <x v="6"/>
    <n v="5"/>
    <n v="643"/>
    <n v="40"/>
    <x v="175"/>
    <x v="176"/>
    <s v=""/>
  </r>
  <r>
    <x v="1859"/>
    <x v="8"/>
    <s v="38.736946"/>
    <s v="-9.142685"/>
    <x v="5"/>
    <s v="Micro (1-10)"/>
    <x v="0"/>
    <d v="2024-03-09T00:00:00"/>
    <x v="2"/>
    <x v="4"/>
    <n v="5"/>
    <x v="6"/>
    <n v="5"/>
    <n v="540"/>
    <n v="60"/>
    <x v="297"/>
    <x v="176"/>
    <s v=""/>
  </r>
  <r>
    <x v="1860"/>
    <x v="6"/>
    <s v="48.864716"/>
    <s v="2.349014"/>
    <x v="8"/>
    <s v="Micro (1-10)"/>
    <x v="3"/>
    <d v="2024-01-31T00:00:00"/>
    <x v="1"/>
    <x v="4"/>
    <n v="5"/>
    <x v="6"/>
    <n v="5"/>
    <n v="523"/>
    <n v="10"/>
    <x v="56"/>
    <x v="176"/>
    <s v=""/>
  </r>
  <r>
    <x v="1861"/>
    <x v="3"/>
    <s v="52.520008"/>
    <s v="13.404954"/>
    <x v="0"/>
    <s v="Micro (1-10)"/>
    <x v="3"/>
    <d v="2024-05-28T00:00:00"/>
    <x v="2"/>
    <x v="4"/>
    <n v="5"/>
    <x v="6"/>
    <n v="5"/>
    <n v="391"/>
    <n v="90"/>
    <x v="165"/>
    <x v="176"/>
    <s v=""/>
  </r>
  <r>
    <x v="1862"/>
    <x v="1"/>
    <s v="40.416775"/>
    <s v="-3.703790"/>
    <x v="0"/>
    <s v="Micro (1-10)"/>
    <x v="1"/>
    <d v="2024-05-05T00:00:00"/>
    <x v="0"/>
    <x v="4"/>
    <n v="5"/>
    <x v="6"/>
    <n v="5"/>
    <n v="448"/>
    <n v="30"/>
    <x v="295"/>
    <x v="176"/>
    <s v=""/>
  </r>
  <r>
    <x v="1863"/>
    <x v="6"/>
    <s v="48.864716"/>
    <s v="2.349014"/>
    <x v="8"/>
    <s v="Micro (1-10)"/>
    <x v="4"/>
    <d v="2024-02-02T00:00:00"/>
    <x v="0"/>
    <x v="4"/>
    <n v="5"/>
    <x v="6"/>
    <n v="5"/>
    <n v="1143"/>
    <n v="40"/>
    <x v="194"/>
    <x v="176"/>
    <s v=""/>
  </r>
  <r>
    <x v="1864"/>
    <x v="4"/>
    <s v="51.260197"/>
    <s v="4.402771"/>
    <x v="11"/>
    <s v="Micro (1-10)"/>
    <x v="3"/>
    <d v="2024-01-05T00:00:00"/>
    <x v="0"/>
    <x v="4"/>
    <n v="5"/>
    <x v="6"/>
    <n v="5"/>
    <n v="235"/>
    <n v="60"/>
    <x v="116"/>
    <x v="176"/>
    <s v=""/>
  </r>
  <r>
    <x v="1865"/>
    <x v="6"/>
    <s v="48.864716"/>
    <s v="2.349014"/>
    <x v="4"/>
    <s v="Micro (1-10)"/>
    <x v="3"/>
    <d v="2024-04-04T00:00:00"/>
    <x v="2"/>
    <x v="4"/>
    <n v="5"/>
    <x v="6"/>
    <n v="5"/>
    <n v="626"/>
    <n v="20"/>
    <x v="13"/>
    <x v="176"/>
    <s v=""/>
  </r>
  <r>
    <x v="1866"/>
    <x v="5"/>
    <s v="46.204391"/>
    <s v="6.143158"/>
    <x v="4"/>
    <s v="Micro (1-10)"/>
    <x v="3"/>
    <d v="2024-04-17T00:00:00"/>
    <x v="0"/>
    <x v="4"/>
    <n v="5"/>
    <x v="6"/>
    <n v="5"/>
    <n v="1171"/>
    <n v="50"/>
    <x v="194"/>
    <x v="176"/>
    <s v=""/>
  </r>
  <r>
    <x v="1867"/>
    <x v="2"/>
    <s v="41.902782"/>
    <s v="12.496366"/>
    <x v="4"/>
    <s v="Micro (1-10)"/>
    <x v="3"/>
    <d v="2024-03-24T00:00:00"/>
    <x v="2"/>
    <x v="4"/>
    <n v="5"/>
    <x v="6"/>
    <n v="5"/>
    <n v="354"/>
    <n v="50"/>
    <x v="0"/>
    <x v="176"/>
    <s v=""/>
  </r>
  <r>
    <x v="1868"/>
    <x v="5"/>
    <s v="46.204391"/>
    <s v="6.143158"/>
    <x v="13"/>
    <s v="Micro (1-10)"/>
    <x v="4"/>
    <d v="2024-01-31T00:00:00"/>
    <x v="0"/>
    <x v="4"/>
    <n v="5"/>
    <x v="6"/>
    <n v="5"/>
    <n v="373"/>
    <n v="20"/>
    <x v="116"/>
    <x v="176"/>
    <s v=""/>
  </r>
  <r>
    <x v="1869"/>
    <x v="4"/>
    <s v="51.260197"/>
    <s v="4.402771"/>
    <x v="8"/>
    <s v="Micro (1-10)"/>
    <x v="1"/>
    <d v="2024-03-04T00:00:00"/>
    <x v="0"/>
    <x v="4"/>
    <n v="5"/>
    <x v="6"/>
    <n v="5"/>
    <n v="396"/>
    <n v="70"/>
    <x v="3"/>
    <x v="176"/>
    <s v=""/>
  </r>
  <r>
    <x v="1870"/>
    <x v="2"/>
    <s v="41.902782"/>
    <s v="12.496366"/>
    <x v="12"/>
    <s v="Micro (1-10)"/>
    <x v="3"/>
    <d v="2024-04-06T00:00:00"/>
    <x v="0"/>
    <x v="4"/>
    <n v="5"/>
    <x v="6"/>
    <n v="5"/>
    <n v="723"/>
    <n v="40"/>
    <x v="29"/>
    <x v="176"/>
    <s v=""/>
  </r>
  <r>
    <x v="1871"/>
    <x v="2"/>
    <s v="41.902782"/>
    <s v="12.496366"/>
    <x v="5"/>
    <s v="Micro (1-10)"/>
    <x v="5"/>
    <d v="2024-01-08T00:00:00"/>
    <x v="2"/>
    <x v="4"/>
    <n v="5"/>
    <x v="6"/>
    <n v="5"/>
    <n v="707"/>
    <n v="90"/>
    <x v="228"/>
    <x v="176"/>
    <s v=""/>
  </r>
  <r>
    <x v="1872"/>
    <x v="2"/>
    <s v="41.902782"/>
    <s v="12.496366"/>
    <x v="11"/>
    <s v="Medium (201-500)"/>
    <x v="5"/>
    <d v="2024-01-14T00:00:00"/>
    <x v="0"/>
    <x v="4"/>
    <n v="5"/>
    <x v="6"/>
    <n v="5"/>
    <n v="1607"/>
    <n v="70"/>
    <x v="9"/>
    <x v="176"/>
    <s v=""/>
  </r>
  <r>
    <x v="1873"/>
    <x v="8"/>
    <s v="38.736946"/>
    <s v="-9.142685"/>
    <x v="0"/>
    <s v="Medium (201-500)"/>
    <x v="1"/>
    <d v="2024-03-26T00:00:00"/>
    <x v="2"/>
    <x v="4"/>
    <n v="5"/>
    <x v="6"/>
    <n v="5"/>
    <n v="2560"/>
    <n v="20"/>
    <x v="364"/>
    <x v="176"/>
    <s v=""/>
  </r>
  <r>
    <x v="1874"/>
    <x v="8"/>
    <s v="38.736946"/>
    <s v="-9.142685"/>
    <x v="3"/>
    <s v="Medium (201-500)"/>
    <x v="7"/>
    <d v="2024-02-27T00:00:00"/>
    <x v="2"/>
    <x v="4"/>
    <n v="5"/>
    <x v="6"/>
    <n v="5"/>
    <n v="2942"/>
    <n v="40"/>
    <x v="229"/>
    <x v="176"/>
    <s v=""/>
  </r>
  <r>
    <x v="1875"/>
    <x v="6"/>
    <s v="48.864716"/>
    <s v="2.349014"/>
    <x v="9"/>
    <s v="Medium (201-500)"/>
    <x v="4"/>
    <d v="2024-03-19T00:00:00"/>
    <x v="2"/>
    <x v="4"/>
    <n v="5"/>
    <x v="6"/>
    <n v="5"/>
    <n v="7428"/>
    <n v="30"/>
    <x v="171"/>
    <x v="176"/>
    <s v=""/>
  </r>
  <r>
    <x v="1876"/>
    <x v="2"/>
    <s v="41.902782"/>
    <s v="12.496366"/>
    <x v="13"/>
    <s v="Medium (201-500)"/>
    <x v="4"/>
    <d v="2024-01-02T00:00:00"/>
    <x v="0"/>
    <x v="4"/>
    <n v="5"/>
    <x v="6"/>
    <n v="5"/>
    <n v="3161"/>
    <n v="50"/>
    <x v="248"/>
    <x v="176"/>
    <s v=""/>
  </r>
  <r>
    <x v="1877"/>
    <x v="3"/>
    <s v="52.520008"/>
    <s v="13.404954"/>
    <x v="8"/>
    <s v="Medium (201-500)"/>
    <x v="3"/>
    <d v="2024-02-27T00:00:00"/>
    <x v="2"/>
    <x v="4"/>
    <n v="5"/>
    <x v="6"/>
    <n v="5"/>
    <n v="4558"/>
    <n v="40"/>
    <x v="245"/>
    <x v="176"/>
    <s v=""/>
  </r>
  <r>
    <x v="1878"/>
    <x v="3"/>
    <s v="52.520008"/>
    <s v="13.404954"/>
    <x v="8"/>
    <s v="Medium (201-500)"/>
    <x v="5"/>
    <d v="2024-03-02T00:00:00"/>
    <x v="2"/>
    <x v="4"/>
    <n v="5"/>
    <x v="6"/>
    <n v="5"/>
    <n v="5279"/>
    <n v="30"/>
    <x v="215"/>
    <x v="176"/>
    <s v=""/>
  </r>
  <r>
    <x v="1879"/>
    <x v="2"/>
    <s v="41.902782"/>
    <s v="12.496366"/>
    <x v="5"/>
    <s v="Medium (201-500)"/>
    <x v="0"/>
    <d v="2024-03-24T00:00:00"/>
    <x v="2"/>
    <x v="4"/>
    <n v="5"/>
    <x v="6"/>
    <n v="5"/>
    <n v="6644"/>
    <n v="50"/>
    <x v="219"/>
    <x v="176"/>
    <s v=""/>
  </r>
  <r>
    <x v="1880"/>
    <x v="3"/>
    <s v="52.520008"/>
    <s v="13.404954"/>
    <x v="0"/>
    <s v="Medium (201-500)"/>
    <x v="0"/>
    <d v="2024-03-01T00:00:00"/>
    <x v="0"/>
    <x v="4"/>
    <n v="5"/>
    <x v="6"/>
    <n v="5"/>
    <n v="1953"/>
    <n v="70"/>
    <x v="324"/>
    <x v="176"/>
    <s v=""/>
  </r>
  <r>
    <x v="1881"/>
    <x v="5"/>
    <s v="46.204391"/>
    <s v="6.143158"/>
    <x v="5"/>
    <s v="Medium (201-500)"/>
    <x v="1"/>
    <d v="2024-01-21T00:00:00"/>
    <x v="0"/>
    <x v="4"/>
    <n v="5"/>
    <x v="6"/>
    <n v="5"/>
    <n v="7787"/>
    <n v="60"/>
    <x v="339"/>
    <x v="176"/>
    <s v=""/>
  </r>
  <r>
    <x v="1882"/>
    <x v="3"/>
    <s v="52.520008"/>
    <s v="13.404954"/>
    <x v="7"/>
    <s v="Medium (201-500)"/>
    <x v="3"/>
    <d v="2024-01-31T00:00:00"/>
    <x v="0"/>
    <x v="4"/>
    <n v="5"/>
    <x v="6"/>
    <n v="5"/>
    <n v="4665"/>
    <n v="40"/>
    <x v="325"/>
    <x v="176"/>
    <s v=""/>
  </r>
  <r>
    <x v="1883"/>
    <x v="6"/>
    <s v="48.864716"/>
    <s v="2.349014"/>
    <x v="5"/>
    <s v="Medium (201-500)"/>
    <x v="2"/>
    <d v="2024-05-27T00:00:00"/>
    <x v="0"/>
    <x v="4"/>
    <n v="5"/>
    <x v="6"/>
    <n v="5"/>
    <n v="2470"/>
    <n v="20"/>
    <x v="137"/>
    <x v="176"/>
    <s v=""/>
  </r>
  <r>
    <x v="1884"/>
    <x v="8"/>
    <s v="38.736946"/>
    <s v="-9.142685"/>
    <x v="3"/>
    <s v="Medium (201-500)"/>
    <x v="6"/>
    <d v="2024-04-26T00:00:00"/>
    <x v="2"/>
    <x v="4"/>
    <n v="5"/>
    <x v="6"/>
    <n v="5"/>
    <n v="5258"/>
    <n v="60"/>
    <x v="261"/>
    <x v="176"/>
    <s v=""/>
  </r>
  <r>
    <x v="1885"/>
    <x v="3"/>
    <s v="52.520008"/>
    <s v="13.404954"/>
    <x v="0"/>
    <s v="Medium (201-500)"/>
    <x v="3"/>
    <d v="2024-05-04T00:00:00"/>
    <x v="0"/>
    <x v="4"/>
    <n v="5"/>
    <x v="6"/>
    <n v="5"/>
    <n v="1859"/>
    <n v="20"/>
    <x v="402"/>
    <x v="176"/>
    <s v=""/>
  </r>
  <r>
    <x v="1886"/>
    <x v="6"/>
    <s v="48.864716"/>
    <s v="2.349014"/>
    <x v="0"/>
    <s v="Medium (201-500)"/>
    <x v="2"/>
    <d v="2024-04-28T00:00:00"/>
    <x v="0"/>
    <x v="4"/>
    <n v="5"/>
    <x v="6"/>
    <n v="5"/>
    <n v="2792"/>
    <n v="30"/>
    <x v="164"/>
    <x v="176"/>
    <s v=""/>
  </r>
  <r>
    <x v="1887"/>
    <x v="5"/>
    <s v="46.204391"/>
    <s v="6.143158"/>
    <x v="0"/>
    <s v="Medium (201-500)"/>
    <x v="0"/>
    <d v="2024-01-11T00:00:00"/>
    <x v="1"/>
    <x v="4"/>
    <n v="5"/>
    <x v="6"/>
    <n v="5"/>
    <n v="7714"/>
    <n v="60"/>
    <x v="188"/>
    <x v="176"/>
    <s v=""/>
  </r>
  <r>
    <x v="1888"/>
    <x v="3"/>
    <s v="52.520008"/>
    <s v="13.404954"/>
    <x v="2"/>
    <s v="Medium (201-500)"/>
    <x v="0"/>
    <d v="2024-04-09T00:00:00"/>
    <x v="2"/>
    <x v="4"/>
    <n v="5"/>
    <x v="6"/>
    <n v="5"/>
    <n v="774"/>
    <n v="30"/>
    <x v="278"/>
    <x v="176"/>
    <s v=""/>
  </r>
  <r>
    <x v="1889"/>
    <x v="2"/>
    <s v="41.902782"/>
    <s v="12.496366"/>
    <x v="3"/>
    <s v="Medium (201-500)"/>
    <x v="3"/>
    <d v="2024-05-08T00:00:00"/>
    <x v="0"/>
    <x v="4"/>
    <n v="5"/>
    <x v="6"/>
    <n v="5"/>
    <n v="4719"/>
    <n v="60"/>
    <x v="404"/>
    <x v="176"/>
    <s v=""/>
  </r>
  <r>
    <x v="1890"/>
    <x v="4"/>
    <s v="51.260197"/>
    <s v="4.402771"/>
    <x v="0"/>
    <s v="Medium (201-500)"/>
    <x v="3"/>
    <d v="2024-05-23T00:00:00"/>
    <x v="0"/>
    <x v="4"/>
    <n v="5"/>
    <x v="6"/>
    <n v="5"/>
    <n v="984"/>
    <n v="30"/>
    <x v="370"/>
    <x v="176"/>
    <s v=""/>
  </r>
  <r>
    <x v="1891"/>
    <x v="4"/>
    <s v="51.260197"/>
    <s v="4.402771"/>
    <x v="11"/>
    <s v="Medium (201-500)"/>
    <x v="0"/>
    <d v="2024-02-26T00:00:00"/>
    <x v="0"/>
    <x v="4"/>
    <n v="5"/>
    <x v="6"/>
    <n v="5"/>
    <n v="2665"/>
    <n v="40"/>
    <x v="419"/>
    <x v="176"/>
    <s v=""/>
  </r>
  <r>
    <x v="1892"/>
    <x v="2"/>
    <s v="41.902782"/>
    <s v="12.496366"/>
    <x v="4"/>
    <s v="Medium (201-500)"/>
    <x v="4"/>
    <d v="2024-03-12T00:00:00"/>
    <x v="2"/>
    <x v="4"/>
    <n v="5"/>
    <x v="6"/>
    <n v="5"/>
    <n v="225"/>
    <n v="40"/>
    <x v="416"/>
    <x v="176"/>
    <s v=""/>
  </r>
  <r>
    <x v="1893"/>
    <x v="2"/>
    <s v="41.902782"/>
    <s v="12.496366"/>
    <x v="3"/>
    <s v="Medium (201-500)"/>
    <x v="4"/>
    <d v="2024-02-21T00:00:00"/>
    <x v="1"/>
    <x v="4"/>
    <n v="5"/>
    <x v="6"/>
    <n v="5"/>
    <n v="412"/>
    <n v="30"/>
    <x v="94"/>
    <x v="176"/>
    <s v=""/>
  </r>
  <r>
    <x v="1894"/>
    <x v="3"/>
    <s v="52.520008"/>
    <s v="13.404954"/>
    <x v="0"/>
    <s v="Medium (201-500)"/>
    <x v="2"/>
    <d v="2024-03-23T00:00:00"/>
    <x v="0"/>
    <x v="4"/>
    <n v="5"/>
    <x v="6"/>
    <n v="5"/>
    <n v="5878"/>
    <n v="40"/>
    <x v="99"/>
    <x v="176"/>
    <s v=""/>
  </r>
  <r>
    <x v="1895"/>
    <x v="2"/>
    <s v="41.902782"/>
    <s v="12.496366"/>
    <x v="13"/>
    <s v="Medium (201-500)"/>
    <x v="3"/>
    <d v="2024-03-30T00:00:00"/>
    <x v="1"/>
    <x v="4"/>
    <n v="5"/>
    <x v="6"/>
    <n v="5"/>
    <n v="5193"/>
    <n v="70"/>
    <x v="309"/>
    <x v="176"/>
    <s v=""/>
  </r>
  <r>
    <x v="1896"/>
    <x v="8"/>
    <s v="38.736946"/>
    <s v="-9.142685"/>
    <x v="5"/>
    <s v="Medium (201-500)"/>
    <x v="3"/>
    <d v="2024-03-05T00:00:00"/>
    <x v="0"/>
    <x v="4"/>
    <n v="5"/>
    <x v="6"/>
    <n v="5"/>
    <n v="3104"/>
    <n v="20"/>
    <x v="293"/>
    <x v="176"/>
    <s v=""/>
  </r>
  <r>
    <x v="1897"/>
    <x v="6"/>
    <s v="48.864716"/>
    <s v="2.349014"/>
    <x v="4"/>
    <s v="Medium (201-500)"/>
    <x v="1"/>
    <d v="2024-04-28T00:00:00"/>
    <x v="0"/>
    <x v="4"/>
    <n v="5"/>
    <x v="6"/>
    <n v="5"/>
    <n v="369"/>
    <n v="60"/>
    <x v="86"/>
    <x v="176"/>
    <s v=""/>
  </r>
  <r>
    <x v="1898"/>
    <x v="0"/>
    <s v="52.370216"/>
    <s v="4.895168"/>
    <x v="5"/>
    <s v="Medium (201-500)"/>
    <x v="3"/>
    <d v="2024-04-18T00:00:00"/>
    <x v="2"/>
    <x v="4"/>
    <n v="5"/>
    <x v="6"/>
    <n v="5"/>
    <n v="7428"/>
    <n v="90"/>
    <x v="8"/>
    <x v="176"/>
    <s v=""/>
  </r>
  <r>
    <x v="1899"/>
    <x v="4"/>
    <s v="51.260197"/>
    <s v="4.402771"/>
    <x v="4"/>
    <s v="Medium (201-500)"/>
    <x v="3"/>
    <d v="2024-04-10T00:00:00"/>
    <x v="2"/>
    <x v="4"/>
    <n v="5"/>
    <x v="6"/>
    <n v="5"/>
    <n v="5810"/>
    <n v="50"/>
    <x v="112"/>
    <x v="176"/>
    <s v=""/>
  </r>
  <r>
    <x v="1900"/>
    <x v="2"/>
    <s v="41.902782"/>
    <s v="12.496366"/>
    <x v="5"/>
    <s v="Medium (201-500)"/>
    <x v="6"/>
    <d v="2024-03-20T00:00:00"/>
    <x v="0"/>
    <x v="4"/>
    <n v="5"/>
    <x v="6"/>
    <n v="5"/>
    <n v="3930"/>
    <n v="20"/>
    <x v="91"/>
    <x v="176"/>
    <s v=""/>
  </r>
  <r>
    <x v="1901"/>
    <x v="2"/>
    <s v="41.902782"/>
    <s v="12.496366"/>
    <x v="5"/>
    <s v="Medium (201-500)"/>
    <x v="1"/>
    <d v="2024-05-07T00:00:00"/>
    <x v="0"/>
    <x v="4"/>
    <n v="5"/>
    <x v="6"/>
    <n v="5"/>
    <n v="225"/>
    <n v="50"/>
    <x v="346"/>
    <x v="176"/>
    <s v=""/>
  </r>
  <r>
    <x v="1902"/>
    <x v="2"/>
    <s v="41.902782"/>
    <s v="12.496366"/>
    <x v="1"/>
    <s v="Large (501-1000)"/>
    <x v="6"/>
    <d v="2024-02-08T00:00:00"/>
    <x v="2"/>
    <x v="4"/>
    <n v="5"/>
    <x v="6"/>
    <n v="5"/>
    <n v="16393"/>
    <n v="50"/>
    <x v="36"/>
    <x v="176"/>
    <s v=""/>
  </r>
  <r>
    <x v="1903"/>
    <x v="5"/>
    <s v="46.204391"/>
    <s v="6.143158"/>
    <x v="0"/>
    <s v="Enterprise (1001+)"/>
    <x v="6"/>
    <d v="2024-02-08T00:00:00"/>
    <x v="1"/>
    <x v="4"/>
    <n v="5"/>
    <x v="6"/>
    <n v="5"/>
    <n v="6516"/>
    <n v="90"/>
    <x v="373"/>
    <x v="176"/>
    <s v=""/>
  </r>
  <r>
    <x v="1904"/>
    <x v="3"/>
    <s v="52.520008"/>
    <s v="13.404954"/>
    <x v="0"/>
    <s v="Enterprise (1001+)"/>
    <x v="2"/>
    <d v="2024-02-10T00:00:00"/>
    <x v="1"/>
    <x v="4"/>
    <n v="5"/>
    <x v="6"/>
    <n v="5"/>
    <n v="5433"/>
    <n v="30"/>
    <x v="410"/>
    <x v="176"/>
    <s v=""/>
  </r>
  <r>
    <x v="1905"/>
    <x v="3"/>
    <s v="52.520008"/>
    <s v="13.404954"/>
    <x v="4"/>
    <s v="Small (11-200)"/>
    <x v="5"/>
    <d v="2024-03-29T00:00:00"/>
    <x v="2"/>
    <x v="5"/>
    <n v="2"/>
    <x v="0"/>
    <m/>
    <n v="1044"/>
    <n v="40"/>
    <x v="255"/>
    <x v="176"/>
    <s v=""/>
  </r>
  <r>
    <x v="1906"/>
    <x v="3"/>
    <s v="52.520008"/>
    <s v="13.404954"/>
    <x v="3"/>
    <s v="Small (11-200)"/>
    <x v="2"/>
    <d v="2024-04-15T00:00:00"/>
    <x v="1"/>
    <x v="5"/>
    <n v="2"/>
    <x v="0"/>
    <m/>
    <n v="1251"/>
    <n v="30"/>
    <x v="191"/>
    <x v="176"/>
    <s v=""/>
  </r>
  <r>
    <x v="1907"/>
    <x v="1"/>
    <s v="40.416775"/>
    <s v="-3.703790"/>
    <x v="5"/>
    <s v="Small (11-200)"/>
    <x v="3"/>
    <d v="2024-02-02T00:00:00"/>
    <x v="0"/>
    <x v="5"/>
    <n v="2"/>
    <x v="0"/>
    <m/>
    <n v="1825"/>
    <n v="60"/>
    <x v="148"/>
    <x v="176"/>
    <s v=""/>
  </r>
  <r>
    <x v="1908"/>
    <x v="2"/>
    <s v="41.902782"/>
    <s v="12.496366"/>
    <x v="5"/>
    <s v="Small (11-200)"/>
    <x v="2"/>
    <d v="2024-01-02T00:00:00"/>
    <x v="2"/>
    <x v="5"/>
    <n v="2"/>
    <x v="0"/>
    <m/>
    <n v="1812"/>
    <n v="80"/>
    <x v="421"/>
    <x v="176"/>
    <s v=""/>
  </r>
  <r>
    <x v="1909"/>
    <x v="6"/>
    <s v="48.864716"/>
    <s v="2.349014"/>
    <x v="3"/>
    <s v="Small (11-200)"/>
    <x v="4"/>
    <d v="2024-04-29T00:00:00"/>
    <x v="0"/>
    <x v="5"/>
    <n v="2"/>
    <x v="0"/>
    <m/>
    <n v="1948"/>
    <n v="70"/>
    <x v="258"/>
    <x v="176"/>
    <s v=""/>
  </r>
  <r>
    <x v="1910"/>
    <x v="8"/>
    <s v="38.736946"/>
    <s v="-9.142685"/>
    <x v="5"/>
    <s v="Small (11-200)"/>
    <x v="4"/>
    <d v="2024-01-22T00:00:00"/>
    <x v="0"/>
    <x v="5"/>
    <n v="2"/>
    <x v="0"/>
    <m/>
    <n v="978"/>
    <n v="20"/>
    <x v="438"/>
    <x v="176"/>
    <s v=""/>
  </r>
  <r>
    <x v="1911"/>
    <x v="8"/>
    <s v="38.736946"/>
    <s v="-9.142685"/>
    <x v="11"/>
    <s v="Small (11-200)"/>
    <x v="4"/>
    <d v="2024-03-12T00:00:00"/>
    <x v="0"/>
    <x v="5"/>
    <n v="2"/>
    <x v="0"/>
    <m/>
    <n v="1815"/>
    <n v="70"/>
    <x v="220"/>
    <x v="176"/>
    <s v=""/>
  </r>
  <r>
    <x v="1912"/>
    <x v="2"/>
    <s v="41.902782"/>
    <s v="12.496366"/>
    <x v="11"/>
    <s v="Small (11-200)"/>
    <x v="4"/>
    <d v="2024-01-20T00:00:00"/>
    <x v="0"/>
    <x v="5"/>
    <n v="2"/>
    <x v="0"/>
    <m/>
    <n v="879"/>
    <n v="100"/>
    <x v="346"/>
    <x v="176"/>
    <s v=""/>
  </r>
  <r>
    <x v="1913"/>
    <x v="6"/>
    <s v="48.864716"/>
    <s v="2.349014"/>
    <x v="11"/>
    <s v="Small (11-200)"/>
    <x v="0"/>
    <d v="2024-03-01T00:00:00"/>
    <x v="2"/>
    <x v="5"/>
    <n v="2"/>
    <x v="0"/>
    <m/>
    <n v="665"/>
    <n v="40"/>
    <x v="247"/>
    <x v="176"/>
    <s v=""/>
  </r>
  <r>
    <x v="1914"/>
    <x v="2"/>
    <s v="41.902782"/>
    <s v="12.496366"/>
    <x v="4"/>
    <s v="Small (11-200)"/>
    <x v="3"/>
    <d v="2024-05-31T00:00:00"/>
    <x v="0"/>
    <x v="5"/>
    <n v="2"/>
    <x v="0"/>
    <m/>
    <n v="268"/>
    <n v="40"/>
    <x v="344"/>
    <x v="176"/>
    <s v=""/>
  </r>
  <r>
    <x v="1915"/>
    <x v="2"/>
    <s v="41.902782"/>
    <s v="12.496366"/>
    <x v="12"/>
    <s v="Small (11-200)"/>
    <x v="5"/>
    <d v="2024-04-24T00:00:00"/>
    <x v="1"/>
    <x v="5"/>
    <n v="2"/>
    <x v="0"/>
    <m/>
    <n v="1387"/>
    <n v="50"/>
    <x v="312"/>
    <x v="176"/>
    <s v=""/>
  </r>
  <r>
    <x v="1916"/>
    <x v="4"/>
    <s v="51.260197"/>
    <s v="4.402771"/>
    <x v="2"/>
    <s v="Small (11-200)"/>
    <x v="7"/>
    <d v="2024-03-01T00:00:00"/>
    <x v="0"/>
    <x v="5"/>
    <n v="2"/>
    <x v="0"/>
    <m/>
    <n v="207"/>
    <n v="40"/>
    <x v="313"/>
    <x v="176"/>
    <s v=""/>
  </r>
  <r>
    <x v="1917"/>
    <x v="1"/>
    <s v="40.416775"/>
    <s v="-3.703790"/>
    <x v="2"/>
    <s v="Small (11-200)"/>
    <x v="3"/>
    <d v="2024-02-10T00:00:00"/>
    <x v="2"/>
    <x v="5"/>
    <n v="2"/>
    <x v="0"/>
    <m/>
    <n v="1239"/>
    <n v="20"/>
    <x v="62"/>
    <x v="176"/>
    <s v=""/>
  </r>
  <r>
    <x v="1918"/>
    <x v="3"/>
    <s v="52.520008"/>
    <s v="13.404954"/>
    <x v="4"/>
    <s v="Small (11-200)"/>
    <x v="3"/>
    <d v="2024-04-17T00:00:00"/>
    <x v="0"/>
    <x v="5"/>
    <n v="2"/>
    <x v="0"/>
    <m/>
    <n v="588"/>
    <n v="20"/>
    <x v="217"/>
    <x v="176"/>
    <s v=""/>
  </r>
  <r>
    <x v="1919"/>
    <x v="3"/>
    <s v="52.520008"/>
    <s v="13.404954"/>
    <x v="3"/>
    <s v="Small (11-200)"/>
    <x v="4"/>
    <d v="2024-01-15T00:00:00"/>
    <x v="0"/>
    <x v="5"/>
    <n v="2"/>
    <x v="0"/>
    <m/>
    <n v="900"/>
    <n v="50"/>
    <x v="248"/>
    <x v="176"/>
    <s v=""/>
  </r>
  <r>
    <x v="1920"/>
    <x v="3"/>
    <s v="52.520008"/>
    <s v="13.404954"/>
    <x v="4"/>
    <s v="Small (11-200)"/>
    <x v="7"/>
    <d v="2024-05-03T00:00:00"/>
    <x v="0"/>
    <x v="5"/>
    <n v="2"/>
    <x v="0"/>
    <m/>
    <n v="1326"/>
    <n v="60"/>
    <x v="264"/>
    <x v="176"/>
    <s v=""/>
  </r>
  <r>
    <x v="1921"/>
    <x v="2"/>
    <s v="41.902782"/>
    <s v="12.496366"/>
    <x v="4"/>
    <s v="Small (11-200)"/>
    <x v="1"/>
    <d v="2024-04-03T00:00:00"/>
    <x v="0"/>
    <x v="5"/>
    <n v="2"/>
    <x v="0"/>
    <m/>
    <n v="1553"/>
    <n v="40"/>
    <x v="308"/>
    <x v="176"/>
    <s v=""/>
  </r>
  <r>
    <x v="1922"/>
    <x v="1"/>
    <s v="40.416775"/>
    <s v="-3.703790"/>
    <x v="12"/>
    <s v="Small (11-200)"/>
    <x v="4"/>
    <d v="2024-01-31T00:00:00"/>
    <x v="2"/>
    <x v="5"/>
    <n v="2"/>
    <x v="0"/>
    <m/>
    <n v="1888"/>
    <n v="30"/>
    <x v="197"/>
    <x v="176"/>
    <s v=""/>
  </r>
  <r>
    <x v="1923"/>
    <x v="5"/>
    <s v="46.204391"/>
    <s v="6.143158"/>
    <x v="4"/>
    <s v="Small (11-200)"/>
    <x v="2"/>
    <d v="2024-02-29T00:00:00"/>
    <x v="1"/>
    <x v="5"/>
    <n v="2"/>
    <x v="0"/>
    <m/>
    <n v="382"/>
    <n v="100"/>
    <x v="84"/>
    <x v="176"/>
    <s v=""/>
  </r>
  <r>
    <x v="1924"/>
    <x v="1"/>
    <s v="40.416775"/>
    <s v="-3.703790"/>
    <x v="10"/>
    <s v="Small (11-200)"/>
    <x v="2"/>
    <d v="2024-03-17T00:00:00"/>
    <x v="0"/>
    <x v="5"/>
    <n v="2"/>
    <x v="0"/>
    <m/>
    <n v="931"/>
    <n v="40"/>
    <x v="173"/>
    <x v="176"/>
    <s v=""/>
  </r>
  <r>
    <x v="1925"/>
    <x v="2"/>
    <s v="41.902782"/>
    <s v="12.496366"/>
    <x v="1"/>
    <s v="Small (11-200)"/>
    <x v="5"/>
    <d v="2024-02-01T00:00:00"/>
    <x v="2"/>
    <x v="5"/>
    <n v="2"/>
    <x v="0"/>
    <m/>
    <n v="382"/>
    <n v="60"/>
    <x v="386"/>
    <x v="176"/>
    <s v=""/>
  </r>
  <r>
    <x v="1926"/>
    <x v="3"/>
    <s v="52.520008"/>
    <s v="13.404954"/>
    <x v="0"/>
    <s v="Small (11-200)"/>
    <x v="6"/>
    <d v="2024-02-10T00:00:00"/>
    <x v="2"/>
    <x v="5"/>
    <n v="2"/>
    <x v="0"/>
    <m/>
    <n v="547"/>
    <n v="50"/>
    <x v="205"/>
    <x v="176"/>
    <s v=""/>
  </r>
  <r>
    <x v="1927"/>
    <x v="3"/>
    <s v="52.520008"/>
    <s v="13.404954"/>
    <x v="1"/>
    <s v="Small (11-200)"/>
    <x v="4"/>
    <d v="2024-04-01T00:00:00"/>
    <x v="2"/>
    <x v="5"/>
    <n v="2"/>
    <x v="0"/>
    <m/>
    <n v="1545"/>
    <n v="90"/>
    <x v="199"/>
    <x v="176"/>
    <s v=""/>
  </r>
  <r>
    <x v="1928"/>
    <x v="2"/>
    <s v="41.902782"/>
    <s v="12.496366"/>
    <x v="5"/>
    <s v="Small (11-200)"/>
    <x v="3"/>
    <d v="2024-01-13T00:00:00"/>
    <x v="0"/>
    <x v="5"/>
    <n v="2"/>
    <x v="0"/>
    <m/>
    <n v="1779"/>
    <n v="80"/>
    <x v="50"/>
    <x v="176"/>
    <s v=""/>
  </r>
  <r>
    <x v="1929"/>
    <x v="3"/>
    <s v="52.520008"/>
    <s v="13.404954"/>
    <x v="8"/>
    <s v="Small (11-200)"/>
    <x v="3"/>
    <d v="2024-03-30T00:00:00"/>
    <x v="0"/>
    <x v="5"/>
    <n v="2"/>
    <x v="0"/>
    <m/>
    <n v="332"/>
    <n v="30"/>
    <x v="347"/>
    <x v="176"/>
    <s v=""/>
  </r>
  <r>
    <x v="1930"/>
    <x v="5"/>
    <s v="46.204391"/>
    <s v="6.143158"/>
    <x v="0"/>
    <s v="Small (11-200)"/>
    <x v="5"/>
    <d v="2024-01-29T00:00:00"/>
    <x v="1"/>
    <x v="5"/>
    <n v="2"/>
    <x v="0"/>
    <m/>
    <n v="655"/>
    <n v="10"/>
    <x v="231"/>
    <x v="176"/>
    <s v=""/>
  </r>
  <r>
    <x v="1931"/>
    <x v="2"/>
    <s v="41.902782"/>
    <s v="12.496366"/>
    <x v="4"/>
    <s v="Small (11-200)"/>
    <x v="2"/>
    <d v="2024-05-25T00:00:00"/>
    <x v="0"/>
    <x v="5"/>
    <n v="2"/>
    <x v="0"/>
    <m/>
    <n v="955"/>
    <n v="20"/>
    <x v="278"/>
    <x v="176"/>
    <s v=""/>
  </r>
  <r>
    <x v="1932"/>
    <x v="5"/>
    <s v="46.204391"/>
    <s v="6.143158"/>
    <x v="12"/>
    <s v="Small (11-200)"/>
    <x v="6"/>
    <d v="2024-03-06T00:00:00"/>
    <x v="2"/>
    <x v="5"/>
    <n v="2"/>
    <x v="0"/>
    <m/>
    <n v="923"/>
    <n v="60"/>
    <x v="249"/>
    <x v="176"/>
    <s v=""/>
  </r>
  <r>
    <x v="1933"/>
    <x v="2"/>
    <s v="41.902782"/>
    <s v="12.496366"/>
    <x v="4"/>
    <s v="Small (11-200)"/>
    <x v="3"/>
    <d v="2024-05-01T00:00:00"/>
    <x v="0"/>
    <x v="5"/>
    <n v="2"/>
    <x v="0"/>
    <m/>
    <n v="581"/>
    <n v="40"/>
    <x v="262"/>
    <x v="176"/>
    <s v=""/>
  </r>
  <r>
    <x v="1934"/>
    <x v="3"/>
    <s v="52.520008"/>
    <s v="13.404954"/>
    <x v="5"/>
    <s v="Small (11-200)"/>
    <x v="6"/>
    <d v="2024-01-19T00:00:00"/>
    <x v="0"/>
    <x v="5"/>
    <n v="2"/>
    <x v="0"/>
    <m/>
    <n v="1911"/>
    <n v="90"/>
    <x v="239"/>
    <x v="176"/>
    <s v=""/>
  </r>
  <r>
    <x v="1935"/>
    <x v="3"/>
    <s v="52.520008"/>
    <s v="13.404954"/>
    <x v="0"/>
    <s v="Small (11-200)"/>
    <x v="4"/>
    <d v="2024-04-21T00:00:00"/>
    <x v="0"/>
    <x v="5"/>
    <n v="2"/>
    <x v="0"/>
    <m/>
    <n v="1605"/>
    <n v="50"/>
    <x v="212"/>
    <x v="176"/>
    <s v=""/>
  </r>
  <r>
    <x v="1936"/>
    <x v="3"/>
    <s v="52.520008"/>
    <s v="13.404954"/>
    <x v="5"/>
    <s v="Small (11-200)"/>
    <x v="0"/>
    <d v="2024-04-16T00:00:00"/>
    <x v="0"/>
    <x v="5"/>
    <n v="2"/>
    <x v="0"/>
    <m/>
    <n v="311"/>
    <n v="50"/>
    <x v="113"/>
    <x v="176"/>
    <s v=""/>
  </r>
  <r>
    <x v="1937"/>
    <x v="8"/>
    <s v="38.736946"/>
    <s v="-9.142685"/>
    <x v="0"/>
    <s v="Small (11-200)"/>
    <x v="3"/>
    <d v="2024-01-14T00:00:00"/>
    <x v="0"/>
    <x v="5"/>
    <n v="2"/>
    <x v="0"/>
    <m/>
    <n v="589"/>
    <n v="20"/>
    <x v="119"/>
    <x v="176"/>
    <s v=""/>
  </r>
  <r>
    <x v="1938"/>
    <x v="5"/>
    <s v="46.204391"/>
    <s v="6.143158"/>
    <x v="3"/>
    <s v="Small (11-200)"/>
    <x v="3"/>
    <d v="2024-02-05T00:00:00"/>
    <x v="0"/>
    <x v="5"/>
    <n v="2"/>
    <x v="0"/>
    <m/>
    <n v="1416"/>
    <n v="20"/>
    <x v="239"/>
    <x v="176"/>
    <s v=""/>
  </r>
  <r>
    <x v="1939"/>
    <x v="2"/>
    <s v="41.902782"/>
    <s v="12.496366"/>
    <x v="13"/>
    <s v="Small (11-200)"/>
    <x v="0"/>
    <d v="2024-01-28T00:00:00"/>
    <x v="2"/>
    <x v="5"/>
    <n v="2"/>
    <x v="0"/>
    <m/>
    <n v="1873"/>
    <n v="40"/>
    <x v="315"/>
    <x v="176"/>
    <s v=""/>
  </r>
  <r>
    <x v="1940"/>
    <x v="7"/>
    <s v="48.210033"/>
    <s v="16.363449"/>
    <x v="0"/>
    <s v="Small (11-200)"/>
    <x v="3"/>
    <d v="2024-02-10T00:00:00"/>
    <x v="0"/>
    <x v="5"/>
    <n v="2"/>
    <x v="0"/>
    <m/>
    <n v="282"/>
    <n v="20"/>
    <x v="409"/>
    <x v="176"/>
    <s v=""/>
  </r>
  <r>
    <x v="1941"/>
    <x v="6"/>
    <s v="48.864716"/>
    <s v="2.349014"/>
    <x v="4"/>
    <s v="Small (11-200)"/>
    <x v="4"/>
    <d v="2024-03-19T00:00:00"/>
    <x v="0"/>
    <x v="5"/>
    <n v="2"/>
    <x v="0"/>
    <m/>
    <n v="1434"/>
    <n v="40"/>
    <x v="93"/>
    <x v="176"/>
    <s v=""/>
  </r>
  <r>
    <x v="1942"/>
    <x v="5"/>
    <s v="46.204391"/>
    <s v="6.143158"/>
    <x v="6"/>
    <s v="Small (11-200)"/>
    <x v="2"/>
    <d v="2024-03-17T00:00:00"/>
    <x v="2"/>
    <x v="5"/>
    <n v="2"/>
    <x v="0"/>
    <m/>
    <n v="349"/>
    <n v="50"/>
    <x v="32"/>
    <x v="176"/>
    <s v=""/>
  </r>
  <r>
    <x v="1943"/>
    <x v="6"/>
    <s v="48.864716"/>
    <s v="2.349014"/>
    <x v="9"/>
    <s v="Small (11-200)"/>
    <x v="0"/>
    <d v="2024-03-28T00:00:00"/>
    <x v="2"/>
    <x v="5"/>
    <n v="2"/>
    <x v="0"/>
    <m/>
    <n v="994"/>
    <n v="20"/>
    <x v="346"/>
    <x v="176"/>
    <s v=""/>
  </r>
  <r>
    <x v="1944"/>
    <x v="2"/>
    <s v="41.902782"/>
    <s v="12.496366"/>
    <x v="5"/>
    <s v="Small (11-200)"/>
    <x v="0"/>
    <d v="2024-01-02T00:00:00"/>
    <x v="2"/>
    <x v="5"/>
    <n v="2"/>
    <x v="0"/>
    <m/>
    <n v="1969"/>
    <n v="20"/>
    <x v="204"/>
    <x v="176"/>
    <s v=""/>
  </r>
  <r>
    <x v="1945"/>
    <x v="2"/>
    <s v="41.902782"/>
    <s v="12.496366"/>
    <x v="0"/>
    <s v="Small (11-200)"/>
    <x v="5"/>
    <d v="2024-05-12T00:00:00"/>
    <x v="0"/>
    <x v="5"/>
    <n v="2"/>
    <x v="0"/>
    <m/>
    <n v="406"/>
    <n v="40"/>
    <x v="115"/>
    <x v="176"/>
    <s v=""/>
  </r>
  <r>
    <x v="1946"/>
    <x v="6"/>
    <s v="48.864716"/>
    <s v="2.349014"/>
    <x v="8"/>
    <s v="Small (11-200)"/>
    <x v="4"/>
    <d v="2024-05-18T00:00:00"/>
    <x v="2"/>
    <x v="5"/>
    <n v="2"/>
    <x v="0"/>
    <m/>
    <n v="1985"/>
    <n v="50"/>
    <x v="231"/>
    <x v="176"/>
    <s v=""/>
  </r>
  <r>
    <x v="1947"/>
    <x v="7"/>
    <s v="48.210033"/>
    <s v="16.363449"/>
    <x v="8"/>
    <s v="Small (11-200)"/>
    <x v="6"/>
    <d v="2024-05-22T00:00:00"/>
    <x v="0"/>
    <x v="5"/>
    <n v="2"/>
    <x v="0"/>
    <m/>
    <n v="668"/>
    <n v="40"/>
    <x v="216"/>
    <x v="176"/>
    <s v=""/>
  </r>
  <r>
    <x v="1948"/>
    <x v="6"/>
    <s v="48.864716"/>
    <s v="2.349014"/>
    <x v="5"/>
    <s v="Small (11-200)"/>
    <x v="5"/>
    <d v="2024-03-04T00:00:00"/>
    <x v="0"/>
    <x v="5"/>
    <n v="2"/>
    <x v="0"/>
    <m/>
    <n v="596"/>
    <n v="10"/>
    <x v="148"/>
    <x v="176"/>
    <s v=""/>
  </r>
  <r>
    <x v="1949"/>
    <x v="4"/>
    <s v="51.260197"/>
    <s v="4.402771"/>
    <x v="5"/>
    <s v="Small (11-200)"/>
    <x v="1"/>
    <d v="2024-03-15T00:00:00"/>
    <x v="2"/>
    <x v="5"/>
    <n v="2"/>
    <x v="0"/>
    <m/>
    <n v="1691"/>
    <n v="40"/>
    <x v="217"/>
    <x v="176"/>
    <s v=""/>
  </r>
  <r>
    <x v="1950"/>
    <x v="8"/>
    <s v="38.736946"/>
    <s v="-9.142685"/>
    <x v="4"/>
    <s v="Small (11-200)"/>
    <x v="2"/>
    <d v="2024-01-14T00:00:00"/>
    <x v="2"/>
    <x v="5"/>
    <n v="2"/>
    <x v="0"/>
    <m/>
    <n v="1303"/>
    <n v="40"/>
    <x v="161"/>
    <x v="176"/>
    <s v=""/>
  </r>
  <r>
    <x v="1951"/>
    <x v="5"/>
    <s v="46.204391"/>
    <s v="6.143158"/>
    <x v="4"/>
    <s v="Small (11-200)"/>
    <x v="4"/>
    <d v="2024-05-22T00:00:00"/>
    <x v="1"/>
    <x v="5"/>
    <n v="2"/>
    <x v="0"/>
    <m/>
    <n v="1520"/>
    <n v="30"/>
    <x v="376"/>
    <x v="176"/>
    <s v=""/>
  </r>
  <r>
    <x v="1952"/>
    <x v="3"/>
    <s v="52.520008"/>
    <s v="13.404954"/>
    <x v="9"/>
    <s v="Small (11-200)"/>
    <x v="4"/>
    <d v="2024-04-15T00:00:00"/>
    <x v="1"/>
    <x v="5"/>
    <n v="2"/>
    <x v="0"/>
    <m/>
    <n v="834"/>
    <n v="30"/>
    <x v="3"/>
    <x v="176"/>
    <s v=""/>
  </r>
  <r>
    <x v="1953"/>
    <x v="2"/>
    <s v="41.902782"/>
    <s v="12.496366"/>
    <x v="10"/>
    <s v="Small (11-200)"/>
    <x v="1"/>
    <d v="2024-01-20T00:00:00"/>
    <x v="0"/>
    <x v="5"/>
    <n v="2"/>
    <x v="0"/>
    <m/>
    <n v="444"/>
    <n v="20"/>
    <x v="309"/>
    <x v="176"/>
    <s v=""/>
  </r>
  <r>
    <x v="1954"/>
    <x v="6"/>
    <s v="48.864716"/>
    <s v="2.349014"/>
    <x v="5"/>
    <s v="Small (11-200)"/>
    <x v="7"/>
    <d v="2024-03-02T00:00:00"/>
    <x v="0"/>
    <x v="5"/>
    <n v="2"/>
    <x v="0"/>
    <m/>
    <n v="1067"/>
    <n v="40"/>
    <x v="252"/>
    <x v="176"/>
    <s v=""/>
  </r>
  <r>
    <x v="1955"/>
    <x v="2"/>
    <s v="41.902782"/>
    <s v="12.496366"/>
    <x v="8"/>
    <s v="Small (11-200)"/>
    <x v="1"/>
    <d v="2024-05-31T00:00:00"/>
    <x v="0"/>
    <x v="5"/>
    <n v="2"/>
    <x v="0"/>
    <m/>
    <n v="958"/>
    <n v="40"/>
    <x v="440"/>
    <x v="176"/>
    <s v=""/>
  </r>
  <r>
    <x v="1956"/>
    <x v="7"/>
    <s v="48.210033"/>
    <s v="16.363449"/>
    <x v="7"/>
    <s v="Small (11-200)"/>
    <x v="0"/>
    <d v="2024-05-01T00:00:00"/>
    <x v="2"/>
    <x v="5"/>
    <n v="2"/>
    <x v="0"/>
    <m/>
    <n v="1017"/>
    <n v="30"/>
    <x v="203"/>
    <x v="176"/>
    <s v=""/>
  </r>
  <r>
    <x v="1957"/>
    <x v="2"/>
    <s v="41.902782"/>
    <s v="12.496366"/>
    <x v="5"/>
    <s v="Small (11-200)"/>
    <x v="0"/>
    <d v="2024-01-15T00:00:00"/>
    <x v="0"/>
    <x v="5"/>
    <n v="2"/>
    <x v="0"/>
    <m/>
    <n v="1621"/>
    <n v="40"/>
    <x v="401"/>
    <x v="176"/>
    <s v=""/>
  </r>
  <r>
    <x v="1958"/>
    <x v="6"/>
    <s v="48.864716"/>
    <s v="2.349014"/>
    <x v="4"/>
    <s v="Small (11-200)"/>
    <x v="3"/>
    <d v="2024-04-08T00:00:00"/>
    <x v="0"/>
    <x v="5"/>
    <n v="2"/>
    <x v="0"/>
    <m/>
    <n v="604"/>
    <n v="20"/>
    <x v="236"/>
    <x v="176"/>
    <s v=""/>
  </r>
  <r>
    <x v="1959"/>
    <x v="7"/>
    <s v="48.210033"/>
    <s v="16.363449"/>
    <x v="10"/>
    <s v="Small (11-200)"/>
    <x v="3"/>
    <d v="2024-01-27T00:00:00"/>
    <x v="0"/>
    <x v="5"/>
    <n v="2"/>
    <x v="0"/>
    <m/>
    <n v="1943"/>
    <n v="90"/>
    <x v="155"/>
    <x v="176"/>
    <s v=""/>
  </r>
  <r>
    <x v="1960"/>
    <x v="8"/>
    <s v="38.736946"/>
    <s v="-9.142685"/>
    <x v="8"/>
    <s v="Small (11-200)"/>
    <x v="4"/>
    <d v="2024-01-13T00:00:00"/>
    <x v="0"/>
    <x v="5"/>
    <n v="2"/>
    <x v="0"/>
    <m/>
    <n v="1019"/>
    <n v="20"/>
    <x v="388"/>
    <x v="176"/>
    <s v=""/>
  </r>
  <r>
    <x v="1961"/>
    <x v="7"/>
    <s v="48.210033"/>
    <s v="16.363449"/>
    <x v="0"/>
    <s v="Small (11-200)"/>
    <x v="2"/>
    <d v="2024-05-05T00:00:00"/>
    <x v="1"/>
    <x v="5"/>
    <n v="2"/>
    <x v="0"/>
    <m/>
    <n v="1623"/>
    <n v="20"/>
    <x v="438"/>
    <x v="176"/>
    <s v=""/>
  </r>
  <r>
    <x v="1962"/>
    <x v="5"/>
    <s v="46.204391"/>
    <s v="6.143158"/>
    <x v="5"/>
    <s v="Small (11-200)"/>
    <x v="1"/>
    <d v="2024-05-23T00:00:00"/>
    <x v="2"/>
    <x v="5"/>
    <n v="2"/>
    <x v="0"/>
    <m/>
    <n v="466"/>
    <n v="30"/>
    <x v="38"/>
    <x v="176"/>
    <s v=""/>
  </r>
  <r>
    <x v="1963"/>
    <x v="3"/>
    <s v="52.520008"/>
    <s v="13.404954"/>
    <x v="1"/>
    <s v="Small (11-200)"/>
    <x v="3"/>
    <d v="2024-01-29T00:00:00"/>
    <x v="2"/>
    <x v="5"/>
    <n v="2"/>
    <x v="0"/>
    <m/>
    <n v="444"/>
    <n v="50"/>
    <x v="24"/>
    <x v="176"/>
    <s v=""/>
  </r>
  <r>
    <x v="1964"/>
    <x v="8"/>
    <s v="38.736946"/>
    <s v="-9.142685"/>
    <x v="0"/>
    <s v="Small (11-200)"/>
    <x v="3"/>
    <d v="2024-02-23T00:00:00"/>
    <x v="2"/>
    <x v="5"/>
    <n v="2"/>
    <x v="0"/>
    <m/>
    <n v="1748"/>
    <n v="50"/>
    <x v="336"/>
    <x v="176"/>
    <s v=""/>
  </r>
  <r>
    <x v="1965"/>
    <x v="2"/>
    <s v="41.902782"/>
    <s v="12.496366"/>
    <x v="3"/>
    <s v="Small (11-200)"/>
    <x v="0"/>
    <d v="2024-02-10T00:00:00"/>
    <x v="0"/>
    <x v="5"/>
    <n v="2"/>
    <x v="0"/>
    <m/>
    <n v="1276"/>
    <n v="50"/>
    <x v="97"/>
    <x v="176"/>
    <s v=""/>
  </r>
  <r>
    <x v="1966"/>
    <x v="4"/>
    <s v="51.260197"/>
    <s v="4.402771"/>
    <x v="0"/>
    <s v="Small (11-200)"/>
    <x v="2"/>
    <d v="2024-05-01T00:00:00"/>
    <x v="0"/>
    <x v="5"/>
    <n v="2"/>
    <x v="0"/>
    <m/>
    <n v="1968"/>
    <n v="100"/>
    <x v="340"/>
    <x v="176"/>
    <s v=""/>
  </r>
  <r>
    <x v="1967"/>
    <x v="8"/>
    <s v="38.736946"/>
    <s v="-9.142685"/>
    <x v="0"/>
    <s v="Small (11-200)"/>
    <x v="3"/>
    <d v="2024-03-23T00:00:00"/>
    <x v="0"/>
    <x v="5"/>
    <n v="2"/>
    <x v="0"/>
    <m/>
    <n v="500"/>
    <n v="40"/>
    <x v="392"/>
    <x v="176"/>
    <s v=""/>
  </r>
  <r>
    <x v="1968"/>
    <x v="3"/>
    <s v="52.520008"/>
    <s v="13.404954"/>
    <x v="4"/>
    <s v="Small (11-200)"/>
    <x v="5"/>
    <d v="2024-01-08T00:00:00"/>
    <x v="1"/>
    <x v="5"/>
    <n v="2"/>
    <x v="0"/>
    <m/>
    <n v="494"/>
    <n v="20"/>
    <x v="323"/>
    <x v="176"/>
    <s v=""/>
  </r>
  <r>
    <x v="1969"/>
    <x v="4"/>
    <s v="51.260197"/>
    <s v="4.402771"/>
    <x v="9"/>
    <s v="Small (11-200)"/>
    <x v="1"/>
    <d v="2024-05-12T00:00:00"/>
    <x v="2"/>
    <x v="5"/>
    <n v="2"/>
    <x v="0"/>
    <m/>
    <n v="1307"/>
    <n v="20"/>
    <x v="277"/>
    <x v="176"/>
    <s v=""/>
  </r>
  <r>
    <x v="1970"/>
    <x v="2"/>
    <s v="41.902782"/>
    <s v="12.496366"/>
    <x v="5"/>
    <s v="Small (11-200)"/>
    <x v="2"/>
    <d v="2024-04-18T00:00:00"/>
    <x v="0"/>
    <x v="5"/>
    <n v="2"/>
    <x v="0"/>
    <m/>
    <n v="1913"/>
    <n v="40"/>
    <x v="239"/>
    <x v="176"/>
    <s v=""/>
  </r>
  <r>
    <x v="1971"/>
    <x v="6"/>
    <s v="48.864716"/>
    <s v="2.349014"/>
    <x v="10"/>
    <s v="Small (11-200)"/>
    <x v="6"/>
    <d v="2024-02-24T00:00:00"/>
    <x v="0"/>
    <x v="5"/>
    <n v="2"/>
    <x v="0"/>
    <m/>
    <n v="1519"/>
    <n v="90"/>
    <x v="137"/>
    <x v="176"/>
    <s v=""/>
  </r>
  <r>
    <x v="1972"/>
    <x v="3"/>
    <s v="52.520008"/>
    <s v="13.404954"/>
    <x v="10"/>
    <s v="Small (11-200)"/>
    <x v="3"/>
    <d v="2024-03-31T00:00:00"/>
    <x v="2"/>
    <x v="5"/>
    <n v="2"/>
    <x v="0"/>
    <m/>
    <n v="1323"/>
    <n v="40"/>
    <x v="308"/>
    <x v="176"/>
    <s v=""/>
  </r>
  <r>
    <x v="1973"/>
    <x v="1"/>
    <s v="40.416775"/>
    <s v="-3.703790"/>
    <x v="6"/>
    <s v="Small (11-200)"/>
    <x v="7"/>
    <d v="2024-01-10T00:00:00"/>
    <x v="1"/>
    <x v="5"/>
    <n v="2"/>
    <x v="0"/>
    <m/>
    <n v="304"/>
    <n v="30"/>
    <x v="415"/>
    <x v="176"/>
    <s v=""/>
  </r>
  <r>
    <x v="1974"/>
    <x v="2"/>
    <s v="41.902782"/>
    <s v="12.496366"/>
    <x v="1"/>
    <s v="Small (11-200)"/>
    <x v="2"/>
    <d v="2024-02-14T00:00:00"/>
    <x v="0"/>
    <x v="5"/>
    <n v="2"/>
    <x v="0"/>
    <m/>
    <n v="762"/>
    <n v="20"/>
    <x v="68"/>
    <x v="176"/>
    <s v=""/>
  </r>
  <r>
    <x v="1975"/>
    <x v="3"/>
    <s v="52.520008"/>
    <s v="13.404954"/>
    <x v="8"/>
    <s v="Small (11-200)"/>
    <x v="1"/>
    <d v="2024-04-04T00:00:00"/>
    <x v="0"/>
    <x v="5"/>
    <n v="2"/>
    <x v="0"/>
    <m/>
    <n v="834"/>
    <n v="30"/>
    <x v="339"/>
    <x v="176"/>
    <s v=""/>
  </r>
  <r>
    <x v="1976"/>
    <x v="5"/>
    <s v="46.204391"/>
    <s v="6.143158"/>
    <x v="5"/>
    <s v="Small (11-200)"/>
    <x v="2"/>
    <d v="2024-02-26T00:00:00"/>
    <x v="2"/>
    <x v="5"/>
    <n v="2"/>
    <x v="0"/>
    <m/>
    <n v="1973"/>
    <n v="50"/>
    <x v="53"/>
    <x v="176"/>
    <s v=""/>
  </r>
  <r>
    <x v="1977"/>
    <x v="6"/>
    <s v="48.864716"/>
    <s v="2.349014"/>
    <x v="5"/>
    <s v="Small (11-200)"/>
    <x v="2"/>
    <d v="2024-02-29T00:00:00"/>
    <x v="2"/>
    <x v="5"/>
    <n v="2"/>
    <x v="0"/>
    <m/>
    <n v="1850"/>
    <n v="30"/>
    <x v="226"/>
    <x v="176"/>
    <s v=""/>
  </r>
  <r>
    <x v="1978"/>
    <x v="2"/>
    <s v="41.902782"/>
    <s v="12.496366"/>
    <x v="8"/>
    <s v="Small (11-200)"/>
    <x v="3"/>
    <d v="2024-01-11T00:00:00"/>
    <x v="0"/>
    <x v="5"/>
    <n v="2"/>
    <x v="0"/>
    <m/>
    <n v="1222"/>
    <n v="40"/>
    <x v="193"/>
    <x v="176"/>
    <s v=""/>
  </r>
  <r>
    <x v="1979"/>
    <x v="1"/>
    <s v="40.416775"/>
    <s v="-3.703790"/>
    <x v="0"/>
    <s v="Small (11-200)"/>
    <x v="3"/>
    <d v="2024-02-03T00:00:00"/>
    <x v="0"/>
    <x v="5"/>
    <n v="2"/>
    <x v="0"/>
    <m/>
    <n v="992"/>
    <n v="30"/>
    <x v="313"/>
    <x v="176"/>
    <s v=""/>
  </r>
  <r>
    <x v="1980"/>
    <x v="7"/>
    <s v="48.210033"/>
    <s v="16.363449"/>
    <x v="0"/>
    <s v="Small (11-200)"/>
    <x v="5"/>
    <d v="2024-05-24T00:00:00"/>
    <x v="2"/>
    <x v="5"/>
    <n v="2"/>
    <x v="0"/>
    <m/>
    <n v="1488"/>
    <n v="40"/>
    <x v="244"/>
    <x v="176"/>
    <s v=""/>
  </r>
  <r>
    <x v="1981"/>
    <x v="0"/>
    <s v="52.370216"/>
    <s v="4.895168"/>
    <x v="8"/>
    <s v="Small (11-200)"/>
    <x v="5"/>
    <d v="2024-01-27T00:00:00"/>
    <x v="0"/>
    <x v="5"/>
    <n v="2"/>
    <x v="0"/>
    <m/>
    <n v="1636"/>
    <n v="20"/>
    <x v="327"/>
    <x v="176"/>
    <s v=""/>
  </r>
  <r>
    <x v="1982"/>
    <x v="2"/>
    <s v="41.902782"/>
    <s v="12.496366"/>
    <x v="5"/>
    <s v="Small (11-200)"/>
    <x v="6"/>
    <d v="2024-03-01T00:00:00"/>
    <x v="1"/>
    <x v="5"/>
    <n v="2"/>
    <x v="0"/>
    <m/>
    <n v="296"/>
    <n v="40"/>
    <x v="236"/>
    <x v="176"/>
    <s v=""/>
  </r>
  <r>
    <x v="1983"/>
    <x v="8"/>
    <s v="38.736946"/>
    <s v="-9.142685"/>
    <x v="3"/>
    <s v="Small (11-200)"/>
    <x v="3"/>
    <d v="2024-05-02T00:00:00"/>
    <x v="0"/>
    <x v="5"/>
    <n v="2"/>
    <x v="0"/>
    <m/>
    <n v="1927"/>
    <n v="10"/>
    <x v="50"/>
    <x v="176"/>
    <s v=""/>
  </r>
  <r>
    <x v="1984"/>
    <x v="2"/>
    <s v="41.902782"/>
    <s v="12.496366"/>
    <x v="4"/>
    <s v="Small (11-200)"/>
    <x v="3"/>
    <d v="2024-04-23T00:00:00"/>
    <x v="2"/>
    <x v="5"/>
    <n v="2"/>
    <x v="0"/>
    <m/>
    <n v="1958"/>
    <n v="50"/>
    <x v="330"/>
    <x v="176"/>
    <s v=""/>
  </r>
  <r>
    <x v="1985"/>
    <x v="3"/>
    <s v="52.520008"/>
    <s v="13.404954"/>
    <x v="7"/>
    <s v="Small (11-200)"/>
    <x v="7"/>
    <d v="2024-03-12T00:00:00"/>
    <x v="0"/>
    <x v="5"/>
    <n v="2"/>
    <x v="0"/>
    <m/>
    <n v="1396"/>
    <n v="10"/>
    <x v="278"/>
    <x v="176"/>
    <s v=""/>
  </r>
  <r>
    <x v="1986"/>
    <x v="6"/>
    <s v="48.864716"/>
    <s v="2.349014"/>
    <x v="4"/>
    <s v="Small (11-200)"/>
    <x v="5"/>
    <d v="2024-05-21T00:00:00"/>
    <x v="0"/>
    <x v="5"/>
    <n v="2"/>
    <x v="0"/>
    <m/>
    <n v="205"/>
    <n v="20"/>
    <x v="135"/>
    <x v="176"/>
    <s v=""/>
  </r>
  <r>
    <x v="1987"/>
    <x v="5"/>
    <s v="46.204391"/>
    <s v="6.143158"/>
    <x v="5"/>
    <s v="Small (11-200)"/>
    <x v="1"/>
    <d v="2024-01-22T00:00:00"/>
    <x v="0"/>
    <x v="5"/>
    <n v="2"/>
    <x v="0"/>
    <m/>
    <n v="951"/>
    <n v="100"/>
    <x v="102"/>
    <x v="176"/>
    <s v=""/>
  </r>
  <r>
    <x v="1988"/>
    <x v="2"/>
    <s v="41.902782"/>
    <s v="12.496366"/>
    <x v="3"/>
    <s v="Small (11-200)"/>
    <x v="0"/>
    <d v="2024-01-29T00:00:00"/>
    <x v="0"/>
    <x v="5"/>
    <n v="2"/>
    <x v="0"/>
    <m/>
    <n v="271"/>
    <n v="80"/>
    <x v="109"/>
    <x v="176"/>
    <s v=""/>
  </r>
  <r>
    <x v="1989"/>
    <x v="2"/>
    <s v="41.902782"/>
    <s v="12.496366"/>
    <x v="10"/>
    <s v="Small (11-200)"/>
    <x v="3"/>
    <d v="2024-03-29T00:00:00"/>
    <x v="2"/>
    <x v="5"/>
    <n v="2"/>
    <x v="0"/>
    <m/>
    <n v="740"/>
    <n v="30"/>
    <x v="419"/>
    <x v="176"/>
    <s v=""/>
  </r>
  <r>
    <x v="1990"/>
    <x v="3"/>
    <s v="52.520008"/>
    <s v="13.404954"/>
    <x v="11"/>
    <s v="Small (11-200)"/>
    <x v="1"/>
    <d v="2024-05-11T00:00:00"/>
    <x v="0"/>
    <x v="5"/>
    <n v="2"/>
    <x v="0"/>
    <m/>
    <n v="1520"/>
    <n v="40"/>
    <x v="424"/>
    <x v="176"/>
    <s v=""/>
  </r>
  <r>
    <x v="1991"/>
    <x v="4"/>
    <s v="51.260197"/>
    <s v="4.402771"/>
    <x v="8"/>
    <s v="Small (11-200)"/>
    <x v="3"/>
    <d v="2024-04-02T00:00:00"/>
    <x v="2"/>
    <x v="5"/>
    <n v="2"/>
    <x v="0"/>
    <m/>
    <n v="774"/>
    <n v="20"/>
    <x v="273"/>
    <x v="176"/>
    <s v=""/>
  </r>
  <r>
    <x v="1992"/>
    <x v="2"/>
    <s v="41.902782"/>
    <s v="12.496366"/>
    <x v="5"/>
    <s v="Small (11-200)"/>
    <x v="2"/>
    <d v="2024-01-12T00:00:00"/>
    <x v="0"/>
    <x v="5"/>
    <n v="2"/>
    <x v="0"/>
    <m/>
    <n v="373"/>
    <n v="70"/>
    <x v="235"/>
    <x v="176"/>
    <s v=""/>
  </r>
  <r>
    <x v="1993"/>
    <x v="1"/>
    <s v="40.416775"/>
    <s v="-3.703790"/>
    <x v="9"/>
    <s v="Small (11-200)"/>
    <x v="4"/>
    <d v="2024-02-07T00:00:00"/>
    <x v="2"/>
    <x v="5"/>
    <n v="2"/>
    <x v="0"/>
    <m/>
    <n v="1382"/>
    <n v="40"/>
    <x v="314"/>
    <x v="176"/>
    <s v=""/>
  </r>
  <r>
    <x v="1994"/>
    <x v="2"/>
    <s v="41.902782"/>
    <s v="12.496366"/>
    <x v="10"/>
    <s v="Small (11-200)"/>
    <x v="0"/>
    <d v="2024-01-31T00:00:00"/>
    <x v="1"/>
    <x v="5"/>
    <n v="2"/>
    <x v="0"/>
    <m/>
    <n v="1247"/>
    <n v="30"/>
    <x v="155"/>
    <x v="176"/>
    <s v=""/>
  </r>
  <r>
    <x v="1995"/>
    <x v="6"/>
    <s v="48.864716"/>
    <s v="2.349014"/>
    <x v="8"/>
    <s v="Small (11-200)"/>
    <x v="6"/>
    <d v="2024-01-22T00:00:00"/>
    <x v="2"/>
    <x v="5"/>
    <n v="2"/>
    <x v="0"/>
    <m/>
    <n v="1780"/>
    <n v="40"/>
    <x v="107"/>
    <x v="176"/>
    <s v=""/>
  </r>
  <r>
    <x v="1996"/>
    <x v="5"/>
    <s v="46.204391"/>
    <s v="6.143158"/>
    <x v="5"/>
    <s v="Small (11-200)"/>
    <x v="0"/>
    <d v="2024-03-24T00:00:00"/>
    <x v="2"/>
    <x v="5"/>
    <n v="2"/>
    <x v="0"/>
    <m/>
    <n v="1589"/>
    <n v="10"/>
    <x v="126"/>
    <x v="176"/>
    <s v=""/>
  </r>
  <r>
    <x v="1997"/>
    <x v="2"/>
    <s v="41.902782"/>
    <s v="12.496366"/>
    <x v="11"/>
    <s v="Small (11-200)"/>
    <x v="7"/>
    <d v="2024-02-29T00:00:00"/>
    <x v="0"/>
    <x v="5"/>
    <n v="2"/>
    <x v="0"/>
    <m/>
    <n v="303"/>
    <n v="20"/>
    <x v="213"/>
    <x v="176"/>
    <s v=""/>
  </r>
  <r>
    <x v="1998"/>
    <x v="0"/>
    <s v="52.370216"/>
    <s v="4.895168"/>
    <x v="0"/>
    <s v="Small (11-200)"/>
    <x v="3"/>
    <d v="2024-02-23T00:00:00"/>
    <x v="0"/>
    <x v="5"/>
    <n v="2"/>
    <x v="0"/>
    <m/>
    <n v="348"/>
    <n v="20"/>
    <x v="341"/>
    <x v="176"/>
    <s v=""/>
  </r>
  <r>
    <x v="1999"/>
    <x v="8"/>
    <s v="38.736946"/>
    <s v="-9.142685"/>
    <x v="5"/>
    <s v="Small (11-200)"/>
    <x v="3"/>
    <d v="2024-02-08T00:00:00"/>
    <x v="0"/>
    <x v="5"/>
    <n v="2"/>
    <x v="0"/>
    <m/>
    <n v="1908"/>
    <n v="40"/>
    <x v="327"/>
    <x v="176"/>
    <s v=""/>
  </r>
  <r>
    <x v="2000"/>
    <x v="3"/>
    <s v="52.520008"/>
    <s v="13.404954"/>
    <x v="0"/>
    <s v="Small (11-200)"/>
    <x v="0"/>
    <d v="2024-01-06T00:00:00"/>
    <x v="2"/>
    <x v="5"/>
    <n v="2"/>
    <x v="0"/>
    <m/>
    <n v="433"/>
    <n v="50"/>
    <x v="323"/>
    <x v="176"/>
    <s v=""/>
  </r>
  <r>
    <x v="2001"/>
    <x v="6"/>
    <s v="48.864716"/>
    <s v="2.349014"/>
    <x v="4"/>
    <s v="Small (11-200)"/>
    <x v="5"/>
    <d v="2024-03-26T00:00:00"/>
    <x v="1"/>
    <x v="5"/>
    <n v="2"/>
    <x v="0"/>
    <m/>
    <n v="325"/>
    <n v="40"/>
    <x v="262"/>
    <x v="176"/>
    <s v=""/>
  </r>
  <r>
    <x v="2002"/>
    <x v="4"/>
    <s v="51.260197"/>
    <s v="4.402771"/>
    <x v="0"/>
    <s v="Small (11-200)"/>
    <x v="1"/>
    <d v="2024-01-29T00:00:00"/>
    <x v="0"/>
    <x v="5"/>
    <n v="2"/>
    <x v="0"/>
    <m/>
    <n v="970"/>
    <n v="20"/>
    <x v="324"/>
    <x v="176"/>
    <s v=""/>
  </r>
  <r>
    <x v="2003"/>
    <x v="2"/>
    <s v="41.902782"/>
    <s v="12.496366"/>
    <x v="5"/>
    <s v="Small (11-200)"/>
    <x v="2"/>
    <d v="2024-02-26T00:00:00"/>
    <x v="0"/>
    <x v="5"/>
    <n v="2"/>
    <x v="0"/>
    <m/>
    <n v="325"/>
    <n v="20"/>
    <x v="166"/>
    <x v="176"/>
    <s v=""/>
  </r>
  <r>
    <x v="2004"/>
    <x v="5"/>
    <s v="46.204391"/>
    <s v="6.143158"/>
    <x v="0"/>
    <s v="Small (11-200)"/>
    <x v="3"/>
    <d v="2024-05-19T00:00:00"/>
    <x v="2"/>
    <x v="5"/>
    <n v="2"/>
    <x v="0"/>
    <m/>
    <n v="206"/>
    <n v="20"/>
    <x v="229"/>
    <x v="176"/>
    <s v=""/>
  </r>
  <r>
    <x v="2005"/>
    <x v="3"/>
    <s v="52.520008"/>
    <s v="13.404954"/>
    <x v="12"/>
    <s v="Small (11-200)"/>
    <x v="4"/>
    <d v="2024-01-15T00:00:00"/>
    <x v="2"/>
    <x v="5"/>
    <n v="2"/>
    <x v="0"/>
    <m/>
    <n v="1001"/>
    <n v="50"/>
    <x v="47"/>
    <x v="176"/>
    <s v=""/>
  </r>
  <r>
    <x v="2006"/>
    <x v="5"/>
    <s v="46.204391"/>
    <s v="6.143158"/>
    <x v="5"/>
    <s v="Small (11-200)"/>
    <x v="3"/>
    <d v="2024-03-23T00:00:00"/>
    <x v="2"/>
    <x v="5"/>
    <n v="2"/>
    <x v="0"/>
    <m/>
    <n v="842"/>
    <n v="30"/>
    <x v="59"/>
    <x v="176"/>
    <s v=""/>
  </r>
  <r>
    <x v="2007"/>
    <x v="3"/>
    <s v="52.520008"/>
    <s v="13.404954"/>
    <x v="9"/>
    <s v="Small (11-200)"/>
    <x v="3"/>
    <d v="2024-04-01T00:00:00"/>
    <x v="2"/>
    <x v="5"/>
    <n v="2"/>
    <x v="0"/>
    <m/>
    <n v="300"/>
    <n v="60"/>
    <x v="206"/>
    <x v="176"/>
    <s v=""/>
  </r>
  <r>
    <x v="2008"/>
    <x v="2"/>
    <s v="41.902782"/>
    <s v="12.496366"/>
    <x v="1"/>
    <s v="Small (11-200)"/>
    <x v="4"/>
    <d v="2024-01-04T00:00:00"/>
    <x v="2"/>
    <x v="5"/>
    <n v="2"/>
    <x v="0"/>
    <m/>
    <n v="1204"/>
    <n v="50"/>
    <x v="93"/>
    <x v="176"/>
    <s v=""/>
  </r>
  <r>
    <x v="2009"/>
    <x v="7"/>
    <s v="48.210033"/>
    <s v="16.363449"/>
    <x v="4"/>
    <s v="Small (11-200)"/>
    <x v="5"/>
    <d v="2024-05-03T00:00:00"/>
    <x v="0"/>
    <x v="5"/>
    <n v="2"/>
    <x v="0"/>
    <m/>
    <n v="1834"/>
    <n v="40"/>
    <x v="221"/>
    <x v="176"/>
    <s v=""/>
  </r>
  <r>
    <x v="2010"/>
    <x v="2"/>
    <s v="41.902782"/>
    <s v="12.496366"/>
    <x v="8"/>
    <s v="Small (11-200)"/>
    <x v="6"/>
    <d v="2024-05-17T00:00:00"/>
    <x v="2"/>
    <x v="5"/>
    <n v="2"/>
    <x v="0"/>
    <m/>
    <n v="444"/>
    <n v="30"/>
    <x v="424"/>
    <x v="176"/>
    <s v=""/>
  </r>
  <r>
    <x v="2011"/>
    <x v="6"/>
    <s v="48.864716"/>
    <s v="2.349014"/>
    <x v="5"/>
    <s v="Small (11-200)"/>
    <x v="6"/>
    <d v="2024-02-13T00:00:00"/>
    <x v="2"/>
    <x v="5"/>
    <n v="2"/>
    <x v="0"/>
    <m/>
    <n v="1107"/>
    <n v="20"/>
    <x v="342"/>
    <x v="176"/>
    <s v=""/>
  </r>
  <r>
    <x v="2012"/>
    <x v="2"/>
    <s v="41.902782"/>
    <s v="12.496366"/>
    <x v="2"/>
    <s v="Small (11-200)"/>
    <x v="2"/>
    <d v="2024-03-07T00:00:00"/>
    <x v="2"/>
    <x v="5"/>
    <n v="2"/>
    <x v="0"/>
    <m/>
    <n v="322"/>
    <n v="50"/>
    <x v="179"/>
    <x v="176"/>
    <s v=""/>
  </r>
  <r>
    <x v="2013"/>
    <x v="8"/>
    <s v="38.736946"/>
    <s v="-9.142685"/>
    <x v="3"/>
    <s v="Small (11-200)"/>
    <x v="2"/>
    <d v="2024-02-11T00:00:00"/>
    <x v="1"/>
    <x v="5"/>
    <n v="2"/>
    <x v="0"/>
    <m/>
    <n v="1872"/>
    <n v="100"/>
    <x v="379"/>
    <x v="176"/>
    <s v=""/>
  </r>
  <r>
    <x v="2014"/>
    <x v="4"/>
    <s v="51.260197"/>
    <s v="4.402771"/>
    <x v="4"/>
    <s v="Small (11-200)"/>
    <x v="2"/>
    <d v="2024-05-04T00:00:00"/>
    <x v="0"/>
    <x v="5"/>
    <n v="2"/>
    <x v="0"/>
    <m/>
    <n v="1774"/>
    <n v="90"/>
    <x v="260"/>
    <x v="176"/>
    <s v=""/>
  </r>
  <r>
    <x v="2015"/>
    <x v="6"/>
    <s v="48.864716"/>
    <s v="2.349014"/>
    <x v="9"/>
    <s v="Small (11-200)"/>
    <x v="4"/>
    <d v="2024-03-26T00:00:00"/>
    <x v="0"/>
    <x v="5"/>
    <n v="2"/>
    <x v="0"/>
    <m/>
    <n v="1981"/>
    <n v="30"/>
    <x v="182"/>
    <x v="176"/>
    <s v=""/>
  </r>
  <r>
    <x v="2016"/>
    <x v="8"/>
    <s v="38.736946"/>
    <s v="-9.142685"/>
    <x v="12"/>
    <s v="Small (11-200)"/>
    <x v="3"/>
    <d v="2024-01-27T00:00:00"/>
    <x v="1"/>
    <x v="5"/>
    <n v="2"/>
    <x v="0"/>
    <m/>
    <n v="1478"/>
    <n v="20"/>
    <x v="143"/>
    <x v="176"/>
    <s v=""/>
  </r>
  <r>
    <x v="2017"/>
    <x v="3"/>
    <s v="52.520008"/>
    <s v="13.404954"/>
    <x v="8"/>
    <s v="Small (11-200)"/>
    <x v="7"/>
    <d v="2024-02-21T00:00:00"/>
    <x v="1"/>
    <x v="5"/>
    <n v="2"/>
    <x v="0"/>
    <m/>
    <n v="1199"/>
    <n v="40"/>
    <x v="311"/>
    <x v="176"/>
    <s v=""/>
  </r>
  <r>
    <x v="2018"/>
    <x v="3"/>
    <s v="52.520008"/>
    <s v="13.404954"/>
    <x v="0"/>
    <s v="Small (11-200)"/>
    <x v="1"/>
    <d v="2024-01-08T00:00:00"/>
    <x v="0"/>
    <x v="5"/>
    <n v="2"/>
    <x v="0"/>
    <m/>
    <n v="1042"/>
    <n v="20"/>
    <x v="441"/>
    <x v="176"/>
    <s v=""/>
  </r>
  <r>
    <x v="2019"/>
    <x v="3"/>
    <s v="52.520008"/>
    <s v="13.404954"/>
    <x v="5"/>
    <s v="Small (11-200)"/>
    <x v="5"/>
    <d v="2024-05-14T00:00:00"/>
    <x v="0"/>
    <x v="5"/>
    <n v="2"/>
    <x v="0"/>
    <m/>
    <n v="299"/>
    <n v="40"/>
    <x v="227"/>
    <x v="176"/>
    <s v=""/>
  </r>
  <r>
    <x v="2020"/>
    <x v="5"/>
    <s v="46.204391"/>
    <s v="6.143158"/>
    <x v="3"/>
    <s v="Small (11-200)"/>
    <x v="4"/>
    <d v="2024-01-21T00:00:00"/>
    <x v="0"/>
    <x v="5"/>
    <n v="2"/>
    <x v="0"/>
    <m/>
    <n v="1361"/>
    <n v="100"/>
    <x v="325"/>
    <x v="176"/>
    <s v=""/>
  </r>
  <r>
    <x v="2021"/>
    <x v="5"/>
    <s v="46.204391"/>
    <s v="6.143158"/>
    <x v="5"/>
    <s v="Small (11-200)"/>
    <x v="2"/>
    <d v="2024-01-23T00:00:00"/>
    <x v="2"/>
    <x v="5"/>
    <n v="2"/>
    <x v="0"/>
    <m/>
    <n v="1946"/>
    <n v="90"/>
    <x v="5"/>
    <x v="176"/>
    <s v=""/>
  </r>
  <r>
    <x v="2022"/>
    <x v="8"/>
    <s v="38.736946"/>
    <s v="-9.142685"/>
    <x v="11"/>
    <s v="Small (11-200)"/>
    <x v="3"/>
    <d v="2024-02-09T00:00:00"/>
    <x v="1"/>
    <x v="5"/>
    <n v="2"/>
    <x v="0"/>
    <m/>
    <n v="1528"/>
    <n v="50"/>
    <x v="72"/>
    <x v="176"/>
    <s v=""/>
  </r>
  <r>
    <x v="2023"/>
    <x v="2"/>
    <s v="41.902782"/>
    <s v="12.496366"/>
    <x v="4"/>
    <s v="Small (11-200)"/>
    <x v="3"/>
    <d v="2024-03-29T00:00:00"/>
    <x v="0"/>
    <x v="5"/>
    <n v="2"/>
    <x v="0"/>
    <m/>
    <n v="1513"/>
    <n v="50"/>
    <x v="285"/>
    <x v="176"/>
    <s v=""/>
  </r>
  <r>
    <x v="2024"/>
    <x v="2"/>
    <s v="41.902782"/>
    <s v="12.496366"/>
    <x v="11"/>
    <s v="Small (11-200)"/>
    <x v="3"/>
    <d v="2024-01-20T00:00:00"/>
    <x v="2"/>
    <x v="5"/>
    <n v="2"/>
    <x v="0"/>
    <m/>
    <n v="1901"/>
    <n v="10"/>
    <x v="162"/>
    <x v="176"/>
    <s v=""/>
  </r>
  <r>
    <x v="2025"/>
    <x v="6"/>
    <s v="48.864716"/>
    <s v="2.349014"/>
    <x v="6"/>
    <s v="Small (11-200)"/>
    <x v="3"/>
    <d v="2024-04-30T00:00:00"/>
    <x v="1"/>
    <x v="5"/>
    <n v="2"/>
    <x v="0"/>
    <m/>
    <n v="1584"/>
    <n v="60"/>
    <x v="386"/>
    <x v="176"/>
    <s v=""/>
  </r>
  <r>
    <x v="2026"/>
    <x v="2"/>
    <s v="41.902782"/>
    <s v="12.496366"/>
    <x v="4"/>
    <s v="Small (11-200)"/>
    <x v="2"/>
    <d v="2024-03-29T00:00:00"/>
    <x v="2"/>
    <x v="5"/>
    <n v="2"/>
    <x v="0"/>
    <m/>
    <n v="226"/>
    <n v="20"/>
    <x v="258"/>
    <x v="176"/>
    <s v=""/>
  </r>
  <r>
    <x v="2027"/>
    <x v="2"/>
    <s v="41.902782"/>
    <s v="12.496366"/>
    <x v="8"/>
    <s v="Small (11-200)"/>
    <x v="3"/>
    <d v="2024-03-26T00:00:00"/>
    <x v="1"/>
    <x v="5"/>
    <n v="2"/>
    <x v="0"/>
    <m/>
    <n v="383"/>
    <n v="30"/>
    <x v="297"/>
    <x v="176"/>
    <s v=""/>
  </r>
  <r>
    <x v="2028"/>
    <x v="8"/>
    <s v="38.736946"/>
    <s v="-9.142685"/>
    <x v="8"/>
    <s v="Small (11-200)"/>
    <x v="1"/>
    <d v="2024-02-13T00:00:00"/>
    <x v="0"/>
    <x v="5"/>
    <n v="2"/>
    <x v="0"/>
    <m/>
    <n v="728"/>
    <n v="60"/>
    <x v="228"/>
    <x v="176"/>
    <s v=""/>
  </r>
  <r>
    <x v="2029"/>
    <x v="1"/>
    <s v="40.416775"/>
    <s v="-3.703790"/>
    <x v="4"/>
    <s v="Small (11-200)"/>
    <x v="1"/>
    <d v="2024-02-05T00:00:00"/>
    <x v="2"/>
    <x v="5"/>
    <n v="2"/>
    <x v="0"/>
    <m/>
    <n v="258"/>
    <n v="30"/>
    <x v="164"/>
    <x v="176"/>
    <s v=""/>
  </r>
  <r>
    <x v="2030"/>
    <x v="8"/>
    <s v="38.736946"/>
    <s v="-9.142685"/>
    <x v="2"/>
    <s v="Small (11-200)"/>
    <x v="3"/>
    <d v="2024-03-22T00:00:00"/>
    <x v="2"/>
    <x v="5"/>
    <n v="2"/>
    <x v="0"/>
    <m/>
    <n v="466"/>
    <n v="30"/>
    <x v="390"/>
    <x v="176"/>
    <s v=""/>
  </r>
  <r>
    <x v="2031"/>
    <x v="8"/>
    <s v="38.736946"/>
    <s v="-9.142685"/>
    <x v="12"/>
    <s v="Small (11-200)"/>
    <x v="4"/>
    <d v="2024-05-06T00:00:00"/>
    <x v="0"/>
    <x v="5"/>
    <n v="2"/>
    <x v="0"/>
    <m/>
    <n v="1459"/>
    <n v="80"/>
    <x v="376"/>
    <x v="176"/>
    <s v=""/>
  </r>
  <r>
    <x v="2032"/>
    <x v="6"/>
    <s v="48.864716"/>
    <s v="2.349014"/>
    <x v="5"/>
    <s v="Small (11-200)"/>
    <x v="5"/>
    <d v="2024-02-20T00:00:00"/>
    <x v="0"/>
    <x v="5"/>
    <n v="2"/>
    <x v="0"/>
    <m/>
    <n v="568"/>
    <n v="100"/>
    <x v="100"/>
    <x v="176"/>
    <s v=""/>
  </r>
  <r>
    <x v="2033"/>
    <x v="7"/>
    <s v="48.210033"/>
    <s v="16.363449"/>
    <x v="3"/>
    <s v="Small (11-200)"/>
    <x v="4"/>
    <d v="2024-01-27T00:00:00"/>
    <x v="0"/>
    <x v="5"/>
    <n v="2"/>
    <x v="0"/>
    <m/>
    <n v="1826"/>
    <n v="30"/>
    <x v="173"/>
    <x v="176"/>
    <s v=""/>
  </r>
  <r>
    <x v="2034"/>
    <x v="3"/>
    <s v="52.520008"/>
    <s v="13.404954"/>
    <x v="0"/>
    <s v="Small (11-200)"/>
    <x v="0"/>
    <d v="2024-02-03T00:00:00"/>
    <x v="0"/>
    <x v="5"/>
    <n v="2"/>
    <x v="0"/>
    <m/>
    <n v="1939"/>
    <n v="70"/>
    <x v="276"/>
    <x v="176"/>
    <s v=""/>
  </r>
  <r>
    <x v="2035"/>
    <x v="2"/>
    <s v="41.902782"/>
    <s v="12.496366"/>
    <x v="5"/>
    <s v="Small (11-200)"/>
    <x v="3"/>
    <d v="2024-05-24T00:00:00"/>
    <x v="1"/>
    <x v="5"/>
    <n v="2"/>
    <x v="0"/>
    <m/>
    <n v="1039"/>
    <n v="40"/>
    <x v="379"/>
    <x v="176"/>
    <s v=""/>
  </r>
  <r>
    <x v="2036"/>
    <x v="2"/>
    <s v="41.902782"/>
    <s v="12.496366"/>
    <x v="0"/>
    <s v="Small (11-200)"/>
    <x v="3"/>
    <d v="2024-02-29T00:00:00"/>
    <x v="0"/>
    <x v="5"/>
    <n v="2"/>
    <x v="0"/>
    <m/>
    <n v="247"/>
    <n v="30"/>
    <x v="411"/>
    <x v="176"/>
    <s v=""/>
  </r>
  <r>
    <x v="2037"/>
    <x v="6"/>
    <s v="48.864716"/>
    <s v="2.349014"/>
    <x v="4"/>
    <s v="Small (11-200)"/>
    <x v="3"/>
    <d v="2024-05-23T00:00:00"/>
    <x v="1"/>
    <x v="5"/>
    <n v="2"/>
    <x v="0"/>
    <m/>
    <n v="274"/>
    <n v="20"/>
    <x v="155"/>
    <x v="176"/>
    <s v=""/>
  </r>
  <r>
    <x v="2038"/>
    <x v="2"/>
    <s v="41.902782"/>
    <s v="12.496366"/>
    <x v="10"/>
    <s v="Small (11-200)"/>
    <x v="3"/>
    <d v="2024-03-27T00:00:00"/>
    <x v="1"/>
    <x v="5"/>
    <n v="2"/>
    <x v="0"/>
    <m/>
    <n v="686"/>
    <n v="90"/>
    <x v="208"/>
    <x v="176"/>
    <s v=""/>
  </r>
  <r>
    <x v="2039"/>
    <x v="3"/>
    <s v="52.520008"/>
    <s v="13.404954"/>
    <x v="9"/>
    <s v="Small (11-200)"/>
    <x v="1"/>
    <d v="2024-01-28T00:00:00"/>
    <x v="2"/>
    <x v="5"/>
    <n v="2"/>
    <x v="0"/>
    <m/>
    <n v="1568"/>
    <n v="20"/>
    <x v="405"/>
    <x v="176"/>
    <s v=""/>
  </r>
  <r>
    <x v="2040"/>
    <x v="3"/>
    <s v="52.520008"/>
    <s v="13.404954"/>
    <x v="4"/>
    <s v="Small (11-200)"/>
    <x v="3"/>
    <d v="2024-01-08T00:00:00"/>
    <x v="2"/>
    <x v="5"/>
    <n v="2"/>
    <x v="0"/>
    <m/>
    <n v="1191"/>
    <n v="80"/>
    <x v="341"/>
    <x v="176"/>
    <s v=""/>
  </r>
  <r>
    <x v="2041"/>
    <x v="7"/>
    <s v="48.210033"/>
    <s v="16.363449"/>
    <x v="4"/>
    <s v="Small (11-200)"/>
    <x v="1"/>
    <d v="2024-03-30T00:00:00"/>
    <x v="2"/>
    <x v="5"/>
    <n v="2"/>
    <x v="0"/>
    <m/>
    <n v="386"/>
    <n v="50"/>
    <x v="214"/>
    <x v="176"/>
    <s v=""/>
  </r>
  <r>
    <x v="2042"/>
    <x v="3"/>
    <s v="52.520008"/>
    <s v="13.404954"/>
    <x v="5"/>
    <s v="Small (11-200)"/>
    <x v="4"/>
    <d v="2024-01-02T00:00:00"/>
    <x v="2"/>
    <x v="5"/>
    <n v="2"/>
    <x v="0"/>
    <m/>
    <n v="535"/>
    <n v="20"/>
    <x v="401"/>
    <x v="176"/>
    <s v=""/>
  </r>
  <r>
    <x v="2043"/>
    <x v="5"/>
    <s v="46.204391"/>
    <s v="6.143158"/>
    <x v="12"/>
    <s v="Small (11-200)"/>
    <x v="3"/>
    <d v="2024-04-22T00:00:00"/>
    <x v="1"/>
    <x v="5"/>
    <n v="2"/>
    <x v="0"/>
    <m/>
    <n v="1832"/>
    <n v="50"/>
    <x v="41"/>
    <x v="176"/>
    <s v=""/>
  </r>
  <r>
    <x v="2044"/>
    <x v="8"/>
    <s v="38.736946"/>
    <s v="-9.142685"/>
    <x v="10"/>
    <s v="Small (11-200)"/>
    <x v="2"/>
    <d v="2024-03-20T00:00:00"/>
    <x v="2"/>
    <x v="5"/>
    <n v="2"/>
    <x v="0"/>
    <m/>
    <n v="1175"/>
    <n v="40"/>
    <x v="49"/>
    <x v="176"/>
    <s v=""/>
  </r>
  <r>
    <x v="2045"/>
    <x v="3"/>
    <s v="52.520008"/>
    <s v="13.404954"/>
    <x v="11"/>
    <s v="Small (11-200)"/>
    <x v="4"/>
    <d v="2024-05-13T00:00:00"/>
    <x v="2"/>
    <x v="5"/>
    <n v="2"/>
    <x v="0"/>
    <m/>
    <n v="894"/>
    <n v="50"/>
    <x v="43"/>
    <x v="176"/>
    <s v=""/>
  </r>
  <r>
    <x v="2046"/>
    <x v="5"/>
    <s v="46.204391"/>
    <s v="6.143158"/>
    <x v="5"/>
    <s v="Small (11-200)"/>
    <x v="1"/>
    <d v="2024-05-12T00:00:00"/>
    <x v="0"/>
    <x v="5"/>
    <n v="2"/>
    <x v="0"/>
    <m/>
    <n v="291"/>
    <n v="50"/>
    <x v="56"/>
    <x v="176"/>
    <s v=""/>
  </r>
  <r>
    <x v="2047"/>
    <x v="0"/>
    <s v="52.370216"/>
    <s v="4.895168"/>
    <x v="12"/>
    <s v="Small (11-200)"/>
    <x v="6"/>
    <d v="2024-03-03T00:00:00"/>
    <x v="1"/>
    <x v="5"/>
    <n v="2"/>
    <x v="0"/>
    <m/>
    <n v="1118"/>
    <n v="20"/>
    <x v="109"/>
    <x v="176"/>
    <s v=""/>
  </r>
  <r>
    <x v="2048"/>
    <x v="2"/>
    <s v="41.902782"/>
    <s v="12.496366"/>
    <x v="7"/>
    <s v="Small (11-200)"/>
    <x v="1"/>
    <d v="2024-05-19T00:00:00"/>
    <x v="2"/>
    <x v="5"/>
    <n v="2"/>
    <x v="0"/>
    <m/>
    <n v="427"/>
    <n v="30"/>
    <x v="53"/>
    <x v="176"/>
    <s v=""/>
  </r>
  <r>
    <x v="2049"/>
    <x v="0"/>
    <s v="52.370216"/>
    <s v="4.895168"/>
    <x v="0"/>
    <s v="Small (11-200)"/>
    <x v="1"/>
    <d v="2024-05-28T00:00:00"/>
    <x v="1"/>
    <x v="5"/>
    <n v="2"/>
    <x v="0"/>
    <m/>
    <n v="1236"/>
    <n v="20"/>
    <x v="265"/>
    <x v="176"/>
    <s v=""/>
  </r>
  <r>
    <x v="2050"/>
    <x v="5"/>
    <s v="46.204391"/>
    <s v="6.143158"/>
    <x v="0"/>
    <s v="Small (11-200)"/>
    <x v="7"/>
    <d v="2024-01-18T00:00:00"/>
    <x v="2"/>
    <x v="5"/>
    <n v="2"/>
    <x v="0"/>
    <m/>
    <n v="707"/>
    <n v="100"/>
    <x v="19"/>
    <x v="176"/>
    <s v=""/>
  </r>
  <r>
    <x v="2051"/>
    <x v="5"/>
    <s v="46.204391"/>
    <s v="6.143158"/>
    <x v="3"/>
    <s v="Small (11-200)"/>
    <x v="3"/>
    <d v="2024-01-28T00:00:00"/>
    <x v="1"/>
    <x v="5"/>
    <n v="2"/>
    <x v="0"/>
    <m/>
    <n v="420"/>
    <n v="20"/>
    <x v="112"/>
    <x v="176"/>
    <s v=""/>
  </r>
  <r>
    <x v="2052"/>
    <x v="4"/>
    <s v="51.260197"/>
    <s v="4.402771"/>
    <x v="5"/>
    <s v="Small (11-200)"/>
    <x v="2"/>
    <d v="2024-05-26T00:00:00"/>
    <x v="0"/>
    <x v="5"/>
    <n v="2"/>
    <x v="0"/>
    <m/>
    <n v="1986"/>
    <n v="60"/>
    <x v="164"/>
    <x v="176"/>
    <s v=""/>
  </r>
  <r>
    <x v="2053"/>
    <x v="1"/>
    <s v="40.416775"/>
    <s v="-3.703790"/>
    <x v="5"/>
    <s v="Small (11-200)"/>
    <x v="2"/>
    <d v="2024-04-27T00:00:00"/>
    <x v="0"/>
    <x v="5"/>
    <n v="2"/>
    <x v="0"/>
    <m/>
    <n v="901"/>
    <n v="50"/>
    <x v="297"/>
    <x v="176"/>
    <s v=""/>
  </r>
  <r>
    <x v="2054"/>
    <x v="8"/>
    <s v="38.736946"/>
    <s v="-9.142685"/>
    <x v="5"/>
    <s v="Small (11-200)"/>
    <x v="6"/>
    <d v="2024-05-16T00:00:00"/>
    <x v="2"/>
    <x v="5"/>
    <n v="2"/>
    <x v="0"/>
    <m/>
    <n v="1164"/>
    <n v="60"/>
    <x v="442"/>
    <x v="176"/>
    <s v=""/>
  </r>
  <r>
    <x v="2055"/>
    <x v="2"/>
    <s v="41.902782"/>
    <s v="12.496366"/>
    <x v="13"/>
    <s v="Small (11-200)"/>
    <x v="1"/>
    <d v="2024-05-21T00:00:00"/>
    <x v="0"/>
    <x v="5"/>
    <n v="2"/>
    <x v="0"/>
    <m/>
    <n v="1661"/>
    <n v="40"/>
    <x v="413"/>
    <x v="176"/>
    <s v=""/>
  </r>
  <r>
    <x v="2056"/>
    <x v="2"/>
    <s v="41.902782"/>
    <s v="12.496366"/>
    <x v="0"/>
    <s v="Small (11-200)"/>
    <x v="2"/>
    <d v="2024-05-16T00:00:00"/>
    <x v="2"/>
    <x v="5"/>
    <n v="2"/>
    <x v="0"/>
    <m/>
    <n v="1096"/>
    <n v="20"/>
    <x v="57"/>
    <x v="176"/>
    <s v=""/>
  </r>
  <r>
    <x v="2057"/>
    <x v="6"/>
    <s v="48.864716"/>
    <s v="2.349014"/>
    <x v="5"/>
    <s v="Small (11-200)"/>
    <x v="1"/>
    <d v="2024-02-10T00:00:00"/>
    <x v="2"/>
    <x v="5"/>
    <n v="2"/>
    <x v="0"/>
    <m/>
    <n v="379"/>
    <n v="40"/>
    <x v="116"/>
    <x v="176"/>
    <s v=""/>
  </r>
  <r>
    <x v="2058"/>
    <x v="2"/>
    <s v="41.902782"/>
    <s v="12.496366"/>
    <x v="2"/>
    <s v="Small (11-200)"/>
    <x v="0"/>
    <d v="2024-04-28T00:00:00"/>
    <x v="0"/>
    <x v="5"/>
    <n v="2"/>
    <x v="0"/>
    <m/>
    <n v="1368"/>
    <n v="20"/>
    <x v="423"/>
    <x v="176"/>
    <s v=""/>
  </r>
  <r>
    <x v="2059"/>
    <x v="2"/>
    <s v="41.902782"/>
    <s v="12.496366"/>
    <x v="1"/>
    <s v="Small (11-200)"/>
    <x v="4"/>
    <d v="2024-03-26T00:00:00"/>
    <x v="0"/>
    <x v="5"/>
    <n v="2"/>
    <x v="0"/>
    <m/>
    <n v="1691"/>
    <n v="60"/>
    <x v="246"/>
    <x v="176"/>
    <s v=""/>
  </r>
  <r>
    <x v="2060"/>
    <x v="1"/>
    <s v="40.416775"/>
    <s v="-3.703790"/>
    <x v="4"/>
    <s v="Small (11-200)"/>
    <x v="1"/>
    <d v="2024-05-21T00:00:00"/>
    <x v="2"/>
    <x v="5"/>
    <n v="2"/>
    <x v="0"/>
    <m/>
    <n v="543"/>
    <n v="40"/>
    <x v="212"/>
    <x v="176"/>
    <s v=""/>
  </r>
  <r>
    <x v="2061"/>
    <x v="4"/>
    <s v="51.260197"/>
    <s v="4.402771"/>
    <x v="5"/>
    <s v="Small (11-200)"/>
    <x v="1"/>
    <d v="2024-01-06T00:00:00"/>
    <x v="0"/>
    <x v="5"/>
    <n v="2"/>
    <x v="0"/>
    <m/>
    <n v="231"/>
    <n v="40"/>
    <x v="325"/>
    <x v="176"/>
    <s v=""/>
  </r>
  <r>
    <x v="2062"/>
    <x v="2"/>
    <s v="41.902782"/>
    <s v="12.496366"/>
    <x v="10"/>
    <s v="Small (11-200)"/>
    <x v="1"/>
    <d v="2024-05-21T00:00:00"/>
    <x v="0"/>
    <x v="5"/>
    <n v="2"/>
    <x v="0"/>
    <m/>
    <n v="1295"/>
    <n v="20"/>
    <x v="144"/>
    <x v="176"/>
    <s v=""/>
  </r>
  <r>
    <x v="2063"/>
    <x v="6"/>
    <s v="48.864716"/>
    <s v="2.349014"/>
    <x v="5"/>
    <s v="Small (11-200)"/>
    <x v="3"/>
    <d v="2024-01-10T00:00:00"/>
    <x v="1"/>
    <x v="5"/>
    <n v="2"/>
    <x v="0"/>
    <m/>
    <n v="730"/>
    <n v="80"/>
    <x v="284"/>
    <x v="176"/>
    <s v=""/>
  </r>
  <r>
    <x v="2064"/>
    <x v="8"/>
    <s v="38.736946"/>
    <s v="-9.142685"/>
    <x v="13"/>
    <s v="Small (11-200)"/>
    <x v="0"/>
    <d v="2024-01-09T00:00:00"/>
    <x v="1"/>
    <x v="5"/>
    <n v="2"/>
    <x v="0"/>
    <m/>
    <n v="1201"/>
    <n v="20"/>
    <x v="297"/>
    <x v="176"/>
    <s v=""/>
  </r>
  <r>
    <x v="2065"/>
    <x v="2"/>
    <s v="41.902782"/>
    <s v="12.496366"/>
    <x v="6"/>
    <s v="Small (11-200)"/>
    <x v="4"/>
    <d v="2024-02-12T00:00:00"/>
    <x v="0"/>
    <x v="5"/>
    <n v="2"/>
    <x v="0"/>
    <m/>
    <n v="1687"/>
    <n v="90"/>
    <x v="223"/>
    <x v="176"/>
    <s v=""/>
  </r>
  <r>
    <x v="2066"/>
    <x v="8"/>
    <s v="38.736946"/>
    <s v="-9.142685"/>
    <x v="7"/>
    <s v="Small (11-200)"/>
    <x v="4"/>
    <d v="2024-05-28T00:00:00"/>
    <x v="2"/>
    <x v="5"/>
    <n v="2"/>
    <x v="0"/>
    <m/>
    <n v="822"/>
    <n v="30"/>
    <x v="443"/>
    <x v="176"/>
    <s v=""/>
  </r>
  <r>
    <x v="2067"/>
    <x v="1"/>
    <s v="40.416775"/>
    <s v="-3.703790"/>
    <x v="1"/>
    <s v="Small (11-200)"/>
    <x v="7"/>
    <d v="2024-03-05T00:00:00"/>
    <x v="0"/>
    <x v="5"/>
    <n v="2"/>
    <x v="0"/>
    <m/>
    <n v="1008"/>
    <n v="30"/>
    <x v="298"/>
    <x v="176"/>
    <s v=""/>
  </r>
  <r>
    <x v="2068"/>
    <x v="8"/>
    <s v="38.736946"/>
    <s v="-9.142685"/>
    <x v="12"/>
    <s v="Small (11-200)"/>
    <x v="3"/>
    <d v="2024-04-15T00:00:00"/>
    <x v="0"/>
    <x v="5"/>
    <n v="2"/>
    <x v="0"/>
    <m/>
    <n v="1973"/>
    <n v="30"/>
    <x v="324"/>
    <x v="176"/>
    <s v=""/>
  </r>
  <r>
    <x v="2069"/>
    <x v="6"/>
    <s v="48.864716"/>
    <s v="2.349014"/>
    <x v="1"/>
    <s v="Small (11-200)"/>
    <x v="1"/>
    <d v="2024-04-26T00:00:00"/>
    <x v="2"/>
    <x v="5"/>
    <n v="2"/>
    <x v="0"/>
    <m/>
    <n v="1811"/>
    <n v="50"/>
    <x v="285"/>
    <x v="176"/>
    <s v=""/>
  </r>
  <r>
    <x v="2070"/>
    <x v="8"/>
    <s v="38.736946"/>
    <s v="-9.142685"/>
    <x v="8"/>
    <s v="Small (11-200)"/>
    <x v="1"/>
    <d v="2024-01-10T00:00:00"/>
    <x v="1"/>
    <x v="5"/>
    <n v="2"/>
    <x v="0"/>
    <m/>
    <n v="934"/>
    <n v="40"/>
    <x v="198"/>
    <x v="176"/>
    <s v=""/>
  </r>
  <r>
    <x v="2071"/>
    <x v="3"/>
    <s v="52.520008"/>
    <s v="13.404954"/>
    <x v="4"/>
    <s v="Small (11-200)"/>
    <x v="0"/>
    <d v="2024-05-24T00:00:00"/>
    <x v="1"/>
    <x v="5"/>
    <n v="2"/>
    <x v="0"/>
    <m/>
    <n v="262"/>
    <n v="90"/>
    <x v="178"/>
    <x v="176"/>
    <s v=""/>
  </r>
  <r>
    <x v="2072"/>
    <x v="3"/>
    <s v="52.520008"/>
    <s v="13.404954"/>
    <x v="5"/>
    <s v="Small (11-200)"/>
    <x v="5"/>
    <d v="2024-01-15T00:00:00"/>
    <x v="1"/>
    <x v="5"/>
    <n v="2"/>
    <x v="0"/>
    <m/>
    <n v="879"/>
    <n v="90"/>
    <x v="107"/>
    <x v="176"/>
    <s v=""/>
  </r>
  <r>
    <x v="2073"/>
    <x v="6"/>
    <s v="48.864716"/>
    <s v="2.349014"/>
    <x v="7"/>
    <s v="Small (11-200)"/>
    <x v="6"/>
    <d v="2024-04-20T00:00:00"/>
    <x v="0"/>
    <x v="5"/>
    <n v="2"/>
    <x v="0"/>
    <m/>
    <n v="1305"/>
    <n v="50"/>
    <x v="224"/>
    <x v="176"/>
    <s v=""/>
  </r>
  <r>
    <x v="2074"/>
    <x v="8"/>
    <s v="38.736946"/>
    <s v="-9.142685"/>
    <x v="8"/>
    <s v="Small (11-200)"/>
    <x v="6"/>
    <d v="2024-05-20T00:00:00"/>
    <x v="2"/>
    <x v="5"/>
    <n v="2"/>
    <x v="0"/>
    <m/>
    <n v="1704"/>
    <n v="100"/>
    <x v="309"/>
    <x v="176"/>
    <s v=""/>
  </r>
  <r>
    <x v="2075"/>
    <x v="6"/>
    <s v="48.864716"/>
    <s v="2.349014"/>
    <x v="10"/>
    <s v="Small (11-200)"/>
    <x v="1"/>
    <d v="2024-05-06T00:00:00"/>
    <x v="0"/>
    <x v="5"/>
    <n v="2"/>
    <x v="0"/>
    <m/>
    <n v="261"/>
    <n v="40"/>
    <x v="393"/>
    <x v="176"/>
    <s v=""/>
  </r>
  <r>
    <x v="2076"/>
    <x v="0"/>
    <s v="52.370216"/>
    <s v="4.895168"/>
    <x v="3"/>
    <s v="Small (11-200)"/>
    <x v="3"/>
    <d v="2024-02-02T00:00:00"/>
    <x v="1"/>
    <x v="5"/>
    <n v="2"/>
    <x v="0"/>
    <m/>
    <n v="1268"/>
    <n v="20"/>
    <x v="284"/>
    <x v="176"/>
    <s v=""/>
  </r>
  <r>
    <x v="2077"/>
    <x v="4"/>
    <s v="51.260197"/>
    <s v="4.402771"/>
    <x v="5"/>
    <s v="Micro (1-10)"/>
    <x v="2"/>
    <d v="2024-04-19T00:00:00"/>
    <x v="0"/>
    <x v="5"/>
    <n v="2"/>
    <x v="0"/>
    <m/>
    <n v="327"/>
    <n v="40"/>
    <x v="265"/>
    <x v="176"/>
    <s v=""/>
  </r>
  <r>
    <x v="2078"/>
    <x v="8"/>
    <s v="38.736946"/>
    <s v="-9.142685"/>
    <x v="9"/>
    <s v="Micro (1-10)"/>
    <x v="6"/>
    <d v="2024-03-10T00:00:00"/>
    <x v="1"/>
    <x v="5"/>
    <n v="2"/>
    <x v="0"/>
    <m/>
    <n v="911"/>
    <n v="40"/>
    <x v="164"/>
    <x v="176"/>
    <s v=""/>
  </r>
  <r>
    <x v="2079"/>
    <x v="6"/>
    <s v="48.864716"/>
    <s v="2.349014"/>
    <x v="4"/>
    <s v="Micro (1-10)"/>
    <x v="3"/>
    <d v="2024-05-20T00:00:00"/>
    <x v="2"/>
    <x v="5"/>
    <n v="2"/>
    <x v="0"/>
    <m/>
    <n v="632"/>
    <n v="60"/>
    <x v="290"/>
    <x v="176"/>
    <s v=""/>
  </r>
  <r>
    <x v="2080"/>
    <x v="5"/>
    <s v="46.204391"/>
    <s v="6.143158"/>
    <x v="3"/>
    <s v="Micro (1-10)"/>
    <x v="3"/>
    <d v="2024-01-16T00:00:00"/>
    <x v="0"/>
    <x v="5"/>
    <n v="2"/>
    <x v="0"/>
    <m/>
    <n v="331"/>
    <n v="30"/>
    <x v="327"/>
    <x v="176"/>
    <s v=""/>
  </r>
  <r>
    <x v="2081"/>
    <x v="5"/>
    <s v="46.204391"/>
    <s v="6.143158"/>
    <x v="0"/>
    <s v="Micro (1-10)"/>
    <x v="1"/>
    <d v="2024-01-31T00:00:00"/>
    <x v="0"/>
    <x v="5"/>
    <n v="2"/>
    <x v="0"/>
    <m/>
    <n v="1012"/>
    <n v="50"/>
    <x v="236"/>
    <x v="176"/>
    <s v=""/>
  </r>
  <r>
    <x v="2082"/>
    <x v="5"/>
    <s v="46.204391"/>
    <s v="6.143158"/>
    <x v="6"/>
    <s v="Micro (1-10)"/>
    <x v="4"/>
    <d v="2024-01-19T00:00:00"/>
    <x v="1"/>
    <x v="5"/>
    <n v="2"/>
    <x v="0"/>
    <m/>
    <n v="600"/>
    <n v="30"/>
    <x v="175"/>
    <x v="176"/>
    <s v=""/>
  </r>
  <r>
    <x v="2083"/>
    <x v="2"/>
    <s v="41.902782"/>
    <s v="12.496366"/>
    <x v="2"/>
    <s v="Micro (1-10)"/>
    <x v="1"/>
    <d v="2024-04-22T00:00:00"/>
    <x v="0"/>
    <x v="5"/>
    <n v="2"/>
    <x v="0"/>
    <m/>
    <n v="338"/>
    <n v="30"/>
    <x v="348"/>
    <x v="176"/>
    <s v=""/>
  </r>
  <r>
    <x v="2084"/>
    <x v="2"/>
    <s v="41.902782"/>
    <s v="12.496366"/>
    <x v="6"/>
    <s v="Micro (1-10)"/>
    <x v="2"/>
    <d v="2024-01-28T00:00:00"/>
    <x v="1"/>
    <x v="5"/>
    <n v="2"/>
    <x v="0"/>
    <m/>
    <n v="410"/>
    <n v="30"/>
    <x v="60"/>
    <x v="176"/>
    <s v=""/>
  </r>
  <r>
    <x v="2085"/>
    <x v="4"/>
    <s v="51.260197"/>
    <s v="4.402771"/>
    <x v="10"/>
    <s v="Micro (1-10)"/>
    <x v="4"/>
    <d v="2024-04-24T00:00:00"/>
    <x v="2"/>
    <x v="5"/>
    <n v="2"/>
    <x v="0"/>
    <m/>
    <n v="830"/>
    <n v="20"/>
    <x v="144"/>
    <x v="176"/>
    <s v=""/>
  </r>
  <r>
    <x v="2086"/>
    <x v="6"/>
    <s v="48.864716"/>
    <s v="2.349014"/>
    <x v="3"/>
    <s v="Micro (1-10)"/>
    <x v="4"/>
    <d v="2024-03-22T00:00:00"/>
    <x v="2"/>
    <x v="5"/>
    <n v="2"/>
    <x v="0"/>
    <m/>
    <n v="417"/>
    <n v="40"/>
    <x v="59"/>
    <x v="176"/>
    <s v=""/>
  </r>
  <r>
    <x v="2087"/>
    <x v="3"/>
    <s v="52.520008"/>
    <s v="13.404954"/>
    <x v="0"/>
    <s v="Micro (1-10)"/>
    <x v="3"/>
    <d v="2024-01-02T00:00:00"/>
    <x v="2"/>
    <x v="5"/>
    <n v="2"/>
    <x v="0"/>
    <m/>
    <n v="801"/>
    <n v="10"/>
    <x v="183"/>
    <x v="176"/>
    <s v=""/>
  </r>
  <r>
    <x v="2088"/>
    <x v="2"/>
    <s v="41.902782"/>
    <s v="12.496366"/>
    <x v="4"/>
    <s v="Micro (1-10)"/>
    <x v="7"/>
    <d v="2024-03-13T00:00:00"/>
    <x v="0"/>
    <x v="5"/>
    <n v="2"/>
    <x v="0"/>
    <m/>
    <n v="632"/>
    <n v="60"/>
    <x v="418"/>
    <x v="176"/>
    <s v=""/>
  </r>
  <r>
    <x v="2089"/>
    <x v="7"/>
    <s v="48.210033"/>
    <s v="16.363449"/>
    <x v="2"/>
    <s v="Micro (1-10)"/>
    <x v="3"/>
    <d v="2024-03-10T00:00:00"/>
    <x v="0"/>
    <x v="5"/>
    <n v="2"/>
    <x v="0"/>
    <m/>
    <n v="720"/>
    <n v="40"/>
    <x v="327"/>
    <x v="176"/>
    <s v=""/>
  </r>
  <r>
    <x v="2090"/>
    <x v="7"/>
    <s v="48.210033"/>
    <s v="16.363449"/>
    <x v="13"/>
    <s v="Micro (1-10)"/>
    <x v="3"/>
    <d v="2024-04-21T00:00:00"/>
    <x v="1"/>
    <x v="5"/>
    <n v="2"/>
    <x v="0"/>
    <m/>
    <n v="815"/>
    <n v="20"/>
    <x v="168"/>
    <x v="176"/>
    <s v=""/>
  </r>
  <r>
    <x v="2091"/>
    <x v="5"/>
    <s v="46.204391"/>
    <s v="6.143158"/>
    <x v="2"/>
    <s v="Micro (1-10)"/>
    <x v="1"/>
    <d v="2024-01-18T00:00:00"/>
    <x v="2"/>
    <x v="5"/>
    <n v="2"/>
    <x v="0"/>
    <m/>
    <n v="1026"/>
    <n v="10"/>
    <x v="94"/>
    <x v="176"/>
    <s v=""/>
  </r>
  <r>
    <x v="2092"/>
    <x v="6"/>
    <s v="48.864716"/>
    <s v="2.349014"/>
    <x v="3"/>
    <s v="Micro (1-10)"/>
    <x v="4"/>
    <d v="2024-03-01T00:00:00"/>
    <x v="1"/>
    <x v="5"/>
    <n v="2"/>
    <x v="0"/>
    <m/>
    <n v="308"/>
    <n v="30"/>
    <x v="92"/>
    <x v="176"/>
    <s v=""/>
  </r>
  <r>
    <x v="2093"/>
    <x v="4"/>
    <s v="51.260197"/>
    <s v="4.402771"/>
    <x v="5"/>
    <s v="Micro (1-10)"/>
    <x v="5"/>
    <d v="2024-03-05T00:00:00"/>
    <x v="0"/>
    <x v="5"/>
    <n v="2"/>
    <x v="0"/>
    <m/>
    <n v="1199"/>
    <n v="30"/>
    <x v="376"/>
    <x v="176"/>
    <s v=""/>
  </r>
  <r>
    <x v="2094"/>
    <x v="6"/>
    <s v="48.864716"/>
    <s v="2.349014"/>
    <x v="3"/>
    <s v="Micro (1-10)"/>
    <x v="4"/>
    <d v="2024-05-13T00:00:00"/>
    <x v="0"/>
    <x v="5"/>
    <n v="2"/>
    <x v="0"/>
    <m/>
    <n v="984"/>
    <n v="90"/>
    <x v="325"/>
    <x v="176"/>
    <s v=""/>
  </r>
  <r>
    <x v="2095"/>
    <x v="4"/>
    <s v="51.260197"/>
    <s v="4.402771"/>
    <x v="11"/>
    <s v="Micro (1-10)"/>
    <x v="4"/>
    <d v="2024-01-27T00:00:00"/>
    <x v="0"/>
    <x v="5"/>
    <n v="2"/>
    <x v="0"/>
    <m/>
    <n v="991"/>
    <n v="20"/>
    <x v="362"/>
    <x v="176"/>
    <s v=""/>
  </r>
  <r>
    <x v="2096"/>
    <x v="2"/>
    <s v="41.902782"/>
    <s v="12.496366"/>
    <x v="4"/>
    <s v="Micro (1-10)"/>
    <x v="2"/>
    <d v="2024-01-31T00:00:00"/>
    <x v="2"/>
    <x v="5"/>
    <n v="2"/>
    <x v="0"/>
    <m/>
    <n v="1141"/>
    <n v="20"/>
    <x v="13"/>
    <x v="176"/>
    <s v=""/>
  </r>
  <r>
    <x v="2097"/>
    <x v="7"/>
    <s v="48.210033"/>
    <s v="16.363449"/>
    <x v="4"/>
    <s v="Micro (1-10)"/>
    <x v="5"/>
    <d v="2024-05-11T00:00:00"/>
    <x v="2"/>
    <x v="5"/>
    <n v="2"/>
    <x v="0"/>
    <m/>
    <n v="1186"/>
    <n v="90"/>
    <x v="159"/>
    <x v="176"/>
    <s v=""/>
  </r>
  <r>
    <x v="2098"/>
    <x v="7"/>
    <s v="48.210033"/>
    <s v="16.363449"/>
    <x v="5"/>
    <s v="Micro (1-10)"/>
    <x v="2"/>
    <d v="2024-05-25T00:00:00"/>
    <x v="0"/>
    <x v="5"/>
    <n v="2"/>
    <x v="0"/>
    <m/>
    <n v="1054"/>
    <n v="80"/>
    <x v="210"/>
    <x v="176"/>
    <s v=""/>
  </r>
  <r>
    <x v="2099"/>
    <x v="3"/>
    <s v="52.520008"/>
    <s v="13.404954"/>
    <x v="7"/>
    <s v="Micro (1-10)"/>
    <x v="0"/>
    <d v="2024-02-19T00:00:00"/>
    <x v="0"/>
    <x v="5"/>
    <n v="2"/>
    <x v="0"/>
    <m/>
    <n v="816"/>
    <n v="40"/>
    <x v="319"/>
    <x v="176"/>
    <s v=""/>
  </r>
  <r>
    <x v="2100"/>
    <x v="3"/>
    <s v="52.520008"/>
    <s v="13.404954"/>
    <x v="6"/>
    <s v="Micro (1-10)"/>
    <x v="4"/>
    <d v="2024-02-17T00:00:00"/>
    <x v="2"/>
    <x v="5"/>
    <n v="2"/>
    <x v="0"/>
    <m/>
    <n v="415"/>
    <n v="10"/>
    <x v="74"/>
    <x v="176"/>
    <s v=""/>
  </r>
  <r>
    <x v="2101"/>
    <x v="5"/>
    <s v="46.204391"/>
    <s v="6.143158"/>
    <x v="0"/>
    <s v="Micro (1-10)"/>
    <x v="2"/>
    <d v="2024-03-28T00:00:00"/>
    <x v="2"/>
    <x v="5"/>
    <n v="2"/>
    <x v="0"/>
    <m/>
    <n v="349"/>
    <n v="60"/>
    <x v="316"/>
    <x v="176"/>
    <s v=""/>
  </r>
  <r>
    <x v="2102"/>
    <x v="8"/>
    <s v="38.736946"/>
    <s v="-9.142685"/>
    <x v="11"/>
    <s v="Micro (1-10)"/>
    <x v="3"/>
    <d v="2024-05-11T00:00:00"/>
    <x v="1"/>
    <x v="5"/>
    <n v="2"/>
    <x v="0"/>
    <m/>
    <n v="284"/>
    <n v="100"/>
    <x v="17"/>
    <x v="176"/>
    <s v=""/>
  </r>
  <r>
    <x v="2103"/>
    <x v="6"/>
    <s v="48.864716"/>
    <s v="2.349014"/>
    <x v="8"/>
    <s v="Micro (1-10)"/>
    <x v="0"/>
    <d v="2024-01-24T00:00:00"/>
    <x v="0"/>
    <x v="5"/>
    <n v="2"/>
    <x v="0"/>
    <m/>
    <n v="540"/>
    <n v="60"/>
    <x v="203"/>
    <x v="176"/>
    <s v=""/>
  </r>
  <r>
    <x v="2104"/>
    <x v="5"/>
    <s v="46.204391"/>
    <s v="6.143158"/>
    <x v="5"/>
    <s v="Micro (1-10)"/>
    <x v="2"/>
    <d v="2024-05-14T00:00:00"/>
    <x v="2"/>
    <x v="5"/>
    <n v="2"/>
    <x v="0"/>
    <m/>
    <n v="751"/>
    <n v="40"/>
    <x v="107"/>
    <x v="176"/>
    <s v=""/>
  </r>
  <r>
    <x v="2105"/>
    <x v="3"/>
    <s v="52.520008"/>
    <s v="13.404954"/>
    <x v="3"/>
    <s v="Micro (1-10)"/>
    <x v="6"/>
    <d v="2024-05-19T00:00:00"/>
    <x v="0"/>
    <x v="5"/>
    <n v="2"/>
    <x v="0"/>
    <m/>
    <n v="316"/>
    <n v="50"/>
    <x v="69"/>
    <x v="176"/>
    <s v=""/>
  </r>
  <r>
    <x v="2106"/>
    <x v="0"/>
    <s v="52.370216"/>
    <s v="4.895168"/>
    <x v="2"/>
    <s v="Micro (1-10)"/>
    <x v="3"/>
    <d v="2024-02-20T00:00:00"/>
    <x v="0"/>
    <x v="5"/>
    <n v="2"/>
    <x v="0"/>
    <m/>
    <n v="1185"/>
    <n v="20"/>
    <x v="119"/>
    <x v="176"/>
    <s v=""/>
  </r>
  <r>
    <x v="2107"/>
    <x v="2"/>
    <s v="41.902782"/>
    <s v="12.496366"/>
    <x v="5"/>
    <s v="Micro (1-10)"/>
    <x v="0"/>
    <d v="2024-04-10T00:00:00"/>
    <x v="0"/>
    <x v="5"/>
    <n v="2"/>
    <x v="0"/>
    <m/>
    <n v="927"/>
    <n v="40"/>
    <x v="398"/>
    <x v="176"/>
    <s v=""/>
  </r>
  <r>
    <x v="2108"/>
    <x v="5"/>
    <s v="46.204391"/>
    <s v="6.143158"/>
    <x v="5"/>
    <s v="Micro (1-10)"/>
    <x v="1"/>
    <d v="2024-05-16T00:00:00"/>
    <x v="0"/>
    <x v="5"/>
    <n v="2"/>
    <x v="0"/>
    <m/>
    <n v="1175"/>
    <n v="50"/>
    <x v="286"/>
    <x v="176"/>
    <s v=""/>
  </r>
  <r>
    <x v="2109"/>
    <x v="5"/>
    <s v="46.204391"/>
    <s v="6.143158"/>
    <x v="2"/>
    <s v="Micro (1-10)"/>
    <x v="4"/>
    <d v="2024-01-04T00:00:00"/>
    <x v="2"/>
    <x v="5"/>
    <n v="2"/>
    <x v="0"/>
    <m/>
    <n v="309"/>
    <n v="60"/>
    <x v="33"/>
    <x v="176"/>
    <s v=""/>
  </r>
  <r>
    <x v="2110"/>
    <x v="2"/>
    <s v="41.902782"/>
    <s v="12.496366"/>
    <x v="0"/>
    <s v="Micro (1-10)"/>
    <x v="3"/>
    <d v="2024-04-24T00:00:00"/>
    <x v="0"/>
    <x v="5"/>
    <n v="2"/>
    <x v="0"/>
    <m/>
    <n v="684"/>
    <n v="30"/>
    <x v="223"/>
    <x v="176"/>
    <s v=""/>
  </r>
  <r>
    <x v="2111"/>
    <x v="5"/>
    <s v="46.204391"/>
    <s v="6.143158"/>
    <x v="12"/>
    <s v="Micro (1-10)"/>
    <x v="7"/>
    <d v="2024-01-20T00:00:00"/>
    <x v="0"/>
    <x v="5"/>
    <n v="2"/>
    <x v="0"/>
    <m/>
    <n v="221"/>
    <n v="20"/>
    <x v="98"/>
    <x v="176"/>
    <s v=""/>
  </r>
  <r>
    <x v="2112"/>
    <x v="6"/>
    <s v="48.864716"/>
    <s v="2.349014"/>
    <x v="2"/>
    <s v="Micro (1-10)"/>
    <x v="6"/>
    <d v="2024-04-20T00:00:00"/>
    <x v="2"/>
    <x v="5"/>
    <n v="2"/>
    <x v="0"/>
    <m/>
    <n v="856"/>
    <n v="50"/>
    <x v="223"/>
    <x v="176"/>
    <s v=""/>
  </r>
  <r>
    <x v="2113"/>
    <x v="3"/>
    <s v="52.520008"/>
    <s v="13.404954"/>
    <x v="0"/>
    <s v="Micro (1-10)"/>
    <x v="1"/>
    <d v="2024-03-21T00:00:00"/>
    <x v="0"/>
    <x v="5"/>
    <n v="2"/>
    <x v="0"/>
    <m/>
    <n v="366"/>
    <n v="30"/>
    <x v="206"/>
    <x v="176"/>
    <s v=""/>
  </r>
  <r>
    <x v="2114"/>
    <x v="8"/>
    <s v="38.736946"/>
    <s v="-9.142685"/>
    <x v="4"/>
    <s v="Micro (1-10)"/>
    <x v="0"/>
    <d v="2024-03-14T00:00:00"/>
    <x v="0"/>
    <x v="5"/>
    <n v="2"/>
    <x v="0"/>
    <m/>
    <n v="983"/>
    <n v="60"/>
    <x v="335"/>
    <x v="176"/>
    <s v=""/>
  </r>
  <r>
    <x v="2115"/>
    <x v="8"/>
    <s v="38.736946"/>
    <s v="-9.142685"/>
    <x v="8"/>
    <s v="Micro (1-10)"/>
    <x v="4"/>
    <d v="2024-03-08T00:00:00"/>
    <x v="2"/>
    <x v="5"/>
    <n v="2"/>
    <x v="0"/>
    <m/>
    <n v="1068"/>
    <n v="30"/>
    <x v="415"/>
    <x v="176"/>
    <s v=""/>
  </r>
  <r>
    <x v="2116"/>
    <x v="8"/>
    <s v="38.736946"/>
    <s v="-9.142685"/>
    <x v="11"/>
    <s v="Micro (1-10)"/>
    <x v="6"/>
    <d v="2024-01-26T00:00:00"/>
    <x v="0"/>
    <x v="5"/>
    <n v="2"/>
    <x v="0"/>
    <m/>
    <n v="322"/>
    <n v="40"/>
    <x v="119"/>
    <x v="176"/>
    <s v=""/>
  </r>
  <r>
    <x v="2117"/>
    <x v="2"/>
    <s v="41.902782"/>
    <s v="12.496366"/>
    <x v="2"/>
    <s v="Micro (1-10)"/>
    <x v="3"/>
    <d v="2024-02-06T00:00:00"/>
    <x v="1"/>
    <x v="5"/>
    <n v="2"/>
    <x v="0"/>
    <m/>
    <n v="242"/>
    <n v="70"/>
    <x v="358"/>
    <x v="176"/>
    <s v=""/>
  </r>
  <r>
    <x v="2118"/>
    <x v="3"/>
    <s v="52.520008"/>
    <s v="13.404954"/>
    <x v="10"/>
    <s v="Micro (1-10)"/>
    <x v="3"/>
    <d v="2024-03-22T00:00:00"/>
    <x v="0"/>
    <x v="5"/>
    <n v="2"/>
    <x v="0"/>
    <m/>
    <n v="752"/>
    <n v="60"/>
    <x v="63"/>
    <x v="176"/>
    <s v=""/>
  </r>
  <r>
    <x v="2119"/>
    <x v="0"/>
    <s v="52.370216"/>
    <s v="4.895168"/>
    <x v="0"/>
    <s v="Micro (1-10)"/>
    <x v="3"/>
    <d v="2024-04-29T00:00:00"/>
    <x v="0"/>
    <x v="5"/>
    <n v="2"/>
    <x v="0"/>
    <m/>
    <n v="608"/>
    <n v="70"/>
    <x v="71"/>
    <x v="176"/>
    <s v=""/>
  </r>
  <r>
    <x v="2120"/>
    <x v="2"/>
    <s v="41.902782"/>
    <s v="12.496366"/>
    <x v="5"/>
    <s v="Micro (1-10)"/>
    <x v="3"/>
    <d v="2024-05-15T00:00:00"/>
    <x v="0"/>
    <x v="5"/>
    <n v="2"/>
    <x v="0"/>
    <m/>
    <n v="571"/>
    <n v="40"/>
    <x v="86"/>
    <x v="176"/>
    <s v=""/>
  </r>
  <r>
    <x v="2121"/>
    <x v="7"/>
    <s v="48.210033"/>
    <s v="16.363449"/>
    <x v="5"/>
    <s v="Micro (1-10)"/>
    <x v="5"/>
    <d v="2024-02-27T00:00:00"/>
    <x v="2"/>
    <x v="5"/>
    <n v="2"/>
    <x v="0"/>
    <m/>
    <n v="970"/>
    <n v="30"/>
    <x v="244"/>
    <x v="176"/>
    <s v=""/>
  </r>
  <r>
    <x v="2122"/>
    <x v="1"/>
    <s v="40.416775"/>
    <s v="-3.703790"/>
    <x v="4"/>
    <s v="Micro (1-10)"/>
    <x v="1"/>
    <d v="2024-05-29T00:00:00"/>
    <x v="1"/>
    <x v="5"/>
    <n v="2"/>
    <x v="0"/>
    <m/>
    <n v="351"/>
    <n v="80"/>
    <x v="135"/>
    <x v="176"/>
    <s v=""/>
  </r>
  <r>
    <x v="2123"/>
    <x v="2"/>
    <s v="41.902782"/>
    <s v="12.496366"/>
    <x v="8"/>
    <s v="Micro (1-10)"/>
    <x v="3"/>
    <d v="2024-02-10T00:00:00"/>
    <x v="1"/>
    <x v="5"/>
    <n v="2"/>
    <x v="0"/>
    <m/>
    <n v="1029"/>
    <n v="40"/>
    <x v="142"/>
    <x v="176"/>
    <s v=""/>
  </r>
  <r>
    <x v="2124"/>
    <x v="6"/>
    <s v="48.864716"/>
    <s v="2.349014"/>
    <x v="7"/>
    <s v="Micro (1-10)"/>
    <x v="7"/>
    <d v="2024-03-31T00:00:00"/>
    <x v="1"/>
    <x v="5"/>
    <n v="2"/>
    <x v="0"/>
    <m/>
    <n v="866"/>
    <n v="30"/>
    <x v="21"/>
    <x v="176"/>
    <s v=""/>
  </r>
  <r>
    <x v="2125"/>
    <x v="7"/>
    <s v="48.210033"/>
    <s v="16.363449"/>
    <x v="8"/>
    <s v="Micro (1-10)"/>
    <x v="4"/>
    <d v="2024-03-23T00:00:00"/>
    <x v="2"/>
    <x v="5"/>
    <n v="2"/>
    <x v="0"/>
    <m/>
    <n v="478"/>
    <n v="30"/>
    <x v="300"/>
    <x v="176"/>
    <s v=""/>
  </r>
  <r>
    <x v="2126"/>
    <x v="5"/>
    <s v="46.204391"/>
    <s v="6.143158"/>
    <x v="5"/>
    <s v="Micro (1-10)"/>
    <x v="3"/>
    <d v="2024-03-28T00:00:00"/>
    <x v="0"/>
    <x v="5"/>
    <n v="2"/>
    <x v="0"/>
    <m/>
    <n v="936"/>
    <n v="30"/>
    <x v="347"/>
    <x v="176"/>
    <s v=""/>
  </r>
  <r>
    <x v="2127"/>
    <x v="3"/>
    <s v="52.520008"/>
    <s v="13.404954"/>
    <x v="11"/>
    <s v="Micro (1-10)"/>
    <x v="3"/>
    <d v="2024-01-05T00:00:00"/>
    <x v="0"/>
    <x v="5"/>
    <n v="2"/>
    <x v="0"/>
    <m/>
    <n v="280"/>
    <n v="80"/>
    <x v="45"/>
    <x v="176"/>
    <s v=""/>
  </r>
  <r>
    <x v="2128"/>
    <x v="5"/>
    <s v="46.204391"/>
    <s v="6.143158"/>
    <x v="3"/>
    <s v="Micro (1-10)"/>
    <x v="4"/>
    <d v="2024-01-27T00:00:00"/>
    <x v="0"/>
    <x v="5"/>
    <n v="2"/>
    <x v="0"/>
    <m/>
    <n v="398"/>
    <n v="50"/>
    <x v="103"/>
    <x v="176"/>
    <s v=""/>
  </r>
  <r>
    <x v="2129"/>
    <x v="3"/>
    <s v="52.520008"/>
    <s v="13.404954"/>
    <x v="11"/>
    <s v="Micro (1-10)"/>
    <x v="0"/>
    <d v="2024-04-18T00:00:00"/>
    <x v="0"/>
    <x v="5"/>
    <n v="2"/>
    <x v="0"/>
    <m/>
    <n v="931"/>
    <n v="70"/>
    <x v="24"/>
    <x v="176"/>
    <s v=""/>
  </r>
  <r>
    <x v="2130"/>
    <x v="6"/>
    <s v="48.864716"/>
    <s v="2.349014"/>
    <x v="6"/>
    <s v="Micro (1-10)"/>
    <x v="0"/>
    <d v="2024-02-22T00:00:00"/>
    <x v="0"/>
    <x v="5"/>
    <n v="2"/>
    <x v="0"/>
    <m/>
    <n v="807"/>
    <n v="40"/>
    <x v="38"/>
    <x v="176"/>
    <s v=""/>
  </r>
  <r>
    <x v="2131"/>
    <x v="3"/>
    <s v="52.520008"/>
    <s v="13.404954"/>
    <x v="13"/>
    <s v="Micro (1-10)"/>
    <x v="4"/>
    <d v="2024-03-25T00:00:00"/>
    <x v="0"/>
    <x v="5"/>
    <n v="2"/>
    <x v="0"/>
    <m/>
    <n v="262"/>
    <n v="20"/>
    <x v="56"/>
    <x v="176"/>
    <s v=""/>
  </r>
  <r>
    <x v="2132"/>
    <x v="7"/>
    <s v="48.210033"/>
    <s v="16.363449"/>
    <x v="12"/>
    <s v="Micro (1-10)"/>
    <x v="4"/>
    <d v="2024-01-02T00:00:00"/>
    <x v="2"/>
    <x v="5"/>
    <n v="2"/>
    <x v="0"/>
    <m/>
    <n v="710"/>
    <n v="40"/>
    <x v="423"/>
    <x v="176"/>
    <s v=""/>
  </r>
  <r>
    <x v="2133"/>
    <x v="8"/>
    <s v="38.736946"/>
    <s v="-9.142685"/>
    <x v="10"/>
    <s v="Micro (1-10)"/>
    <x v="4"/>
    <d v="2024-05-04T00:00:00"/>
    <x v="0"/>
    <x v="5"/>
    <n v="2"/>
    <x v="0"/>
    <m/>
    <n v="853"/>
    <n v="60"/>
    <x v="113"/>
    <x v="176"/>
    <s v=""/>
  </r>
  <r>
    <x v="2134"/>
    <x v="6"/>
    <s v="48.864716"/>
    <s v="2.349014"/>
    <x v="2"/>
    <s v="Micro (1-10)"/>
    <x v="3"/>
    <d v="2024-03-02T00:00:00"/>
    <x v="0"/>
    <x v="5"/>
    <n v="2"/>
    <x v="0"/>
    <m/>
    <n v="345"/>
    <n v="70"/>
    <x v="405"/>
    <x v="176"/>
    <s v=""/>
  </r>
  <r>
    <x v="2135"/>
    <x v="3"/>
    <s v="52.520008"/>
    <s v="13.404954"/>
    <x v="1"/>
    <s v="Micro (1-10)"/>
    <x v="6"/>
    <d v="2024-03-21T00:00:00"/>
    <x v="1"/>
    <x v="5"/>
    <n v="2"/>
    <x v="0"/>
    <m/>
    <n v="263"/>
    <n v="20"/>
    <x v="339"/>
    <x v="176"/>
    <s v=""/>
  </r>
  <r>
    <x v="2136"/>
    <x v="8"/>
    <s v="38.736946"/>
    <s v="-9.142685"/>
    <x v="1"/>
    <s v="Micro (1-10)"/>
    <x v="4"/>
    <d v="2024-04-08T00:00:00"/>
    <x v="0"/>
    <x v="5"/>
    <n v="2"/>
    <x v="0"/>
    <m/>
    <n v="461"/>
    <n v="60"/>
    <x v="215"/>
    <x v="176"/>
    <s v=""/>
  </r>
  <r>
    <x v="2137"/>
    <x v="8"/>
    <s v="38.736946"/>
    <s v="-9.142685"/>
    <x v="13"/>
    <s v="Micro (1-10)"/>
    <x v="3"/>
    <d v="2024-02-13T00:00:00"/>
    <x v="0"/>
    <x v="5"/>
    <n v="2"/>
    <x v="0"/>
    <m/>
    <n v="1082"/>
    <n v="80"/>
    <x v="107"/>
    <x v="176"/>
    <s v=""/>
  </r>
  <r>
    <x v="2138"/>
    <x v="5"/>
    <s v="46.204391"/>
    <s v="6.143158"/>
    <x v="3"/>
    <s v="Micro (1-10)"/>
    <x v="0"/>
    <d v="2024-01-26T00:00:00"/>
    <x v="0"/>
    <x v="5"/>
    <n v="2"/>
    <x v="0"/>
    <m/>
    <n v="1145"/>
    <n v="60"/>
    <x v="31"/>
    <x v="176"/>
    <s v=""/>
  </r>
  <r>
    <x v="2139"/>
    <x v="7"/>
    <s v="48.210033"/>
    <s v="16.363449"/>
    <x v="2"/>
    <s v="Micro (1-10)"/>
    <x v="1"/>
    <d v="2024-03-22T00:00:00"/>
    <x v="0"/>
    <x v="5"/>
    <n v="2"/>
    <x v="0"/>
    <m/>
    <n v="300"/>
    <n v="20"/>
    <x v="372"/>
    <x v="176"/>
    <s v=""/>
  </r>
  <r>
    <x v="2140"/>
    <x v="3"/>
    <s v="52.520008"/>
    <s v="13.404954"/>
    <x v="4"/>
    <s v="Micro (1-10)"/>
    <x v="7"/>
    <d v="2024-04-10T00:00:00"/>
    <x v="2"/>
    <x v="5"/>
    <n v="2"/>
    <x v="0"/>
    <m/>
    <n v="497"/>
    <n v="80"/>
    <x v="223"/>
    <x v="176"/>
    <s v=""/>
  </r>
  <r>
    <x v="2141"/>
    <x v="8"/>
    <s v="38.736946"/>
    <s v="-9.142685"/>
    <x v="4"/>
    <s v="Micro (1-10)"/>
    <x v="1"/>
    <d v="2024-02-26T00:00:00"/>
    <x v="2"/>
    <x v="5"/>
    <n v="2"/>
    <x v="0"/>
    <m/>
    <n v="423"/>
    <n v="10"/>
    <x v="67"/>
    <x v="176"/>
    <s v=""/>
  </r>
  <r>
    <x v="2142"/>
    <x v="7"/>
    <s v="48.210033"/>
    <s v="16.363449"/>
    <x v="6"/>
    <s v="Micro (1-10)"/>
    <x v="3"/>
    <d v="2024-04-28T00:00:00"/>
    <x v="0"/>
    <x v="5"/>
    <n v="2"/>
    <x v="0"/>
    <m/>
    <n v="1077"/>
    <n v="20"/>
    <x v="57"/>
    <x v="176"/>
    <s v=""/>
  </r>
  <r>
    <x v="2143"/>
    <x v="4"/>
    <s v="51.260197"/>
    <s v="4.402771"/>
    <x v="0"/>
    <s v="Micro (1-10)"/>
    <x v="3"/>
    <d v="2024-05-21T00:00:00"/>
    <x v="2"/>
    <x v="5"/>
    <n v="2"/>
    <x v="0"/>
    <m/>
    <n v="1156"/>
    <n v="70"/>
    <x v="322"/>
    <x v="176"/>
    <s v=""/>
  </r>
  <r>
    <x v="2144"/>
    <x v="3"/>
    <s v="52.520008"/>
    <s v="13.404954"/>
    <x v="0"/>
    <s v="Micro (1-10)"/>
    <x v="3"/>
    <d v="2024-05-10T00:00:00"/>
    <x v="0"/>
    <x v="5"/>
    <n v="2"/>
    <x v="0"/>
    <m/>
    <n v="348"/>
    <n v="60"/>
    <x v="237"/>
    <x v="176"/>
    <s v=""/>
  </r>
  <r>
    <x v="2145"/>
    <x v="6"/>
    <s v="48.864716"/>
    <s v="2.349014"/>
    <x v="10"/>
    <s v="Micro (1-10)"/>
    <x v="2"/>
    <d v="2024-04-17T00:00:00"/>
    <x v="1"/>
    <x v="5"/>
    <n v="2"/>
    <x v="0"/>
    <m/>
    <n v="933"/>
    <n v="70"/>
    <x v="381"/>
    <x v="176"/>
    <s v=""/>
  </r>
  <r>
    <x v="2146"/>
    <x v="5"/>
    <s v="46.204391"/>
    <s v="6.143158"/>
    <x v="8"/>
    <s v="Micro (1-10)"/>
    <x v="4"/>
    <d v="2024-01-28T00:00:00"/>
    <x v="0"/>
    <x v="5"/>
    <n v="2"/>
    <x v="0"/>
    <m/>
    <n v="576"/>
    <n v="80"/>
    <x v="21"/>
    <x v="176"/>
    <s v=""/>
  </r>
  <r>
    <x v="2147"/>
    <x v="8"/>
    <s v="38.736946"/>
    <s v="-9.142685"/>
    <x v="6"/>
    <s v="Micro (1-10)"/>
    <x v="7"/>
    <d v="2024-02-12T00:00:00"/>
    <x v="2"/>
    <x v="5"/>
    <n v="2"/>
    <x v="0"/>
    <m/>
    <n v="617"/>
    <n v="40"/>
    <x v="158"/>
    <x v="176"/>
    <s v=""/>
  </r>
  <r>
    <x v="2148"/>
    <x v="8"/>
    <s v="38.736946"/>
    <s v="-9.142685"/>
    <x v="8"/>
    <s v="Micro (1-10)"/>
    <x v="0"/>
    <d v="2024-04-13T00:00:00"/>
    <x v="2"/>
    <x v="5"/>
    <n v="2"/>
    <x v="0"/>
    <m/>
    <n v="602"/>
    <n v="30"/>
    <x v="412"/>
    <x v="176"/>
    <s v=""/>
  </r>
  <r>
    <x v="2149"/>
    <x v="6"/>
    <s v="48.864716"/>
    <s v="2.349014"/>
    <x v="4"/>
    <s v="Micro (1-10)"/>
    <x v="5"/>
    <d v="2024-04-05T00:00:00"/>
    <x v="2"/>
    <x v="5"/>
    <n v="2"/>
    <x v="0"/>
    <m/>
    <n v="708"/>
    <n v="50"/>
    <x v="157"/>
    <x v="176"/>
    <s v=""/>
  </r>
  <r>
    <x v="2150"/>
    <x v="6"/>
    <s v="48.864716"/>
    <s v="2.349014"/>
    <x v="0"/>
    <s v="Micro (1-10)"/>
    <x v="1"/>
    <d v="2024-03-30T00:00:00"/>
    <x v="1"/>
    <x v="5"/>
    <n v="2"/>
    <x v="0"/>
    <m/>
    <n v="418"/>
    <n v="30"/>
    <x v="152"/>
    <x v="176"/>
    <s v=""/>
  </r>
  <r>
    <x v="2151"/>
    <x v="8"/>
    <s v="38.736946"/>
    <s v="-9.142685"/>
    <x v="6"/>
    <s v="Micro (1-10)"/>
    <x v="3"/>
    <d v="2024-02-05T00:00:00"/>
    <x v="0"/>
    <x v="5"/>
    <n v="2"/>
    <x v="0"/>
    <m/>
    <n v="269"/>
    <n v="70"/>
    <x v="324"/>
    <x v="176"/>
    <s v=""/>
  </r>
  <r>
    <x v="2152"/>
    <x v="0"/>
    <s v="52.370216"/>
    <s v="4.895168"/>
    <x v="13"/>
    <s v="Micro (1-10)"/>
    <x v="1"/>
    <d v="2024-02-25T00:00:00"/>
    <x v="0"/>
    <x v="5"/>
    <n v="2"/>
    <x v="0"/>
    <m/>
    <n v="945"/>
    <n v="40"/>
    <x v="92"/>
    <x v="176"/>
    <s v=""/>
  </r>
  <r>
    <x v="2153"/>
    <x v="8"/>
    <s v="38.736946"/>
    <s v="-9.142685"/>
    <x v="4"/>
    <s v="Micro (1-10)"/>
    <x v="4"/>
    <d v="2024-04-22T00:00:00"/>
    <x v="1"/>
    <x v="5"/>
    <n v="2"/>
    <x v="0"/>
    <m/>
    <n v="432"/>
    <n v="40"/>
    <x v="376"/>
    <x v="176"/>
    <s v=""/>
  </r>
  <r>
    <x v="2154"/>
    <x v="5"/>
    <s v="46.204391"/>
    <s v="6.143158"/>
    <x v="5"/>
    <s v="Micro (1-10)"/>
    <x v="5"/>
    <d v="2024-03-14T00:00:00"/>
    <x v="0"/>
    <x v="5"/>
    <n v="2"/>
    <x v="0"/>
    <m/>
    <n v="1096"/>
    <n v="40"/>
    <x v="188"/>
    <x v="176"/>
    <s v=""/>
  </r>
  <r>
    <x v="2155"/>
    <x v="2"/>
    <s v="41.902782"/>
    <s v="12.496366"/>
    <x v="5"/>
    <s v="Micro (1-10)"/>
    <x v="2"/>
    <d v="2024-01-19T00:00:00"/>
    <x v="0"/>
    <x v="5"/>
    <n v="2"/>
    <x v="0"/>
    <m/>
    <n v="566"/>
    <n v="20"/>
    <x v="120"/>
    <x v="176"/>
    <s v=""/>
  </r>
  <r>
    <x v="2156"/>
    <x v="5"/>
    <s v="46.204391"/>
    <s v="6.143158"/>
    <x v="4"/>
    <s v="Micro (1-10)"/>
    <x v="2"/>
    <d v="2024-03-20T00:00:00"/>
    <x v="0"/>
    <x v="5"/>
    <n v="2"/>
    <x v="0"/>
    <m/>
    <n v="1146"/>
    <n v="20"/>
    <x v="261"/>
    <x v="176"/>
    <s v=""/>
  </r>
  <r>
    <x v="2157"/>
    <x v="2"/>
    <s v="41.902782"/>
    <s v="12.496366"/>
    <x v="6"/>
    <s v="Micro (1-10)"/>
    <x v="7"/>
    <d v="2024-01-22T00:00:00"/>
    <x v="0"/>
    <x v="5"/>
    <n v="2"/>
    <x v="0"/>
    <m/>
    <n v="1140"/>
    <n v="30"/>
    <x v="173"/>
    <x v="176"/>
    <s v=""/>
  </r>
  <r>
    <x v="2158"/>
    <x v="3"/>
    <s v="52.520008"/>
    <s v="13.404954"/>
    <x v="4"/>
    <s v="Micro (1-10)"/>
    <x v="4"/>
    <d v="2024-05-08T00:00:00"/>
    <x v="0"/>
    <x v="5"/>
    <n v="2"/>
    <x v="0"/>
    <m/>
    <n v="632"/>
    <n v="40"/>
    <x v="126"/>
    <x v="176"/>
    <s v=""/>
  </r>
  <r>
    <x v="2159"/>
    <x v="8"/>
    <s v="38.736946"/>
    <s v="-9.142685"/>
    <x v="3"/>
    <s v="Micro (1-10)"/>
    <x v="1"/>
    <d v="2024-01-23T00:00:00"/>
    <x v="1"/>
    <x v="5"/>
    <n v="2"/>
    <x v="0"/>
    <m/>
    <n v="487"/>
    <n v="30"/>
    <x v="256"/>
    <x v="176"/>
    <s v=""/>
  </r>
  <r>
    <x v="2160"/>
    <x v="1"/>
    <s v="40.416775"/>
    <s v="-3.703790"/>
    <x v="1"/>
    <s v="Micro (1-10)"/>
    <x v="5"/>
    <d v="2024-05-15T00:00:00"/>
    <x v="0"/>
    <x v="5"/>
    <n v="2"/>
    <x v="0"/>
    <m/>
    <n v="469"/>
    <n v="70"/>
    <x v="399"/>
    <x v="176"/>
    <s v=""/>
  </r>
  <r>
    <x v="2161"/>
    <x v="5"/>
    <s v="46.204391"/>
    <s v="6.143158"/>
    <x v="4"/>
    <s v="Micro (1-10)"/>
    <x v="2"/>
    <d v="2024-02-01T00:00:00"/>
    <x v="0"/>
    <x v="5"/>
    <n v="2"/>
    <x v="0"/>
    <m/>
    <n v="316"/>
    <n v="60"/>
    <x v="336"/>
    <x v="176"/>
    <s v=""/>
  </r>
  <r>
    <x v="2162"/>
    <x v="2"/>
    <s v="41.902782"/>
    <s v="12.496366"/>
    <x v="5"/>
    <s v="Micro (1-10)"/>
    <x v="2"/>
    <d v="2024-01-02T00:00:00"/>
    <x v="0"/>
    <x v="5"/>
    <n v="2"/>
    <x v="0"/>
    <m/>
    <n v="1134"/>
    <n v="70"/>
    <x v="135"/>
    <x v="176"/>
    <s v=""/>
  </r>
  <r>
    <x v="2163"/>
    <x v="0"/>
    <s v="52.370216"/>
    <s v="4.895168"/>
    <x v="11"/>
    <s v="Micro (1-10)"/>
    <x v="4"/>
    <d v="2024-01-23T00:00:00"/>
    <x v="0"/>
    <x v="5"/>
    <n v="2"/>
    <x v="0"/>
    <m/>
    <n v="1183"/>
    <n v="40"/>
    <x v="322"/>
    <x v="176"/>
    <s v=""/>
  </r>
  <r>
    <x v="2164"/>
    <x v="2"/>
    <s v="41.902782"/>
    <s v="12.496366"/>
    <x v="13"/>
    <s v="Micro (1-10)"/>
    <x v="1"/>
    <d v="2024-01-04T00:00:00"/>
    <x v="0"/>
    <x v="5"/>
    <n v="2"/>
    <x v="0"/>
    <m/>
    <n v="521"/>
    <n v="80"/>
    <x v="78"/>
    <x v="176"/>
    <s v=""/>
  </r>
  <r>
    <x v="2165"/>
    <x v="3"/>
    <s v="52.520008"/>
    <s v="13.404954"/>
    <x v="6"/>
    <s v="Micro (1-10)"/>
    <x v="5"/>
    <d v="2024-01-26T00:00:00"/>
    <x v="1"/>
    <x v="5"/>
    <n v="2"/>
    <x v="0"/>
    <m/>
    <n v="510"/>
    <n v="40"/>
    <x v="370"/>
    <x v="176"/>
    <s v=""/>
  </r>
  <r>
    <x v="2166"/>
    <x v="2"/>
    <s v="41.902782"/>
    <s v="12.496366"/>
    <x v="4"/>
    <s v="Micro (1-10)"/>
    <x v="6"/>
    <d v="2024-03-14T00:00:00"/>
    <x v="2"/>
    <x v="5"/>
    <n v="2"/>
    <x v="0"/>
    <m/>
    <n v="219"/>
    <n v="70"/>
    <x v="371"/>
    <x v="176"/>
    <s v=""/>
  </r>
  <r>
    <x v="2167"/>
    <x v="5"/>
    <s v="46.204391"/>
    <s v="6.143158"/>
    <x v="12"/>
    <s v="Micro (1-10)"/>
    <x v="1"/>
    <d v="2024-05-06T00:00:00"/>
    <x v="0"/>
    <x v="5"/>
    <n v="2"/>
    <x v="0"/>
    <m/>
    <n v="1163"/>
    <n v="10"/>
    <x v="209"/>
    <x v="176"/>
    <s v=""/>
  </r>
  <r>
    <x v="2168"/>
    <x v="4"/>
    <s v="51.260197"/>
    <s v="4.402771"/>
    <x v="12"/>
    <s v="Micro (1-10)"/>
    <x v="3"/>
    <d v="2024-04-19T00:00:00"/>
    <x v="0"/>
    <x v="5"/>
    <n v="2"/>
    <x v="0"/>
    <m/>
    <n v="578"/>
    <n v="80"/>
    <x v="116"/>
    <x v="176"/>
    <s v=""/>
  </r>
  <r>
    <x v="2169"/>
    <x v="3"/>
    <s v="52.520008"/>
    <s v="13.404954"/>
    <x v="1"/>
    <s v="Micro (1-10)"/>
    <x v="4"/>
    <d v="2024-04-22T00:00:00"/>
    <x v="0"/>
    <x v="5"/>
    <n v="2"/>
    <x v="0"/>
    <m/>
    <n v="701"/>
    <n v="30"/>
    <x v="165"/>
    <x v="176"/>
    <s v=""/>
  </r>
  <r>
    <x v="2170"/>
    <x v="5"/>
    <s v="46.204391"/>
    <s v="6.143158"/>
    <x v="8"/>
    <s v="Micro (1-10)"/>
    <x v="2"/>
    <d v="2024-04-21T00:00:00"/>
    <x v="0"/>
    <x v="5"/>
    <n v="2"/>
    <x v="0"/>
    <m/>
    <n v="779"/>
    <n v="100"/>
    <x v="62"/>
    <x v="176"/>
    <s v=""/>
  </r>
  <r>
    <x v="2171"/>
    <x v="2"/>
    <s v="41.902782"/>
    <s v="12.496366"/>
    <x v="4"/>
    <s v="Micro (1-10)"/>
    <x v="2"/>
    <d v="2024-05-02T00:00:00"/>
    <x v="0"/>
    <x v="5"/>
    <n v="2"/>
    <x v="0"/>
    <m/>
    <n v="1083"/>
    <n v="40"/>
    <x v="88"/>
    <x v="176"/>
    <s v=""/>
  </r>
  <r>
    <x v="2172"/>
    <x v="5"/>
    <s v="46.204391"/>
    <s v="6.143158"/>
    <x v="4"/>
    <s v="Micro (1-10)"/>
    <x v="3"/>
    <d v="2024-05-06T00:00:00"/>
    <x v="1"/>
    <x v="5"/>
    <n v="2"/>
    <x v="0"/>
    <m/>
    <n v="414"/>
    <n v="60"/>
    <x v="330"/>
    <x v="176"/>
    <s v=""/>
  </r>
  <r>
    <x v="2173"/>
    <x v="6"/>
    <s v="48.864716"/>
    <s v="2.349014"/>
    <x v="4"/>
    <s v="Micro (1-10)"/>
    <x v="1"/>
    <d v="2024-02-01T00:00:00"/>
    <x v="0"/>
    <x v="5"/>
    <n v="2"/>
    <x v="0"/>
    <m/>
    <n v="472"/>
    <n v="20"/>
    <x v="37"/>
    <x v="176"/>
    <s v=""/>
  </r>
  <r>
    <x v="2174"/>
    <x v="3"/>
    <s v="52.520008"/>
    <s v="13.404954"/>
    <x v="8"/>
    <s v="Micro (1-10)"/>
    <x v="3"/>
    <d v="2024-05-14T00:00:00"/>
    <x v="0"/>
    <x v="5"/>
    <n v="2"/>
    <x v="0"/>
    <m/>
    <n v="212"/>
    <n v="100"/>
    <x v="210"/>
    <x v="176"/>
    <s v=""/>
  </r>
  <r>
    <x v="2175"/>
    <x v="3"/>
    <s v="52.520008"/>
    <s v="13.404954"/>
    <x v="8"/>
    <s v="Micro (1-10)"/>
    <x v="3"/>
    <d v="2024-01-25T00:00:00"/>
    <x v="2"/>
    <x v="5"/>
    <n v="2"/>
    <x v="0"/>
    <m/>
    <n v="911"/>
    <n v="50"/>
    <x v="356"/>
    <x v="176"/>
    <s v=""/>
  </r>
  <r>
    <x v="2176"/>
    <x v="4"/>
    <s v="51.260197"/>
    <s v="4.402771"/>
    <x v="0"/>
    <s v="Micro (1-10)"/>
    <x v="4"/>
    <d v="2024-05-01T00:00:00"/>
    <x v="1"/>
    <x v="5"/>
    <n v="2"/>
    <x v="0"/>
    <m/>
    <n v="907"/>
    <n v="60"/>
    <x v="71"/>
    <x v="176"/>
    <s v=""/>
  </r>
  <r>
    <x v="2177"/>
    <x v="3"/>
    <s v="52.520008"/>
    <s v="13.404954"/>
    <x v="8"/>
    <s v="Micro (1-10)"/>
    <x v="3"/>
    <d v="2024-03-25T00:00:00"/>
    <x v="2"/>
    <x v="5"/>
    <n v="2"/>
    <x v="0"/>
    <m/>
    <n v="588"/>
    <n v="20"/>
    <x v="333"/>
    <x v="176"/>
    <s v=""/>
  </r>
  <r>
    <x v="2178"/>
    <x v="6"/>
    <s v="48.864716"/>
    <s v="2.349014"/>
    <x v="5"/>
    <s v="Micro (1-10)"/>
    <x v="5"/>
    <d v="2024-05-26T00:00:00"/>
    <x v="0"/>
    <x v="5"/>
    <n v="2"/>
    <x v="0"/>
    <m/>
    <n v="593"/>
    <n v="60"/>
    <x v="134"/>
    <x v="176"/>
    <s v=""/>
  </r>
  <r>
    <x v="2179"/>
    <x v="2"/>
    <s v="41.902782"/>
    <s v="12.496366"/>
    <x v="4"/>
    <s v="Micro (1-10)"/>
    <x v="7"/>
    <d v="2024-03-07T00:00:00"/>
    <x v="2"/>
    <x v="5"/>
    <n v="2"/>
    <x v="0"/>
    <m/>
    <n v="615"/>
    <n v="30"/>
    <x v="231"/>
    <x v="176"/>
    <s v=""/>
  </r>
  <r>
    <x v="2180"/>
    <x v="6"/>
    <s v="48.864716"/>
    <s v="2.349014"/>
    <x v="11"/>
    <s v="Micro (1-10)"/>
    <x v="4"/>
    <d v="2024-04-12T00:00:00"/>
    <x v="1"/>
    <x v="5"/>
    <n v="2"/>
    <x v="0"/>
    <m/>
    <n v="1138"/>
    <n v="20"/>
    <x v="164"/>
    <x v="176"/>
    <s v=""/>
  </r>
  <r>
    <x v="2181"/>
    <x v="1"/>
    <s v="40.416775"/>
    <s v="-3.703790"/>
    <x v="5"/>
    <s v="Micro (1-10)"/>
    <x v="3"/>
    <d v="2024-04-06T00:00:00"/>
    <x v="0"/>
    <x v="5"/>
    <n v="2"/>
    <x v="0"/>
    <m/>
    <n v="273"/>
    <n v="20"/>
    <x v="95"/>
    <x v="176"/>
    <s v=""/>
  </r>
  <r>
    <x v="2182"/>
    <x v="4"/>
    <s v="51.260197"/>
    <s v="4.402771"/>
    <x v="3"/>
    <s v="Micro (1-10)"/>
    <x v="2"/>
    <d v="2024-04-10T00:00:00"/>
    <x v="0"/>
    <x v="5"/>
    <n v="2"/>
    <x v="0"/>
    <m/>
    <n v="585"/>
    <n v="90"/>
    <x v="93"/>
    <x v="176"/>
    <s v=""/>
  </r>
  <r>
    <x v="2183"/>
    <x v="2"/>
    <s v="41.902782"/>
    <s v="12.496366"/>
    <x v="4"/>
    <s v="Micro (1-10)"/>
    <x v="4"/>
    <d v="2024-02-04T00:00:00"/>
    <x v="2"/>
    <x v="5"/>
    <n v="2"/>
    <x v="0"/>
    <m/>
    <n v="414"/>
    <n v="30"/>
    <x v="269"/>
    <x v="176"/>
    <s v=""/>
  </r>
  <r>
    <x v="2184"/>
    <x v="6"/>
    <s v="48.864716"/>
    <s v="2.349014"/>
    <x v="5"/>
    <s v="Micro (1-10)"/>
    <x v="3"/>
    <d v="2024-05-17T00:00:00"/>
    <x v="0"/>
    <x v="5"/>
    <n v="2"/>
    <x v="0"/>
    <m/>
    <n v="944"/>
    <n v="30"/>
    <x v="234"/>
    <x v="176"/>
    <s v=""/>
  </r>
  <r>
    <x v="2185"/>
    <x v="6"/>
    <s v="48.864716"/>
    <s v="2.349014"/>
    <x v="5"/>
    <s v="Micro (1-10)"/>
    <x v="0"/>
    <d v="2024-03-04T00:00:00"/>
    <x v="0"/>
    <x v="5"/>
    <n v="2"/>
    <x v="0"/>
    <m/>
    <n v="922"/>
    <n v="100"/>
    <x v="62"/>
    <x v="176"/>
    <s v=""/>
  </r>
  <r>
    <x v="2186"/>
    <x v="1"/>
    <s v="40.416775"/>
    <s v="-3.703790"/>
    <x v="10"/>
    <s v="Micro (1-10)"/>
    <x v="6"/>
    <d v="2024-02-10T00:00:00"/>
    <x v="0"/>
    <x v="5"/>
    <n v="2"/>
    <x v="0"/>
    <m/>
    <n v="499"/>
    <n v="30"/>
    <x v="90"/>
    <x v="176"/>
    <s v=""/>
  </r>
  <r>
    <x v="2187"/>
    <x v="5"/>
    <s v="46.204391"/>
    <s v="6.143158"/>
    <x v="2"/>
    <s v="Micro (1-10)"/>
    <x v="4"/>
    <d v="2024-04-21T00:00:00"/>
    <x v="2"/>
    <x v="5"/>
    <n v="2"/>
    <x v="0"/>
    <m/>
    <n v="971"/>
    <n v="10"/>
    <x v="444"/>
    <x v="176"/>
    <s v=""/>
  </r>
  <r>
    <x v="2188"/>
    <x v="5"/>
    <s v="46.204391"/>
    <s v="6.143158"/>
    <x v="4"/>
    <s v="Micro (1-10)"/>
    <x v="1"/>
    <d v="2024-05-05T00:00:00"/>
    <x v="2"/>
    <x v="5"/>
    <n v="2"/>
    <x v="0"/>
    <m/>
    <n v="334"/>
    <n v="30"/>
    <x v="239"/>
    <x v="176"/>
    <s v=""/>
  </r>
  <r>
    <x v="2189"/>
    <x v="5"/>
    <s v="46.204391"/>
    <s v="6.143158"/>
    <x v="5"/>
    <s v="Micro (1-10)"/>
    <x v="2"/>
    <d v="2024-02-09T00:00:00"/>
    <x v="0"/>
    <x v="5"/>
    <n v="2"/>
    <x v="0"/>
    <m/>
    <n v="662"/>
    <n v="30"/>
    <x v="54"/>
    <x v="176"/>
    <s v=""/>
  </r>
  <r>
    <x v="2190"/>
    <x v="5"/>
    <s v="46.204391"/>
    <s v="6.143158"/>
    <x v="4"/>
    <s v="Micro (1-10)"/>
    <x v="3"/>
    <d v="2024-03-05T00:00:00"/>
    <x v="0"/>
    <x v="5"/>
    <n v="2"/>
    <x v="0"/>
    <m/>
    <n v="618"/>
    <n v="40"/>
    <x v="73"/>
    <x v="176"/>
    <s v=""/>
  </r>
  <r>
    <x v="2191"/>
    <x v="5"/>
    <s v="46.204391"/>
    <s v="6.143158"/>
    <x v="4"/>
    <s v="Micro (1-10)"/>
    <x v="2"/>
    <d v="2024-04-28T00:00:00"/>
    <x v="0"/>
    <x v="5"/>
    <n v="2"/>
    <x v="0"/>
    <m/>
    <n v="567"/>
    <n v="30"/>
    <x v="442"/>
    <x v="176"/>
    <s v=""/>
  </r>
  <r>
    <x v="2192"/>
    <x v="2"/>
    <s v="41.902782"/>
    <s v="12.496366"/>
    <x v="5"/>
    <s v="Micro (1-10)"/>
    <x v="5"/>
    <d v="2024-03-18T00:00:00"/>
    <x v="2"/>
    <x v="5"/>
    <n v="2"/>
    <x v="0"/>
    <m/>
    <n v="604"/>
    <n v="40"/>
    <x v="293"/>
    <x v="176"/>
    <s v=""/>
  </r>
  <r>
    <x v="2193"/>
    <x v="0"/>
    <s v="52.370216"/>
    <s v="4.895168"/>
    <x v="8"/>
    <s v="Micro (1-10)"/>
    <x v="4"/>
    <d v="2024-03-12T00:00:00"/>
    <x v="2"/>
    <x v="5"/>
    <n v="2"/>
    <x v="0"/>
    <m/>
    <n v="473"/>
    <n v="70"/>
    <x v="332"/>
    <x v="176"/>
    <s v=""/>
  </r>
  <r>
    <x v="2194"/>
    <x v="2"/>
    <s v="41.902782"/>
    <s v="12.496366"/>
    <x v="5"/>
    <s v="Micro (1-10)"/>
    <x v="0"/>
    <d v="2024-05-21T00:00:00"/>
    <x v="2"/>
    <x v="5"/>
    <n v="2"/>
    <x v="0"/>
    <m/>
    <n v="633"/>
    <n v="50"/>
    <x v="348"/>
    <x v="176"/>
    <s v=""/>
  </r>
  <r>
    <x v="2195"/>
    <x v="8"/>
    <s v="38.736946"/>
    <s v="-9.142685"/>
    <x v="0"/>
    <s v="Micro (1-10)"/>
    <x v="3"/>
    <d v="2024-01-27T00:00:00"/>
    <x v="0"/>
    <x v="5"/>
    <n v="2"/>
    <x v="0"/>
    <m/>
    <n v="536"/>
    <n v="40"/>
    <x v="397"/>
    <x v="176"/>
    <s v=""/>
  </r>
  <r>
    <x v="2196"/>
    <x v="3"/>
    <s v="52.520008"/>
    <s v="13.404954"/>
    <x v="9"/>
    <s v="Micro (1-10)"/>
    <x v="2"/>
    <d v="2024-05-26T00:00:00"/>
    <x v="0"/>
    <x v="5"/>
    <n v="2"/>
    <x v="0"/>
    <m/>
    <n v="854"/>
    <n v="60"/>
    <x v="358"/>
    <x v="176"/>
    <s v=""/>
  </r>
  <r>
    <x v="2197"/>
    <x v="8"/>
    <s v="38.736946"/>
    <s v="-9.142685"/>
    <x v="13"/>
    <s v="Medium (201-500)"/>
    <x v="2"/>
    <d v="2024-05-20T00:00:00"/>
    <x v="2"/>
    <x v="5"/>
    <n v="2"/>
    <x v="0"/>
    <m/>
    <n v="1839"/>
    <n v="80"/>
    <x v="132"/>
    <x v="176"/>
    <s v=""/>
  </r>
  <r>
    <x v="2198"/>
    <x v="3"/>
    <s v="52.520008"/>
    <s v="13.404954"/>
    <x v="0"/>
    <s v="Medium (201-500)"/>
    <x v="3"/>
    <d v="2024-02-05T00:00:00"/>
    <x v="0"/>
    <x v="5"/>
    <n v="2"/>
    <x v="0"/>
    <m/>
    <n v="1689"/>
    <n v="40"/>
    <x v="185"/>
    <x v="176"/>
    <s v=""/>
  </r>
  <r>
    <x v="2199"/>
    <x v="6"/>
    <s v="48.864716"/>
    <s v="2.349014"/>
    <x v="2"/>
    <s v="Medium (201-500)"/>
    <x v="4"/>
    <d v="2024-04-23T00:00:00"/>
    <x v="1"/>
    <x v="5"/>
    <n v="2"/>
    <x v="0"/>
    <m/>
    <n v="984"/>
    <n v="30"/>
    <x v="243"/>
    <x v="176"/>
    <s v=""/>
  </r>
  <r>
    <x v="2200"/>
    <x v="6"/>
    <s v="48.864716"/>
    <s v="2.349014"/>
    <x v="3"/>
    <s v="Medium (201-500)"/>
    <x v="3"/>
    <d v="2024-03-11T00:00:00"/>
    <x v="0"/>
    <x v="5"/>
    <n v="2"/>
    <x v="0"/>
    <m/>
    <n v="5945"/>
    <n v="20"/>
    <x v="39"/>
    <x v="176"/>
    <s v=""/>
  </r>
  <r>
    <x v="2201"/>
    <x v="8"/>
    <s v="38.736946"/>
    <s v="-9.142685"/>
    <x v="4"/>
    <s v="Medium (201-500)"/>
    <x v="5"/>
    <d v="2024-03-15T00:00:00"/>
    <x v="2"/>
    <x v="5"/>
    <n v="2"/>
    <x v="0"/>
    <m/>
    <n v="992"/>
    <n v="20"/>
    <x v="269"/>
    <x v="176"/>
    <s v=""/>
  </r>
  <r>
    <x v="2202"/>
    <x v="0"/>
    <s v="52.370216"/>
    <s v="4.895168"/>
    <x v="4"/>
    <s v="Medium (201-500)"/>
    <x v="4"/>
    <d v="2024-03-15T00:00:00"/>
    <x v="0"/>
    <x v="5"/>
    <n v="2"/>
    <x v="0"/>
    <m/>
    <n v="1516"/>
    <n v="40"/>
    <x v="325"/>
    <x v="176"/>
    <s v=""/>
  </r>
  <r>
    <x v="2203"/>
    <x v="1"/>
    <s v="40.416775"/>
    <s v="-3.703790"/>
    <x v="4"/>
    <s v="Medium (201-500)"/>
    <x v="7"/>
    <d v="2024-02-01T00:00:00"/>
    <x v="2"/>
    <x v="5"/>
    <n v="2"/>
    <x v="0"/>
    <m/>
    <n v="1937"/>
    <n v="60"/>
    <x v="152"/>
    <x v="176"/>
    <s v=""/>
  </r>
  <r>
    <x v="2204"/>
    <x v="2"/>
    <s v="41.902782"/>
    <s v="12.496366"/>
    <x v="0"/>
    <s v="Medium (201-500)"/>
    <x v="6"/>
    <d v="2024-02-19T00:00:00"/>
    <x v="0"/>
    <x v="5"/>
    <n v="2"/>
    <x v="0"/>
    <m/>
    <n v="377"/>
    <n v="40"/>
    <x v="375"/>
    <x v="176"/>
    <s v=""/>
  </r>
  <r>
    <x v="2205"/>
    <x v="1"/>
    <s v="40.416775"/>
    <s v="-3.703790"/>
    <x v="0"/>
    <s v="Medium (201-500)"/>
    <x v="3"/>
    <d v="2024-01-10T00:00:00"/>
    <x v="0"/>
    <x v="5"/>
    <n v="2"/>
    <x v="0"/>
    <m/>
    <n v="7200"/>
    <n v="40"/>
    <x v="88"/>
    <x v="176"/>
    <s v=""/>
  </r>
  <r>
    <x v="2206"/>
    <x v="0"/>
    <s v="52.370216"/>
    <s v="4.895168"/>
    <x v="13"/>
    <s v="Medium (201-500)"/>
    <x v="1"/>
    <d v="2024-04-05T00:00:00"/>
    <x v="0"/>
    <x v="5"/>
    <n v="2"/>
    <x v="0"/>
    <m/>
    <n v="6884"/>
    <n v="100"/>
    <x v="316"/>
    <x v="176"/>
    <s v=""/>
  </r>
  <r>
    <x v="2207"/>
    <x v="1"/>
    <s v="40.416775"/>
    <s v="-3.703790"/>
    <x v="11"/>
    <s v="Medium (201-500)"/>
    <x v="3"/>
    <d v="2024-03-01T00:00:00"/>
    <x v="2"/>
    <x v="5"/>
    <n v="2"/>
    <x v="0"/>
    <m/>
    <n v="3935"/>
    <n v="70"/>
    <x v="283"/>
    <x v="176"/>
    <s v=""/>
  </r>
  <r>
    <x v="2208"/>
    <x v="5"/>
    <s v="46.204391"/>
    <s v="6.143158"/>
    <x v="0"/>
    <s v="Medium (201-500)"/>
    <x v="6"/>
    <d v="2024-02-14T00:00:00"/>
    <x v="0"/>
    <x v="5"/>
    <n v="2"/>
    <x v="0"/>
    <m/>
    <n v="5401"/>
    <n v="30"/>
    <x v="87"/>
    <x v="176"/>
    <s v=""/>
  </r>
  <r>
    <x v="2209"/>
    <x v="3"/>
    <s v="52.520008"/>
    <s v="13.404954"/>
    <x v="12"/>
    <s v="Medium (201-500)"/>
    <x v="1"/>
    <d v="2024-02-14T00:00:00"/>
    <x v="0"/>
    <x v="5"/>
    <n v="2"/>
    <x v="0"/>
    <m/>
    <n v="3336"/>
    <n v="40"/>
    <x v="308"/>
    <x v="176"/>
    <s v=""/>
  </r>
  <r>
    <x v="2210"/>
    <x v="3"/>
    <s v="52.520008"/>
    <s v="13.404954"/>
    <x v="0"/>
    <s v="Medium (201-500)"/>
    <x v="3"/>
    <d v="2024-01-21T00:00:00"/>
    <x v="0"/>
    <x v="5"/>
    <n v="2"/>
    <x v="0"/>
    <m/>
    <n v="2944"/>
    <n v="30"/>
    <x v="176"/>
    <x v="176"/>
    <s v=""/>
  </r>
  <r>
    <x v="2211"/>
    <x v="6"/>
    <s v="48.864716"/>
    <s v="2.349014"/>
    <x v="9"/>
    <s v="Medium (201-500)"/>
    <x v="2"/>
    <d v="2024-01-05T00:00:00"/>
    <x v="2"/>
    <x v="5"/>
    <n v="2"/>
    <x v="0"/>
    <m/>
    <n v="2186"/>
    <n v="30"/>
    <x v="288"/>
    <x v="176"/>
    <s v=""/>
  </r>
  <r>
    <x v="2212"/>
    <x v="2"/>
    <s v="41.902782"/>
    <s v="12.496366"/>
    <x v="2"/>
    <s v="Medium (201-500)"/>
    <x v="1"/>
    <d v="2024-03-24T00:00:00"/>
    <x v="1"/>
    <x v="5"/>
    <n v="2"/>
    <x v="0"/>
    <m/>
    <n v="6479"/>
    <n v="100"/>
    <x v="386"/>
    <x v="176"/>
    <s v=""/>
  </r>
  <r>
    <x v="2213"/>
    <x v="6"/>
    <s v="48.864716"/>
    <s v="2.349014"/>
    <x v="4"/>
    <s v="Medium (201-500)"/>
    <x v="4"/>
    <d v="2024-01-19T00:00:00"/>
    <x v="0"/>
    <x v="5"/>
    <n v="2"/>
    <x v="0"/>
    <m/>
    <n v="6526"/>
    <n v="10"/>
    <x v="171"/>
    <x v="176"/>
    <s v=""/>
  </r>
  <r>
    <x v="2214"/>
    <x v="5"/>
    <s v="46.204391"/>
    <s v="6.143158"/>
    <x v="1"/>
    <s v="Medium (201-500)"/>
    <x v="3"/>
    <d v="2024-04-22T00:00:00"/>
    <x v="0"/>
    <x v="5"/>
    <n v="2"/>
    <x v="0"/>
    <m/>
    <n v="4638"/>
    <n v="40"/>
    <x v="194"/>
    <x v="176"/>
    <s v=""/>
  </r>
  <r>
    <x v="2215"/>
    <x v="2"/>
    <s v="41.902782"/>
    <s v="12.496366"/>
    <x v="0"/>
    <s v="Medium (201-500)"/>
    <x v="4"/>
    <d v="2024-01-05T00:00:00"/>
    <x v="0"/>
    <x v="5"/>
    <n v="2"/>
    <x v="0"/>
    <m/>
    <n v="4652"/>
    <n v="60"/>
    <x v="445"/>
    <x v="176"/>
    <s v=""/>
  </r>
  <r>
    <x v="2216"/>
    <x v="2"/>
    <s v="41.902782"/>
    <s v="12.496366"/>
    <x v="11"/>
    <s v="Medium (201-500)"/>
    <x v="5"/>
    <d v="2024-01-06T00:00:00"/>
    <x v="2"/>
    <x v="5"/>
    <n v="2"/>
    <x v="0"/>
    <m/>
    <n v="5941"/>
    <n v="50"/>
    <x v="117"/>
    <x v="176"/>
    <s v=""/>
  </r>
  <r>
    <x v="2217"/>
    <x v="8"/>
    <s v="38.736946"/>
    <s v="-9.142685"/>
    <x v="6"/>
    <s v="Medium (201-500)"/>
    <x v="3"/>
    <d v="2024-04-14T00:00:00"/>
    <x v="0"/>
    <x v="5"/>
    <n v="2"/>
    <x v="0"/>
    <m/>
    <n v="3370"/>
    <n v="50"/>
    <x v="92"/>
    <x v="176"/>
    <s v=""/>
  </r>
  <r>
    <x v="2218"/>
    <x v="3"/>
    <s v="52.520008"/>
    <s v="13.404954"/>
    <x v="9"/>
    <s v="Medium (201-500)"/>
    <x v="3"/>
    <d v="2024-04-01T00:00:00"/>
    <x v="2"/>
    <x v="5"/>
    <n v="2"/>
    <x v="0"/>
    <m/>
    <n v="7093"/>
    <n v="40"/>
    <x v="385"/>
    <x v="176"/>
    <s v=""/>
  </r>
  <r>
    <x v="2219"/>
    <x v="6"/>
    <s v="48.864716"/>
    <s v="2.349014"/>
    <x v="1"/>
    <s v="Medium (201-500)"/>
    <x v="2"/>
    <d v="2024-05-30T00:00:00"/>
    <x v="2"/>
    <x v="5"/>
    <n v="2"/>
    <x v="0"/>
    <m/>
    <n v="4407"/>
    <n v="40"/>
    <x v="446"/>
    <x v="176"/>
    <s v=""/>
  </r>
  <r>
    <x v="2220"/>
    <x v="1"/>
    <s v="40.416775"/>
    <s v="-3.703790"/>
    <x v="10"/>
    <s v="Medium (201-500)"/>
    <x v="4"/>
    <d v="2024-04-22T00:00:00"/>
    <x v="2"/>
    <x v="5"/>
    <n v="2"/>
    <x v="0"/>
    <m/>
    <n v="2950"/>
    <n v="30"/>
    <x v="259"/>
    <x v="176"/>
    <s v=""/>
  </r>
  <r>
    <x v="2221"/>
    <x v="8"/>
    <s v="38.736946"/>
    <s v="-9.142685"/>
    <x v="3"/>
    <s v="Medium (201-500)"/>
    <x v="7"/>
    <d v="2024-05-26T00:00:00"/>
    <x v="2"/>
    <x v="5"/>
    <n v="2"/>
    <x v="0"/>
    <m/>
    <n v="2431"/>
    <n v="20"/>
    <x v="316"/>
    <x v="176"/>
    <s v=""/>
  </r>
  <r>
    <x v="2222"/>
    <x v="6"/>
    <s v="48.864716"/>
    <s v="2.349014"/>
    <x v="11"/>
    <s v="Medium (201-500)"/>
    <x v="4"/>
    <d v="2024-05-11T00:00:00"/>
    <x v="0"/>
    <x v="5"/>
    <n v="2"/>
    <x v="0"/>
    <m/>
    <n v="2924"/>
    <n v="30"/>
    <x v="431"/>
    <x v="176"/>
    <s v=""/>
  </r>
  <r>
    <x v="2223"/>
    <x v="7"/>
    <s v="48.210033"/>
    <s v="16.363449"/>
    <x v="0"/>
    <s v="Medium (201-500)"/>
    <x v="2"/>
    <d v="2024-01-26T00:00:00"/>
    <x v="2"/>
    <x v="5"/>
    <n v="2"/>
    <x v="0"/>
    <m/>
    <n v="7400"/>
    <n v="30"/>
    <x v="93"/>
    <x v="176"/>
    <s v=""/>
  </r>
  <r>
    <x v="2224"/>
    <x v="1"/>
    <s v="40.416775"/>
    <s v="-3.703790"/>
    <x v="3"/>
    <s v="Medium (201-500)"/>
    <x v="3"/>
    <d v="2024-02-23T00:00:00"/>
    <x v="0"/>
    <x v="5"/>
    <n v="2"/>
    <x v="0"/>
    <m/>
    <n v="3191"/>
    <n v="40"/>
    <x v="324"/>
    <x v="176"/>
    <s v=""/>
  </r>
  <r>
    <x v="2225"/>
    <x v="1"/>
    <s v="40.416775"/>
    <s v="-3.703790"/>
    <x v="2"/>
    <s v="Medium (201-500)"/>
    <x v="3"/>
    <d v="2024-02-10T00:00:00"/>
    <x v="2"/>
    <x v="5"/>
    <n v="2"/>
    <x v="0"/>
    <m/>
    <n v="7968"/>
    <n v="20"/>
    <x v="438"/>
    <x v="176"/>
    <s v=""/>
  </r>
  <r>
    <x v="2226"/>
    <x v="6"/>
    <s v="48.864716"/>
    <s v="2.349014"/>
    <x v="0"/>
    <s v="Medium (201-500)"/>
    <x v="2"/>
    <d v="2024-05-12T00:00:00"/>
    <x v="2"/>
    <x v="5"/>
    <n v="2"/>
    <x v="0"/>
    <m/>
    <n v="5251"/>
    <n v="20"/>
    <x v="401"/>
    <x v="176"/>
    <s v=""/>
  </r>
  <r>
    <x v="2227"/>
    <x v="5"/>
    <s v="46.204391"/>
    <s v="6.143158"/>
    <x v="4"/>
    <s v="Medium (201-500)"/>
    <x v="3"/>
    <d v="2024-02-24T00:00:00"/>
    <x v="2"/>
    <x v="5"/>
    <n v="2"/>
    <x v="0"/>
    <m/>
    <n v="7458"/>
    <n v="40"/>
    <x v="212"/>
    <x v="176"/>
    <s v=""/>
  </r>
  <r>
    <x v="2228"/>
    <x v="4"/>
    <s v="51.260197"/>
    <s v="4.402771"/>
    <x v="5"/>
    <s v="Medium (201-500)"/>
    <x v="1"/>
    <d v="2024-01-16T00:00:00"/>
    <x v="0"/>
    <x v="5"/>
    <n v="2"/>
    <x v="0"/>
    <m/>
    <n v="2346"/>
    <n v="10"/>
    <x v="7"/>
    <x v="176"/>
    <s v=""/>
  </r>
  <r>
    <x v="2229"/>
    <x v="2"/>
    <s v="41.902782"/>
    <s v="12.496366"/>
    <x v="8"/>
    <s v="Medium (201-500)"/>
    <x v="2"/>
    <d v="2024-04-23T00:00:00"/>
    <x v="2"/>
    <x v="5"/>
    <n v="2"/>
    <x v="0"/>
    <m/>
    <n v="354"/>
    <n v="30"/>
    <x v="287"/>
    <x v="176"/>
    <s v=""/>
  </r>
  <r>
    <x v="2230"/>
    <x v="8"/>
    <s v="38.736946"/>
    <s v="-9.142685"/>
    <x v="9"/>
    <s v="Medium (201-500)"/>
    <x v="2"/>
    <d v="2024-03-15T00:00:00"/>
    <x v="1"/>
    <x v="5"/>
    <n v="2"/>
    <x v="0"/>
    <m/>
    <n v="3855"/>
    <n v="60"/>
    <x v="370"/>
    <x v="176"/>
    <s v=""/>
  </r>
  <r>
    <x v="2231"/>
    <x v="2"/>
    <s v="41.902782"/>
    <s v="12.496366"/>
    <x v="4"/>
    <s v="Medium (201-500)"/>
    <x v="5"/>
    <d v="2024-03-29T00:00:00"/>
    <x v="0"/>
    <x v="5"/>
    <n v="2"/>
    <x v="0"/>
    <m/>
    <n v="4368"/>
    <n v="20"/>
    <x v="115"/>
    <x v="176"/>
    <s v=""/>
  </r>
  <r>
    <x v="2232"/>
    <x v="2"/>
    <s v="41.902782"/>
    <s v="12.496366"/>
    <x v="0"/>
    <s v="Medium (201-500)"/>
    <x v="0"/>
    <d v="2024-02-25T00:00:00"/>
    <x v="2"/>
    <x v="5"/>
    <n v="2"/>
    <x v="0"/>
    <m/>
    <n v="449"/>
    <n v="20"/>
    <x v="170"/>
    <x v="176"/>
    <s v=""/>
  </r>
  <r>
    <x v="2233"/>
    <x v="2"/>
    <s v="41.902782"/>
    <s v="12.496366"/>
    <x v="10"/>
    <s v="Medium (201-500)"/>
    <x v="1"/>
    <d v="2024-04-30T00:00:00"/>
    <x v="0"/>
    <x v="5"/>
    <n v="2"/>
    <x v="0"/>
    <m/>
    <n v="5205"/>
    <n v="30"/>
    <x v="82"/>
    <x v="176"/>
    <s v=""/>
  </r>
  <r>
    <x v="2234"/>
    <x v="2"/>
    <s v="41.902782"/>
    <s v="12.496366"/>
    <x v="5"/>
    <s v="Medium (201-500)"/>
    <x v="2"/>
    <d v="2024-01-20T00:00:00"/>
    <x v="2"/>
    <x v="5"/>
    <n v="2"/>
    <x v="0"/>
    <m/>
    <n v="5539"/>
    <n v="100"/>
    <x v="106"/>
    <x v="176"/>
    <s v=""/>
  </r>
  <r>
    <x v="2235"/>
    <x v="6"/>
    <s v="48.864716"/>
    <s v="2.349014"/>
    <x v="0"/>
    <s v="Medium (201-500)"/>
    <x v="7"/>
    <d v="2024-03-07T00:00:00"/>
    <x v="1"/>
    <x v="5"/>
    <n v="2"/>
    <x v="0"/>
    <m/>
    <n v="4855"/>
    <n v="50"/>
    <x v="221"/>
    <x v="176"/>
    <s v=""/>
  </r>
  <r>
    <x v="2236"/>
    <x v="2"/>
    <s v="41.902782"/>
    <s v="12.496366"/>
    <x v="5"/>
    <s v="Medium (201-500)"/>
    <x v="5"/>
    <d v="2024-05-21T00:00:00"/>
    <x v="0"/>
    <x v="5"/>
    <n v="2"/>
    <x v="0"/>
    <m/>
    <n v="7008"/>
    <n v="70"/>
    <x v="277"/>
    <x v="176"/>
    <s v=""/>
  </r>
  <r>
    <x v="2237"/>
    <x v="6"/>
    <s v="48.864716"/>
    <s v="2.349014"/>
    <x v="9"/>
    <s v="Medium (201-500)"/>
    <x v="4"/>
    <d v="2024-05-22T00:00:00"/>
    <x v="2"/>
    <x v="5"/>
    <n v="2"/>
    <x v="0"/>
    <m/>
    <n v="5121"/>
    <n v="20"/>
    <x v="190"/>
    <x v="176"/>
    <s v=""/>
  </r>
  <r>
    <x v="2238"/>
    <x v="8"/>
    <s v="38.736946"/>
    <s v="-9.142685"/>
    <x v="0"/>
    <s v="Medium (201-500)"/>
    <x v="5"/>
    <d v="2024-03-17T00:00:00"/>
    <x v="2"/>
    <x v="5"/>
    <n v="2"/>
    <x v="0"/>
    <m/>
    <n v="6482"/>
    <n v="30"/>
    <x v="13"/>
    <x v="176"/>
    <s v=""/>
  </r>
  <r>
    <x v="2239"/>
    <x v="5"/>
    <s v="46.204391"/>
    <s v="6.143158"/>
    <x v="6"/>
    <s v="Medium (201-500)"/>
    <x v="3"/>
    <d v="2024-05-23T00:00:00"/>
    <x v="1"/>
    <x v="5"/>
    <n v="2"/>
    <x v="0"/>
    <m/>
    <n v="2686"/>
    <n v="70"/>
    <x v="225"/>
    <x v="176"/>
    <s v=""/>
  </r>
  <r>
    <x v="2240"/>
    <x v="3"/>
    <s v="52.520008"/>
    <s v="13.404954"/>
    <x v="8"/>
    <s v="Medium (201-500)"/>
    <x v="1"/>
    <d v="2024-04-12T00:00:00"/>
    <x v="2"/>
    <x v="5"/>
    <n v="2"/>
    <x v="0"/>
    <m/>
    <n v="7610"/>
    <n v="40"/>
    <x v="212"/>
    <x v="176"/>
    <s v=""/>
  </r>
  <r>
    <x v="2241"/>
    <x v="8"/>
    <s v="38.736946"/>
    <s v="-9.142685"/>
    <x v="0"/>
    <s v="Medium (201-500)"/>
    <x v="1"/>
    <d v="2024-02-06T00:00:00"/>
    <x v="0"/>
    <x v="5"/>
    <n v="2"/>
    <x v="0"/>
    <m/>
    <n v="5020"/>
    <n v="30"/>
    <x v="79"/>
    <x v="176"/>
    <s v=""/>
  </r>
  <r>
    <x v="2242"/>
    <x v="3"/>
    <s v="52.520008"/>
    <s v="13.404954"/>
    <x v="3"/>
    <s v="Medium (201-500)"/>
    <x v="4"/>
    <d v="2024-05-22T00:00:00"/>
    <x v="0"/>
    <x v="5"/>
    <n v="2"/>
    <x v="0"/>
    <m/>
    <n v="5132"/>
    <n v="30"/>
    <x v="447"/>
    <x v="176"/>
    <s v=""/>
  </r>
  <r>
    <x v="2243"/>
    <x v="5"/>
    <s v="46.204391"/>
    <s v="6.143158"/>
    <x v="11"/>
    <s v="Medium (201-500)"/>
    <x v="2"/>
    <d v="2024-04-29T00:00:00"/>
    <x v="0"/>
    <x v="5"/>
    <n v="2"/>
    <x v="0"/>
    <m/>
    <n v="4531"/>
    <n v="30"/>
    <x v="91"/>
    <x v="176"/>
    <s v=""/>
  </r>
  <r>
    <x v="2244"/>
    <x v="6"/>
    <s v="48.864716"/>
    <s v="2.349014"/>
    <x v="4"/>
    <s v="Medium (201-500)"/>
    <x v="2"/>
    <d v="2024-01-06T00:00:00"/>
    <x v="0"/>
    <x v="5"/>
    <n v="2"/>
    <x v="0"/>
    <m/>
    <n v="5617"/>
    <n v="40"/>
    <x v="314"/>
    <x v="176"/>
    <s v=""/>
  </r>
  <r>
    <x v="2245"/>
    <x v="8"/>
    <s v="38.736946"/>
    <s v="-9.142685"/>
    <x v="5"/>
    <s v="Medium (201-500)"/>
    <x v="3"/>
    <d v="2024-01-31T00:00:00"/>
    <x v="2"/>
    <x v="5"/>
    <n v="2"/>
    <x v="0"/>
    <m/>
    <n v="1250"/>
    <n v="50"/>
    <x v="193"/>
    <x v="176"/>
    <s v=""/>
  </r>
  <r>
    <x v="2246"/>
    <x v="6"/>
    <s v="48.864716"/>
    <s v="2.349014"/>
    <x v="10"/>
    <s v="Medium (201-500)"/>
    <x v="6"/>
    <d v="2024-04-12T00:00:00"/>
    <x v="2"/>
    <x v="5"/>
    <n v="2"/>
    <x v="0"/>
    <m/>
    <n v="3831"/>
    <n v="60"/>
    <x v="111"/>
    <x v="176"/>
    <s v=""/>
  </r>
  <r>
    <x v="2247"/>
    <x v="6"/>
    <s v="48.864716"/>
    <s v="2.349014"/>
    <x v="7"/>
    <s v="Medium (201-500)"/>
    <x v="3"/>
    <d v="2024-03-02T00:00:00"/>
    <x v="1"/>
    <x v="5"/>
    <n v="2"/>
    <x v="0"/>
    <m/>
    <n v="3962"/>
    <n v="50"/>
    <x v="252"/>
    <x v="176"/>
    <s v=""/>
  </r>
  <r>
    <x v="2248"/>
    <x v="2"/>
    <s v="41.902782"/>
    <s v="12.496366"/>
    <x v="4"/>
    <s v="Medium (201-500)"/>
    <x v="3"/>
    <d v="2024-01-24T00:00:00"/>
    <x v="2"/>
    <x v="5"/>
    <n v="2"/>
    <x v="0"/>
    <m/>
    <n v="3657"/>
    <n v="40"/>
    <x v="349"/>
    <x v="176"/>
    <s v=""/>
  </r>
  <r>
    <x v="2249"/>
    <x v="3"/>
    <s v="52.520008"/>
    <s v="13.404954"/>
    <x v="1"/>
    <s v="Medium (201-500)"/>
    <x v="4"/>
    <d v="2024-02-23T00:00:00"/>
    <x v="1"/>
    <x v="5"/>
    <n v="2"/>
    <x v="0"/>
    <m/>
    <n v="3597"/>
    <n v="50"/>
    <x v="415"/>
    <x v="176"/>
    <s v=""/>
  </r>
  <r>
    <x v="2250"/>
    <x v="1"/>
    <s v="40.416775"/>
    <s v="-3.703790"/>
    <x v="9"/>
    <s v="Medium (201-500)"/>
    <x v="6"/>
    <d v="2024-01-13T00:00:00"/>
    <x v="0"/>
    <x v="5"/>
    <n v="2"/>
    <x v="0"/>
    <m/>
    <n v="5065"/>
    <n v="100"/>
    <x v="384"/>
    <x v="176"/>
    <s v=""/>
  </r>
  <r>
    <x v="2251"/>
    <x v="5"/>
    <s v="46.204391"/>
    <s v="6.143158"/>
    <x v="8"/>
    <s v="Medium (201-500)"/>
    <x v="2"/>
    <d v="2024-04-19T00:00:00"/>
    <x v="2"/>
    <x v="5"/>
    <n v="2"/>
    <x v="0"/>
    <m/>
    <n v="6487"/>
    <n v="20"/>
    <x v="388"/>
    <x v="176"/>
    <s v=""/>
  </r>
  <r>
    <x v="2252"/>
    <x v="2"/>
    <s v="41.902782"/>
    <s v="12.496366"/>
    <x v="5"/>
    <s v="Medium (201-500)"/>
    <x v="1"/>
    <d v="2024-04-12T00:00:00"/>
    <x v="1"/>
    <x v="5"/>
    <n v="2"/>
    <x v="0"/>
    <m/>
    <n v="4611"/>
    <n v="90"/>
    <x v="300"/>
    <x v="176"/>
    <s v=""/>
  </r>
  <r>
    <x v="2253"/>
    <x v="2"/>
    <s v="41.902782"/>
    <s v="12.496366"/>
    <x v="8"/>
    <s v="Medium (201-500)"/>
    <x v="6"/>
    <d v="2024-04-19T00:00:00"/>
    <x v="1"/>
    <x v="5"/>
    <n v="2"/>
    <x v="0"/>
    <m/>
    <n v="2657"/>
    <n v="30"/>
    <x v="24"/>
    <x v="176"/>
    <s v=""/>
  </r>
  <r>
    <x v="2254"/>
    <x v="4"/>
    <s v="51.260197"/>
    <s v="4.402771"/>
    <x v="11"/>
    <s v="Medium (201-500)"/>
    <x v="0"/>
    <d v="2024-02-06T00:00:00"/>
    <x v="0"/>
    <x v="5"/>
    <n v="2"/>
    <x v="0"/>
    <m/>
    <n v="5314"/>
    <n v="10"/>
    <x v="161"/>
    <x v="176"/>
    <s v=""/>
  </r>
  <r>
    <x v="2255"/>
    <x v="3"/>
    <s v="52.520008"/>
    <s v="13.404954"/>
    <x v="11"/>
    <s v="Medium (201-500)"/>
    <x v="6"/>
    <d v="2024-02-25T00:00:00"/>
    <x v="2"/>
    <x v="5"/>
    <n v="2"/>
    <x v="0"/>
    <m/>
    <n v="7450"/>
    <n v="70"/>
    <x v="133"/>
    <x v="176"/>
    <s v=""/>
  </r>
  <r>
    <x v="2256"/>
    <x v="8"/>
    <s v="38.736946"/>
    <s v="-9.142685"/>
    <x v="1"/>
    <s v="Medium (201-500)"/>
    <x v="5"/>
    <d v="2024-03-27T00:00:00"/>
    <x v="0"/>
    <x v="5"/>
    <n v="2"/>
    <x v="0"/>
    <m/>
    <n v="5717"/>
    <n v="60"/>
    <x v="61"/>
    <x v="176"/>
    <s v=""/>
  </r>
  <r>
    <x v="2257"/>
    <x v="3"/>
    <s v="52.520008"/>
    <s v="13.404954"/>
    <x v="11"/>
    <s v="Medium (201-500)"/>
    <x v="2"/>
    <d v="2024-03-06T00:00:00"/>
    <x v="0"/>
    <x v="5"/>
    <n v="2"/>
    <x v="0"/>
    <m/>
    <n v="1475"/>
    <n v="20"/>
    <x v="13"/>
    <x v="176"/>
    <s v=""/>
  </r>
  <r>
    <x v="2258"/>
    <x v="5"/>
    <s v="46.204391"/>
    <s v="6.143158"/>
    <x v="4"/>
    <s v="Medium (201-500)"/>
    <x v="3"/>
    <d v="2024-01-28T00:00:00"/>
    <x v="2"/>
    <x v="5"/>
    <n v="2"/>
    <x v="0"/>
    <m/>
    <n v="623"/>
    <n v="20"/>
    <x v="78"/>
    <x v="176"/>
    <s v=""/>
  </r>
  <r>
    <x v="2259"/>
    <x v="6"/>
    <s v="48.864716"/>
    <s v="2.349014"/>
    <x v="5"/>
    <s v="Medium (201-500)"/>
    <x v="7"/>
    <d v="2024-05-17T00:00:00"/>
    <x v="1"/>
    <x v="5"/>
    <n v="2"/>
    <x v="0"/>
    <m/>
    <n v="4917"/>
    <n v="20"/>
    <x v="155"/>
    <x v="176"/>
    <s v=""/>
  </r>
  <r>
    <x v="2260"/>
    <x v="5"/>
    <s v="46.204391"/>
    <s v="6.143158"/>
    <x v="11"/>
    <s v="Medium (201-500)"/>
    <x v="2"/>
    <d v="2024-02-24T00:00:00"/>
    <x v="2"/>
    <x v="5"/>
    <n v="2"/>
    <x v="0"/>
    <m/>
    <n v="7208"/>
    <n v="50"/>
    <x v="115"/>
    <x v="176"/>
    <s v=""/>
  </r>
  <r>
    <x v="2261"/>
    <x v="5"/>
    <s v="46.204391"/>
    <s v="6.143158"/>
    <x v="7"/>
    <s v="Medium (201-500)"/>
    <x v="2"/>
    <d v="2024-01-09T00:00:00"/>
    <x v="0"/>
    <x v="5"/>
    <n v="2"/>
    <x v="0"/>
    <m/>
    <n v="4534"/>
    <n v="10"/>
    <x v="448"/>
    <x v="176"/>
    <s v=""/>
  </r>
  <r>
    <x v="2262"/>
    <x v="2"/>
    <s v="41.902782"/>
    <s v="12.496366"/>
    <x v="2"/>
    <s v="Medium (201-500)"/>
    <x v="3"/>
    <d v="2024-04-06T00:00:00"/>
    <x v="0"/>
    <x v="5"/>
    <n v="2"/>
    <x v="0"/>
    <m/>
    <n v="7112"/>
    <n v="40"/>
    <x v="362"/>
    <x v="176"/>
    <s v=""/>
  </r>
  <r>
    <x v="2263"/>
    <x v="2"/>
    <s v="41.902782"/>
    <s v="12.496366"/>
    <x v="0"/>
    <s v="Medium (201-500)"/>
    <x v="1"/>
    <d v="2024-01-09T00:00:00"/>
    <x v="2"/>
    <x v="5"/>
    <n v="2"/>
    <x v="0"/>
    <m/>
    <n v="2505"/>
    <n v="60"/>
    <x v="131"/>
    <x v="176"/>
    <s v=""/>
  </r>
  <r>
    <x v="2264"/>
    <x v="2"/>
    <s v="41.902782"/>
    <s v="12.496366"/>
    <x v="0"/>
    <s v="Medium (201-500)"/>
    <x v="4"/>
    <d v="2024-03-19T00:00:00"/>
    <x v="2"/>
    <x v="5"/>
    <n v="2"/>
    <x v="0"/>
    <m/>
    <n v="2181"/>
    <n v="100"/>
    <x v="253"/>
    <x v="176"/>
    <s v=""/>
  </r>
  <r>
    <x v="2265"/>
    <x v="5"/>
    <s v="46.204391"/>
    <s v="6.143158"/>
    <x v="7"/>
    <s v="Medium (201-500)"/>
    <x v="3"/>
    <d v="2024-01-11T00:00:00"/>
    <x v="2"/>
    <x v="5"/>
    <n v="2"/>
    <x v="0"/>
    <m/>
    <n v="5144"/>
    <n v="40"/>
    <x v="191"/>
    <x v="176"/>
    <s v=""/>
  </r>
  <r>
    <x v="2266"/>
    <x v="1"/>
    <s v="40.416775"/>
    <s v="-3.703790"/>
    <x v="5"/>
    <s v="Medium (201-500)"/>
    <x v="3"/>
    <d v="2024-01-20T00:00:00"/>
    <x v="0"/>
    <x v="5"/>
    <n v="2"/>
    <x v="0"/>
    <m/>
    <n v="2097"/>
    <n v="20"/>
    <x v="96"/>
    <x v="176"/>
    <s v=""/>
  </r>
  <r>
    <x v="2267"/>
    <x v="6"/>
    <s v="48.864716"/>
    <s v="2.349014"/>
    <x v="12"/>
    <s v="Medium (201-500)"/>
    <x v="3"/>
    <d v="2024-05-17T00:00:00"/>
    <x v="1"/>
    <x v="5"/>
    <n v="2"/>
    <x v="0"/>
    <m/>
    <n v="4640"/>
    <n v="20"/>
    <x v="51"/>
    <x v="176"/>
    <s v=""/>
  </r>
  <r>
    <x v="2268"/>
    <x v="6"/>
    <s v="48.864716"/>
    <s v="2.349014"/>
    <x v="13"/>
    <s v="Medium (201-500)"/>
    <x v="3"/>
    <d v="2024-02-09T00:00:00"/>
    <x v="0"/>
    <x v="5"/>
    <n v="2"/>
    <x v="0"/>
    <m/>
    <n v="3447"/>
    <n v="40"/>
    <x v="75"/>
    <x v="176"/>
    <s v=""/>
  </r>
  <r>
    <x v="2269"/>
    <x v="6"/>
    <s v="48.864716"/>
    <s v="2.349014"/>
    <x v="3"/>
    <s v="Medium (201-500)"/>
    <x v="3"/>
    <d v="2024-03-17T00:00:00"/>
    <x v="0"/>
    <x v="5"/>
    <n v="2"/>
    <x v="0"/>
    <m/>
    <n v="7072"/>
    <n v="80"/>
    <x v="156"/>
    <x v="176"/>
    <s v=""/>
  </r>
  <r>
    <x v="2270"/>
    <x v="4"/>
    <s v="51.260197"/>
    <s v="4.402771"/>
    <x v="4"/>
    <s v="Medium (201-500)"/>
    <x v="2"/>
    <d v="2024-02-27T00:00:00"/>
    <x v="2"/>
    <x v="5"/>
    <n v="2"/>
    <x v="0"/>
    <m/>
    <n v="4044"/>
    <n v="40"/>
    <x v="10"/>
    <x v="176"/>
    <s v=""/>
  </r>
  <r>
    <x v="2271"/>
    <x v="3"/>
    <s v="52.520008"/>
    <s v="13.404954"/>
    <x v="10"/>
    <s v="Medium (201-500)"/>
    <x v="2"/>
    <d v="2024-01-31T00:00:00"/>
    <x v="0"/>
    <x v="5"/>
    <n v="2"/>
    <x v="0"/>
    <m/>
    <n v="6569"/>
    <n v="90"/>
    <x v="151"/>
    <x v="176"/>
    <s v=""/>
  </r>
  <r>
    <x v="2272"/>
    <x v="2"/>
    <s v="41.902782"/>
    <s v="12.496366"/>
    <x v="0"/>
    <s v="Medium (201-500)"/>
    <x v="6"/>
    <d v="2024-03-17T00:00:00"/>
    <x v="2"/>
    <x v="5"/>
    <n v="2"/>
    <x v="0"/>
    <m/>
    <n v="2969"/>
    <n v="30"/>
    <x v="344"/>
    <x v="176"/>
    <s v=""/>
  </r>
  <r>
    <x v="2273"/>
    <x v="6"/>
    <s v="48.864716"/>
    <s v="2.349014"/>
    <x v="5"/>
    <s v="Medium (201-500)"/>
    <x v="6"/>
    <d v="2024-02-06T00:00:00"/>
    <x v="1"/>
    <x v="5"/>
    <n v="2"/>
    <x v="0"/>
    <m/>
    <n v="4957"/>
    <n v="90"/>
    <x v="40"/>
    <x v="176"/>
    <s v=""/>
  </r>
  <r>
    <x v="2274"/>
    <x v="2"/>
    <s v="41.902782"/>
    <s v="12.496366"/>
    <x v="5"/>
    <s v="Medium (201-500)"/>
    <x v="4"/>
    <d v="2024-05-12T00:00:00"/>
    <x v="2"/>
    <x v="5"/>
    <n v="2"/>
    <x v="0"/>
    <m/>
    <n v="6457"/>
    <n v="30"/>
    <x v="227"/>
    <x v="176"/>
    <s v=""/>
  </r>
  <r>
    <x v="2275"/>
    <x v="8"/>
    <s v="38.736946"/>
    <s v="-9.142685"/>
    <x v="5"/>
    <s v="Medium (201-500)"/>
    <x v="1"/>
    <d v="2024-03-13T00:00:00"/>
    <x v="0"/>
    <x v="5"/>
    <n v="2"/>
    <x v="0"/>
    <m/>
    <n v="2032"/>
    <n v="20"/>
    <x v="335"/>
    <x v="176"/>
    <s v=""/>
  </r>
  <r>
    <x v="2276"/>
    <x v="8"/>
    <s v="38.736946"/>
    <s v="-9.142685"/>
    <x v="4"/>
    <s v="Medium (201-500)"/>
    <x v="1"/>
    <d v="2024-02-03T00:00:00"/>
    <x v="0"/>
    <x v="5"/>
    <n v="2"/>
    <x v="0"/>
    <m/>
    <n v="1523"/>
    <n v="60"/>
    <x v="75"/>
    <x v="176"/>
    <s v=""/>
  </r>
  <r>
    <x v="2277"/>
    <x v="0"/>
    <s v="52.370216"/>
    <s v="4.895168"/>
    <x v="0"/>
    <s v="Medium (201-500)"/>
    <x v="3"/>
    <d v="2024-02-16T00:00:00"/>
    <x v="1"/>
    <x v="5"/>
    <n v="2"/>
    <x v="0"/>
    <m/>
    <n v="4986"/>
    <n v="60"/>
    <x v="217"/>
    <x v="176"/>
    <s v=""/>
  </r>
  <r>
    <x v="2278"/>
    <x v="1"/>
    <s v="40.416775"/>
    <s v="-3.703790"/>
    <x v="0"/>
    <s v="Medium (201-500)"/>
    <x v="3"/>
    <d v="2024-05-03T00:00:00"/>
    <x v="2"/>
    <x v="5"/>
    <n v="2"/>
    <x v="0"/>
    <m/>
    <n v="3346"/>
    <n v="50"/>
    <x v="285"/>
    <x v="176"/>
    <s v=""/>
  </r>
  <r>
    <x v="2279"/>
    <x v="7"/>
    <s v="48.210033"/>
    <s v="16.363449"/>
    <x v="6"/>
    <s v="Medium (201-500)"/>
    <x v="4"/>
    <d v="2024-03-17T00:00:00"/>
    <x v="2"/>
    <x v="5"/>
    <n v="2"/>
    <x v="0"/>
    <m/>
    <n v="6674"/>
    <n v="30"/>
    <x v="131"/>
    <x v="176"/>
    <s v=""/>
  </r>
  <r>
    <x v="2280"/>
    <x v="3"/>
    <s v="52.520008"/>
    <s v="13.404954"/>
    <x v="0"/>
    <s v="Medium (201-500)"/>
    <x v="3"/>
    <d v="2024-03-07T00:00:00"/>
    <x v="0"/>
    <x v="5"/>
    <n v="2"/>
    <x v="0"/>
    <m/>
    <n v="7677"/>
    <n v="40"/>
    <x v="61"/>
    <x v="176"/>
    <s v=""/>
  </r>
  <r>
    <x v="2281"/>
    <x v="2"/>
    <s v="41.902782"/>
    <s v="12.496366"/>
    <x v="3"/>
    <s v="Medium (201-500)"/>
    <x v="4"/>
    <d v="2024-01-07T00:00:00"/>
    <x v="0"/>
    <x v="5"/>
    <n v="2"/>
    <x v="0"/>
    <m/>
    <n v="1132"/>
    <n v="30"/>
    <x v="132"/>
    <x v="176"/>
    <s v=""/>
  </r>
  <r>
    <x v="2282"/>
    <x v="5"/>
    <s v="46.204391"/>
    <s v="6.143158"/>
    <x v="11"/>
    <s v="Medium (201-500)"/>
    <x v="3"/>
    <d v="2024-03-21T00:00:00"/>
    <x v="1"/>
    <x v="5"/>
    <n v="2"/>
    <x v="0"/>
    <m/>
    <n v="639"/>
    <n v="50"/>
    <x v="143"/>
    <x v="176"/>
    <s v=""/>
  </r>
  <r>
    <x v="2283"/>
    <x v="5"/>
    <s v="46.204391"/>
    <s v="6.143158"/>
    <x v="2"/>
    <s v="Medium (201-500)"/>
    <x v="5"/>
    <d v="2024-04-13T00:00:00"/>
    <x v="1"/>
    <x v="5"/>
    <n v="2"/>
    <x v="0"/>
    <m/>
    <n v="257"/>
    <n v="20"/>
    <x v="300"/>
    <x v="176"/>
    <s v=""/>
  </r>
  <r>
    <x v="2284"/>
    <x v="3"/>
    <s v="52.520008"/>
    <s v="13.404954"/>
    <x v="0"/>
    <s v="Medium (201-500)"/>
    <x v="0"/>
    <d v="2024-02-08T00:00:00"/>
    <x v="0"/>
    <x v="5"/>
    <n v="2"/>
    <x v="0"/>
    <m/>
    <n v="5783"/>
    <n v="40"/>
    <x v="156"/>
    <x v="176"/>
    <s v=""/>
  </r>
  <r>
    <x v="2285"/>
    <x v="8"/>
    <s v="38.736946"/>
    <s v="-9.142685"/>
    <x v="6"/>
    <s v="Medium (201-500)"/>
    <x v="3"/>
    <d v="2024-04-26T00:00:00"/>
    <x v="1"/>
    <x v="5"/>
    <n v="2"/>
    <x v="0"/>
    <m/>
    <n v="1490"/>
    <n v="40"/>
    <x v="94"/>
    <x v="176"/>
    <s v=""/>
  </r>
  <r>
    <x v="2286"/>
    <x v="2"/>
    <s v="41.902782"/>
    <s v="12.496366"/>
    <x v="2"/>
    <s v="Medium (201-500)"/>
    <x v="3"/>
    <d v="2024-01-29T00:00:00"/>
    <x v="1"/>
    <x v="5"/>
    <n v="2"/>
    <x v="0"/>
    <m/>
    <n v="3366"/>
    <n v="10"/>
    <x v="221"/>
    <x v="176"/>
    <s v=""/>
  </r>
  <r>
    <x v="2287"/>
    <x v="8"/>
    <s v="38.736946"/>
    <s v="-9.142685"/>
    <x v="0"/>
    <s v="Medium (201-500)"/>
    <x v="4"/>
    <d v="2024-04-02T00:00:00"/>
    <x v="2"/>
    <x v="5"/>
    <n v="2"/>
    <x v="0"/>
    <m/>
    <n v="1686"/>
    <n v="60"/>
    <x v="44"/>
    <x v="176"/>
    <s v=""/>
  </r>
  <r>
    <x v="2288"/>
    <x v="3"/>
    <s v="52.520008"/>
    <s v="13.404954"/>
    <x v="2"/>
    <s v="Medium (201-500)"/>
    <x v="2"/>
    <d v="2024-02-11T00:00:00"/>
    <x v="2"/>
    <x v="5"/>
    <n v="2"/>
    <x v="0"/>
    <m/>
    <n v="2609"/>
    <n v="10"/>
    <x v="4"/>
    <x v="176"/>
    <s v=""/>
  </r>
  <r>
    <x v="2289"/>
    <x v="5"/>
    <s v="46.204391"/>
    <s v="6.143158"/>
    <x v="12"/>
    <s v="Medium (201-500)"/>
    <x v="3"/>
    <d v="2024-02-26T00:00:00"/>
    <x v="0"/>
    <x v="5"/>
    <n v="2"/>
    <x v="0"/>
    <m/>
    <n v="1564"/>
    <n v="80"/>
    <x v="384"/>
    <x v="176"/>
    <s v=""/>
  </r>
  <r>
    <x v="2290"/>
    <x v="2"/>
    <s v="41.902782"/>
    <s v="12.496366"/>
    <x v="4"/>
    <s v="Medium (201-500)"/>
    <x v="3"/>
    <d v="2024-03-29T00:00:00"/>
    <x v="0"/>
    <x v="5"/>
    <n v="2"/>
    <x v="0"/>
    <m/>
    <n v="4067"/>
    <n v="10"/>
    <x v="137"/>
    <x v="176"/>
    <s v=""/>
  </r>
  <r>
    <x v="2291"/>
    <x v="3"/>
    <s v="52.520008"/>
    <s v="13.404954"/>
    <x v="4"/>
    <s v="Medium (201-500)"/>
    <x v="7"/>
    <d v="2024-05-26T00:00:00"/>
    <x v="0"/>
    <x v="5"/>
    <n v="2"/>
    <x v="0"/>
    <m/>
    <n v="1309"/>
    <n v="30"/>
    <x v="314"/>
    <x v="176"/>
    <s v=""/>
  </r>
  <r>
    <x v="2292"/>
    <x v="6"/>
    <s v="48.864716"/>
    <s v="2.349014"/>
    <x v="3"/>
    <s v="Medium (201-500)"/>
    <x v="4"/>
    <d v="2024-03-12T00:00:00"/>
    <x v="2"/>
    <x v="5"/>
    <n v="2"/>
    <x v="0"/>
    <m/>
    <n v="7137"/>
    <n v="10"/>
    <x v="369"/>
    <x v="176"/>
    <s v=""/>
  </r>
  <r>
    <x v="2293"/>
    <x v="7"/>
    <s v="48.210033"/>
    <s v="16.363449"/>
    <x v="11"/>
    <s v="Medium (201-500)"/>
    <x v="4"/>
    <d v="2024-04-22T00:00:00"/>
    <x v="2"/>
    <x v="5"/>
    <n v="2"/>
    <x v="0"/>
    <m/>
    <n v="4458"/>
    <n v="50"/>
    <x v="14"/>
    <x v="176"/>
    <s v=""/>
  </r>
  <r>
    <x v="2294"/>
    <x v="7"/>
    <s v="48.210033"/>
    <s v="16.363449"/>
    <x v="4"/>
    <s v="Medium (201-500)"/>
    <x v="2"/>
    <d v="2024-01-31T00:00:00"/>
    <x v="2"/>
    <x v="5"/>
    <n v="2"/>
    <x v="0"/>
    <m/>
    <n v="5419"/>
    <n v="50"/>
    <x v="253"/>
    <x v="176"/>
    <s v=""/>
  </r>
  <r>
    <x v="2295"/>
    <x v="7"/>
    <s v="48.210033"/>
    <s v="16.363449"/>
    <x v="4"/>
    <s v="Medium (201-500)"/>
    <x v="1"/>
    <d v="2024-01-03T00:00:00"/>
    <x v="2"/>
    <x v="5"/>
    <n v="2"/>
    <x v="0"/>
    <m/>
    <n v="1938"/>
    <n v="40"/>
    <x v="235"/>
    <x v="176"/>
    <s v=""/>
  </r>
  <r>
    <x v="2296"/>
    <x v="2"/>
    <s v="41.902782"/>
    <s v="12.496366"/>
    <x v="6"/>
    <s v="Medium (201-500)"/>
    <x v="3"/>
    <d v="2024-01-31T00:00:00"/>
    <x v="2"/>
    <x v="5"/>
    <n v="2"/>
    <x v="0"/>
    <m/>
    <n v="3660"/>
    <n v="90"/>
    <x v="77"/>
    <x v="176"/>
    <s v=""/>
  </r>
  <r>
    <x v="2297"/>
    <x v="3"/>
    <s v="52.520008"/>
    <s v="13.404954"/>
    <x v="5"/>
    <s v="Medium (201-500)"/>
    <x v="2"/>
    <d v="2024-04-22T00:00:00"/>
    <x v="1"/>
    <x v="5"/>
    <n v="2"/>
    <x v="0"/>
    <m/>
    <n v="5705"/>
    <n v="60"/>
    <x v="83"/>
    <x v="176"/>
    <s v=""/>
  </r>
  <r>
    <x v="2298"/>
    <x v="3"/>
    <s v="52.520008"/>
    <s v="13.404954"/>
    <x v="9"/>
    <s v="Medium (201-500)"/>
    <x v="2"/>
    <d v="2024-01-13T00:00:00"/>
    <x v="2"/>
    <x v="5"/>
    <n v="2"/>
    <x v="0"/>
    <m/>
    <n v="353"/>
    <n v="10"/>
    <x v="352"/>
    <x v="176"/>
    <s v=""/>
  </r>
  <r>
    <x v="2299"/>
    <x v="5"/>
    <s v="46.204391"/>
    <s v="6.143158"/>
    <x v="4"/>
    <s v="Medium (201-500)"/>
    <x v="7"/>
    <d v="2024-02-19T00:00:00"/>
    <x v="1"/>
    <x v="5"/>
    <n v="2"/>
    <x v="0"/>
    <m/>
    <n v="332"/>
    <n v="80"/>
    <x v="77"/>
    <x v="176"/>
    <s v=""/>
  </r>
  <r>
    <x v="2300"/>
    <x v="2"/>
    <s v="41.902782"/>
    <s v="12.496366"/>
    <x v="0"/>
    <s v="Medium (201-500)"/>
    <x v="4"/>
    <d v="2024-02-14T00:00:00"/>
    <x v="2"/>
    <x v="5"/>
    <n v="2"/>
    <x v="0"/>
    <m/>
    <n v="6283"/>
    <n v="40"/>
    <x v="188"/>
    <x v="176"/>
    <s v=""/>
  </r>
  <r>
    <x v="2301"/>
    <x v="8"/>
    <s v="38.736946"/>
    <s v="-9.142685"/>
    <x v="9"/>
    <s v="Medium (201-500)"/>
    <x v="2"/>
    <d v="2024-04-10T00:00:00"/>
    <x v="1"/>
    <x v="5"/>
    <n v="2"/>
    <x v="0"/>
    <m/>
    <n v="6709"/>
    <n v="20"/>
    <x v="209"/>
    <x v="176"/>
    <s v=""/>
  </r>
  <r>
    <x v="2302"/>
    <x v="5"/>
    <s v="46.204391"/>
    <s v="6.143158"/>
    <x v="0"/>
    <s v="Medium (201-500)"/>
    <x v="6"/>
    <d v="2024-04-03T00:00:00"/>
    <x v="1"/>
    <x v="5"/>
    <n v="2"/>
    <x v="0"/>
    <m/>
    <n v="982"/>
    <n v="40"/>
    <x v="207"/>
    <x v="176"/>
    <s v=""/>
  </r>
  <r>
    <x v="2303"/>
    <x v="8"/>
    <s v="38.736946"/>
    <s v="-9.142685"/>
    <x v="5"/>
    <s v="Medium (201-500)"/>
    <x v="6"/>
    <d v="2024-02-22T00:00:00"/>
    <x v="2"/>
    <x v="5"/>
    <n v="2"/>
    <x v="0"/>
    <m/>
    <n v="6298"/>
    <n v="90"/>
    <x v="38"/>
    <x v="176"/>
    <s v=""/>
  </r>
  <r>
    <x v="2304"/>
    <x v="7"/>
    <s v="48.210033"/>
    <s v="16.363449"/>
    <x v="8"/>
    <s v="Medium (201-500)"/>
    <x v="3"/>
    <d v="2024-03-07T00:00:00"/>
    <x v="0"/>
    <x v="5"/>
    <n v="2"/>
    <x v="0"/>
    <m/>
    <n v="4983"/>
    <n v="10"/>
    <x v="104"/>
    <x v="176"/>
    <s v=""/>
  </r>
  <r>
    <x v="2305"/>
    <x v="8"/>
    <s v="38.736946"/>
    <s v="-9.142685"/>
    <x v="3"/>
    <s v="Medium (201-500)"/>
    <x v="5"/>
    <d v="2024-01-09T00:00:00"/>
    <x v="1"/>
    <x v="5"/>
    <n v="2"/>
    <x v="0"/>
    <m/>
    <n v="4937"/>
    <n v="50"/>
    <x v="230"/>
    <x v="176"/>
    <s v=""/>
  </r>
  <r>
    <x v="2306"/>
    <x v="3"/>
    <s v="52.520008"/>
    <s v="13.404954"/>
    <x v="1"/>
    <s v="Medium (201-500)"/>
    <x v="2"/>
    <d v="2024-02-17T00:00:00"/>
    <x v="0"/>
    <x v="5"/>
    <n v="2"/>
    <x v="0"/>
    <m/>
    <n v="5953"/>
    <n v="20"/>
    <x v="28"/>
    <x v="176"/>
    <s v=""/>
  </r>
  <r>
    <x v="2307"/>
    <x v="2"/>
    <s v="41.902782"/>
    <s v="12.496366"/>
    <x v="1"/>
    <s v="Medium (201-500)"/>
    <x v="3"/>
    <d v="2024-03-01T00:00:00"/>
    <x v="2"/>
    <x v="5"/>
    <n v="2"/>
    <x v="0"/>
    <m/>
    <n v="6065"/>
    <n v="30"/>
    <x v="109"/>
    <x v="176"/>
    <s v=""/>
  </r>
  <r>
    <x v="2308"/>
    <x v="6"/>
    <s v="48.864716"/>
    <s v="2.349014"/>
    <x v="4"/>
    <s v="Medium (201-500)"/>
    <x v="0"/>
    <d v="2024-05-21T00:00:00"/>
    <x v="0"/>
    <x v="5"/>
    <n v="2"/>
    <x v="0"/>
    <m/>
    <n v="1341"/>
    <n v="60"/>
    <x v="74"/>
    <x v="176"/>
    <s v=""/>
  </r>
  <r>
    <x v="2309"/>
    <x v="7"/>
    <s v="48.210033"/>
    <s v="16.363449"/>
    <x v="13"/>
    <s v="Medium (201-500)"/>
    <x v="3"/>
    <d v="2024-02-26T00:00:00"/>
    <x v="1"/>
    <x v="5"/>
    <n v="2"/>
    <x v="0"/>
    <m/>
    <n v="4659"/>
    <n v="100"/>
    <x v="148"/>
    <x v="176"/>
    <s v=""/>
  </r>
  <r>
    <x v="2310"/>
    <x v="2"/>
    <s v="41.902782"/>
    <s v="12.496366"/>
    <x v="2"/>
    <s v="Medium (201-500)"/>
    <x v="6"/>
    <d v="2024-02-24T00:00:00"/>
    <x v="2"/>
    <x v="5"/>
    <n v="2"/>
    <x v="0"/>
    <m/>
    <n v="6927"/>
    <n v="40"/>
    <x v="43"/>
    <x v="176"/>
    <s v=""/>
  </r>
  <r>
    <x v="2311"/>
    <x v="2"/>
    <s v="41.902782"/>
    <s v="12.496366"/>
    <x v="5"/>
    <s v="Medium (201-500)"/>
    <x v="6"/>
    <d v="2024-05-24T00:00:00"/>
    <x v="1"/>
    <x v="5"/>
    <n v="2"/>
    <x v="0"/>
    <m/>
    <n v="4714"/>
    <n v="40"/>
    <x v="216"/>
    <x v="176"/>
    <s v=""/>
  </r>
  <r>
    <x v="2312"/>
    <x v="1"/>
    <s v="40.416775"/>
    <s v="-3.703790"/>
    <x v="4"/>
    <s v="Medium (201-500)"/>
    <x v="0"/>
    <d v="2024-01-18T00:00:00"/>
    <x v="0"/>
    <x v="5"/>
    <n v="2"/>
    <x v="0"/>
    <m/>
    <n v="3326"/>
    <n v="40"/>
    <x v="50"/>
    <x v="176"/>
    <s v=""/>
  </r>
  <r>
    <x v="2313"/>
    <x v="3"/>
    <s v="52.520008"/>
    <s v="13.404954"/>
    <x v="4"/>
    <s v="Medium (201-500)"/>
    <x v="0"/>
    <d v="2024-03-13T00:00:00"/>
    <x v="2"/>
    <x v="5"/>
    <n v="2"/>
    <x v="0"/>
    <m/>
    <n v="7823"/>
    <n v="30"/>
    <x v="257"/>
    <x v="176"/>
    <s v=""/>
  </r>
  <r>
    <x v="2314"/>
    <x v="8"/>
    <s v="38.736946"/>
    <s v="-9.142685"/>
    <x v="8"/>
    <s v="Medium (201-500)"/>
    <x v="3"/>
    <d v="2024-01-24T00:00:00"/>
    <x v="2"/>
    <x v="5"/>
    <n v="2"/>
    <x v="0"/>
    <m/>
    <n v="5707"/>
    <n v="50"/>
    <x v="355"/>
    <x v="176"/>
    <s v=""/>
  </r>
  <r>
    <x v="2315"/>
    <x v="2"/>
    <s v="41.902782"/>
    <s v="12.496366"/>
    <x v="7"/>
    <s v="Medium (201-500)"/>
    <x v="6"/>
    <d v="2024-04-17T00:00:00"/>
    <x v="0"/>
    <x v="5"/>
    <n v="2"/>
    <x v="0"/>
    <m/>
    <n v="6509"/>
    <n v="70"/>
    <x v="159"/>
    <x v="176"/>
    <s v=""/>
  </r>
  <r>
    <x v="2316"/>
    <x v="3"/>
    <s v="52.520008"/>
    <s v="13.404954"/>
    <x v="0"/>
    <s v="Medium (201-500)"/>
    <x v="5"/>
    <d v="2024-03-01T00:00:00"/>
    <x v="1"/>
    <x v="5"/>
    <n v="2"/>
    <x v="0"/>
    <m/>
    <n v="2420"/>
    <n v="50"/>
    <x v="211"/>
    <x v="176"/>
    <s v=""/>
  </r>
  <r>
    <x v="2317"/>
    <x v="3"/>
    <s v="52.520008"/>
    <s v="13.404954"/>
    <x v="4"/>
    <s v="Medium (201-500)"/>
    <x v="3"/>
    <d v="2024-02-16T00:00:00"/>
    <x v="0"/>
    <x v="5"/>
    <n v="2"/>
    <x v="0"/>
    <m/>
    <n v="7198"/>
    <n v="30"/>
    <x v="364"/>
    <x v="176"/>
    <s v=""/>
  </r>
  <r>
    <x v="2318"/>
    <x v="1"/>
    <s v="40.416775"/>
    <s v="-3.703790"/>
    <x v="0"/>
    <s v="Medium (201-500)"/>
    <x v="2"/>
    <d v="2024-03-14T00:00:00"/>
    <x v="2"/>
    <x v="5"/>
    <n v="2"/>
    <x v="0"/>
    <m/>
    <n v="1418"/>
    <n v="10"/>
    <x v="316"/>
    <x v="176"/>
    <s v=""/>
  </r>
  <r>
    <x v="2319"/>
    <x v="6"/>
    <s v="48.864716"/>
    <s v="2.349014"/>
    <x v="0"/>
    <s v="Medium (201-500)"/>
    <x v="7"/>
    <d v="2024-01-28T00:00:00"/>
    <x v="2"/>
    <x v="5"/>
    <n v="2"/>
    <x v="0"/>
    <m/>
    <n v="3488"/>
    <n v="40"/>
    <x v="289"/>
    <x v="176"/>
    <s v=""/>
  </r>
  <r>
    <x v="2320"/>
    <x v="2"/>
    <s v="41.902782"/>
    <s v="12.496366"/>
    <x v="0"/>
    <s v="Medium (201-500)"/>
    <x v="4"/>
    <d v="2024-04-11T00:00:00"/>
    <x v="0"/>
    <x v="5"/>
    <n v="2"/>
    <x v="0"/>
    <m/>
    <n v="6456"/>
    <n v="30"/>
    <x v="124"/>
    <x v="176"/>
    <s v=""/>
  </r>
  <r>
    <x v="2321"/>
    <x v="0"/>
    <s v="52.370216"/>
    <s v="4.895168"/>
    <x v="12"/>
    <s v="Medium (201-500)"/>
    <x v="6"/>
    <d v="2024-01-23T00:00:00"/>
    <x v="2"/>
    <x v="5"/>
    <n v="2"/>
    <x v="0"/>
    <m/>
    <n v="7122"/>
    <n v="30"/>
    <x v="78"/>
    <x v="176"/>
    <s v=""/>
  </r>
  <r>
    <x v="2322"/>
    <x v="0"/>
    <s v="52.370216"/>
    <s v="4.895168"/>
    <x v="5"/>
    <s v="Medium (201-500)"/>
    <x v="4"/>
    <d v="2024-05-05T00:00:00"/>
    <x v="2"/>
    <x v="5"/>
    <n v="2"/>
    <x v="0"/>
    <m/>
    <n v="782"/>
    <n v="60"/>
    <x v="427"/>
    <x v="176"/>
    <s v=""/>
  </r>
  <r>
    <x v="2323"/>
    <x v="3"/>
    <s v="52.520008"/>
    <s v="13.404954"/>
    <x v="8"/>
    <s v="Medium (201-500)"/>
    <x v="3"/>
    <d v="2024-03-15T00:00:00"/>
    <x v="2"/>
    <x v="5"/>
    <n v="2"/>
    <x v="0"/>
    <m/>
    <n v="7885"/>
    <n v="10"/>
    <x v="83"/>
    <x v="176"/>
    <s v=""/>
  </r>
  <r>
    <x v="2324"/>
    <x v="8"/>
    <s v="38.736946"/>
    <s v="-9.142685"/>
    <x v="3"/>
    <s v="Medium (201-500)"/>
    <x v="4"/>
    <d v="2024-03-27T00:00:00"/>
    <x v="2"/>
    <x v="5"/>
    <n v="2"/>
    <x v="0"/>
    <m/>
    <n v="2409"/>
    <n v="30"/>
    <x v="377"/>
    <x v="176"/>
    <s v=""/>
  </r>
  <r>
    <x v="2325"/>
    <x v="2"/>
    <s v="41.902782"/>
    <s v="12.496366"/>
    <x v="3"/>
    <s v="Medium (201-500)"/>
    <x v="3"/>
    <d v="2024-03-23T00:00:00"/>
    <x v="2"/>
    <x v="5"/>
    <n v="2"/>
    <x v="0"/>
    <m/>
    <n v="1661"/>
    <n v="30"/>
    <x v="387"/>
    <x v="176"/>
    <s v=""/>
  </r>
  <r>
    <x v="2326"/>
    <x v="2"/>
    <s v="41.902782"/>
    <s v="12.496366"/>
    <x v="0"/>
    <s v="Medium (201-500)"/>
    <x v="2"/>
    <d v="2024-03-15T00:00:00"/>
    <x v="0"/>
    <x v="5"/>
    <n v="2"/>
    <x v="0"/>
    <m/>
    <n v="6285"/>
    <n v="50"/>
    <x v="11"/>
    <x v="176"/>
    <s v=""/>
  </r>
  <r>
    <x v="2327"/>
    <x v="1"/>
    <s v="40.416775"/>
    <s v="-3.703790"/>
    <x v="5"/>
    <s v="Medium (201-500)"/>
    <x v="3"/>
    <d v="2024-01-15T00:00:00"/>
    <x v="2"/>
    <x v="5"/>
    <n v="2"/>
    <x v="0"/>
    <m/>
    <n v="7964"/>
    <n v="40"/>
    <x v="102"/>
    <x v="176"/>
    <s v=""/>
  </r>
  <r>
    <x v="2328"/>
    <x v="5"/>
    <s v="46.204391"/>
    <s v="6.143158"/>
    <x v="11"/>
    <s v="Medium (201-500)"/>
    <x v="1"/>
    <d v="2024-02-03T00:00:00"/>
    <x v="2"/>
    <x v="5"/>
    <n v="2"/>
    <x v="0"/>
    <m/>
    <n v="5051"/>
    <n v="20"/>
    <x v="343"/>
    <x v="176"/>
    <s v=""/>
  </r>
  <r>
    <x v="2329"/>
    <x v="6"/>
    <s v="48.864716"/>
    <s v="2.349014"/>
    <x v="3"/>
    <s v="Medium (201-500)"/>
    <x v="0"/>
    <d v="2024-03-15T00:00:00"/>
    <x v="0"/>
    <x v="5"/>
    <n v="2"/>
    <x v="0"/>
    <m/>
    <n v="632"/>
    <n v="50"/>
    <x v="94"/>
    <x v="176"/>
    <s v=""/>
  </r>
  <r>
    <x v="2330"/>
    <x v="0"/>
    <s v="52.370216"/>
    <s v="4.895168"/>
    <x v="8"/>
    <s v="Medium (201-500)"/>
    <x v="4"/>
    <d v="2024-03-20T00:00:00"/>
    <x v="2"/>
    <x v="5"/>
    <n v="2"/>
    <x v="0"/>
    <m/>
    <n v="1725"/>
    <n v="30"/>
    <x v="374"/>
    <x v="176"/>
    <s v=""/>
  </r>
  <r>
    <x v="2331"/>
    <x v="8"/>
    <s v="38.736946"/>
    <s v="-9.142685"/>
    <x v="4"/>
    <s v="Medium (201-500)"/>
    <x v="3"/>
    <d v="2024-05-13T00:00:00"/>
    <x v="2"/>
    <x v="5"/>
    <n v="2"/>
    <x v="0"/>
    <m/>
    <n v="5678"/>
    <n v="60"/>
    <x v="270"/>
    <x v="176"/>
    <s v=""/>
  </r>
  <r>
    <x v="2332"/>
    <x v="6"/>
    <s v="48.864716"/>
    <s v="2.349014"/>
    <x v="12"/>
    <s v="Medium (201-500)"/>
    <x v="6"/>
    <d v="2024-04-10T00:00:00"/>
    <x v="2"/>
    <x v="5"/>
    <n v="2"/>
    <x v="0"/>
    <m/>
    <n v="4954"/>
    <n v="30"/>
    <x v="135"/>
    <x v="176"/>
    <s v=""/>
  </r>
  <r>
    <x v="2333"/>
    <x v="3"/>
    <s v="52.520008"/>
    <s v="13.404954"/>
    <x v="4"/>
    <s v="Medium (201-500)"/>
    <x v="5"/>
    <d v="2024-01-12T00:00:00"/>
    <x v="2"/>
    <x v="5"/>
    <n v="2"/>
    <x v="0"/>
    <m/>
    <n v="4879"/>
    <n v="20"/>
    <x v="92"/>
    <x v="176"/>
    <s v=""/>
  </r>
  <r>
    <x v="2334"/>
    <x v="8"/>
    <s v="38.736946"/>
    <s v="-9.142685"/>
    <x v="3"/>
    <s v="Medium (201-500)"/>
    <x v="2"/>
    <d v="2024-03-31T00:00:00"/>
    <x v="2"/>
    <x v="5"/>
    <n v="2"/>
    <x v="0"/>
    <m/>
    <n v="1183"/>
    <n v="30"/>
    <x v="171"/>
    <x v="176"/>
    <s v=""/>
  </r>
  <r>
    <x v="2335"/>
    <x v="6"/>
    <s v="48.864716"/>
    <s v="2.349014"/>
    <x v="5"/>
    <s v="Medium (201-500)"/>
    <x v="3"/>
    <d v="2024-03-27T00:00:00"/>
    <x v="0"/>
    <x v="5"/>
    <n v="2"/>
    <x v="0"/>
    <m/>
    <n v="5257"/>
    <n v="100"/>
    <x v="379"/>
    <x v="176"/>
    <s v=""/>
  </r>
  <r>
    <x v="2336"/>
    <x v="2"/>
    <s v="41.902782"/>
    <s v="12.496366"/>
    <x v="5"/>
    <s v="Medium (201-500)"/>
    <x v="3"/>
    <d v="2024-05-19T00:00:00"/>
    <x v="0"/>
    <x v="5"/>
    <n v="2"/>
    <x v="0"/>
    <m/>
    <n v="830"/>
    <n v="40"/>
    <x v="150"/>
    <x v="176"/>
    <s v=""/>
  </r>
  <r>
    <x v="2337"/>
    <x v="1"/>
    <s v="40.416775"/>
    <s v="-3.703790"/>
    <x v="3"/>
    <s v="Medium (201-500)"/>
    <x v="6"/>
    <d v="2024-05-13T00:00:00"/>
    <x v="2"/>
    <x v="5"/>
    <n v="2"/>
    <x v="0"/>
    <m/>
    <n v="2420"/>
    <n v="60"/>
    <x v="265"/>
    <x v="176"/>
    <s v=""/>
  </r>
  <r>
    <x v="2338"/>
    <x v="2"/>
    <s v="41.902782"/>
    <s v="12.496366"/>
    <x v="1"/>
    <s v="Medium (201-500)"/>
    <x v="2"/>
    <d v="2024-02-25T00:00:00"/>
    <x v="0"/>
    <x v="5"/>
    <n v="2"/>
    <x v="0"/>
    <m/>
    <n v="2956"/>
    <n v="40"/>
    <x v="280"/>
    <x v="176"/>
    <s v=""/>
  </r>
  <r>
    <x v="2339"/>
    <x v="1"/>
    <s v="40.416775"/>
    <s v="-3.703790"/>
    <x v="3"/>
    <s v="Medium (201-500)"/>
    <x v="4"/>
    <d v="2024-01-13T00:00:00"/>
    <x v="2"/>
    <x v="5"/>
    <n v="2"/>
    <x v="0"/>
    <m/>
    <n v="6011"/>
    <n v="50"/>
    <x v="60"/>
    <x v="176"/>
    <s v=""/>
  </r>
  <r>
    <x v="2340"/>
    <x v="3"/>
    <s v="52.520008"/>
    <s v="13.404954"/>
    <x v="4"/>
    <s v="Medium (201-500)"/>
    <x v="5"/>
    <d v="2024-03-16T00:00:00"/>
    <x v="0"/>
    <x v="5"/>
    <n v="2"/>
    <x v="0"/>
    <m/>
    <n v="2199"/>
    <n v="20"/>
    <x v="388"/>
    <x v="176"/>
    <s v=""/>
  </r>
  <r>
    <x v="2341"/>
    <x v="6"/>
    <s v="48.864716"/>
    <s v="2.349014"/>
    <x v="0"/>
    <s v="Medium (201-500)"/>
    <x v="7"/>
    <d v="2024-04-15T00:00:00"/>
    <x v="2"/>
    <x v="5"/>
    <n v="2"/>
    <x v="0"/>
    <m/>
    <n v="3395"/>
    <n v="50"/>
    <x v="60"/>
    <x v="176"/>
    <s v=""/>
  </r>
  <r>
    <x v="2342"/>
    <x v="6"/>
    <s v="48.864716"/>
    <s v="2.349014"/>
    <x v="2"/>
    <s v="Medium (201-500)"/>
    <x v="6"/>
    <d v="2024-01-03T00:00:00"/>
    <x v="1"/>
    <x v="5"/>
    <n v="2"/>
    <x v="0"/>
    <m/>
    <n v="6029"/>
    <n v="40"/>
    <x v="123"/>
    <x v="176"/>
    <s v=""/>
  </r>
  <r>
    <x v="2343"/>
    <x v="2"/>
    <s v="41.902782"/>
    <s v="12.496366"/>
    <x v="0"/>
    <s v="Medium (201-500)"/>
    <x v="1"/>
    <d v="2024-03-14T00:00:00"/>
    <x v="2"/>
    <x v="5"/>
    <n v="2"/>
    <x v="0"/>
    <m/>
    <n v="1413"/>
    <n v="70"/>
    <x v="77"/>
    <x v="176"/>
    <s v=""/>
  </r>
  <r>
    <x v="2344"/>
    <x v="8"/>
    <s v="38.736946"/>
    <s v="-9.142685"/>
    <x v="4"/>
    <s v="Medium (201-500)"/>
    <x v="0"/>
    <d v="2024-03-25T00:00:00"/>
    <x v="2"/>
    <x v="5"/>
    <n v="2"/>
    <x v="0"/>
    <m/>
    <n v="6922"/>
    <n v="90"/>
    <x v="47"/>
    <x v="176"/>
    <s v=""/>
  </r>
  <r>
    <x v="2345"/>
    <x v="5"/>
    <s v="46.204391"/>
    <s v="6.143158"/>
    <x v="4"/>
    <s v="Medium (201-500)"/>
    <x v="4"/>
    <d v="2024-03-02T00:00:00"/>
    <x v="0"/>
    <x v="5"/>
    <n v="2"/>
    <x v="0"/>
    <m/>
    <n v="6394"/>
    <n v="30"/>
    <x v="322"/>
    <x v="176"/>
    <s v=""/>
  </r>
  <r>
    <x v="2346"/>
    <x v="2"/>
    <s v="41.902782"/>
    <s v="12.496366"/>
    <x v="2"/>
    <s v="Medium (201-500)"/>
    <x v="4"/>
    <d v="2024-03-05T00:00:00"/>
    <x v="2"/>
    <x v="5"/>
    <n v="2"/>
    <x v="0"/>
    <m/>
    <n v="7411"/>
    <n v="20"/>
    <x v="269"/>
    <x v="176"/>
    <s v=""/>
  </r>
  <r>
    <x v="2347"/>
    <x v="3"/>
    <s v="52.520008"/>
    <s v="13.404954"/>
    <x v="6"/>
    <s v="Medium (201-500)"/>
    <x v="2"/>
    <d v="2024-01-30T00:00:00"/>
    <x v="2"/>
    <x v="5"/>
    <n v="2"/>
    <x v="0"/>
    <m/>
    <n v="1343"/>
    <n v="100"/>
    <x v="267"/>
    <x v="176"/>
    <s v=""/>
  </r>
  <r>
    <x v="2348"/>
    <x v="3"/>
    <s v="52.520008"/>
    <s v="13.404954"/>
    <x v="4"/>
    <s v="Medium (201-500)"/>
    <x v="1"/>
    <d v="2024-04-12T00:00:00"/>
    <x v="0"/>
    <x v="5"/>
    <n v="2"/>
    <x v="0"/>
    <m/>
    <n v="667"/>
    <n v="40"/>
    <x v="48"/>
    <x v="176"/>
    <s v=""/>
  </r>
  <r>
    <x v="2349"/>
    <x v="6"/>
    <s v="48.864716"/>
    <s v="2.349014"/>
    <x v="1"/>
    <s v="Medium (201-500)"/>
    <x v="0"/>
    <d v="2024-03-01T00:00:00"/>
    <x v="1"/>
    <x v="5"/>
    <n v="2"/>
    <x v="0"/>
    <m/>
    <n v="4704"/>
    <n v="90"/>
    <x v="30"/>
    <x v="176"/>
    <s v=""/>
  </r>
  <r>
    <x v="2350"/>
    <x v="3"/>
    <s v="52.520008"/>
    <s v="13.404954"/>
    <x v="7"/>
    <s v="Medium (201-500)"/>
    <x v="1"/>
    <d v="2024-02-28T00:00:00"/>
    <x v="2"/>
    <x v="5"/>
    <n v="2"/>
    <x v="0"/>
    <m/>
    <n v="1937"/>
    <n v="70"/>
    <x v="64"/>
    <x v="176"/>
    <s v=""/>
  </r>
  <r>
    <x v="2351"/>
    <x v="4"/>
    <s v="51.260197"/>
    <s v="4.402771"/>
    <x v="8"/>
    <s v="Medium (201-500)"/>
    <x v="1"/>
    <d v="2024-05-24T00:00:00"/>
    <x v="2"/>
    <x v="5"/>
    <n v="2"/>
    <x v="0"/>
    <m/>
    <n v="3060"/>
    <n v="20"/>
    <x v="141"/>
    <x v="176"/>
    <s v=""/>
  </r>
  <r>
    <x v="2352"/>
    <x v="3"/>
    <s v="52.520008"/>
    <s v="13.404954"/>
    <x v="4"/>
    <s v="Medium (201-500)"/>
    <x v="3"/>
    <d v="2024-02-04T00:00:00"/>
    <x v="2"/>
    <x v="5"/>
    <n v="2"/>
    <x v="0"/>
    <m/>
    <n v="656"/>
    <n v="60"/>
    <x v="124"/>
    <x v="176"/>
    <s v=""/>
  </r>
  <r>
    <x v="2353"/>
    <x v="3"/>
    <s v="52.520008"/>
    <s v="13.404954"/>
    <x v="8"/>
    <s v="Medium (201-500)"/>
    <x v="1"/>
    <d v="2024-01-17T00:00:00"/>
    <x v="2"/>
    <x v="5"/>
    <n v="2"/>
    <x v="0"/>
    <m/>
    <n v="6655"/>
    <n v="60"/>
    <x v="245"/>
    <x v="176"/>
    <s v=""/>
  </r>
  <r>
    <x v="2354"/>
    <x v="3"/>
    <s v="52.520008"/>
    <s v="13.404954"/>
    <x v="8"/>
    <s v="Medium (201-500)"/>
    <x v="5"/>
    <d v="2024-05-05T00:00:00"/>
    <x v="2"/>
    <x v="5"/>
    <n v="2"/>
    <x v="0"/>
    <m/>
    <n v="7229"/>
    <n v="70"/>
    <x v="12"/>
    <x v="176"/>
    <s v=""/>
  </r>
  <r>
    <x v="2355"/>
    <x v="3"/>
    <s v="52.520008"/>
    <s v="13.404954"/>
    <x v="8"/>
    <s v="Medium (201-500)"/>
    <x v="4"/>
    <d v="2024-04-11T00:00:00"/>
    <x v="1"/>
    <x v="5"/>
    <n v="2"/>
    <x v="0"/>
    <m/>
    <n v="549"/>
    <n v="60"/>
    <x v="290"/>
    <x v="176"/>
    <s v=""/>
  </r>
  <r>
    <x v="2356"/>
    <x v="5"/>
    <s v="46.204391"/>
    <s v="6.143158"/>
    <x v="8"/>
    <s v="Medium (201-500)"/>
    <x v="3"/>
    <d v="2024-04-27T00:00:00"/>
    <x v="2"/>
    <x v="5"/>
    <n v="2"/>
    <x v="0"/>
    <m/>
    <n v="5561"/>
    <n v="40"/>
    <x v="399"/>
    <x v="176"/>
    <s v=""/>
  </r>
  <r>
    <x v="2357"/>
    <x v="1"/>
    <s v="40.416775"/>
    <s v="-3.703790"/>
    <x v="5"/>
    <s v="Medium (201-500)"/>
    <x v="7"/>
    <d v="2024-03-29T00:00:00"/>
    <x v="1"/>
    <x v="5"/>
    <n v="2"/>
    <x v="0"/>
    <m/>
    <n v="4742"/>
    <n v="10"/>
    <x v="97"/>
    <x v="176"/>
    <s v=""/>
  </r>
  <r>
    <x v="2358"/>
    <x v="3"/>
    <s v="52.520008"/>
    <s v="13.404954"/>
    <x v="2"/>
    <s v="Medium (201-500)"/>
    <x v="6"/>
    <d v="2024-05-16T00:00:00"/>
    <x v="1"/>
    <x v="5"/>
    <n v="2"/>
    <x v="0"/>
    <m/>
    <n v="2684"/>
    <n v="50"/>
    <x v="148"/>
    <x v="176"/>
    <s v=""/>
  </r>
  <r>
    <x v="2359"/>
    <x v="1"/>
    <s v="40.416775"/>
    <s v="-3.703790"/>
    <x v="8"/>
    <s v="Medium (201-500)"/>
    <x v="4"/>
    <d v="2024-01-22T00:00:00"/>
    <x v="0"/>
    <x v="5"/>
    <n v="2"/>
    <x v="0"/>
    <m/>
    <n v="3052"/>
    <n v="30"/>
    <x v="162"/>
    <x v="176"/>
    <s v=""/>
  </r>
  <r>
    <x v="2360"/>
    <x v="2"/>
    <s v="41.902782"/>
    <s v="12.496366"/>
    <x v="12"/>
    <s v="Medium (201-500)"/>
    <x v="3"/>
    <d v="2024-04-10T00:00:00"/>
    <x v="2"/>
    <x v="5"/>
    <n v="2"/>
    <x v="0"/>
    <m/>
    <n v="2877"/>
    <n v="100"/>
    <x v="224"/>
    <x v="176"/>
    <s v=""/>
  </r>
  <r>
    <x v="2361"/>
    <x v="7"/>
    <s v="48.210033"/>
    <s v="16.363449"/>
    <x v="9"/>
    <s v="Medium (201-500)"/>
    <x v="6"/>
    <d v="2024-01-11T00:00:00"/>
    <x v="2"/>
    <x v="5"/>
    <n v="2"/>
    <x v="0"/>
    <m/>
    <n v="2716"/>
    <n v="30"/>
    <x v="38"/>
    <x v="176"/>
    <s v=""/>
  </r>
  <r>
    <x v="2362"/>
    <x v="3"/>
    <s v="52.520008"/>
    <s v="13.404954"/>
    <x v="2"/>
    <s v="Medium (201-500)"/>
    <x v="4"/>
    <d v="2024-02-23T00:00:00"/>
    <x v="0"/>
    <x v="5"/>
    <n v="2"/>
    <x v="0"/>
    <m/>
    <n v="4548"/>
    <n v="20"/>
    <x v="19"/>
    <x v="176"/>
    <s v=""/>
  </r>
  <r>
    <x v="2363"/>
    <x v="2"/>
    <s v="41.902782"/>
    <s v="12.496366"/>
    <x v="5"/>
    <s v="Medium (201-500)"/>
    <x v="3"/>
    <d v="2024-04-18T00:00:00"/>
    <x v="2"/>
    <x v="5"/>
    <n v="2"/>
    <x v="0"/>
    <m/>
    <n v="7713"/>
    <n v="60"/>
    <x v="427"/>
    <x v="176"/>
    <s v=""/>
  </r>
  <r>
    <x v="2364"/>
    <x v="0"/>
    <s v="52.370216"/>
    <s v="4.895168"/>
    <x v="4"/>
    <s v="Medium (201-500)"/>
    <x v="5"/>
    <d v="2024-04-06T00:00:00"/>
    <x v="0"/>
    <x v="5"/>
    <n v="2"/>
    <x v="0"/>
    <m/>
    <n v="3681"/>
    <n v="40"/>
    <x v="68"/>
    <x v="176"/>
    <s v=""/>
  </r>
  <r>
    <x v="2365"/>
    <x v="0"/>
    <s v="52.370216"/>
    <s v="4.895168"/>
    <x v="10"/>
    <s v="Medium (201-500)"/>
    <x v="0"/>
    <d v="2024-04-21T00:00:00"/>
    <x v="0"/>
    <x v="5"/>
    <n v="2"/>
    <x v="0"/>
    <m/>
    <n v="4976"/>
    <n v="20"/>
    <x v="79"/>
    <x v="176"/>
    <s v=""/>
  </r>
  <r>
    <x v="2366"/>
    <x v="6"/>
    <s v="48.864716"/>
    <s v="2.349014"/>
    <x v="4"/>
    <s v="Medium (201-500)"/>
    <x v="4"/>
    <d v="2024-01-16T00:00:00"/>
    <x v="2"/>
    <x v="5"/>
    <n v="2"/>
    <x v="0"/>
    <m/>
    <n v="4089"/>
    <n v="40"/>
    <x v="131"/>
    <x v="176"/>
    <s v=""/>
  </r>
  <r>
    <x v="2367"/>
    <x v="4"/>
    <s v="51.260197"/>
    <s v="4.402771"/>
    <x v="7"/>
    <s v="Medium (201-500)"/>
    <x v="5"/>
    <d v="2024-02-16T00:00:00"/>
    <x v="0"/>
    <x v="5"/>
    <n v="2"/>
    <x v="0"/>
    <m/>
    <n v="2882"/>
    <n v="20"/>
    <x v="449"/>
    <x v="176"/>
    <s v=""/>
  </r>
  <r>
    <x v="2368"/>
    <x v="2"/>
    <s v="41.902782"/>
    <s v="12.496366"/>
    <x v="12"/>
    <s v="Medium (201-500)"/>
    <x v="5"/>
    <d v="2024-01-03T00:00:00"/>
    <x v="1"/>
    <x v="5"/>
    <n v="2"/>
    <x v="0"/>
    <m/>
    <n v="6936"/>
    <n v="40"/>
    <x v="450"/>
    <x v="176"/>
    <s v=""/>
  </r>
  <r>
    <x v="2369"/>
    <x v="6"/>
    <s v="48.864716"/>
    <s v="2.349014"/>
    <x v="4"/>
    <s v="Medium (201-500)"/>
    <x v="2"/>
    <d v="2024-01-29T00:00:00"/>
    <x v="0"/>
    <x v="5"/>
    <n v="2"/>
    <x v="0"/>
    <m/>
    <n v="7679"/>
    <n v="20"/>
    <x v="355"/>
    <x v="176"/>
    <s v=""/>
  </r>
  <r>
    <x v="2370"/>
    <x v="2"/>
    <s v="41.902782"/>
    <s v="12.496366"/>
    <x v="5"/>
    <s v="Medium (201-500)"/>
    <x v="4"/>
    <d v="2024-01-09T00:00:00"/>
    <x v="2"/>
    <x v="5"/>
    <n v="2"/>
    <x v="0"/>
    <m/>
    <n v="3169"/>
    <n v="50"/>
    <x v="324"/>
    <x v="176"/>
    <s v=""/>
  </r>
  <r>
    <x v="2371"/>
    <x v="3"/>
    <s v="52.520008"/>
    <s v="13.404954"/>
    <x v="8"/>
    <s v="Medium (201-500)"/>
    <x v="1"/>
    <d v="2024-02-06T00:00:00"/>
    <x v="1"/>
    <x v="5"/>
    <n v="2"/>
    <x v="0"/>
    <m/>
    <n v="1182"/>
    <n v="10"/>
    <x v="6"/>
    <x v="176"/>
    <s v=""/>
  </r>
  <r>
    <x v="2372"/>
    <x v="5"/>
    <s v="46.204391"/>
    <s v="6.143158"/>
    <x v="5"/>
    <s v="Medium (201-500)"/>
    <x v="6"/>
    <d v="2024-02-06T00:00:00"/>
    <x v="2"/>
    <x v="5"/>
    <n v="2"/>
    <x v="0"/>
    <m/>
    <n v="3183"/>
    <n v="50"/>
    <x v="341"/>
    <x v="176"/>
    <s v=""/>
  </r>
  <r>
    <x v="2373"/>
    <x v="4"/>
    <s v="51.260197"/>
    <s v="4.402771"/>
    <x v="5"/>
    <s v="Medium (201-500)"/>
    <x v="6"/>
    <d v="2024-05-01T00:00:00"/>
    <x v="2"/>
    <x v="5"/>
    <n v="2"/>
    <x v="0"/>
    <m/>
    <n v="4996"/>
    <n v="40"/>
    <x v="47"/>
    <x v="176"/>
    <s v=""/>
  </r>
  <r>
    <x v="2374"/>
    <x v="6"/>
    <s v="48.864716"/>
    <s v="2.349014"/>
    <x v="8"/>
    <s v="Medium (201-500)"/>
    <x v="2"/>
    <d v="2024-02-27T00:00:00"/>
    <x v="1"/>
    <x v="5"/>
    <n v="2"/>
    <x v="0"/>
    <m/>
    <n v="7982"/>
    <n v="20"/>
    <x v="347"/>
    <x v="176"/>
    <s v=""/>
  </r>
  <r>
    <x v="2375"/>
    <x v="0"/>
    <s v="52.370216"/>
    <s v="4.895168"/>
    <x v="4"/>
    <s v="Medium (201-500)"/>
    <x v="3"/>
    <d v="2024-02-05T00:00:00"/>
    <x v="1"/>
    <x v="5"/>
    <n v="2"/>
    <x v="0"/>
    <m/>
    <n v="2860"/>
    <n v="40"/>
    <x v="115"/>
    <x v="176"/>
    <s v=""/>
  </r>
  <r>
    <x v="2376"/>
    <x v="2"/>
    <s v="41.902782"/>
    <s v="12.496366"/>
    <x v="11"/>
    <s v="Medium (201-500)"/>
    <x v="3"/>
    <d v="2024-04-01T00:00:00"/>
    <x v="0"/>
    <x v="5"/>
    <n v="2"/>
    <x v="0"/>
    <m/>
    <n v="2517"/>
    <n v="20"/>
    <x v="58"/>
    <x v="176"/>
    <s v=""/>
  </r>
  <r>
    <x v="2377"/>
    <x v="2"/>
    <s v="41.902782"/>
    <s v="12.496366"/>
    <x v="8"/>
    <s v="Medium (201-500)"/>
    <x v="7"/>
    <d v="2024-02-25T00:00:00"/>
    <x v="0"/>
    <x v="5"/>
    <n v="2"/>
    <x v="0"/>
    <m/>
    <n v="7513"/>
    <n v="40"/>
    <x v="31"/>
    <x v="176"/>
    <s v=""/>
  </r>
  <r>
    <x v="2378"/>
    <x v="2"/>
    <s v="41.902782"/>
    <s v="12.496366"/>
    <x v="2"/>
    <s v="Medium (201-500)"/>
    <x v="4"/>
    <d v="2024-04-15T00:00:00"/>
    <x v="0"/>
    <x v="5"/>
    <n v="2"/>
    <x v="0"/>
    <m/>
    <n v="1920"/>
    <n v="40"/>
    <x v="289"/>
    <x v="176"/>
    <s v=""/>
  </r>
  <r>
    <x v="2379"/>
    <x v="1"/>
    <s v="40.416775"/>
    <s v="-3.703790"/>
    <x v="0"/>
    <s v="Medium (201-500)"/>
    <x v="3"/>
    <d v="2024-01-02T00:00:00"/>
    <x v="1"/>
    <x v="5"/>
    <n v="2"/>
    <x v="0"/>
    <m/>
    <n v="7974"/>
    <n v="60"/>
    <x v="364"/>
    <x v="176"/>
    <s v=""/>
  </r>
  <r>
    <x v="2380"/>
    <x v="6"/>
    <s v="48.864716"/>
    <s v="2.349014"/>
    <x v="0"/>
    <s v="Medium (201-500)"/>
    <x v="3"/>
    <d v="2024-05-01T00:00:00"/>
    <x v="0"/>
    <x v="5"/>
    <n v="2"/>
    <x v="0"/>
    <m/>
    <n v="7600"/>
    <n v="40"/>
    <x v="341"/>
    <x v="176"/>
    <s v=""/>
  </r>
  <r>
    <x v="2381"/>
    <x v="1"/>
    <s v="40.416775"/>
    <s v="-3.703790"/>
    <x v="8"/>
    <s v="Medium (201-500)"/>
    <x v="3"/>
    <d v="2024-02-06T00:00:00"/>
    <x v="0"/>
    <x v="5"/>
    <n v="2"/>
    <x v="0"/>
    <m/>
    <n v="294"/>
    <n v="40"/>
    <x v="53"/>
    <x v="176"/>
    <s v=""/>
  </r>
  <r>
    <x v="2382"/>
    <x v="4"/>
    <s v="51.260197"/>
    <s v="4.402771"/>
    <x v="6"/>
    <s v="Medium (201-500)"/>
    <x v="2"/>
    <d v="2024-02-26T00:00:00"/>
    <x v="2"/>
    <x v="5"/>
    <n v="2"/>
    <x v="0"/>
    <m/>
    <n v="6756"/>
    <n v="60"/>
    <x v="357"/>
    <x v="176"/>
    <s v=""/>
  </r>
  <r>
    <x v="2383"/>
    <x v="2"/>
    <s v="41.902782"/>
    <s v="12.496366"/>
    <x v="4"/>
    <s v="Medium (201-500)"/>
    <x v="4"/>
    <d v="2024-04-19T00:00:00"/>
    <x v="1"/>
    <x v="5"/>
    <n v="2"/>
    <x v="0"/>
    <m/>
    <n v="6193"/>
    <n v="40"/>
    <x v="147"/>
    <x v="176"/>
    <s v=""/>
  </r>
  <r>
    <x v="2384"/>
    <x v="5"/>
    <s v="46.204391"/>
    <s v="6.143158"/>
    <x v="12"/>
    <s v="Medium (201-500)"/>
    <x v="5"/>
    <d v="2024-02-05T00:00:00"/>
    <x v="1"/>
    <x v="5"/>
    <n v="2"/>
    <x v="0"/>
    <m/>
    <n v="497"/>
    <n v="100"/>
    <x v="185"/>
    <x v="176"/>
    <s v=""/>
  </r>
  <r>
    <x v="2385"/>
    <x v="6"/>
    <s v="48.864716"/>
    <s v="2.349014"/>
    <x v="6"/>
    <s v="Medium (201-500)"/>
    <x v="7"/>
    <d v="2024-02-28T00:00:00"/>
    <x v="0"/>
    <x v="5"/>
    <n v="2"/>
    <x v="0"/>
    <m/>
    <n v="1304"/>
    <n v="20"/>
    <x v="160"/>
    <x v="176"/>
    <s v=""/>
  </r>
  <r>
    <x v="2386"/>
    <x v="2"/>
    <s v="41.902782"/>
    <s v="12.496366"/>
    <x v="10"/>
    <s v="Medium (201-500)"/>
    <x v="5"/>
    <d v="2024-03-08T00:00:00"/>
    <x v="2"/>
    <x v="5"/>
    <n v="2"/>
    <x v="0"/>
    <m/>
    <n v="3809"/>
    <n v="90"/>
    <x v="49"/>
    <x v="176"/>
    <s v=""/>
  </r>
  <r>
    <x v="2387"/>
    <x v="7"/>
    <s v="48.210033"/>
    <s v="16.363449"/>
    <x v="0"/>
    <s v="Medium (201-500)"/>
    <x v="2"/>
    <d v="2024-01-30T00:00:00"/>
    <x v="2"/>
    <x v="5"/>
    <n v="2"/>
    <x v="0"/>
    <m/>
    <n v="310"/>
    <n v="40"/>
    <x v="5"/>
    <x v="176"/>
    <s v=""/>
  </r>
  <r>
    <x v="2388"/>
    <x v="2"/>
    <s v="41.902782"/>
    <s v="12.496366"/>
    <x v="4"/>
    <s v="Medium (201-500)"/>
    <x v="2"/>
    <d v="2024-02-14T00:00:00"/>
    <x v="2"/>
    <x v="5"/>
    <n v="2"/>
    <x v="0"/>
    <m/>
    <n v="1032"/>
    <n v="60"/>
    <x v="319"/>
    <x v="176"/>
    <s v=""/>
  </r>
  <r>
    <x v="2389"/>
    <x v="2"/>
    <s v="41.902782"/>
    <s v="12.496366"/>
    <x v="4"/>
    <s v="Medium (201-500)"/>
    <x v="7"/>
    <d v="2024-05-24T00:00:00"/>
    <x v="0"/>
    <x v="5"/>
    <n v="2"/>
    <x v="0"/>
    <m/>
    <n v="6064"/>
    <n v="60"/>
    <x v="418"/>
    <x v="176"/>
    <s v=""/>
  </r>
  <r>
    <x v="2390"/>
    <x v="2"/>
    <s v="41.902782"/>
    <s v="12.496366"/>
    <x v="1"/>
    <s v="Medium (201-500)"/>
    <x v="4"/>
    <d v="2024-03-23T00:00:00"/>
    <x v="2"/>
    <x v="5"/>
    <n v="2"/>
    <x v="0"/>
    <m/>
    <n v="6973"/>
    <n v="30"/>
    <x v="329"/>
    <x v="176"/>
    <s v=""/>
  </r>
  <r>
    <x v="2391"/>
    <x v="7"/>
    <s v="48.210033"/>
    <s v="16.363449"/>
    <x v="0"/>
    <s v="Medium (201-500)"/>
    <x v="2"/>
    <d v="2024-01-28T00:00:00"/>
    <x v="0"/>
    <x v="5"/>
    <n v="2"/>
    <x v="0"/>
    <m/>
    <n v="2036"/>
    <n v="60"/>
    <x v="376"/>
    <x v="176"/>
    <s v=""/>
  </r>
  <r>
    <x v="2392"/>
    <x v="1"/>
    <s v="40.416775"/>
    <s v="-3.703790"/>
    <x v="5"/>
    <s v="Medium (201-500)"/>
    <x v="3"/>
    <d v="2024-01-21T00:00:00"/>
    <x v="2"/>
    <x v="5"/>
    <n v="2"/>
    <x v="0"/>
    <m/>
    <n v="6005"/>
    <n v="100"/>
    <x v="61"/>
    <x v="176"/>
    <s v=""/>
  </r>
  <r>
    <x v="2393"/>
    <x v="3"/>
    <s v="52.520008"/>
    <s v="13.404954"/>
    <x v="4"/>
    <s v="Medium (201-500)"/>
    <x v="7"/>
    <d v="2024-01-15T00:00:00"/>
    <x v="0"/>
    <x v="5"/>
    <n v="2"/>
    <x v="0"/>
    <m/>
    <n v="5627"/>
    <n v="20"/>
    <x v="394"/>
    <x v="176"/>
    <s v=""/>
  </r>
  <r>
    <x v="2394"/>
    <x v="2"/>
    <s v="41.902782"/>
    <s v="12.496366"/>
    <x v="11"/>
    <s v="Medium (201-500)"/>
    <x v="2"/>
    <d v="2024-01-09T00:00:00"/>
    <x v="1"/>
    <x v="5"/>
    <n v="2"/>
    <x v="0"/>
    <m/>
    <n v="6932"/>
    <n v="100"/>
    <x v="142"/>
    <x v="176"/>
    <s v=""/>
  </r>
  <r>
    <x v="2395"/>
    <x v="2"/>
    <s v="41.902782"/>
    <s v="12.496366"/>
    <x v="0"/>
    <s v="Medium (201-500)"/>
    <x v="7"/>
    <d v="2024-01-21T00:00:00"/>
    <x v="2"/>
    <x v="5"/>
    <n v="2"/>
    <x v="0"/>
    <m/>
    <n v="6150"/>
    <n v="50"/>
    <x v="316"/>
    <x v="176"/>
    <s v=""/>
  </r>
  <r>
    <x v="2396"/>
    <x v="6"/>
    <s v="48.864716"/>
    <s v="2.349014"/>
    <x v="5"/>
    <s v="Medium (201-500)"/>
    <x v="3"/>
    <d v="2024-03-16T00:00:00"/>
    <x v="0"/>
    <x v="5"/>
    <n v="2"/>
    <x v="0"/>
    <m/>
    <n v="1581"/>
    <n v="30"/>
    <x v="135"/>
    <x v="176"/>
    <s v=""/>
  </r>
  <r>
    <x v="2397"/>
    <x v="6"/>
    <s v="48.864716"/>
    <s v="2.349014"/>
    <x v="8"/>
    <s v="Medium (201-500)"/>
    <x v="6"/>
    <d v="2024-03-24T00:00:00"/>
    <x v="2"/>
    <x v="5"/>
    <n v="2"/>
    <x v="0"/>
    <m/>
    <n v="471"/>
    <n v="50"/>
    <x v="426"/>
    <x v="176"/>
    <s v=""/>
  </r>
  <r>
    <x v="2398"/>
    <x v="3"/>
    <s v="52.520008"/>
    <s v="13.404954"/>
    <x v="11"/>
    <s v="Medium (201-500)"/>
    <x v="3"/>
    <d v="2024-01-22T00:00:00"/>
    <x v="0"/>
    <x v="5"/>
    <n v="2"/>
    <x v="0"/>
    <m/>
    <n v="1243"/>
    <n v="40"/>
    <x v="178"/>
    <x v="176"/>
    <s v=""/>
  </r>
  <r>
    <x v="2399"/>
    <x v="8"/>
    <s v="38.736946"/>
    <s v="-9.142685"/>
    <x v="3"/>
    <s v="Medium (201-500)"/>
    <x v="2"/>
    <d v="2024-03-10T00:00:00"/>
    <x v="2"/>
    <x v="5"/>
    <n v="2"/>
    <x v="0"/>
    <m/>
    <n v="580"/>
    <n v="40"/>
    <x v="289"/>
    <x v="176"/>
    <s v=""/>
  </r>
  <r>
    <x v="2400"/>
    <x v="3"/>
    <s v="52.520008"/>
    <s v="13.404954"/>
    <x v="3"/>
    <s v="Medium (201-500)"/>
    <x v="3"/>
    <d v="2024-02-04T00:00:00"/>
    <x v="2"/>
    <x v="5"/>
    <n v="2"/>
    <x v="0"/>
    <m/>
    <n v="4648"/>
    <n v="70"/>
    <x v="118"/>
    <x v="176"/>
    <s v=""/>
  </r>
  <r>
    <x v="2401"/>
    <x v="2"/>
    <s v="41.902782"/>
    <s v="12.496366"/>
    <x v="5"/>
    <s v="Medium (201-500)"/>
    <x v="3"/>
    <d v="2024-05-02T00:00:00"/>
    <x v="0"/>
    <x v="5"/>
    <n v="2"/>
    <x v="0"/>
    <m/>
    <n v="1296"/>
    <n v="60"/>
    <x v="280"/>
    <x v="176"/>
    <s v=""/>
  </r>
  <r>
    <x v="2402"/>
    <x v="3"/>
    <s v="52.520008"/>
    <s v="13.404954"/>
    <x v="4"/>
    <s v="Medium (201-500)"/>
    <x v="3"/>
    <d v="2024-03-08T00:00:00"/>
    <x v="2"/>
    <x v="5"/>
    <n v="2"/>
    <x v="0"/>
    <m/>
    <n v="4501"/>
    <n v="30"/>
    <x v="239"/>
    <x v="176"/>
    <s v=""/>
  </r>
  <r>
    <x v="2403"/>
    <x v="6"/>
    <s v="48.864716"/>
    <s v="2.349014"/>
    <x v="0"/>
    <s v="Medium (201-500)"/>
    <x v="5"/>
    <d v="2024-02-15T00:00:00"/>
    <x v="2"/>
    <x v="5"/>
    <n v="2"/>
    <x v="0"/>
    <m/>
    <n v="374"/>
    <n v="20"/>
    <x v="56"/>
    <x v="176"/>
    <s v=""/>
  </r>
  <r>
    <x v="2404"/>
    <x v="2"/>
    <s v="41.902782"/>
    <s v="12.496366"/>
    <x v="11"/>
    <s v="Medium (201-500)"/>
    <x v="2"/>
    <d v="2024-03-10T00:00:00"/>
    <x v="2"/>
    <x v="5"/>
    <n v="2"/>
    <x v="0"/>
    <m/>
    <n v="1614"/>
    <n v="50"/>
    <x v="411"/>
    <x v="176"/>
    <s v=""/>
  </r>
  <r>
    <x v="2405"/>
    <x v="3"/>
    <s v="52.520008"/>
    <s v="13.404954"/>
    <x v="4"/>
    <s v="Medium (201-500)"/>
    <x v="2"/>
    <d v="2024-02-14T00:00:00"/>
    <x v="0"/>
    <x v="5"/>
    <n v="2"/>
    <x v="0"/>
    <m/>
    <n v="5847"/>
    <n v="60"/>
    <x v="95"/>
    <x v="176"/>
    <s v=""/>
  </r>
  <r>
    <x v="2406"/>
    <x v="2"/>
    <s v="41.902782"/>
    <s v="12.496366"/>
    <x v="5"/>
    <s v="Medium (201-500)"/>
    <x v="2"/>
    <d v="2024-04-07T00:00:00"/>
    <x v="2"/>
    <x v="5"/>
    <n v="2"/>
    <x v="0"/>
    <m/>
    <n v="1232"/>
    <n v="20"/>
    <x v="336"/>
    <x v="176"/>
    <s v=""/>
  </r>
  <r>
    <x v="2407"/>
    <x v="6"/>
    <s v="48.864716"/>
    <s v="2.349014"/>
    <x v="4"/>
    <s v="Medium (201-500)"/>
    <x v="2"/>
    <d v="2024-03-20T00:00:00"/>
    <x v="2"/>
    <x v="5"/>
    <n v="2"/>
    <x v="0"/>
    <m/>
    <n v="6728"/>
    <n v="40"/>
    <x v="349"/>
    <x v="176"/>
    <s v=""/>
  </r>
  <r>
    <x v="2408"/>
    <x v="6"/>
    <s v="48.864716"/>
    <s v="2.349014"/>
    <x v="5"/>
    <s v="Medium (201-500)"/>
    <x v="2"/>
    <d v="2024-03-09T00:00:00"/>
    <x v="2"/>
    <x v="5"/>
    <n v="2"/>
    <x v="0"/>
    <m/>
    <n v="5807"/>
    <n v="40"/>
    <x v="272"/>
    <x v="176"/>
    <s v=""/>
  </r>
  <r>
    <x v="2409"/>
    <x v="7"/>
    <s v="48.210033"/>
    <s v="16.363449"/>
    <x v="0"/>
    <s v="Medium (201-500)"/>
    <x v="4"/>
    <d v="2024-03-25T00:00:00"/>
    <x v="0"/>
    <x v="5"/>
    <n v="2"/>
    <x v="0"/>
    <m/>
    <n v="5401"/>
    <n v="40"/>
    <x v="328"/>
    <x v="176"/>
    <s v=""/>
  </r>
  <r>
    <x v="2410"/>
    <x v="1"/>
    <s v="40.416775"/>
    <s v="-3.703790"/>
    <x v="10"/>
    <s v="Medium (201-500)"/>
    <x v="2"/>
    <d v="2024-01-15T00:00:00"/>
    <x v="2"/>
    <x v="5"/>
    <n v="2"/>
    <x v="0"/>
    <m/>
    <n v="1613"/>
    <n v="30"/>
    <x v="37"/>
    <x v="176"/>
    <s v=""/>
  </r>
  <r>
    <x v="2411"/>
    <x v="7"/>
    <s v="48.210033"/>
    <s v="16.363449"/>
    <x v="5"/>
    <s v="Medium (201-500)"/>
    <x v="5"/>
    <d v="2024-05-09T00:00:00"/>
    <x v="2"/>
    <x v="5"/>
    <n v="2"/>
    <x v="0"/>
    <m/>
    <n v="7169"/>
    <n v="50"/>
    <x v="281"/>
    <x v="176"/>
    <s v=""/>
  </r>
  <r>
    <x v="2412"/>
    <x v="3"/>
    <s v="52.520008"/>
    <s v="13.404954"/>
    <x v="3"/>
    <s v="Medium (201-500)"/>
    <x v="3"/>
    <d v="2024-01-27T00:00:00"/>
    <x v="1"/>
    <x v="5"/>
    <n v="2"/>
    <x v="0"/>
    <m/>
    <n v="1803"/>
    <n v="20"/>
    <x v="123"/>
    <x v="176"/>
    <s v=""/>
  </r>
  <r>
    <x v="2413"/>
    <x v="3"/>
    <s v="52.520008"/>
    <s v="13.404954"/>
    <x v="8"/>
    <s v="Medium (201-500)"/>
    <x v="2"/>
    <d v="2024-02-09T00:00:00"/>
    <x v="0"/>
    <x v="5"/>
    <n v="2"/>
    <x v="0"/>
    <m/>
    <n v="663"/>
    <n v="10"/>
    <x v="307"/>
    <x v="176"/>
    <s v=""/>
  </r>
  <r>
    <x v="2414"/>
    <x v="5"/>
    <s v="46.204391"/>
    <s v="6.143158"/>
    <x v="0"/>
    <s v="Medium (201-500)"/>
    <x v="3"/>
    <d v="2024-05-19T00:00:00"/>
    <x v="2"/>
    <x v="5"/>
    <n v="2"/>
    <x v="0"/>
    <m/>
    <n v="885"/>
    <n v="70"/>
    <x v="387"/>
    <x v="176"/>
    <s v=""/>
  </r>
  <r>
    <x v="2415"/>
    <x v="8"/>
    <s v="38.736946"/>
    <s v="-9.142685"/>
    <x v="8"/>
    <s v="Medium (201-500)"/>
    <x v="3"/>
    <d v="2024-01-27T00:00:00"/>
    <x v="2"/>
    <x v="5"/>
    <n v="2"/>
    <x v="0"/>
    <m/>
    <n v="7571"/>
    <n v="40"/>
    <x v="257"/>
    <x v="176"/>
    <s v=""/>
  </r>
  <r>
    <x v="2416"/>
    <x v="2"/>
    <s v="41.902782"/>
    <s v="12.496366"/>
    <x v="7"/>
    <s v="Medium (201-500)"/>
    <x v="0"/>
    <d v="2024-04-27T00:00:00"/>
    <x v="2"/>
    <x v="5"/>
    <n v="2"/>
    <x v="0"/>
    <m/>
    <n v="5058"/>
    <n v="30"/>
    <x v="432"/>
    <x v="176"/>
    <s v=""/>
  </r>
  <r>
    <x v="2417"/>
    <x v="2"/>
    <s v="41.902782"/>
    <s v="12.496366"/>
    <x v="0"/>
    <s v="Medium (201-500)"/>
    <x v="3"/>
    <d v="2024-01-15T00:00:00"/>
    <x v="0"/>
    <x v="5"/>
    <n v="2"/>
    <x v="0"/>
    <m/>
    <n v="4828"/>
    <n v="60"/>
    <x v="70"/>
    <x v="176"/>
    <s v=""/>
  </r>
  <r>
    <x v="2418"/>
    <x v="5"/>
    <s v="46.204391"/>
    <s v="6.143158"/>
    <x v="0"/>
    <s v="Medium (201-500)"/>
    <x v="4"/>
    <d v="2024-05-16T00:00:00"/>
    <x v="2"/>
    <x v="5"/>
    <n v="2"/>
    <x v="0"/>
    <m/>
    <n v="5923"/>
    <n v="80"/>
    <x v="442"/>
    <x v="176"/>
    <s v=""/>
  </r>
  <r>
    <x v="2419"/>
    <x v="6"/>
    <s v="48.864716"/>
    <s v="2.349014"/>
    <x v="11"/>
    <s v="Medium (201-500)"/>
    <x v="1"/>
    <d v="2024-05-14T00:00:00"/>
    <x v="2"/>
    <x v="5"/>
    <n v="2"/>
    <x v="0"/>
    <m/>
    <n v="2433"/>
    <n v="30"/>
    <x v="56"/>
    <x v="176"/>
    <s v=""/>
  </r>
  <r>
    <x v="2420"/>
    <x v="0"/>
    <s v="52.370216"/>
    <s v="4.895168"/>
    <x v="1"/>
    <s v="Medium (201-500)"/>
    <x v="3"/>
    <d v="2024-01-13T00:00:00"/>
    <x v="0"/>
    <x v="5"/>
    <n v="2"/>
    <x v="0"/>
    <m/>
    <n v="7461"/>
    <n v="40"/>
    <x v="89"/>
    <x v="176"/>
    <s v=""/>
  </r>
  <r>
    <x v="2421"/>
    <x v="6"/>
    <s v="48.864716"/>
    <s v="2.349014"/>
    <x v="3"/>
    <s v="Medium (201-500)"/>
    <x v="3"/>
    <d v="2024-03-26T00:00:00"/>
    <x v="0"/>
    <x v="5"/>
    <n v="2"/>
    <x v="0"/>
    <m/>
    <n v="3504"/>
    <n v="70"/>
    <x v="281"/>
    <x v="176"/>
    <s v=""/>
  </r>
  <r>
    <x v="2422"/>
    <x v="5"/>
    <s v="46.204391"/>
    <s v="6.143158"/>
    <x v="5"/>
    <s v="Medium (201-500)"/>
    <x v="3"/>
    <d v="2024-03-25T00:00:00"/>
    <x v="0"/>
    <x v="5"/>
    <n v="2"/>
    <x v="0"/>
    <m/>
    <n v="7764"/>
    <n v="40"/>
    <x v="179"/>
    <x v="176"/>
    <s v=""/>
  </r>
  <r>
    <x v="2423"/>
    <x v="1"/>
    <s v="40.416775"/>
    <s v="-3.703790"/>
    <x v="11"/>
    <s v="Medium (201-500)"/>
    <x v="2"/>
    <d v="2024-01-23T00:00:00"/>
    <x v="2"/>
    <x v="5"/>
    <n v="2"/>
    <x v="0"/>
    <m/>
    <n v="2029"/>
    <n v="40"/>
    <x v="277"/>
    <x v="176"/>
    <s v=""/>
  </r>
  <r>
    <x v="2424"/>
    <x v="6"/>
    <s v="48.864716"/>
    <s v="2.349014"/>
    <x v="9"/>
    <s v="Medium (201-500)"/>
    <x v="1"/>
    <d v="2024-01-28T00:00:00"/>
    <x v="1"/>
    <x v="5"/>
    <n v="2"/>
    <x v="0"/>
    <m/>
    <n v="3810"/>
    <n v="40"/>
    <x v="44"/>
    <x v="176"/>
    <s v=""/>
  </r>
  <r>
    <x v="2425"/>
    <x v="1"/>
    <s v="40.416775"/>
    <s v="-3.703790"/>
    <x v="8"/>
    <s v="Medium (201-500)"/>
    <x v="4"/>
    <d v="2024-03-08T00:00:00"/>
    <x v="2"/>
    <x v="5"/>
    <n v="2"/>
    <x v="0"/>
    <m/>
    <n v="6263"/>
    <n v="40"/>
    <x v="186"/>
    <x v="176"/>
    <s v=""/>
  </r>
  <r>
    <x v="2426"/>
    <x v="1"/>
    <s v="40.416775"/>
    <s v="-3.703790"/>
    <x v="4"/>
    <s v="Medium (201-500)"/>
    <x v="2"/>
    <d v="2024-03-25T00:00:00"/>
    <x v="0"/>
    <x v="5"/>
    <n v="2"/>
    <x v="0"/>
    <m/>
    <n v="5414"/>
    <n v="50"/>
    <x v="111"/>
    <x v="176"/>
    <s v=""/>
  </r>
  <r>
    <x v="2427"/>
    <x v="3"/>
    <s v="52.520008"/>
    <s v="13.404954"/>
    <x v="0"/>
    <s v="Medium (201-500)"/>
    <x v="0"/>
    <d v="2024-04-15T00:00:00"/>
    <x v="2"/>
    <x v="5"/>
    <n v="2"/>
    <x v="0"/>
    <m/>
    <n v="2200"/>
    <n v="50"/>
    <x v="442"/>
    <x v="176"/>
    <s v=""/>
  </r>
  <r>
    <x v="2428"/>
    <x v="6"/>
    <s v="48.864716"/>
    <s v="2.349014"/>
    <x v="12"/>
    <s v="Medium (201-500)"/>
    <x v="2"/>
    <d v="2024-02-14T00:00:00"/>
    <x v="0"/>
    <x v="5"/>
    <n v="2"/>
    <x v="0"/>
    <m/>
    <n v="3651"/>
    <n v="70"/>
    <x v="163"/>
    <x v="176"/>
    <s v=""/>
  </r>
  <r>
    <x v="2429"/>
    <x v="2"/>
    <s v="41.902782"/>
    <s v="12.496366"/>
    <x v="0"/>
    <s v="Medium (201-500)"/>
    <x v="7"/>
    <d v="2024-01-19T00:00:00"/>
    <x v="2"/>
    <x v="5"/>
    <n v="2"/>
    <x v="0"/>
    <m/>
    <n v="7926"/>
    <n v="70"/>
    <x v="332"/>
    <x v="176"/>
    <s v=""/>
  </r>
  <r>
    <x v="2430"/>
    <x v="2"/>
    <s v="41.902782"/>
    <s v="12.496366"/>
    <x v="11"/>
    <s v="Medium (201-500)"/>
    <x v="3"/>
    <d v="2024-05-19T00:00:00"/>
    <x v="0"/>
    <x v="5"/>
    <n v="2"/>
    <x v="0"/>
    <m/>
    <n v="4444"/>
    <n v="100"/>
    <x v="85"/>
    <x v="176"/>
    <s v=""/>
  </r>
  <r>
    <x v="2431"/>
    <x v="4"/>
    <s v="51.260197"/>
    <s v="4.402771"/>
    <x v="0"/>
    <s v="Medium (201-500)"/>
    <x v="4"/>
    <d v="2024-04-06T00:00:00"/>
    <x v="1"/>
    <x v="5"/>
    <n v="2"/>
    <x v="0"/>
    <m/>
    <n v="7369"/>
    <n v="50"/>
    <x v="436"/>
    <x v="176"/>
    <s v=""/>
  </r>
  <r>
    <x v="2432"/>
    <x v="3"/>
    <s v="52.520008"/>
    <s v="13.404954"/>
    <x v="4"/>
    <s v="Medium (201-500)"/>
    <x v="4"/>
    <d v="2024-01-29T00:00:00"/>
    <x v="2"/>
    <x v="5"/>
    <n v="2"/>
    <x v="0"/>
    <m/>
    <n v="3710"/>
    <n v="50"/>
    <x v="238"/>
    <x v="176"/>
    <s v=""/>
  </r>
  <r>
    <x v="2433"/>
    <x v="7"/>
    <s v="48.210033"/>
    <s v="16.363449"/>
    <x v="5"/>
    <s v="Medium (201-500)"/>
    <x v="4"/>
    <d v="2024-01-22T00:00:00"/>
    <x v="0"/>
    <x v="5"/>
    <n v="2"/>
    <x v="0"/>
    <m/>
    <n v="7763"/>
    <n v="30"/>
    <x v="390"/>
    <x v="176"/>
    <s v=""/>
  </r>
  <r>
    <x v="2434"/>
    <x v="2"/>
    <s v="41.902782"/>
    <s v="12.496366"/>
    <x v="4"/>
    <s v="Medium (201-500)"/>
    <x v="2"/>
    <d v="2024-04-23T00:00:00"/>
    <x v="2"/>
    <x v="5"/>
    <n v="2"/>
    <x v="0"/>
    <m/>
    <n v="6622"/>
    <n v="50"/>
    <x v="21"/>
    <x v="176"/>
    <s v=""/>
  </r>
  <r>
    <x v="2435"/>
    <x v="6"/>
    <s v="48.864716"/>
    <s v="2.349014"/>
    <x v="4"/>
    <s v="Medium (201-500)"/>
    <x v="3"/>
    <d v="2024-04-18T00:00:00"/>
    <x v="1"/>
    <x v="5"/>
    <n v="2"/>
    <x v="0"/>
    <m/>
    <n v="2546"/>
    <n v="20"/>
    <x v="145"/>
    <x v="176"/>
    <s v=""/>
  </r>
  <r>
    <x v="2436"/>
    <x v="2"/>
    <s v="41.902782"/>
    <s v="12.496366"/>
    <x v="8"/>
    <s v="Medium (201-500)"/>
    <x v="1"/>
    <d v="2024-01-06T00:00:00"/>
    <x v="0"/>
    <x v="5"/>
    <n v="2"/>
    <x v="0"/>
    <m/>
    <n v="2304"/>
    <n v="20"/>
    <x v="55"/>
    <x v="176"/>
    <s v=""/>
  </r>
  <r>
    <x v="2437"/>
    <x v="8"/>
    <s v="38.736946"/>
    <s v="-9.142685"/>
    <x v="4"/>
    <s v="Medium (201-500)"/>
    <x v="1"/>
    <d v="2024-02-27T00:00:00"/>
    <x v="0"/>
    <x v="5"/>
    <n v="2"/>
    <x v="0"/>
    <m/>
    <n v="7126"/>
    <n v="80"/>
    <x v="165"/>
    <x v="176"/>
    <s v=""/>
  </r>
  <r>
    <x v="2438"/>
    <x v="2"/>
    <s v="41.902782"/>
    <s v="12.496366"/>
    <x v="3"/>
    <s v="Medium (201-500)"/>
    <x v="3"/>
    <d v="2024-04-05T00:00:00"/>
    <x v="0"/>
    <x v="5"/>
    <n v="2"/>
    <x v="0"/>
    <m/>
    <n v="1460"/>
    <n v="20"/>
    <x v="42"/>
    <x v="176"/>
    <s v=""/>
  </r>
  <r>
    <x v="2439"/>
    <x v="5"/>
    <s v="46.204391"/>
    <s v="6.143158"/>
    <x v="8"/>
    <s v="Medium (201-500)"/>
    <x v="1"/>
    <d v="2024-05-06T00:00:00"/>
    <x v="0"/>
    <x v="5"/>
    <n v="2"/>
    <x v="0"/>
    <m/>
    <n v="4046"/>
    <n v="20"/>
    <x v="186"/>
    <x v="176"/>
    <s v=""/>
  </r>
  <r>
    <x v="2440"/>
    <x v="6"/>
    <s v="48.864716"/>
    <s v="2.349014"/>
    <x v="4"/>
    <s v="Medium (201-500)"/>
    <x v="5"/>
    <d v="2024-04-23T00:00:00"/>
    <x v="0"/>
    <x v="5"/>
    <n v="2"/>
    <x v="0"/>
    <m/>
    <n v="4782"/>
    <n v="50"/>
    <x v="392"/>
    <x v="176"/>
    <s v=""/>
  </r>
  <r>
    <x v="2441"/>
    <x v="4"/>
    <s v="51.260197"/>
    <s v="4.402771"/>
    <x v="4"/>
    <s v="Medium (201-500)"/>
    <x v="5"/>
    <d v="2024-05-29T00:00:00"/>
    <x v="1"/>
    <x v="5"/>
    <n v="2"/>
    <x v="0"/>
    <m/>
    <n v="3974"/>
    <n v="50"/>
    <x v="255"/>
    <x v="176"/>
    <s v=""/>
  </r>
  <r>
    <x v="2442"/>
    <x v="2"/>
    <s v="41.902782"/>
    <s v="12.496366"/>
    <x v="5"/>
    <s v="Medium (201-500)"/>
    <x v="2"/>
    <d v="2024-05-04T00:00:00"/>
    <x v="0"/>
    <x v="5"/>
    <n v="2"/>
    <x v="0"/>
    <m/>
    <n v="6936"/>
    <n v="30"/>
    <x v="121"/>
    <x v="176"/>
    <s v=""/>
  </r>
  <r>
    <x v="2443"/>
    <x v="6"/>
    <s v="48.864716"/>
    <s v="2.349014"/>
    <x v="5"/>
    <s v="Medium (201-500)"/>
    <x v="3"/>
    <d v="2024-05-02T00:00:00"/>
    <x v="1"/>
    <x v="5"/>
    <n v="2"/>
    <x v="0"/>
    <m/>
    <n v="7662"/>
    <n v="50"/>
    <x v="20"/>
    <x v="176"/>
    <s v=""/>
  </r>
  <r>
    <x v="2444"/>
    <x v="8"/>
    <s v="38.736946"/>
    <s v="-9.142685"/>
    <x v="5"/>
    <s v="Medium (201-500)"/>
    <x v="2"/>
    <d v="2024-02-24T00:00:00"/>
    <x v="0"/>
    <x v="5"/>
    <n v="2"/>
    <x v="0"/>
    <m/>
    <n v="7867"/>
    <n v="10"/>
    <x v="134"/>
    <x v="176"/>
    <s v=""/>
  </r>
  <r>
    <x v="2445"/>
    <x v="3"/>
    <s v="52.520008"/>
    <s v="13.404954"/>
    <x v="12"/>
    <s v="Medium (201-500)"/>
    <x v="2"/>
    <d v="2024-03-11T00:00:00"/>
    <x v="0"/>
    <x v="5"/>
    <n v="2"/>
    <x v="0"/>
    <m/>
    <n v="7425"/>
    <n v="30"/>
    <x v="42"/>
    <x v="176"/>
    <s v=""/>
  </r>
  <r>
    <x v="2446"/>
    <x v="6"/>
    <s v="48.864716"/>
    <s v="2.349014"/>
    <x v="4"/>
    <s v="Medium (201-500)"/>
    <x v="4"/>
    <d v="2024-02-13T00:00:00"/>
    <x v="1"/>
    <x v="5"/>
    <n v="2"/>
    <x v="0"/>
    <m/>
    <n v="6734"/>
    <n v="30"/>
    <x v="94"/>
    <x v="176"/>
    <s v=""/>
  </r>
  <r>
    <x v="2447"/>
    <x v="3"/>
    <s v="52.520008"/>
    <s v="13.404954"/>
    <x v="5"/>
    <s v="Medium (201-500)"/>
    <x v="4"/>
    <d v="2024-01-23T00:00:00"/>
    <x v="1"/>
    <x v="5"/>
    <n v="2"/>
    <x v="0"/>
    <m/>
    <n v="1252"/>
    <n v="90"/>
    <x v="134"/>
    <x v="176"/>
    <s v=""/>
  </r>
  <r>
    <x v="2448"/>
    <x v="2"/>
    <s v="41.902782"/>
    <s v="12.496366"/>
    <x v="11"/>
    <s v="Medium (201-500)"/>
    <x v="2"/>
    <d v="2024-04-20T00:00:00"/>
    <x v="1"/>
    <x v="5"/>
    <n v="2"/>
    <x v="0"/>
    <m/>
    <n v="3722"/>
    <n v="20"/>
    <x v="8"/>
    <x v="176"/>
    <s v=""/>
  </r>
  <r>
    <x v="2449"/>
    <x v="2"/>
    <s v="41.902782"/>
    <s v="12.496366"/>
    <x v="5"/>
    <s v="Medium (201-500)"/>
    <x v="7"/>
    <d v="2024-03-06T00:00:00"/>
    <x v="2"/>
    <x v="5"/>
    <n v="2"/>
    <x v="0"/>
    <m/>
    <n v="4195"/>
    <n v="100"/>
    <x v="91"/>
    <x v="176"/>
    <s v=""/>
  </r>
  <r>
    <x v="2450"/>
    <x v="2"/>
    <s v="41.902782"/>
    <s v="12.496366"/>
    <x v="5"/>
    <s v="Medium (201-500)"/>
    <x v="3"/>
    <d v="2024-03-18T00:00:00"/>
    <x v="2"/>
    <x v="5"/>
    <n v="2"/>
    <x v="0"/>
    <m/>
    <n v="471"/>
    <n v="10"/>
    <x v="44"/>
    <x v="176"/>
    <s v=""/>
  </r>
  <r>
    <x v="2451"/>
    <x v="4"/>
    <s v="51.260197"/>
    <s v="4.402771"/>
    <x v="9"/>
    <s v="Large (501-1000)"/>
    <x v="4"/>
    <d v="2024-04-23T00:00:00"/>
    <x v="1"/>
    <x v="5"/>
    <n v="2"/>
    <x v="0"/>
    <m/>
    <n v="6401"/>
    <n v="30"/>
    <x v="90"/>
    <x v="176"/>
    <s v=""/>
  </r>
  <r>
    <x v="2452"/>
    <x v="6"/>
    <s v="48.864716"/>
    <s v="2.349014"/>
    <x v="6"/>
    <s v="Large (501-1000)"/>
    <x v="3"/>
    <d v="2024-02-15T00:00:00"/>
    <x v="1"/>
    <x v="5"/>
    <n v="2"/>
    <x v="0"/>
    <m/>
    <n v="3509"/>
    <n v="50"/>
    <x v="47"/>
    <x v="176"/>
    <s v=""/>
  </r>
  <r>
    <x v="2453"/>
    <x v="0"/>
    <s v="52.370216"/>
    <s v="4.895168"/>
    <x v="9"/>
    <s v="Large (501-1000)"/>
    <x v="0"/>
    <d v="2024-04-16T00:00:00"/>
    <x v="2"/>
    <x v="5"/>
    <n v="2"/>
    <x v="0"/>
    <m/>
    <n v="15613"/>
    <n v="20"/>
    <x v="2"/>
    <x v="176"/>
    <s v=""/>
  </r>
  <r>
    <x v="2454"/>
    <x v="8"/>
    <s v="38.736946"/>
    <s v="-9.142685"/>
    <x v="8"/>
    <s v="Large (501-1000)"/>
    <x v="1"/>
    <d v="2024-03-09T00:00:00"/>
    <x v="0"/>
    <x v="5"/>
    <n v="2"/>
    <x v="0"/>
    <m/>
    <n v="17391"/>
    <n v="50"/>
    <x v="49"/>
    <x v="176"/>
    <s v=""/>
  </r>
  <r>
    <x v="2455"/>
    <x v="6"/>
    <s v="48.864716"/>
    <s v="2.349014"/>
    <x v="5"/>
    <s v="Large (501-1000)"/>
    <x v="2"/>
    <d v="2024-03-31T00:00:00"/>
    <x v="1"/>
    <x v="5"/>
    <n v="2"/>
    <x v="0"/>
    <m/>
    <n v="8728"/>
    <n v="50"/>
    <x v="419"/>
    <x v="176"/>
    <s v=""/>
  </r>
  <r>
    <x v="2456"/>
    <x v="1"/>
    <s v="40.416775"/>
    <s v="-3.703790"/>
    <x v="4"/>
    <s v="Large (501-1000)"/>
    <x v="3"/>
    <d v="2024-03-10T00:00:00"/>
    <x v="0"/>
    <x v="5"/>
    <n v="2"/>
    <x v="0"/>
    <m/>
    <n v="19944"/>
    <n v="30"/>
    <x v="282"/>
    <x v="176"/>
    <s v=""/>
  </r>
  <r>
    <x v="2457"/>
    <x v="3"/>
    <s v="52.520008"/>
    <s v="13.404954"/>
    <x v="4"/>
    <s v="Large (501-1000)"/>
    <x v="0"/>
    <d v="2024-01-05T00:00:00"/>
    <x v="2"/>
    <x v="5"/>
    <n v="2"/>
    <x v="0"/>
    <m/>
    <n v="16407"/>
    <n v="20"/>
    <x v="0"/>
    <x v="176"/>
    <s v=""/>
  </r>
  <r>
    <x v="2458"/>
    <x v="2"/>
    <s v="41.902782"/>
    <s v="12.496366"/>
    <x v="0"/>
    <s v="Large (501-1000)"/>
    <x v="3"/>
    <d v="2024-04-14T00:00:00"/>
    <x v="1"/>
    <x v="5"/>
    <n v="2"/>
    <x v="0"/>
    <m/>
    <n v="9178"/>
    <n v="30"/>
    <x v="427"/>
    <x v="176"/>
    <s v=""/>
  </r>
  <r>
    <x v="2459"/>
    <x v="3"/>
    <s v="52.520008"/>
    <s v="13.404954"/>
    <x v="4"/>
    <s v="Large (501-1000)"/>
    <x v="2"/>
    <d v="2024-05-12T00:00:00"/>
    <x v="1"/>
    <x v="5"/>
    <n v="2"/>
    <x v="0"/>
    <m/>
    <n v="18690"/>
    <n v="20"/>
    <x v="324"/>
    <x v="176"/>
    <s v=""/>
  </r>
  <r>
    <x v="2460"/>
    <x v="6"/>
    <s v="48.864716"/>
    <s v="2.349014"/>
    <x v="13"/>
    <s v="Large (501-1000)"/>
    <x v="4"/>
    <d v="2024-05-26T00:00:00"/>
    <x v="0"/>
    <x v="5"/>
    <n v="2"/>
    <x v="0"/>
    <m/>
    <n v="11651"/>
    <n v="10"/>
    <x v="258"/>
    <x v="176"/>
    <s v=""/>
  </r>
  <r>
    <x v="2461"/>
    <x v="3"/>
    <s v="52.520008"/>
    <s v="13.404954"/>
    <x v="0"/>
    <s v="Enterprise (1001+)"/>
    <x v="5"/>
    <d v="2024-03-04T00:00:00"/>
    <x v="0"/>
    <x v="5"/>
    <n v="2"/>
    <x v="0"/>
    <m/>
    <n v="18590"/>
    <n v="100"/>
    <x v="256"/>
    <x v="176"/>
    <s v=""/>
  </r>
  <r>
    <x v="2462"/>
    <x v="3"/>
    <s v="52.520008"/>
    <s v="13.404954"/>
    <x v="12"/>
    <s v="Enterprise (1001+)"/>
    <x v="0"/>
    <d v="2024-01-20T00:00:00"/>
    <x v="0"/>
    <x v="5"/>
    <n v="2"/>
    <x v="0"/>
    <m/>
    <n v="3572"/>
    <n v="20"/>
    <x v="160"/>
    <x v="176"/>
    <s v=""/>
  </r>
  <r>
    <x v="2463"/>
    <x v="4"/>
    <s v="51.260197"/>
    <s v="4.402771"/>
    <x v="4"/>
    <s v="Enterprise (1001+)"/>
    <x v="1"/>
    <d v="2024-05-24T00:00:00"/>
    <x v="2"/>
    <x v="5"/>
    <n v="2"/>
    <x v="0"/>
    <m/>
    <n v="18831"/>
    <n v="30"/>
    <x v="16"/>
    <x v="176"/>
    <s v=""/>
  </r>
  <r>
    <x v="2464"/>
    <x v="4"/>
    <s v="51.260197"/>
    <s v="4.402771"/>
    <x v="11"/>
    <s v="Enterprise (1001+)"/>
    <x v="4"/>
    <d v="2024-01-18T00:00:00"/>
    <x v="2"/>
    <x v="5"/>
    <n v="2"/>
    <x v="0"/>
    <m/>
    <n v="11323"/>
    <n v="60"/>
    <x v="269"/>
    <x v="176"/>
    <s v=""/>
  </r>
  <r>
    <x v="2465"/>
    <x v="1"/>
    <s v="40.416775"/>
    <s v="-3.703790"/>
    <x v="4"/>
    <s v="Enterprise (1001+)"/>
    <x v="4"/>
    <d v="2024-05-23T00:00:00"/>
    <x v="2"/>
    <x v="5"/>
    <n v="2"/>
    <x v="0"/>
    <m/>
    <n v="6239"/>
    <n v="100"/>
    <x v="404"/>
    <x v="176"/>
    <s v=""/>
  </r>
  <r>
    <x v="2466"/>
    <x v="8"/>
    <s v="38.736946"/>
    <s v="-9.142685"/>
    <x v="2"/>
    <s v="Enterprise (1001+)"/>
    <x v="1"/>
    <d v="2024-03-23T00:00:00"/>
    <x v="1"/>
    <x v="5"/>
    <n v="2"/>
    <x v="0"/>
    <m/>
    <n v="4196"/>
    <n v="10"/>
    <x v="172"/>
    <x v="176"/>
    <s v=""/>
  </r>
  <r>
    <x v="2467"/>
    <x v="0"/>
    <s v="52.370216"/>
    <s v="4.895168"/>
    <x v="11"/>
    <s v="Enterprise (1001+)"/>
    <x v="4"/>
    <d v="2024-05-06T00:00:00"/>
    <x v="1"/>
    <x v="5"/>
    <n v="2"/>
    <x v="0"/>
    <m/>
    <n v="4265"/>
    <n v="40"/>
    <x v="258"/>
    <x v="176"/>
    <s v=""/>
  </r>
  <r>
    <x v="2468"/>
    <x v="0"/>
    <s v="52.370216"/>
    <s v="4.895168"/>
    <x v="11"/>
    <s v="Enterprise (1001+)"/>
    <x v="1"/>
    <d v="2024-02-08T00:00:00"/>
    <x v="1"/>
    <x v="5"/>
    <n v="2"/>
    <x v="0"/>
    <m/>
    <n v="19873"/>
    <n v="30"/>
    <x v="38"/>
    <x v="176"/>
    <s v=""/>
  </r>
  <r>
    <x v="2469"/>
    <x v="2"/>
    <s v="41.902782"/>
    <s v="12.496366"/>
    <x v="11"/>
    <s v="Enterprise (1001+)"/>
    <x v="4"/>
    <d v="2024-03-09T00:00:00"/>
    <x v="2"/>
    <x v="5"/>
    <n v="2"/>
    <x v="0"/>
    <m/>
    <n v="13179"/>
    <n v="90"/>
    <x v="325"/>
    <x v="176"/>
    <s v=""/>
  </r>
  <r>
    <x v="2470"/>
    <x v="5"/>
    <s v="46.204391"/>
    <s v="6.143158"/>
    <x v="8"/>
    <s v="Enterprise (1001+)"/>
    <x v="2"/>
    <d v="2024-03-18T00:00:00"/>
    <x v="1"/>
    <x v="5"/>
    <n v="2"/>
    <x v="0"/>
    <m/>
    <n v="19826"/>
    <n v="30"/>
    <x v="107"/>
    <x v="176"/>
    <s v=""/>
  </r>
  <r>
    <x v="2471"/>
    <x v="2"/>
    <s v="41.902782"/>
    <s v="12.496366"/>
    <x v="3"/>
    <s v="Enterprise (1001+)"/>
    <x v="0"/>
    <d v="2024-01-07T00:00:00"/>
    <x v="1"/>
    <x v="5"/>
    <n v="2"/>
    <x v="0"/>
    <m/>
    <n v="13457"/>
    <n v="20"/>
    <x v="245"/>
    <x v="176"/>
    <s v=""/>
  </r>
  <r>
    <x v="2472"/>
    <x v="4"/>
    <s v="51.260197"/>
    <s v="4.402771"/>
    <x v="9"/>
    <s v="Small (11-200)"/>
    <x v="4"/>
    <d v="2024-05-21T00:00:00"/>
    <x v="0"/>
    <x v="6"/>
    <n v="4"/>
    <x v="0"/>
    <m/>
    <n v="388"/>
    <n v="20"/>
    <x v="451"/>
    <x v="176"/>
    <s v=""/>
  </r>
  <r>
    <x v="2473"/>
    <x v="6"/>
    <s v="48.864716"/>
    <s v="2.349014"/>
    <x v="4"/>
    <s v="Small (11-200)"/>
    <x v="3"/>
    <d v="2024-03-12T00:00:00"/>
    <x v="0"/>
    <x v="6"/>
    <n v="4"/>
    <x v="0"/>
    <m/>
    <n v="826"/>
    <n v="50"/>
    <x v="284"/>
    <x v="176"/>
    <s v=""/>
  </r>
  <r>
    <x v="2474"/>
    <x v="3"/>
    <s v="52.520008"/>
    <s v="13.404954"/>
    <x v="0"/>
    <s v="Small (11-200)"/>
    <x v="2"/>
    <d v="2024-05-15T00:00:00"/>
    <x v="0"/>
    <x v="6"/>
    <n v="4"/>
    <x v="0"/>
    <m/>
    <n v="465"/>
    <n v="100"/>
    <x v="135"/>
    <x v="176"/>
    <s v=""/>
  </r>
  <r>
    <x v="2475"/>
    <x v="5"/>
    <s v="46.204391"/>
    <s v="6.143158"/>
    <x v="4"/>
    <s v="Small (11-200)"/>
    <x v="7"/>
    <d v="2024-02-19T00:00:00"/>
    <x v="0"/>
    <x v="6"/>
    <n v="4"/>
    <x v="0"/>
    <m/>
    <n v="1869"/>
    <n v="30"/>
    <x v="324"/>
    <x v="176"/>
    <s v=""/>
  </r>
  <r>
    <x v="2476"/>
    <x v="7"/>
    <s v="48.210033"/>
    <s v="16.363449"/>
    <x v="7"/>
    <s v="Small (11-200)"/>
    <x v="3"/>
    <d v="2024-01-08T00:00:00"/>
    <x v="2"/>
    <x v="6"/>
    <n v="4"/>
    <x v="0"/>
    <m/>
    <n v="1673"/>
    <n v="40"/>
    <x v="91"/>
    <x v="176"/>
    <s v=""/>
  </r>
  <r>
    <x v="2477"/>
    <x v="2"/>
    <s v="41.902782"/>
    <s v="12.496366"/>
    <x v="3"/>
    <s v="Small (11-200)"/>
    <x v="2"/>
    <d v="2024-01-30T00:00:00"/>
    <x v="2"/>
    <x v="6"/>
    <n v="4"/>
    <x v="0"/>
    <m/>
    <n v="1064"/>
    <n v="90"/>
    <x v="380"/>
    <x v="176"/>
    <s v=""/>
  </r>
  <r>
    <x v="2478"/>
    <x v="5"/>
    <s v="46.204391"/>
    <s v="6.143158"/>
    <x v="1"/>
    <s v="Small (11-200)"/>
    <x v="3"/>
    <d v="2024-05-02T00:00:00"/>
    <x v="0"/>
    <x v="6"/>
    <n v="4"/>
    <x v="0"/>
    <m/>
    <n v="697"/>
    <n v="30"/>
    <x v="137"/>
    <x v="176"/>
    <s v=""/>
  </r>
  <r>
    <x v="2479"/>
    <x v="1"/>
    <s v="40.416775"/>
    <s v="-3.703790"/>
    <x v="0"/>
    <s v="Small (11-200)"/>
    <x v="4"/>
    <d v="2024-01-09T00:00:00"/>
    <x v="0"/>
    <x v="6"/>
    <n v="4"/>
    <x v="0"/>
    <m/>
    <n v="1099"/>
    <n v="50"/>
    <x v="452"/>
    <x v="176"/>
    <s v=""/>
  </r>
  <r>
    <x v="2480"/>
    <x v="5"/>
    <s v="46.204391"/>
    <s v="6.143158"/>
    <x v="11"/>
    <s v="Small (11-200)"/>
    <x v="7"/>
    <d v="2024-02-12T00:00:00"/>
    <x v="1"/>
    <x v="6"/>
    <n v="4"/>
    <x v="0"/>
    <m/>
    <n v="1422"/>
    <n v="30"/>
    <x v="200"/>
    <x v="176"/>
    <s v=""/>
  </r>
  <r>
    <x v="2481"/>
    <x v="1"/>
    <s v="40.416775"/>
    <s v="-3.703790"/>
    <x v="2"/>
    <s v="Small (11-200)"/>
    <x v="0"/>
    <d v="2024-05-09T00:00:00"/>
    <x v="1"/>
    <x v="6"/>
    <n v="4"/>
    <x v="0"/>
    <m/>
    <n v="840"/>
    <n v="50"/>
    <x v="261"/>
    <x v="176"/>
    <s v=""/>
  </r>
  <r>
    <x v="2482"/>
    <x v="2"/>
    <s v="41.902782"/>
    <s v="12.496366"/>
    <x v="2"/>
    <s v="Small (11-200)"/>
    <x v="3"/>
    <d v="2024-03-21T00:00:00"/>
    <x v="2"/>
    <x v="6"/>
    <n v="4"/>
    <x v="0"/>
    <m/>
    <n v="1058"/>
    <n v="40"/>
    <x v="346"/>
    <x v="176"/>
    <s v=""/>
  </r>
  <r>
    <x v="2483"/>
    <x v="4"/>
    <s v="51.260197"/>
    <s v="4.402771"/>
    <x v="7"/>
    <s v="Small (11-200)"/>
    <x v="5"/>
    <d v="2024-01-06T00:00:00"/>
    <x v="2"/>
    <x v="6"/>
    <n v="4"/>
    <x v="0"/>
    <m/>
    <n v="1598"/>
    <n v="30"/>
    <x v="127"/>
    <x v="176"/>
    <s v=""/>
  </r>
  <r>
    <x v="2484"/>
    <x v="8"/>
    <s v="38.736946"/>
    <s v="-9.142685"/>
    <x v="3"/>
    <s v="Small (11-200)"/>
    <x v="4"/>
    <d v="2024-02-16T00:00:00"/>
    <x v="0"/>
    <x v="6"/>
    <n v="4"/>
    <x v="0"/>
    <m/>
    <n v="669"/>
    <n v="20"/>
    <x v="130"/>
    <x v="176"/>
    <s v=""/>
  </r>
  <r>
    <x v="2485"/>
    <x v="3"/>
    <s v="52.520008"/>
    <s v="13.404954"/>
    <x v="13"/>
    <s v="Small (11-200)"/>
    <x v="5"/>
    <d v="2024-02-15T00:00:00"/>
    <x v="2"/>
    <x v="6"/>
    <n v="4"/>
    <x v="0"/>
    <m/>
    <n v="1790"/>
    <n v="20"/>
    <x v="357"/>
    <x v="176"/>
    <s v=""/>
  </r>
  <r>
    <x v="2486"/>
    <x v="8"/>
    <s v="38.736946"/>
    <s v="-9.142685"/>
    <x v="10"/>
    <s v="Small (11-200)"/>
    <x v="2"/>
    <d v="2024-02-22T00:00:00"/>
    <x v="0"/>
    <x v="6"/>
    <n v="4"/>
    <x v="0"/>
    <m/>
    <n v="1472"/>
    <n v="30"/>
    <x v="248"/>
    <x v="176"/>
    <s v=""/>
  </r>
  <r>
    <x v="2487"/>
    <x v="5"/>
    <s v="46.204391"/>
    <s v="6.143158"/>
    <x v="0"/>
    <s v="Small (11-200)"/>
    <x v="4"/>
    <d v="2024-01-12T00:00:00"/>
    <x v="0"/>
    <x v="6"/>
    <n v="4"/>
    <x v="0"/>
    <m/>
    <n v="931"/>
    <n v="50"/>
    <x v="145"/>
    <x v="176"/>
    <s v=""/>
  </r>
  <r>
    <x v="2488"/>
    <x v="0"/>
    <s v="52.370216"/>
    <s v="4.895168"/>
    <x v="0"/>
    <s v="Small (11-200)"/>
    <x v="4"/>
    <d v="2024-04-19T00:00:00"/>
    <x v="2"/>
    <x v="6"/>
    <n v="4"/>
    <x v="0"/>
    <m/>
    <n v="1715"/>
    <n v="80"/>
    <x v="307"/>
    <x v="176"/>
    <s v=""/>
  </r>
  <r>
    <x v="2489"/>
    <x v="7"/>
    <s v="48.210033"/>
    <s v="16.363449"/>
    <x v="8"/>
    <s v="Small (11-200)"/>
    <x v="2"/>
    <d v="2024-04-12T00:00:00"/>
    <x v="1"/>
    <x v="6"/>
    <n v="4"/>
    <x v="0"/>
    <m/>
    <n v="593"/>
    <n v="40"/>
    <x v="322"/>
    <x v="176"/>
    <s v=""/>
  </r>
  <r>
    <x v="2490"/>
    <x v="5"/>
    <s v="46.204391"/>
    <s v="6.143158"/>
    <x v="8"/>
    <s v="Small (11-200)"/>
    <x v="4"/>
    <d v="2024-01-23T00:00:00"/>
    <x v="2"/>
    <x v="6"/>
    <n v="4"/>
    <x v="0"/>
    <m/>
    <n v="1956"/>
    <n v="40"/>
    <x v="95"/>
    <x v="176"/>
    <s v=""/>
  </r>
  <r>
    <x v="2491"/>
    <x v="2"/>
    <s v="41.902782"/>
    <s v="12.496366"/>
    <x v="9"/>
    <s v="Small (11-200)"/>
    <x v="3"/>
    <d v="2024-05-26T00:00:00"/>
    <x v="1"/>
    <x v="6"/>
    <n v="4"/>
    <x v="0"/>
    <m/>
    <n v="896"/>
    <n v="100"/>
    <x v="402"/>
    <x v="176"/>
    <s v=""/>
  </r>
  <r>
    <x v="2492"/>
    <x v="6"/>
    <s v="48.864716"/>
    <s v="2.349014"/>
    <x v="5"/>
    <s v="Small (11-200)"/>
    <x v="1"/>
    <d v="2024-03-22T00:00:00"/>
    <x v="1"/>
    <x v="6"/>
    <n v="4"/>
    <x v="0"/>
    <m/>
    <n v="1108"/>
    <n v="20"/>
    <x v="359"/>
    <x v="176"/>
    <s v=""/>
  </r>
  <r>
    <x v="2493"/>
    <x v="4"/>
    <s v="51.260197"/>
    <s v="4.402771"/>
    <x v="4"/>
    <s v="Small (11-200)"/>
    <x v="3"/>
    <d v="2024-04-11T00:00:00"/>
    <x v="0"/>
    <x v="6"/>
    <n v="4"/>
    <x v="0"/>
    <m/>
    <n v="304"/>
    <n v="30"/>
    <x v="426"/>
    <x v="176"/>
    <s v=""/>
  </r>
  <r>
    <x v="2494"/>
    <x v="5"/>
    <s v="46.204391"/>
    <s v="6.143158"/>
    <x v="2"/>
    <s v="Small (11-200)"/>
    <x v="0"/>
    <d v="2024-04-17T00:00:00"/>
    <x v="1"/>
    <x v="6"/>
    <n v="4"/>
    <x v="0"/>
    <m/>
    <n v="971"/>
    <n v="40"/>
    <x v="336"/>
    <x v="176"/>
    <s v=""/>
  </r>
  <r>
    <x v="2495"/>
    <x v="8"/>
    <s v="38.736946"/>
    <s v="-9.142685"/>
    <x v="6"/>
    <s v="Small (11-200)"/>
    <x v="3"/>
    <d v="2024-01-24T00:00:00"/>
    <x v="0"/>
    <x v="6"/>
    <n v="4"/>
    <x v="0"/>
    <m/>
    <n v="1554"/>
    <n v="40"/>
    <x v="367"/>
    <x v="176"/>
    <s v=""/>
  </r>
  <r>
    <x v="2496"/>
    <x v="8"/>
    <s v="38.736946"/>
    <s v="-9.142685"/>
    <x v="0"/>
    <s v="Small (11-200)"/>
    <x v="7"/>
    <d v="2024-01-18T00:00:00"/>
    <x v="2"/>
    <x v="6"/>
    <n v="4"/>
    <x v="0"/>
    <m/>
    <n v="1938"/>
    <n v="30"/>
    <x v="195"/>
    <x v="176"/>
    <s v=""/>
  </r>
  <r>
    <x v="2497"/>
    <x v="6"/>
    <s v="48.864716"/>
    <s v="2.349014"/>
    <x v="10"/>
    <s v="Small (11-200)"/>
    <x v="1"/>
    <d v="2024-01-23T00:00:00"/>
    <x v="2"/>
    <x v="6"/>
    <n v="4"/>
    <x v="0"/>
    <m/>
    <n v="1746"/>
    <n v="40"/>
    <x v="178"/>
    <x v="176"/>
    <s v=""/>
  </r>
  <r>
    <x v="2498"/>
    <x v="4"/>
    <s v="51.260197"/>
    <s v="4.402771"/>
    <x v="2"/>
    <s v="Small (11-200)"/>
    <x v="6"/>
    <d v="2024-04-22T00:00:00"/>
    <x v="2"/>
    <x v="6"/>
    <n v="4"/>
    <x v="0"/>
    <m/>
    <n v="1417"/>
    <n v="60"/>
    <x v="253"/>
    <x v="176"/>
    <s v=""/>
  </r>
  <r>
    <x v="2499"/>
    <x v="2"/>
    <s v="41.902782"/>
    <s v="12.496366"/>
    <x v="6"/>
    <s v="Small (11-200)"/>
    <x v="2"/>
    <d v="2024-01-19T00:00:00"/>
    <x v="0"/>
    <x v="6"/>
    <n v="4"/>
    <x v="0"/>
    <m/>
    <n v="869"/>
    <n v="70"/>
    <x v="118"/>
    <x v="176"/>
    <s v=""/>
  </r>
  <r>
    <x v="2500"/>
    <x v="4"/>
    <s v="51.260197"/>
    <s v="4.402771"/>
    <x v="5"/>
    <s v="Small (11-200)"/>
    <x v="6"/>
    <d v="2024-03-05T00:00:00"/>
    <x v="0"/>
    <x v="6"/>
    <n v="4"/>
    <x v="0"/>
    <m/>
    <n v="1077"/>
    <n v="40"/>
    <x v="166"/>
    <x v="176"/>
    <s v=""/>
  </r>
  <r>
    <x v="2501"/>
    <x v="7"/>
    <s v="48.210033"/>
    <s v="16.363449"/>
    <x v="0"/>
    <s v="Small (11-200)"/>
    <x v="6"/>
    <d v="2024-02-13T00:00:00"/>
    <x v="0"/>
    <x v="6"/>
    <n v="4"/>
    <x v="0"/>
    <m/>
    <n v="1382"/>
    <n v="100"/>
    <x v="176"/>
    <x v="176"/>
    <s v=""/>
  </r>
  <r>
    <x v="2502"/>
    <x v="3"/>
    <s v="52.520008"/>
    <s v="13.404954"/>
    <x v="4"/>
    <s v="Small (11-200)"/>
    <x v="7"/>
    <d v="2024-05-14T00:00:00"/>
    <x v="2"/>
    <x v="6"/>
    <n v="4"/>
    <x v="0"/>
    <m/>
    <n v="356"/>
    <n v="10"/>
    <x v="211"/>
    <x v="176"/>
    <s v=""/>
  </r>
  <r>
    <x v="2503"/>
    <x v="1"/>
    <s v="40.416775"/>
    <s v="-3.703790"/>
    <x v="3"/>
    <s v="Small (11-200)"/>
    <x v="4"/>
    <d v="2024-05-31T00:00:00"/>
    <x v="2"/>
    <x v="6"/>
    <n v="4"/>
    <x v="0"/>
    <m/>
    <n v="1933"/>
    <n v="20"/>
    <x v="398"/>
    <x v="176"/>
    <s v=""/>
  </r>
  <r>
    <x v="2504"/>
    <x v="8"/>
    <s v="38.736946"/>
    <s v="-9.142685"/>
    <x v="0"/>
    <s v="Small (11-200)"/>
    <x v="4"/>
    <d v="2024-02-15T00:00:00"/>
    <x v="2"/>
    <x v="6"/>
    <n v="4"/>
    <x v="0"/>
    <m/>
    <n v="551"/>
    <n v="20"/>
    <x v="453"/>
    <x v="176"/>
    <s v=""/>
  </r>
  <r>
    <x v="2505"/>
    <x v="2"/>
    <s v="41.902782"/>
    <s v="12.496366"/>
    <x v="8"/>
    <s v="Small (11-200)"/>
    <x v="4"/>
    <d v="2024-01-03T00:00:00"/>
    <x v="0"/>
    <x v="6"/>
    <n v="4"/>
    <x v="0"/>
    <m/>
    <n v="1998"/>
    <n v="70"/>
    <x v="36"/>
    <x v="176"/>
    <s v=""/>
  </r>
  <r>
    <x v="2506"/>
    <x v="0"/>
    <s v="52.370216"/>
    <s v="4.895168"/>
    <x v="6"/>
    <s v="Small (11-200)"/>
    <x v="3"/>
    <d v="2024-03-21T00:00:00"/>
    <x v="2"/>
    <x v="6"/>
    <n v="4"/>
    <x v="0"/>
    <m/>
    <n v="1250"/>
    <n v="10"/>
    <x v="374"/>
    <x v="176"/>
    <s v=""/>
  </r>
  <r>
    <x v="2507"/>
    <x v="1"/>
    <s v="40.416775"/>
    <s v="-3.703790"/>
    <x v="0"/>
    <s v="Small (11-200)"/>
    <x v="3"/>
    <d v="2024-05-16T00:00:00"/>
    <x v="1"/>
    <x v="6"/>
    <n v="4"/>
    <x v="0"/>
    <m/>
    <n v="1722"/>
    <n v="90"/>
    <x v="137"/>
    <x v="176"/>
    <s v=""/>
  </r>
  <r>
    <x v="2508"/>
    <x v="3"/>
    <s v="52.520008"/>
    <s v="13.404954"/>
    <x v="11"/>
    <s v="Small (11-200)"/>
    <x v="6"/>
    <d v="2024-03-29T00:00:00"/>
    <x v="2"/>
    <x v="6"/>
    <n v="4"/>
    <x v="0"/>
    <m/>
    <n v="1479"/>
    <n v="50"/>
    <x v="313"/>
    <x v="176"/>
    <s v=""/>
  </r>
  <r>
    <x v="2509"/>
    <x v="0"/>
    <s v="52.370216"/>
    <s v="4.895168"/>
    <x v="4"/>
    <s v="Small (11-200)"/>
    <x v="4"/>
    <d v="2024-05-07T00:00:00"/>
    <x v="2"/>
    <x v="6"/>
    <n v="4"/>
    <x v="0"/>
    <m/>
    <n v="1335"/>
    <n v="30"/>
    <x v="145"/>
    <x v="176"/>
    <s v=""/>
  </r>
  <r>
    <x v="2510"/>
    <x v="2"/>
    <s v="41.902782"/>
    <s v="12.496366"/>
    <x v="3"/>
    <s v="Small (11-200)"/>
    <x v="2"/>
    <d v="2024-05-30T00:00:00"/>
    <x v="2"/>
    <x v="6"/>
    <n v="4"/>
    <x v="0"/>
    <m/>
    <n v="943"/>
    <n v="40"/>
    <x v="270"/>
    <x v="176"/>
    <s v=""/>
  </r>
  <r>
    <x v="2511"/>
    <x v="8"/>
    <s v="38.736946"/>
    <s v="-9.142685"/>
    <x v="9"/>
    <s v="Small (11-200)"/>
    <x v="3"/>
    <d v="2024-04-11T00:00:00"/>
    <x v="2"/>
    <x v="6"/>
    <n v="4"/>
    <x v="0"/>
    <m/>
    <n v="1243"/>
    <n v="60"/>
    <x v="14"/>
    <x v="176"/>
    <s v=""/>
  </r>
  <r>
    <x v="2512"/>
    <x v="4"/>
    <s v="51.260197"/>
    <s v="4.402771"/>
    <x v="3"/>
    <s v="Small (11-200)"/>
    <x v="2"/>
    <d v="2024-03-12T00:00:00"/>
    <x v="2"/>
    <x v="6"/>
    <n v="4"/>
    <x v="0"/>
    <m/>
    <n v="862"/>
    <n v="30"/>
    <x v="368"/>
    <x v="176"/>
    <s v=""/>
  </r>
  <r>
    <x v="2513"/>
    <x v="7"/>
    <s v="48.210033"/>
    <s v="16.363449"/>
    <x v="1"/>
    <s v="Small (11-200)"/>
    <x v="5"/>
    <d v="2024-02-15T00:00:00"/>
    <x v="0"/>
    <x v="6"/>
    <n v="4"/>
    <x v="0"/>
    <m/>
    <n v="730"/>
    <n v="40"/>
    <x v="145"/>
    <x v="176"/>
    <s v=""/>
  </r>
  <r>
    <x v="2514"/>
    <x v="4"/>
    <s v="51.260197"/>
    <s v="4.402771"/>
    <x v="9"/>
    <s v="Small (11-200)"/>
    <x v="3"/>
    <d v="2024-03-05T00:00:00"/>
    <x v="2"/>
    <x v="6"/>
    <n v="4"/>
    <x v="0"/>
    <m/>
    <n v="757"/>
    <n v="60"/>
    <x v="216"/>
    <x v="176"/>
    <s v=""/>
  </r>
  <r>
    <x v="2515"/>
    <x v="5"/>
    <s v="46.204391"/>
    <s v="6.143158"/>
    <x v="1"/>
    <s v="Small (11-200)"/>
    <x v="3"/>
    <d v="2024-05-07T00:00:00"/>
    <x v="0"/>
    <x v="6"/>
    <n v="4"/>
    <x v="0"/>
    <m/>
    <n v="1295"/>
    <n v="30"/>
    <x v="19"/>
    <x v="176"/>
    <s v=""/>
  </r>
  <r>
    <x v="2516"/>
    <x v="2"/>
    <s v="41.902782"/>
    <s v="12.496366"/>
    <x v="0"/>
    <s v="Small (11-200)"/>
    <x v="7"/>
    <d v="2024-03-03T00:00:00"/>
    <x v="1"/>
    <x v="6"/>
    <n v="4"/>
    <x v="0"/>
    <m/>
    <n v="619"/>
    <n v="20"/>
    <x v="100"/>
    <x v="176"/>
    <s v=""/>
  </r>
  <r>
    <x v="2517"/>
    <x v="5"/>
    <s v="46.204391"/>
    <s v="6.143158"/>
    <x v="11"/>
    <s v="Small (11-200)"/>
    <x v="3"/>
    <d v="2024-04-17T00:00:00"/>
    <x v="1"/>
    <x v="6"/>
    <n v="4"/>
    <x v="0"/>
    <m/>
    <n v="544"/>
    <n v="60"/>
    <x v="285"/>
    <x v="176"/>
    <s v=""/>
  </r>
  <r>
    <x v="2518"/>
    <x v="6"/>
    <s v="48.864716"/>
    <s v="2.349014"/>
    <x v="4"/>
    <s v="Small (11-200)"/>
    <x v="0"/>
    <d v="2024-04-10T00:00:00"/>
    <x v="0"/>
    <x v="6"/>
    <n v="4"/>
    <x v="0"/>
    <m/>
    <n v="1978"/>
    <n v="10"/>
    <x v="282"/>
    <x v="176"/>
    <s v=""/>
  </r>
  <r>
    <x v="2519"/>
    <x v="6"/>
    <s v="48.864716"/>
    <s v="2.349014"/>
    <x v="4"/>
    <s v="Small (11-200)"/>
    <x v="4"/>
    <d v="2024-05-09T00:00:00"/>
    <x v="2"/>
    <x v="6"/>
    <n v="4"/>
    <x v="0"/>
    <m/>
    <n v="260"/>
    <n v="30"/>
    <x v="56"/>
    <x v="176"/>
    <s v=""/>
  </r>
  <r>
    <x v="2520"/>
    <x v="8"/>
    <s v="38.736946"/>
    <s v="-9.142685"/>
    <x v="8"/>
    <s v="Small (11-200)"/>
    <x v="4"/>
    <d v="2024-04-24T00:00:00"/>
    <x v="2"/>
    <x v="6"/>
    <n v="4"/>
    <x v="0"/>
    <m/>
    <n v="1236"/>
    <n v="60"/>
    <x v="145"/>
    <x v="176"/>
    <s v=""/>
  </r>
  <r>
    <x v="2521"/>
    <x v="1"/>
    <s v="40.416775"/>
    <s v="-3.703790"/>
    <x v="7"/>
    <s v="Small (11-200)"/>
    <x v="7"/>
    <d v="2024-05-11T00:00:00"/>
    <x v="2"/>
    <x v="6"/>
    <n v="4"/>
    <x v="0"/>
    <m/>
    <n v="586"/>
    <n v="10"/>
    <x v="275"/>
    <x v="176"/>
    <s v=""/>
  </r>
  <r>
    <x v="2522"/>
    <x v="2"/>
    <s v="41.902782"/>
    <s v="12.496366"/>
    <x v="9"/>
    <s v="Small (11-200)"/>
    <x v="6"/>
    <d v="2024-02-02T00:00:00"/>
    <x v="0"/>
    <x v="6"/>
    <n v="4"/>
    <x v="0"/>
    <m/>
    <n v="1023"/>
    <n v="30"/>
    <x v="109"/>
    <x v="176"/>
    <s v=""/>
  </r>
  <r>
    <x v="2523"/>
    <x v="2"/>
    <s v="41.902782"/>
    <s v="12.496366"/>
    <x v="11"/>
    <s v="Small (11-200)"/>
    <x v="4"/>
    <d v="2024-01-12T00:00:00"/>
    <x v="0"/>
    <x v="6"/>
    <n v="4"/>
    <x v="0"/>
    <m/>
    <n v="684"/>
    <n v="30"/>
    <x v="160"/>
    <x v="176"/>
    <s v=""/>
  </r>
  <r>
    <x v="2524"/>
    <x v="8"/>
    <s v="38.736946"/>
    <s v="-9.142685"/>
    <x v="4"/>
    <s v="Small (11-200)"/>
    <x v="2"/>
    <d v="2024-03-16T00:00:00"/>
    <x v="1"/>
    <x v="6"/>
    <n v="4"/>
    <x v="0"/>
    <m/>
    <n v="848"/>
    <n v="40"/>
    <x v="220"/>
    <x v="176"/>
    <s v=""/>
  </r>
  <r>
    <x v="2525"/>
    <x v="3"/>
    <s v="52.520008"/>
    <s v="13.404954"/>
    <x v="8"/>
    <s v="Small (11-200)"/>
    <x v="4"/>
    <d v="2024-05-12T00:00:00"/>
    <x v="0"/>
    <x v="6"/>
    <n v="4"/>
    <x v="0"/>
    <m/>
    <n v="330"/>
    <n v="10"/>
    <x v="305"/>
    <x v="176"/>
    <s v=""/>
  </r>
  <r>
    <x v="2526"/>
    <x v="2"/>
    <s v="41.902782"/>
    <s v="12.496366"/>
    <x v="1"/>
    <s v="Small (11-200)"/>
    <x v="3"/>
    <d v="2024-02-15T00:00:00"/>
    <x v="0"/>
    <x v="6"/>
    <n v="4"/>
    <x v="0"/>
    <m/>
    <n v="922"/>
    <n v="50"/>
    <x v="136"/>
    <x v="176"/>
    <s v=""/>
  </r>
  <r>
    <x v="2527"/>
    <x v="1"/>
    <s v="40.416775"/>
    <s v="-3.703790"/>
    <x v="2"/>
    <s v="Small (11-200)"/>
    <x v="6"/>
    <d v="2024-04-16T00:00:00"/>
    <x v="2"/>
    <x v="6"/>
    <n v="4"/>
    <x v="0"/>
    <m/>
    <n v="359"/>
    <n v="100"/>
    <x v="381"/>
    <x v="176"/>
    <s v=""/>
  </r>
  <r>
    <x v="2528"/>
    <x v="7"/>
    <s v="48.210033"/>
    <s v="16.363449"/>
    <x v="8"/>
    <s v="Small (11-200)"/>
    <x v="4"/>
    <d v="2024-01-16T00:00:00"/>
    <x v="0"/>
    <x v="6"/>
    <n v="4"/>
    <x v="0"/>
    <m/>
    <n v="1991"/>
    <n v="30"/>
    <x v="120"/>
    <x v="176"/>
    <s v=""/>
  </r>
  <r>
    <x v="2529"/>
    <x v="2"/>
    <s v="41.902782"/>
    <s v="12.496366"/>
    <x v="0"/>
    <s v="Small (11-200)"/>
    <x v="4"/>
    <d v="2024-03-24T00:00:00"/>
    <x v="2"/>
    <x v="6"/>
    <n v="4"/>
    <x v="0"/>
    <m/>
    <n v="1851"/>
    <n v="20"/>
    <x v="92"/>
    <x v="176"/>
    <s v=""/>
  </r>
  <r>
    <x v="2530"/>
    <x v="0"/>
    <s v="52.370216"/>
    <s v="4.895168"/>
    <x v="3"/>
    <s v="Small (11-200)"/>
    <x v="1"/>
    <d v="2024-05-07T00:00:00"/>
    <x v="0"/>
    <x v="6"/>
    <n v="4"/>
    <x v="0"/>
    <m/>
    <n v="1313"/>
    <n v="10"/>
    <x v="248"/>
    <x v="176"/>
    <s v=""/>
  </r>
  <r>
    <x v="2531"/>
    <x v="5"/>
    <s v="46.204391"/>
    <s v="6.143158"/>
    <x v="5"/>
    <s v="Small (11-200)"/>
    <x v="5"/>
    <d v="2024-03-20T00:00:00"/>
    <x v="2"/>
    <x v="6"/>
    <n v="4"/>
    <x v="0"/>
    <m/>
    <n v="1229"/>
    <n v="20"/>
    <x v="26"/>
    <x v="176"/>
    <s v=""/>
  </r>
  <r>
    <x v="2532"/>
    <x v="8"/>
    <s v="38.736946"/>
    <s v="-9.142685"/>
    <x v="3"/>
    <s v="Small (11-200)"/>
    <x v="4"/>
    <d v="2024-05-07T00:00:00"/>
    <x v="0"/>
    <x v="6"/>
    <n v="4"/>
    <x v="0"/>
    <m/>
    <n v="204"/>
    <n v="20"/>
    <x v="259"/>
    <x v="176"/>
    <s v=""/>
  </r>
  <r>
    <x v="2533"/>
    <x v="0"/>
    <s v="52.370216"/>
    <s v="4.895168"/>
    <x v="3"/>
    <s v="Small (11-200)"/>
    <x v="1"/>
    <d v="2024-04-26T00:00:00"/>
    <x v="0"/>
    <x v="6"/>
    <n v="4"/>
    <x v="0"/>
    <m/>
    <n v="871"/>
    <n v="50"/>
    <x v="361"/>
    <x v="176"/>
    <s v=""/>
  </r>
  <r>
    <x v="2534"/>
    <x v="6"/>
    <s v="48.864716"/>
    <s v="2.349014"/>
    <x v="12"/>
    <s v="Small (11-200)"/>
    <x v="1"/>
    <d v="2024-04-20T00:00:00"/>
    <x v="2"/>
    <x v="6"/>
    <n v="4"/>
    <x v="0"/>
    <m/>
    <n v="664"/>
    <n v="30"/>
    <x v="204"/>
    <x v="176"/>
    <s v=""/>
  </r>
  <r>
    <x v="2535"/>
    <x v="5"/>
    <s v="46.204391"/>
    <s v="6.143158"/>
    <x v="8"/>
    <s v="Small (11-200)"/>
    <x v="3"/>
    <d v="2024-03-06T00:00:00"/>
    <x v="0"/>
    <x v="6"/>
    <n v="4"/>
    <x v="0"/>
    <m/>
    <n v="1416"/>
    <n v="60"/>
    <x v="185"/>
    <x v="176"/>
    <s v=""/>
  </r>
  <r>
    <x v="2536"/>
    <x v="3"/>
    <s v="52.520008"/>
    <s v="13.404954"/>
    <x v="4"/>
    <s v="Small (11-200)"/>
    <x v="3"/>
    <d v="2024-03-29T00:00:00"/>
    <x v="0"/>
    <x v="6"/>
    <n v="4"/>
    <x v="0"/>
    <m/>
    <n v="1478"/>
    <n v="50"/>
    <x v="173"/>
    <x v="176"/>
    <s v=""/>
  </r>
  <r>
    <x v="2537"/>
    <x v="2"/>
    <s v="41.902782"/>
    <s v="12.496366"/>
    <x v="7"/>
    <s v="Small (11-200)"/>
    <x v="7"/>
    <d v="2024-05-18T00:00:00"/>
    <x v="2"/>
    <x v="6"/>
    <n v="4"/>
    <x v="0"/>
    <m/>
    <n v="1099"/>
    <n v="50"/>
    <x v="130"/>
    <x v="176"/>
    <s v=""/>
  </r>
  <r>
    <x v="2538"/>
    <x v="6"/>
    <s v="48.864716"/>
    <s v="2.349014"/>
    <x v="10"/>
    <s v="Small (11-200)"/>
    <x v="1"/>
    <d v="2024-02-28T00:00:00"/>
    <x v="0"/>
    <x v="6"/>
    <n v="4"/>
    <x v="0"/>
    <m/>
    <n v="633"/>
    <n v="30"/>
    <x v="149"/>
    <x v="176"/>
    <s v=""/>
  </r>
  <r>
    <x v="2539"/>
    <x v="5"/>
    <s v="46.204391"/>
    <s v="6.143158"/>
    <x v="6"/>
    <s v="Small (11-200)"/>
    <x v="3"/>
    <d v="2024-03-12T00:00:00"/>
    <x v="1"/>
    <x v="6"/>
    <n v="4"/>
    <x v="0"/>
    <m/>
    <n v="502"/>
    <n v="30"/>
    <x v="58"/>
    <x v="176"/>
    <s v=""/>
  </r>
  <r>
    <x v="2540"/>
    <x v="8"/>
    <s v="38.736946"/>
    <s v="-9.142685"/>
    <x v="6"/>
    <s v="Small (11-200)"/>
    <x v="3"/>
    <d v="2024-03-31T00:00:00"/>
    <x v="2"/>
    <x v="6"/>
    <n v="4"/>
    <x v="0"/>
    <m/>
    <n v="759"/>
    <n v="100"/>
    <x v="40"/>
    <x v="176"/>
    <s v=""/>
  </r>
  <r>
    <x v="2541"/>
    <x v="4"/>
    <s v="51.260197"/>
    <s v="4.402771"/>
    <x v="5"/>
    <s v="Small (11-200)"/>
    <x v="3"/>
    <d v="2024-03-26T00:00:00"/>
    <x v="0"/>
    <x v="6"/>
    <n v="4"/>
    <x v="0"/>
    <m/>
    <n v="1430"/>
    <n v="20"/>
    <x v="64"/>
    <x v="176"/>
    <s v=""/>
  </r>
  <r>
    <x v="2542"/>
    <x v="5"/>
    <s v="46.204391"/>
    <s v="6.143158"/>
    <x v="0"/>
    <s v="Small (11-200)"/>
    <x v="0"/>
    <d v="2024-05-16T00:00:00"/>
    <x v="2"/>
    <x v="6"/>
    <n v="4"/>
    <x v="0"/>
    <m/>
    <n v="607"/>
    <n v="30"/>
    <x v="287"/>
    <x v="176"/>
    <s v=""/>
  </r>
  <r>
    <x v="2543"/>
    <x v="2"/>
    <s v="41.902782"/>
    <s v="12.496366"/>
    <x v="3"/>
    <s v="Small (11-200)"/>
    <x v="5"/>
    <d v="2024-04-11T00:00:00"/>
    <x v="0"/>
    <x v="6"/>
    <n v="4"/>
    <x v="0"/>
    <m/>
    <n v="271"/>
    <n v="40"/>
    <x v="356"/>
    <x v="176"/>
    <s v=""/>
  </r>
  <r>
    <x v="2544"/>
    <x v="3"/>
    <s v="52.520008"/>
    <s v="13.404954"/>
    <x v="0"/>
    <s v="Small (11-200)"/>
    <x v="0"/>
    <d v="2024-02-18T00:00:00"/>
    <x v="2"/>
    <x v="6"/>
    <n v="4"/>
    <x v="0"/>
    <m/>
    <n v="935"/>
    <n v="30"/>
    <x v="408"/>
    <x v="176"/>
    <s v=""/>
  </r>
  <r>
    <x v="2545"/>
    <x v="5"/>
    <s v="46.204391"/>
    <s v="6.143158"/>
    <x v="2"/>
    <s v="Small (11-200)"/>
    <x v="7"/>
    <d v="2024-05-30T00:00:00"/>
    <x v="2"/>
    <x v="6"/>
    <n v="4"/>
    <x v="0"/>
    <m/>
    <n v="1979"/>
    <n v="70"/>
    <x v="90"/>
    <x v="176"/>
    <s v=""/>
  </r>
  <r>
    <x v="2546"/>
    <x v="2"/>
    <s v="41.902782"/>
    <s v="12.496366"/>
    <x v="4"/>
    <s v="Small (11-200)"/>
    <x v="3"/>
    <d v="2024-02-15T00:00:00"/>
    <x v="0"/>
    <x v="6"/>
    <n v="4"/>
    <x v="0"/>
    <m/>
    <n v="1235"/>
    <n v="30"/>
    <x v="80"/>
    <x v="176"/>
    <s v=""/>
  </r>
  <r>
    <x v="2547"/>
    <x v="6"/>
    <s v="48.864716"/>
    <s v="2.349014"/>
    <x v="13"/>
    <s v="Small (11-200)"/>
    <x v="1"/>
    <d v="2024-04-11T00:00:00"/>
    <x v="0"/>
    <x v="6"/>
    <n v="4"/>
    <x v="0"/>
    <m/>
    <n v="563"/>
    <n v="30"/>
    <x v="308"/>
    <x v="176"/>
    <s v=""/>
  </r>
  <r>
    <x v="2548"/>
    <x v="0"/>
    <s v="52.370216"/>
    <s v="4.895168"/>
    <x v="3"/>
    <s v="Small (11-200)"/>
    <x v="5"/>
    <d v="2024-04-07T00:00:00"/>
    <x v="0"/>
    <x v="6"/>
    <n v="4"/>
    <x v="0"/>
    <m/>
    <n v="1178"/>
    <n v="30"/>
    <x v="205"/>
    <x v="176"/>
    <s v=""/>
  </r>
  <r>
    <x v="2549"/>
    <x v="2"/>
    <s v="41.902782"/>
    <s v="12.496366"/>
    <x v="5"/>
    <s v="Small (11-200)"/>
    <x v="3"/>
    <d v="2024-01-27T00:00:00"/>
    <x v="0"/>
    <x v="6"/>
    <n v="4"/>
    <x v="0"/>
    <m/>
    <n v="1462"/>
    <n v="20"/>
    <x v="129"/>
    <x v="176"/>
    <s v=""/>
  </r>
  <r>
    <x v="2550"/>
    <x v="8"/>
    <s v="38.736946"/>
    <s v="-9.142685"/>
    <x v="13"/>
    <s v="Small (11-200)"/>
    <x v="6"/>
    <d v="2024-04-27T00:00:00"/>
    <x v="0"/>
    <x v="6"/>
    <n v="4"/>
    <x v="0"/>
    <m/>
    <n v="210"/>
    <n v="40"/>
    <x v="37"/>
    <x v="176"/>
    <s v=""/>
  </r>
  <r>
    <x v="2551"/>
    <x v="2"/>
    <s v="41.902782"/>
    <s v="12.496366"/>
    <x v="13"/>
    <s v="Small (11-200)"/>
    <x v="4"/>
    <d v="2024-01-18T00:00:00"/>
    <x v="0"/>
    <x v="6"/>
    <n v="4"/>
    <x v="0"/>
    <m/>
    <n v="1139"/>
    <n v="20"/>
    <x v="375"/>
    <x v="176"/>
    <s v=""/>
  </r>
  <r>
    <x v="2552"/>
    <x v="1"/>
    <s v="40.416775"/>
    <s v="-3.703790"/>
    <x v="7"/>
    <s v="Small (11-200)"/>
    <x v="7"/>
    <d v="2024-04-08T00:00:00"/>
    <x v="1"/>
    <x v="6"/>
    <n v="4"/>
    <x v="0"/>
    <m/>
    <n v="1800"/>
    <n v="90"/>
    <x v="376"/>
    <x v="176"/>
    <s v=""/>
  </r>
  <r>
    <x v="2553"/>
    <x v="8"/>
    <s v="38.736946"/>
    <s v="-9.142685"/>
    <x v="2"/>
    <s v="Small (11-200)"/>
    <x v="2"/>
    <d v="2024-05-25T00:00:00"/>
    <x v="2"/>
    <x v="6"/>
    <n v="4"/>
    <x v="0"/>
    <m/>
    <n v="468"/>
    <n v="50"/>
    <x v="286"/>
    <x v="176"/>
    <s v=""/>
  </r>
  <r>
    <x v="2554"/>
    <x v="2"/>
    <s v="41.902782"/>
    <s v="12.496366"/>
    <x v="4"/>
    <s v="Small (11-200)"/>
    <x v="6"/>
    <d v="2024-04-16T00:00:00"/>
    <x v="2"/>
    <x v="6"/>
    <n v="4"/>
    <x v="0"/>
    <m/>
    <n v="642"/>
    <n v="50"/>
    <x v="186"/>
    <x v="176"/>
    <s v=""/>
  </r>
  <r>
    <x v="2555"/>
    <x v="0"/>
    <s v="52.370216"/>
    <s v="4.895168"/>
    <x v="0"/>
    <s v="Small (11-200)"/>
    <x v="5"/>
    <d v="2024-02-24T00:00:00"/>
    <x v="0"/>
    <x v="6"/>
    <n v="4"/>
    <x v="0"/>
    <m/>
    <n v="1798"/>
    <n v="30"/>
    <x v="246"/>
    <x v="176"/>
    <s v=""/>
  </r>
  <r>
    <x v="2556"/>
    <x v="7"/>
    <s v="48.210033"/>
    <s v="16.363449"/>
    <x v="1"/>
    <s v="Small (11-200)"/>
    <x v="3"/>
    <d v="2024-02-24T00:00:00"/>
    <x v="0"/>
    <x v="6"/>
    <n v="4"/>
    <x v="0"/>
    <m/>
    <n v="1720"/>
    <n v="20"/>
    <x v="384"/>
    <x v="176"/>
    <s v=""/>
  </r>
  <r>
    <x v="2557"/>
    <x v="6"/>
    <s v="48.864716"/>
    <s v="2.349014"/>
    <x v="10"/>
    <s v="Small (11-200)"/>
    <x v="4"/>
    <d v="2024-01-02T00:00:00"/>
    <x v="1"/>
    <x v="6"/>
    <n v="4"/>
    <x v="0"/>
    <m/>
    <n v="1336"/>
    <n v="30"/>
    <x v="326"/>
    <x v="176"/>
    <s v=""/>
  </r>
  <r>
    <x v="2558"/>
    <x v="5"/>
    <s v="46.204391"/>
    <s v="6.143158"/>
    <x v="12"/>
    <s v="Small (11-200)"/>
    <x v="7"/>
    <d v="2024-04-27T00:00:00"/>
    <x v="0"/>
    <x v="6"/>
    <n v="4"/>
    <x v="0"/>
    <m/>
    <n v="1544"/>
    <n v="20"/>
    <x v="130"/>
    <x v="176"/>
    <s v=""/>
  </r>
  <r>
    <x v="2559"/>
    <x v="6"/>
    <s v="48.864716"/>
    <s v="2.349014"/>
    <x v="5"/>
    <s v="Small (11-200)"/>
    <x v="5"/>
    <d v="2024-01-17T00:00:00"/>
    <x v="2"/>
    <x v="6"/>
    <n v="4"/>
    <x v="0"/>
    <m/>
    <n v="828"/>
    <n v="50"/>
    <x v="306"/>
    <x v="176"/>
    <s v=""/>
  </r>
  <r>
    <x v="2560"/>
    <x v="4"/>
    <s v="51.260197"/>
    <s v="4.402771"/>
    <x v="9"/>
    <s v="Small (11-200)"/>
    <x v="3"/>
    <d v="2024-03-05T00:00:00"/>
    <x v="2"/>
    <x v="6"/>
    <n v="4"/>
    <x v="0"/>
    <m/>
    <n v="1570"/>
    <n v="40"/>
    <x v="71"/>
    <x v="176"/>
    <s v=""/>
  </r>
  <r>
    <x v="2561"/>
    <x v="6"/>
    <s v="48.864716"/>
    <s v="2.349014"/>
    <x v="4"/>
    <s v="Small (11-200)"/>
    <x v="4"/>
    <d v="2024-04-30T00:00:00"/>
    <x v="0"/>
    <x v="6"/>
    <n v="4"/>
    <x v="0"/>
    <m/>
    <n v="1831"/>
    <n v="20"/>
    <x v="388"/>
    <x v="176"/>
    <s v=""/>
  </r>
  <r>
    <x v="2562"/>
    <x v="0"/>
    <s v="52.370216"/>
    <s v="4.895168"/>
    <x v="4"/>
    <s v="Small (11-200)"/>
    <x v="2"/>
    <d v="2024-03-25T00:00:00"/>
    <x v="0"/>
    <x v="6"/>
    <n v="4"/>
    <x v="0"/>
    <m/>
    <n v="1616"/>
    <n v="20"/>
    <x v="212"/>
    <x v="176"/>
    <s v=""/>
  </r>
  <r>
    <x v="2563"/>
    <x v="6"/>
    <s v="48.864716"/>
    <s v="2.349014"/>
    <x v="0"/>
    <s v="Small (11-200)"/>
    <x v="4"/>
    <d v="2024-03-30T00:00:00"/>
    <x v="2"/>
    <x v="6"/>
    <n v="4"/>
    <x v="0"/>
    <m/>
    <n v="1210"/>
    <n v="40"/>
    <x v="329"/>
    <x v="176"/>
    <s v=""/>
  </r>
  <r>
    <x v="2564"/>
    <x v="2"/>
    <s v="41.902782"/>
    <s v="12.496366"/>
    <x v="6"/>
    <s v="Small (11-200)"/>
    <x v="1"/>
    <d v="2024-03-09T00:00:00"/>
    <x v="0"/>
    <x v="6"/>
    <n v="4"/>
    <x v="0"/>
    <m/>
    <n v="1493"/>
    <n v="50"/>
    <x v="105"/>
    <x v="176"/>
    <s v=""/>
  </r>
  <r>
    <x v="2565"/>
    <x v="3"/>
    <s v="52.520008"/>
    <s v="13.404954"/>
    <x v="4"/>
    <s v="Small (11-200)"/>
    <x v="2"/>
    <d v="2024-02-02T00:00:00"/>
    <x v="2"/>
    <x v="6"/>
    <n v="4"/>
    <x v="0"/>
    <m/>
    <n v="365"/>
    <n v="30"/>
    <x v="362"/>
    <x v="176"/>
    <s v=""/>
  </r>
  <r>
    <x v="2566"/>
    <x v="5"/>
    <s v="46.204391"/>
    <s v="6.143158"/>
    <x v="8"/>
    <s v="Small (11-200)"/>
    <x v="3"/>
    <d v="2024-05-20T00:00:00"/>
    <x v="0"/>
    <x v="6"/>
    <n v="4"/>
    <x v="0"/>
    <m/>
    <n v="550"/>
    <n v="60"/>
    <x v="89"/>
    <x v="176"/>
    <s v=""/>
  </r>
  <r>
    <x v="2567"/>
    <x v="0"/>
    <s v="52.370216"/>
    <s v="4.895168"/>
    <x v="8"/>
    <s v="Small (11-200)"/>
    <x v="7"/>
    <d v="2024-04-25T00:00:00"/>
    <x v="1"/>
    <x v="6"/>
    <n v="4"/>
    <x v="0"/>
    <m/>
    <n v="931"/>
    <n v="20"/>
    <x v="287"/>
    <x v="176"/>
    <s v=""/>
  </r>
  <r>
    <x v="2568"/>
    <x v="4"/>
    <s v="51.260197"/>
    <s v="4.402771"/>
    <x v="3"/>
    <s v="Small (11-200)"/>
    <x v="6"/>
    <d v="2024-02-07T00:00:00"/>
    <x v="1"/>
    <x v="6"/>
    <n v="4"/>
    <x v="0"/>
    <m/>
    <n v="1626"/>
    <n v="30"/>
    <x v="34"/>
    <x v="176"/>
    <s v=""/>
  </r>
  <r>
    <x v="2569"/>
    <x v="3"/>
    <s v="52.520008"/>
    <s v="13.404954"/>
    <x v="4"/>
    <s v="Small (11-200)"/>
    <x v="5"/>
    <d v="2024-02-16T00:00:00"/>
    <x v="2"/>
    <x v="6"/>
    <n v="4"/>
    <x v="0"/>
    <m/>
    <n v="1206"/>
    <n v="30"/>
    <x v="324"/>
    <x v="176"/>
    <s v=""/>
  </r>
  <r>
    <x v="2570"/>
    <x v="8"/>
    <s v="38.736946"/>
    <s v="-9.142685"/>
    <x v="4"/>
    <s v="Small (11-200)"/>
    <x v="3"/>
    <d v="2024-03-10T00:00:00"/>
    <x v="2"/>
    <x v="6"/>
    <n v="4"/>
    <x v="0"/>
    <m/>
    <n v="885"/>
    <n v="20"/>
    <x v="79"/>
    <x v="176"/>
    <s v=""/>
  </r>
  <r>
    <x v="2571"/>
    <x v="1"/>
    <s v="40.416775"/>
    <s v="-3.703790"/>
    <x v="3"/>
    <s v="Small (11-200)"/>
    <x v="4"/>
    <d v="2024-02-03T00:00:00"/>
    <x v="0"/>
    <x v="6"/>
    <n v="4"/>
    <x v="0"/>
    <m/>
    <n v="1709"/>
    <n v="20"/>
    <x v="339"/>
    <x v="176"/>
    <s v=""/>
  </r>
  <r>
    <x v="2572"/>
    <x v="2"/>
    <s v="41.902782"/>
    <s v="12.496366"/>
    <x v="3"/>
    <s v="Small (11-200)"/>
    <x v="2"/>
    <d v="2024-03-22T00:00:00"/>
    <x v="0"/>
    <x v="6"/>
    <n v="4"/>
    <x v="0"/>
    <m/>
    <n v="642"/>
    <n v="30"/>
    <x v="146"/>
    <x v="176"/>
    <s v=""/>
  </r>
  <r>
    <x v="2573"/>
    <x v="1"/>
    <s v="40.416775"/>
    <s v="-3.703790"/>
    <x v="12"/>
    <s v="Small (11-200)"/>
    <x v="1"/>
    <d v="2024-05-06T00:00:00"/>
    <x v="2"/>
    <x v="6"/>
    <n v="4"/>
    <x v="0"/>
    <m/>
    <n v="1124"/>
    <n v="40"/>
    <x v="326"/>
    <x v="176"/>
    <s v=""/>
  </r>
  <r>
    <x v="2574"/>
    <x v="2"/>
    <s v="41.902782"/>
    <s v="12.496366"/>
    <x v="3"/>
    <s v="Small (11-200)"/>
    <x v="2"/>
    <d v="2024-05-29T00:00:00"/>
    <x v="0"/>
    <x v="6"/>
    <n v="4"/>
    <x v="0"/>
    <m/>
    <n v="1397"/>
    <n v="80"/>
    <x v="168"/>
    <x v="176"/>
    <s v=""/>
  </r>
  <r>
    <x v="2575"/>
    <x v="8"/>
    <s v="38.736946"/>
    <s v="-9.142685"/>
    <x v="1"/>
    <s v="Small (11-200)"/>
    <x v="3"/>
    <d v="2024-01-09T00:00:00"/>
    <x v="0"/>
    <x v="6"/>
    <n v="4"/>
    <x v="0"/>
    <m/>
    <n v="1935"/>
    <n v="30"/>
    <x v="349"/>
    <x v="176"/>
    <s v=""/>
  </r>
  <r>
    <x v="2576"/>
    <x v="2"/>
    <s v="41.902782"/>
    <s v="12.496366"/>
    <x v="0"/>
    <s v="Small (11-200)"/>
    <x v="5"/>
    <d v="2024-04-20T00:00:00"/>
    <x v="2"/>
    <x v="6"/>
    <n v="4"/>
    <x v="0"/>
    <m/>
    <n v="1661"/>
    <n v="20"/>
    <x v="242"/>
    <x v="176"/>
    <s v=""/>
  </r>
  <r>
    <x v="2577"/>
    <x v="6"/>
    <s v="48.864716"/>
    <s v="2.349014"/>
    <x v="8"/>
    <s v="Small (11-200)"/>
    <x v="7"/>
    <d v="2024-04-30T00:00:00"/>
    <x v="0"/>
    <x v="6"/>
    <n v="4"/>
    <x v="0"/>
    <m/>
    <n v="1163"/>
    <n v="90"/>
    <x v="234"/>
    <x v="176"/>
    <s v=""/>
  </r>
  <r>
    <x v="2578"/>
    <x v="2"/>
    <s v="41.902782"/>
    <s v="12.496366"/>
    <x v="11"/>
    <s v="Small (11-200)"/>
    <x v="4"/>
    <d v="2024-02-22T00:00:00"/>
    <x v="0"/>
    <x v="6"/>
    <n v="4"/>
    <x v="0"/>
    <m/>
    <n v="373"/>
    <n v="50"/>
    <x v="101"/>
    <x v="176"/>
    <s v=""/>
  </r>
  <r>
    <x v="2579"/>
    <x v="6"/>
    <s v="48.864716"/>
    <s v="2.349014"/>
    <x v="9"/>
    <s v="Small (11-200)"/>
    <x v="2"/>
    <d v="2024-01-09T00:00:00"/>
    <x v="0"/>
    <x v="6"/>
    <n v="4"/>
    <x v="0"/>
    <m/>
    <n v="388"/>
    <n v="40"/>
    <x v="449"/>
    <x v="176"/>
    <s v=""/>
  </r>
  <r>
    <x v="2580"/>
    <x v="5"/>
    <s v="46.204391"/>
    <s v="6.143158"/>
    <x v="5"/>
    <s v="Small (11-200)"/>
    <x v="3"/>
    <d v="2024-03-23T00:00:00"/>
    <x v="0"/>
    <x v="6"/>
    <n v="4"/>
    <x v="0"/>
    <m/>
    <n v="871"/>
    <n v="50"/>
    <x v="126"/>
    <x v="176"/>
    <s v=""/>
  </r>
  <r>
    <x v="2581"/>
    <x v="5"/>
    <s v="46.204391"/>
    <s v="6.143158"/>
    <x v="4"/>
    <s v="Small (11-200)"/>
    <x v="0"/>
    <d v="2024-02-15T00:00:00"/>
    <x v="0"/>
    <x v="6"/>
    <n v="4"/>
    <x v="0"/>
    <m/>
    <n v="1917"/>
    <n v="30"/>
    <x v="314"/>
    <x v="176"/>
    <s v=""/>
  </r>
  <r>
    <x v="2582"/>
    <x v="3"/>
    <s v="52.520008"/>
    <s v="13.404954"/>
    <x v="4"/>
    <s v="Small (11-200)"/>
    <x v="3"/>
    <d v="2024-02-05T00:00:00"/>
    <x v="2"/>
    <x v="6"/>
    <n v="4"/>
    <x v="0"/>
    <m/>
    <n v="1362"/>
    <n v="40"/>
    <x v="454"/>
    <x v="176"/>
    <s v=""/>
  </r>
  <r>
    <x v="2583"/>
    <x v="2"/>
    <s v="41.902782"/>
    <s v="12.496366"/>
    <x v="1"/>
    <s v="Small (11-200)"/>
    <x v="0"/>
    <d v="2024-02-05T00:00:00"/>
    <x v="2"/>
    <x v="6"/>
    <n v="4"/>
    <x v="0"/>
    <m/>
    <n v="834"/>
    <n v="20"/>
    <x v="187"/>
    <x v="176"/>
    <s v=""/>
  </r>
  <r>
    <x v="2584"/>
    <x v="2"/>
    <s v="41.902782"/>
    <s v="12.496366"/>
    <x v="3"/>
    <s v="Small (11-200)"/>
    <x v="0"/>
    <d v="2024-04-23T00:00:00"/>
    <x v="0"/>
    <x v="6"/>
    <n v="4"/>
    <x v="0"/>
    <m/>
    <n v="1846"/>
    <n v="80"/>
    <x v="20"/>
    <x v="176"/>
    <s v=""/>
  </r>
  <r>
    <x v="2585"/>
    <x v="8"/>
    <s v="38.736946"/>
    <s v="-9.142685"/>
    <x v="7"/>
    <s v="Small (11-200)"/>
    <x v="3"/>
    <d v="2024-04-19T00:00:00"/>
    <x v="0"/>
    <x v="6"/>
    <n v="4"/>
    <x v="0"/>
    <m/>
    <n v="1583"/>
    <n v="40"/>
    <x v="83"/>
    <x v="176"/>
    <s v=""/>
  </r>
  <r>
    <x v="2586"/>
    <x v="5"/>
    <s v="46.204391"/>
    <s v="6.143158"/>
    <x v="4"/>
    <s v="Small (11-200)"/>
    <x v="7"/>
    <d v="2024-04-30T00:00:00"/>
    <x v="0"/>
    <x v="6"/>
    <n v="4"/>
    <x v="0"/>
    <m/>
    <n v="799"/>
    <n v="20"/>
    <x v="130"/>
    <x v="176"/>
    <s v=""/>
  </r>
  <r>
    <x v="2587"/>
    <x v="6"/>
    <s v="48.864716"/>
    <s v="2.349014"/>
    <x v="0"/>
    <s v="Small (11-200)"/>
    <x v="1"/>
    <d v="2024-03-18T00:00:00"/>
    <x v="0"/>
    <x v="6"/>
    <n v="4"/>
    <x v="0"/>
    <m/>
    <n v="1320"/>
    <n v="90"/>
    <x v="134"/>
    <x v="176"/>
    <s v=""/>
  </r>
  <r>
    <x v="2588"/>
    <x v="2"/>
    <s v="41.902782"/>
    <s v="12.496366"/>
    <x v="1"/>
    <s v="Small (11-200)"/>
    <x v="4"/>
    <d v="2024-01-10T00:00:00"/>
    <x v="0"/>
    <x v="6"/>
    <n v="4"/>
    <x v="0"/>
    <m/>
    <n v="1730"/>
    <n v="90"/>
    <x v="300"/>
    <x v="176"/>
    <s v=""/>
  </r>
  <r>
    <x v="2589"/>
    <x v="6"/>
    <s v="48.864716"/>
    <s v="2.349014"/>
    <x v="4"/>
    <s v="Small (11-200)"/>
    <x v="6"/>
    <d v="2024-02-20T00:00:00"/>
    <x v="2"/>
    <x v="6"/>
    <n v="4"/>
    <x v="0"/>
    <m/>
    <n v="1805"/>
    <n v="60"/>
    <x v="42"/>
    <x v="176"/>
    <s v=""/>
  </r>
  <r>
    <x v="2590"/>
    <x v="2"/>
    <s v="41.902782"/>
    <s v="12.496366"/>
    <x v="6"/>
    <s v="Small (11-200)"/>
    <x v="2"/>
    <d v="2024-05-11T00:00:00"/>
    <x v="1"/>
    <x v="6"/>
    <n v="4"/>
    <x v="0"/>
    <m/>
    <n v="1564"/>
    <n v="50"/>
    <x v="188"/>
    <x v="176"/>
    <s v=""/>
  </r>
  <r>
    <x v="2591"/>
    <x v="8"/>
    <s v="38.736946"/>
    <s v="-9.142685"/>
    <x v="5"/>
    <s v="Small (11-200)"/>
    <x v="3"/>
    <d v="2024-02-12T00:00:00"/>
    <x v="1"/>
    <x v="6"/>
    <n v="4"/>
    <x v="0"/>
    <m/>
    <n v="1373"/>
    <n v="20"/>
    <x v="245"/>
    <x v="176"/>
    <s v=""/>
  </r>
  <r>
    <x v="2592"/>
    <x v="1"/>
    <s v="40.416775"/>
    <s v="-3.703790"/>
    <x v="9"/>
    <s v="Small (11-200)"/>
    <x v="7"/>
    <d v="2024-03-31T00:00:00"/>
    <x v="0"/>
    <x v="6"/>
    <n v="4"/>
    <x v="0"/>
    <m/>
    <n v="1364"/>
    <n v="40"/>
    <x v="87"/>
    <x v="176"/>
    <s v=""/>
  </r>
  <r>
    <x v="2593"/>
    <x v="3"/>
    <s v="52.520008"/>
    <s v="13.404954"/>
    <x v="7"/>
    <s v="Small (11-200)"/>
    <x v="5"/>
    <d v="2024-02-25T00:00:00"/>
    <x v="2"/>
    <x v="6"/>
    <n v="4"/>
    <x v="0"/>
    <m/>
    <n v="1430"/>
    <n v="60"/>
    <x v="267"/>
    <x v="176"/>
    <s v=""/>
  </r>
  <r>
    <x v="2594"/>
    <x v="7"/>
    <s v="48.210033"/>
    <s v="16.363449"/>
    <x v="2"/>
    <s v="Small (11-200)"/>
    <x v="5"/>
    <d v="2024-02-22T00:00:00"/>
    <x v="2"/>
    <x v="6"/>
    <n v="4"/>
    <x v="0"/>
    <m/>
    <n v="704"/>
    <n v="60"/>
    <x v="16"/>
    <x v="176"/>
    <s v=""/>
  </r>
  <r>
    <x v="2595"/>
    <x v="8"/>
    <s v="38.736946"/>
    <s v="-9.142685"/>
    <x v="4"/>
    <s v="Small (11-200)"/>
    <x v="0"/>
    <d v="2024-03-08T00:00:00"/>
    <x v="2"/>
    <x v="6"/>
    <n v="4"/>
    <x v="0"/>
    <m/>
    <n v="1907"/>
    <n v="40"/>
    <x v="222"/>
    <x v="176"/>
    <s v=""/>
  </r>
  <r>
    <x v="2596"/>
    <x v="7"/>
    <s v="48.210033"/>
    <s v="16.363449"/>
    <x v="0"/>
    <s v="Small (11-200)"/>
    <x v="7"/>
    <d v="2024-04-28T00:00:00"/>
    <x v="2"/>
    <x v="6"/>
    <n v="4"/>
    <x v="0"/>
    <m/>
    <n v="1580"/>
    <n v="40"/>
    <x v="212"/>
    <x v="176"/>
    <s v=""/>
  </r>
  <r>
    <x v="2597"/>
    <x v="6"/>
    <s v="48.864716"/>
    <s v="2.349014"/>
    <x v="11"/>
    <s v="Small (11-200)"/>
    <x v="0"/>
    <d v="2024-03-18T00:00:00"/>
    <x v="0"/>
    <x v="6"/>
    <n v="4"/>
    <x v="0"/>
    <m/>
    <n v="733"/>
    <n v="60"/>
    <x v="239"/>
    <x v="176"/>
    <s v=""/>
  </r>
  <r>
    <x v="2598"/>
    <x v="2"/>
    <s v="41.902782"/>
    <s v="12.496366"/>
    <x v="7"/>
    <s v="Small (11-200)"/>
    <x v="4"/>
    <d v="2024-02-28T00:00:00"/>
    <x v="0"/>
    <x v="6"/>
    <n v="4"/>
    <x v="0"/>
    <m/>
    <n v="1890"/>
    <n v="40"/>
    <x v="267"/>
    <x v="176"/>
    <s v=""/>
  </r>
  <r>
    <x v="2599"/>
    <x v="8"/>
    <s v="38.736946"/>
    <s v="-9.142685"/>
    <x v="10"/>
    <s v="Small (11-200)"/>
    <x v="3"/>
    <d v="2024-01-25T00:00:00"/>
    <x v="0"/>
    <x v="6"/>
    <n v="4"/>
    <x v="0"/>
    <m/>
    <n v="684"/>
    <n v="40"/>
    <x v="117"/>
    <x v="176"/>
    <s v=""/>
  </r>
  <r>
    <x v="2600"/>
    <x v="2"/>
    <s v="41.902782"/>
    <s v="12.496366"/>
    <x v="11"/>
    <s v="Small (11-200)"/>
    <x v="1"/>
    <d v="2024-03-10T00:00:00"/>
    <x v="0"/>
    <x v="6"/>
    <n v="4"/>
    <x v="0"/>
    <m/>
    <n v="842"/>
    <n v="70"/>
    <x v="19"/>
    <x v="176"/>
    <s v=""/>
  </r>
  <r>
    <x v="2601"/>
    <x v="6"/>
    <s v="48.864716"/>
    <s v="2.349014"/>
    <x v="3"/>
    <s v="Small (11-200)"/>
    <x v="1"/>
    <d v="2024-05-09T00:00:00"/>
    <x v="0"/>
    <x v="6"/>
    <n v="4"/>
    <x v="0"/>
    <m/>
    <n v="596"/>
    <n v="40"/>
    <x v="240"/>
    <x v="176"/>
    <s v=""/>
  </r>
  <r>
    <x v="2602"/>
    <x v="0"/>
    <s v="52.370216"/>
    <s v="4.895168"/>
    <x v="7"/>
    <s v="Small (11-200)"/>
    <x v="3"/>
    <d v="2024-03-26T00:00:00"/>
    <x v="2"/>
    <x v="6"/>
    <n v="4"/>
    <x v="0"/>
    <m/>
    <n v="1579"/>
    <n v="50"/>
    <x v="115"/>
    <x v="176"/>
    <s v=""/>
  </r>
  <r>
    <x v="2603"/>
    <x v="3"/>
    <s v="52.520008"/>
    <s v="13.404954"/>
    <x v="6"/>
    <s v="Small (11-200)"/>
    <x v="4"/>
    <d v="2024-03-27T00:00:00"/>
    <x v="2"/>
    <x v="6"/>
    <n v="4"/>
    <x v="0"/>
    <m/>
    <n v="566"/>
    <n v="30"/>
    <x v="328"/>
    <x v="176"/>
    <s v=""/>
  </r>
  <r>
    <x v="2604"/>
    <x v="1"/>
    <s v="40.416775"/>
    <s v="-3.703790"/>
    <x v="4"/>
    <s v="Small (11-200)"/>
    <x v="2"/>
    <d v="2024-03-10T00:00:00"/>
    <x v="1"/>
    <x v="6"/>
    <n v="4"/>
    <x v="0"/>
    <m/>
    <n v="1973"/>
    <n v="40"/>
    <x v="104"/>
    <x v="176"/>
    <s v=""/>
  </r>
  <r>
    <x v="2605"/>
    <x v="4"/>
    <s v="51.260197"/>
    <s v="4.402771"/>
    <x v="4"/>
    <s v="Small (11-200)"/>
    <x v="3"/>
    <d v="2024-02-25T00:00:00"/>
    <x v="0"/>
    <x v="6"/>
    <n v="4"/>
    <x v="0"/>
    <m/>
    <n v="599"/>
    <n v="80"/>
    <x v="132"/>
    <x v="176"/>
    <s v=""/>
  </r>
  <r>
    <x v="2606"/>
    <x v="2"/>
    <s v="41.902782"/>
    <s v="12.496366"/>
    <x v="4"/>
    <s v="Small (11-200)"/>
    <x v="3"/>
    <d v="2024-03-27T00:00:00"/>
    <x v="1"/>
    <x v="6"/>
    <n v="4"/>
    <x v="0"/>
    <m/>
    <n v="769"/>
    <n v="50"/>
    <x v="36"/>
    <x v="176"/>
    <s v=""/>
  </r>
  <r>
    <x v="2607"/>
    <x v="0"/>
    <s v="52.370216"/>
    <s v="4.895168"/>
    <x v="5"/>
    <s v="Small (11-200)"/>
    <x v="2"/>
    <d v="2024-05-31T00:00:00"/>
    <x v="0"/>
    <x v="6"/>
    <n v="4"/>
    <x v="0"/>
    <m/>
    <n v="1456"/>
    <n v="50"/>
    <x v="309"/>
    <x v="176"/>
    <s v=""/>
  </r>
  <r>
    <x v="2608"/>
    <x v="4"/>
    <s v="51.260197"/>
    <s v="4.402771"/>
    <x v="4"/>
    <s v="Small (11-200)"/>
    <x v="0"/>
    <d v="2024-04-26T00:00:00"/>
    <x v="1"/>
    <x v="6"/>
    <n v="4"/>
    <x v="0"/>
    <m/>
    <n v="830"/>
    <n v="80"/>
    <x v="264"/>
    <x v="176"/>
    <s v=""/>
  </r>
  <r>
    <x v="2609"/>
    <x v="2"/>
    <s v="41.902782"/>
    <s v="12.496366"/>
    <x v="5"/>
    <s v="Small (11-200)"/>
    <x v="5"/>
    <d v="2024-05-29T00:00:00"/>
    <x v="0"/>
    <x v="6"/>
    <n v="4"/>
    <x v="0"/>
    <m/>
    <n v="298"/>
    <n v="50"/>
    <x v="338"/>
    <x v="176"/>
    <s v=""/>
  </r>
  <r>
    <x v="2610"/>
    <x v="8"/>
    <s v="38.736946"/>
    <s v="-9.142685"/>
    <x v="0"/>
    <s v="Small (11-200)"/>
    <x v="2"/>
    <d v="2024-03-28T00:00:00"/>
    <x v="2"/>
    <x v="6"/>
    <n v="4"/>
    <x v="0"/>
    <m/>
    <n v="943"/>
    <n v="60"/>
    <x v="105"/>
    <x v="176"/>
    <s v=""/>
  </r>
  <r>
    <x v="2611"/>
    <x v="6"/>
    <s v="48.864716"/>
    <s v="2.349014"/>
    <x v="5"/>
    <s v="Small (11-200)"/>
    <x v="2"/>
    <d v="2024-04-17T00:00:00"/>
    <x v="0"/>
    <x v="6"/>
    <n v="4"/>
    <x v="0"/>
    <m/>
    <n v="909"/>
    <n v="30"/>
    <x v="51"/>
    <x v="176"/>
    <s v=""/>
  </r>
  <r>
    <x v="2612"/>
    <x v="5"/>
    <s v="46.204391"/>
    <s v="6.143158"/>
    <x v="10"/>
    <s v="Small (11-200)"/>
    <x v="1"/>
    <d v="2024-01-30T00:00:00"/>
    <x v="0"/>
    <x v="6"/>
    <n v="4"/>
    <x v="0"/>
    <m/>
    <n v="227"/>
    <n v="30"/>
    <x v="102"/>
    <x v="176"/>
    <s v=""/>
  </r>
  <r>
    <x v="2613"/>
    <x v="8"/>
    <s v="38.736946"/>
    <s v="-9.142685"/>
    <x v="8"/>
    <s v="Small (11-200)"/>
    <x v="3"/>
    <d v="2024-04-30T00:00:00"/>
    <x v="2"/>
    <x v="6"/>
    <n v="4"/>
    <x v="0"/>
    <m/>
    <n v="924"/>
    <n v="70"/>
    <x v="351"/>
    <x v="176"/>
    <s v=""/>
  </r>
  <r>
    <x v="2614"/>
    <x v="3"/>
    <s v="52.520008"/>
    <s v="13.404954"/>
    <x v="3"/>
    <s v="Small (11-200)"/>
    <x v="1"/>
    <d v="2024-03-21T00:00:00"/>
    <x v="0"/>
    <x v="6"/>
    <n v="4"/>
    <x v="0"/>
    <m/>
    <n v="1403"/>
    <n v="30"/>
    <x v="154"/>
    <x v="176"/>
    <s v=""/>
  </r>
  <r>
    <x v="2615"/>
    <x v="3"/>
    <s v="52.520008"/>
    <s v="13.404954"/>
    <x v="7"/>
    <s v="Small (11-200)"/>
    <x v="3"/>
    <d v="2024-05-22T00:00:00"/>
    <x v="0"/>
    <x v="6"/>
    <n v="4"/>
    <x v="0"/>
    <m/>
    <n v="1398"/>
    <n v="50"/>
    <x v="48"/>
    <x v="176"/>
    <s v=""/>
  </r>
  <r>
    <x v="2616"/>
    <x v="5"/>
    <s v="46.204391"/>
    <s v="6.143158"/>
    <x v="0"/>
    <s v="Small (11-200)"/>
    <x v="3"/>
    <d v="2024-05-15T00:00:00"/>
    <x v="1"/>
    <x v="6"/>
    <n v="4"/>
    <x v="0"/>
    <m/>
    <n v="1190"/>
    <n v="20"/>
    <x v="455"/>
    <x v="176"/>
    <s v=""/>
  </r>
  <r>
    <x v="2617"/>
    <x v="6"/>
    <s v="48.864716"/>
    <s v="2.349014"/>
    <x v="0"/>
    <s v="Small (11-200)"/>
    <x v="2"/>
    <d v="2024-04-14T00:00:00"/>
    <x v="0"/>
    <x v="6"/>
    <n v="4"/>
    <x v="0"/>
    <m/>
    <n v="654"/>
    <n v="50"/>
    <x v="161"/>
    <x v="176"/>
    <s v=""/>
  </r>
  <r>
    <x v="2618"/>
    <x v="3"/>
    <s v="52.520008"/>
    <s v="13.404954"/>
    <x v="9"/>
    <s v="Small (11-200)"/>
    <x v="3"/>
    <d v="2024-02-13T00:00:00"/>
    <x v="0"/>
    <x v="6"/>
    <n v="4"/>
    <x v="0"/>
    <m/>
    <n v="517"/>
    <n v="30"/>
    <x v="164"/>
    <x v="176"/>
    <s v=""/>
  </r>
  <r>
    <x v="2619"/>
    <x v="3"/>
    <s v="52.520008"/>
    <s v="13.404954"/>
    <x v="10"/>
    <s v="Small (11-200)"/>
    <x v="0"/>
    <d v="2024-04-24T00:00:00"/>
    <x v="0"/>
    <x v="6"/>
    <n v="4"/>
    <x v="0"/>
    <m/>
    <n v="388"/>
    <n v="80"/>
    <x v="189"/>
    <x v="176"/>
    <s v=""/>
  </r>
  <r>
    <x v="2620"/>
    <x v="6"/>
    <s v="48.864716"/>
    <s v="2.349014"/>
    <x v="13"/>
    <s v="Small (11-200)"/>
    <x v="5"/>
    <d v="2024-05-07T00:00:00"/>
    <x v="0"/>
    <x v="6"/>
    <n v="4"/>
    <x v="0"/>
    <m/>
    <n v="1147"/>
    <n v="80"/>
    <x v="259"/>
    <x v="176"/>
    <s v=""/>
  </r>
  <r>
    <x v="2621"/>
    <x v="5"/>
    <s v="46.204391"/>
    <s v="6.143158"/>
    <x v="0"/>
    <s v="Small (11-200)"/>
    <x v="1"/>
    <d v="2024-03-19T00:00:00"/>
    <x v="0"/>
    <x v="6"/>
    <n v="4"/>
    <x v="0"/>
    <m/>
    <n v="1776"/>
    <n v="20"/>
    <x v="212"/>
    <x v="176"/>
    <s v=""/>
  </r>
  <r>
    <x v="2622"/>
    <x v="8"/>
    <s v="38.736946"/>
    <s v="-9.142685"/>
    <x v="0"/>
    <s v="Small (11-200)"/>
    <x v="2"/>
    <d v="2024-05-26T00:00:00"/>
    <x v="0"/>
    <x v="6"/>
    <n v="4"/>
    <x v="0"/>
    <m/>
    <n v="1127"/>
    <n v="30"/>
    <x v="170"/>
    <x v="176"/>
    <s v=""/>
  </r>
  <r>
    <x v="2623"/>
    <x v="5"/>
    <s v="46.204391"/>
    <s v="6.143158"/>
    <x v="13"/>
    <s v="Small (11-200)"/>
    <x v="7"/>
    <d v="2024-04-05T00:00:00"/>
    <x v="2"/>
    <x v="6"/>
    <n v="4"/>
    <x v="0"/>
    <m/>
    <n v="258"/>
    <n v="40"/>
    <x v="294"/>
    <x v="176"/>
    <s v=""/>
  </r>
  <r>
    <x v="2624"/>
    <x v="3"/>
    <s v="52.520008"/>
    <s v="13.404954"/>
    <x v="3"/>
    <s v="Small (11-200)"/>
    <x v="1"/>
    <d v="2024-03-01T00:00:00"/>
    <x v="2"/>
    <x v="6"/>
    <n v="4"/>
    <x v="0"/>
    <m/>
    <n v="263"/>
    <n v="100"/>
    <x v="24"/>
    <x v="176"/>
    <s v=""/>
  </r>
  <r>
    <x v="2625"/>
    <x v="1"/>
    <s v="40.416775"/>
    <s v="-3.703790"/>
    <x v="0"/>
    <s v="Small (11-200)"/>
    <x v="4"/>
    <d v="2024-03-02T00:00:00"/>
    <x v="0"/>
    <x v="6"/>
    <n v="4"/>
    <x v="0"/>
    <m/>
    <n v="320"/>
    <n v="50"/>
    <x v="48"/>
    <x v="176"/>
    <s v=""/>
  </r>
  <r>
    <x v="2626"/>
    <x v="5"/>
    <s v="46.204391"/>
    <s v="6.143158"/>
    <x v="6"/>
    <s v="Small (11-200)"/>
    <x v="4"/>
    <d v="2024-05-08T00:00:00"/>
    <x v="2"/>
    <x v="6"/>
    <n v="4"/>
    <x v="0"/>
    <m/>
    <n v="758"/>
    <n v="40"/>
    <x v="319"/>
    <x v="176"/>
    <s v=""/>
  </r>
  <r>
    <x v="2627"/>
    <x v="1"/>
    <s v="40.416775"/>
    <s v="-3.703790"/>
    <x v="5"/>
    <s v="Small (11-200)"/>
    <x v="2"/>
    <d v="2024-01-24T00:00:00"/>
    <x v="2"/>
    <x v="6"/>
    <n v="4"/>
    <x v="0"/>
    <m/>
    <n v="952"/>
    <n v="30"/>
    <x v="375"/>
    <x v="176"/>
    <s v=""/>
  </r>
  <r>
    <x v="2628"/>
    <x v="1"/>
    <s v="40.416775"/>
    <s v="-3.703790"/>
    <x v="3"/>
    <s v="Micro (1-10)"/>
    <x v="4"/>
    <d v="2024-04-13T00:00:00"/>
    <x v="0"/>
    <x v="6"/>
    <n v="4"/>
    <x v="0"/>
    <m/>
    <n v="1082"/>
    <n v="50"/>
    <x v="99"/>
    <x v="176"/>
    <s v=""/>
  </r>
  <r>
    <x v="2629"/>
    <x v="6"/>
    <s v="48.864716"/>
    <s v="2.349014"/>
    <x v="4"/>
    <s v="Micro (1-10)"/>
    <x v="0"/>
    <d v="2024-03-05T00:00:00"/>
    <x v="0"/>
    <x v="6"/>
    <n v="4"/>
    <x v="0"/>
    <m/>
    <n v="593"/>
    <n v="20"/>
    <x v="200"/>
    <x v="176"/>
    <s v=""/>
  </r>
  <r>
    <x v="2630"/>
    <x v="4"/>
    <s v="51.260197"/>
    <s v="4.402771"/>
    <x v="13"/>
    <s v="Micro (1-10)"/>
    <x v="0"/>
    <d v="2024-03-31T00:00:00"/>
    <x v="2"/>
    <x v="6"/>
    <n v="4"/>
    <x v="0"/>
    <m/>
    <n v="1032"/>
    <n v="50"/>
    <x v="176"/>
    <x v="176"/>
    <s v=""/>
  </r>
  <r>
    <x v="2631"/>
    <x v="5"/>
    <s v="46.204391"/>
    <s v="6.143158"/>
    <x v="0"/>
    <s v="Micro (1-10)"/>
    <x v="2"/>
    <d v="2024-05-29T00:00:00"/>
    <x v="2"/>
    <x v="6"/>
    <n v="4"/>
    <x v="0"/>
    <m/>
    <n v="928"/>
    <n v="20"/>
    <x v="135"/>
    <x v="176"/>
    <s v=""/>
  </r>
  <r>
    <x v="2632"/>
    <x v="1"/>
    <s v="40.416775"/>
    <s v="-3.703790"/>
    <x v="5"/>
    <s v="Micro (1-10)"/>
    <x v="1"/>
    <d v="2024-03-18T00:00:00"/>
    <x v="2"/>
    <x v="6"/>
    <n v="4"/>
    <x v="0"/>
    <m/>
    <n v="730"/>
    <n v="100"/>
    <x v="197"/>
    <x v="176"/>
    <s v=""/>
  </r>
  <r>
    <x v="2633"/>
    <x v="1"/>
    <s v="40.416775"/>
    <s v="-3.703790"/>
    <x v="3"/>
    <s v="Micro (1-10)"/>
    <x v="1"/>
    <d v="2024-04-04T00:00:00"/>
    <x v="0"/>
    <x v="6"/>
    <n v="4"/>
    <x v="0"/>
    <m/>
    <n v="926"/>
    <n v="20"/>
    <x v="79"/>
    <x v="176"/>
    <s v=""/>
  </r>
  <r>
    <x v="2634"/>
    <x v="2"/>
    <s v="41.902782"/>
    <s v="12.496366"/>
    <x v="5"/>
    <s v="Micro (1-10)"/>
    <x v="2"/>
    <d v="2024-04-30T00:00:00"/>
    <x v="0"/>
    <x v="6"/>
    <n v="4"/>
    <x v="0"/>
    <m/>
    <n v="826"/>
    <n v="20"/>
    <x v="206"/>
    <x v="176"/>
    <s v=""/>
  </r>
  <r>
    <x v="2635"/>
    <x v="7"/>
    <s v="48.210033"/>
    <s v="16.363449"/>
    <x v="0"/>
    <s v="Micro (1-10)"/>
    <x v="6"/>
    <d v="2024-05-03T00:00:00"/>
    <x v="1"/>
    <x v="6"/>
    <n v="4"/>
    <x v="0"/>
    <m/>
    <n v="1094"/>
    <n v="100"/>
    <x v="285"/>
    <x v="176"/>
    <s v=""/>
  </r>
  <r>
    <x v="2636"/>
    <x v="6"/>
    <s v="48.864716"/>
    <s v="2.349014"/>
    <x v="12"/>
    <s v="Micro (1-10)"/>
    <x v="7"/>
    <d v="2024-01-06T00:00:00"/>
    <x v="2"/>
    <x v="6"/>
    <n v="4"/>
    <x v="0"/>
    <m/>
    <n v="256"/>
    <n v="30"/>
    <x v="142"/>
    <x v="176"/>
    <s v=""/>
  </r>
  <r>
    <x v="2637"/>
    <x v="5"/>
    <s v="46.204391"/>
    <s v="6.143158"/>
    <x v="10"/>
    <s v="Micro (1-10)"/>
    <x v="4"/>
    <d v="2024-04-28T00:00:00"/>
    <x v="2"/>
    <x v="6"/>
    <n v="4"/>
    <x v="0"/>
    <m/>
    <n v="656"/>
    <n v="40"/>
    <x v="212"/>
    <x v="176"/>
    <s v=""/>
  </r>
  <r>
    <x v="2638"/>
    <x v="2"/>
    <s v="41.902782"/>
    <s v="12.496366"/>
    <x v="0"/>
    <s v="Micro (1-10)"/>
    <x v="2"/>
    <d v="2024-04-26T00:00:00"/>
    <x v="0"/>
    <x v="6"/>
    <n v="4"/>
    <x v="0"/>
    <m/>
    <n v="1048"/>
    <n v="60"/>
    <x v="52"/>
    <x v="176"/>
    <s v=""/>
  </r>
  <r>
    <x v="2639"/>
    <x v="2"/>
    <s v="41.902782"/>
    <s v="12.496366"/>
    <x v="13"/>
    <s v="Micro (1-10)"/>
    <x v="3"/>
    <d v="2024-02-22T00:00:00"/>
    <x v="0"/>
    <x v="6"/>
    <n v="4"/>
    <x v="0"/>
    <m/>
    <n v="556"/>
    <n v="50"/>
    <x v="248"/>
    <x v="176"/>
    <s v=""/>
  </r>
  <r>
    <x v="2640"/>
    <x v="1"/>
    <s v="40.416775"/>
    <s v="-3.703790"/>
    <x v="0"/>
    <s v="Micro (1-10)"/>
    <x v="3"/>
    <d v="2024-02-06T00:00:00"/>
    <x v="0"/>
    <x v="6"/>
    <n v="4"/>
    <x v="0"/>
    <m/>
    <n v="850"/>
    <n v="50"/>
    <x v="193"/>
    <x v="176"/>
    <s v=""/>
  </r>
  <r>
    <x v="2641"/>
    <x v="2"/>
    <s v="41.902782"/>
    <s v="12.496366"/>
    <x v="4"/>
    <s v="Micro (1-10)"/>
    <x v="0"/>
    <d v="2024-04-23T00:00:00"/>
    <x v="2"/>
    <x v="6"/>
    <n v="4"/>
    <x v="0"/>
    <m/>
    <n v="1093"/>
    <n v="20"/>
    <x v="276"/>
    <x v="176"/>
    <s v=""/>
  </r>
  <r>
    <x v="2642"/>
    <x v="2"/>
    <s v="41.902782"/>
    <s v="12.496366"/>
    <x v="2"/>
    <s v="Micro (1-10)"/>
    <x v="1"/>
    <d v="2024-03-11T00:00:00"/>
    <x v="1"/>
    <x v="6"/>
    <n v="4"/>
    <x v="0"/>
    <m/>
    <n v="314"/>
    <n v="60"/>
    <x v="41"/>
    <x v="176"/>
    <s v=""/>
  </r>
  <r>
    <x v="2643"/>
    <x v="3"/>
    <s v="52.520008"/>
    <s v="13.404954"/>
    <x v="4"/>
    <s v="Micro (1-10)"/>
    <x v="3"/>
    <d v="2024-01-22T00:00:00"/>
    <x v="2"/>
    <x v="6"/>
    <n v="4"/>
    <x v="0"/>
    <m/>
    <n v="642"/>
    <n v="50"/>
    <x v="35"/>
    <x v="176"/>
    <s v=""/>
  </r>
  <r>
    <x v="2644"/>
    <x v="5"/>
    <s v="46.204391"/>
    <s v="6.143158"/>
    <x v="4"/>
    <s v="Micro (1-10)"/>
    <x v="6"/>
    <d v="2024-01-25T00:00:00"/>
    <x v="2"/>
    <x v="6"/>
    <n v="4"/>
    <x v="0"/>
    <m/>
    <n v="858"/>
    <n v="40"/>
    <x v="24"/>
    <x v="176"/>
    <s v=""/>
  </r>
  <r>
    <x v="2645"/>
    <x v="6"/>
    <s v="48.864716"/>
    <s v="2.349014"/>
    <x v="4"/>
    <s v="Micro (1-10)"/>
    <x v="3"/>
    <d v="2024-04-23T00:00:00"/>
    <x v="2"/>
    <x v="6"/>
    <n v="4"/>
    <x v="0"/>
    <m/>
    <n v="828"/>
    <n v="40"/>
    <x v="270"/>
    <x v="176"/>
    <s v=""/>
  </r>
  <r>
    <x v="2646"/>
    <x v="6"/>
    <s v="48.864716"/>
    <s v="2.349014"/>
    <x v="0"/>
    <s v="Micro (1-10)"/>
    <x v="0"/>
    <d v="2024-01-21T00:00:00"/>
    <x v="2"/>
    <x v="6"/>
    <n v="4"/>
    <x v="0"/>
    <m/>
    <n v="482"/>
    <n v="100"/>
    <x v="333"/>
    <x v="176"/>
    <s v=""/>
  </r>
  <r>
    <x v="2647"/>
    <x v="7"/>
    <s v="48.210033"/>
    <s v="16.363449"/>
    <x v="8"/>
    <s v="Micro (1-10)"/>
    <x v="3"/>
    <d v="2024-02-07T00:00:00"/>
    <x v="0"/>
    <x v="6"/>
    <n v="4"/>
    <x v="0"/>
    <m/>
    <n v="367"/>
    <n v="50"/>
    <x v="454"/>
    <x v="176"/>
    <s v=""/>
  </r>
  <r>
    <x v="2648"/>
    <x v="6"/>
    <s v="48.864716"/>
    <s v="2.349014"/>
    <x v="13"/>
    <s v="Micro (1-10)"/>
    <x v="1"/>
    <d v="2024-04-25T00:00:00"/>
    <x v="2"/>
    <x v="6"/>
    <n v="4"/>
    <x v="0"/>
    <m/>
    <n v="471"/>
    <n v="20"/>
    <x v="69"/>
    <x v="176"/>
    <s v=""/>
  </r>
  <r>
    <x v="2649"/>
    <x v="7"/>
    <s v="48.210033"/>
    <s v="16.363449"/>
    <x v="5"/>
    <s v="Micro (1-10)"/>
    <x v="3"/>
    <d v="2024-03-16T00:00:00"/>
    <x v="0"/>
    <x v="6"/>
    <n v="4"/>
    <x v="0"/>
    <m/>
    <n v="1169"/>
    <n v="20"/>
    <x v="283"/>
    <x v="176"/>
    <s v=""/>
  </r>
  <r>
    <x v="2650"/>
    <x v="4"/>
    <s v="51.260197"/>
    <s v="4.402771"/>
    <x v="7"/>
    <s v="Micro (1-10)"/>
    <x v="7"/>
    <d v="2024-05-06T00:00:00"/>
    <x v="1"/>
    <x v="6"/>
    <n v="4"/>
    <x v="0"/>
    <m/>
    <n v="1140"/>
    <n v="40"/>
    <x v="320"/>
    <x v="176"/>
    <s v=""/>
  </r>
  <r>
    <x v="2651"/>
    <x v="3"/>
    <s v="52.520008"/>
    <s v="13.404954"/>
    <x v="0"/>
    <s v="Micro (1-10)"/>
    <x v="4"/>
    <d v="2024-05-16T00:00:00"/>
    <x v="1"/>
    <x v="6"/>
    <n v="4"/>
    <x v="0"/>
    <m/>
    <n v="437"/>
    <n v="20"/>
    <x v="256"/>
    <x v="176"/>
    <s v=""/>
  </r>
  <r>
    <x v="2652"/>
    <x v="2"/>
    <s v="41.902782"/>
    <s v="12.496366"/>
    <x v="4"/>
    <s v="Micro (1-10)"/>
    <x v="5"/>
    <d v="2024-03-27T00:00:00"/>
    <x v="0"/>
    <x v="6"/>
    <n v="4"/>
    <x v="0"/>
    <m/>
    <n v="1027"/>
    <n v="50"/>
    <x v="359"/>
    <x v="176"/>
    <s v=""/>
  </r>
  <r>
    <x v="2653"/>
    <x v="6"/>
    <s v="48.864716"/>
    <s v="2.349014"/>
    <x v="6"/>
    <s v="Micro (1-10)"/>
    <x v="2"/>
    <d v="2024-01-13T00:00:00"/>
    <x v="2"/>
    <x v="6"/>
    <n v="4"/>
    <x v="0"/>
    <m/>
    <n v="601"/>
    <n v="40"/>
    <x v="40"/>
    <x v="176"/>
    <s v=""/>
  </r>
  <r>
    <x v="2654"/>
    <x v="1"/>
    <s v="40.416775"/>
    <s v="-3.703790"/>
    <x v="2"/>
    <s v="Micro (1-10)"/>
    <x v="2"/>
    <d v="2024-04-19T00:00:00"/>
    <x v="2"/>
    <x v="6"/>
    <n v="4"/>
    <x v="0"/>
    <m/>
    <n v="336"/>
    <n v="40"/>
    <x v="210"/>
    <x v="176"/>
    <s v=""/>
  </r>
  <r>
    <x v="2655"/>
    <x v="5"/>
    <s v="46.204391"/>
    <s v="6.143158"/>
    <x v="0"/>
    <s v="Micro (1-10)"/>
    <x v="3"/>
    <d v="2024-04-29T00:00:00"/>
    <x v="2"/>
    <x v="6"/>
    <n v="4"/>
    <x v="0"/>
    <m/>
    <n v="822"/>
    <n v="40"/>
    <x v="286"/>
    <x v="176"/>
    <s v=""/>
  </r>
  <r>
    <x v="2656"/>
    <x v="8"/>
    <s v="38.736946"/>
    <s v="-9.142685"/>
    <x v="4"/>
    <s v="Micro (1-10)"/>
    <x v="2"/>
    <d v="2024-02-03T00:00:00"/>
    <x v="0"/>
    <x v="6"/>
    <n v="4"/>
    <x v="0"/>
    <m/>
    <n v="465"/>
    <n v="30"/>
    <x v="318"/>
    <x v="176"/>
    <s v=""/>
  </r>
  <r>
    <x v="2657"/>
    <x v="3"/>
    <s v="52.520008"/>
    <s v="13.404954"/>
    <x v="3"/>
    <s v="Micro (1-10)"/>
    <x v="3"/>
    <d v="2024-05-12T00:00:00"/>
    <x v="2"/>
    <x v="6"/>
    <n v="4"/>
    <x v="0"/>
    <m/>
    <n v="1146"/>
    <n v="20"/>
    <x v="418"/>
    <x v="176"/>
    <s v=""/>
  </r>
  <r>
    <x v="2658"/>
    <x v="2"/>
    <s v="41.902782"/>
    <s v="12.496366"/>
    <x v="0"/>
    <s v="Micro (1-10)"/>
    <x v="4"/>
    <d v="2024-03-06T00:00:00"/>
    <x v="2"/>
    <x v="6"/>
    <n v="4"/>
    <x v="0"/>
    <m/>
    <n v="794"/>
    <n v="70"/>
    <x v="138"/>
    <x v="176"/>
    <s v=""/>
  </r>
  <r>
    <x v="2659"/>
    <x v="8"/>
    <s v="38.736946"/>
    <s v="-9.142685"/>
    <x v="4"/>
    <s v="Micro (1-10)"/>
    <x v="3"/>
    <d v="2024-04-13T00:00:00"/>
    <x v="1"/>
    <x v="6"/>
    <n v="4"/>
    <x v="0"/>
    <m/>
    <n v="1164"/>
    <n v="10"/>
    <x v="243"/>
    <x v="176"/>
    <s v=""/>
  </r>
  <r>
    <x v="2660"/>
    <x v="2"/>
    <s v="41.902782"/>
    <s v="12.496366"/>
    <x v="9"/>
    <s v="Micro (1-10)"/>
    <x v="5"/>
    <d v="2024-02-04T00:00:00"/>
    <x v="1"/>
    <x v="6"/>
    <n v="4"/>
    <x v="0"/>
    <m/>
    <n v="424"/>
    <n v="30"/>
    <x v="80"/>
    <x v="176"/>
    <s v=""/>
  </r>
  <r>
    <x v="2661"/>
    <x v="6"/>
    <s v="48.864716"/>
    <s v="2.349014"/>
    <x v="4"/>
    <s v="Micro (1-10)"/>
    <x v="7"/>
    <d v="2024-01-08T00:00:00"/>
    <x v="0"/>
    <x v="6"/>
    <n v="4"/>
    <x v="0"/>
    <m/>
    <n v="311"/>
    <n v="40"/>
    <x v="177"/>
    <x v="176"/>
    <s v=""/>
  </r>
  <r>
    <x v="2662"/>
    <x v="5"/>
    <s v="46.204391"/>
    <s v="6.143158"/>
    <x v="12"/>
    <s v="Micro (1-10)"/>
    <x v="3"/>
    <d v="2024-01-02T00:00:00"/>
    <x v="1"/>
    <x v="6"/>
    <n v="4"/>
    <x v="0"/>
    <m/>
    <n v="899"/>
    <n v="40"/>
    <x v="373"/>
    <x v="176"/>
    <s v=""/>
  </r>
  <r>
    <x v="2663"/>
    <x v="8"/>
    <s v="38.736946"/>
    <s v="-9.142685"/>
    <x v="4"/>
    <s v="Micro (1-10)"/>
    <x v="1"/>
    <d v="2024-03-17T00:00:00"/>
    <x v="0"/>
    <x v="6"/>
    <n v="4"/>
    <x v="0"/>
    <m/>
    <n v="405"/>
    <n v="20"/>
    <x v="393"/>
    <x v="176"/>
    <s v=""/>
  </r>
  <r>
    <x v="2664"/>
    <x v="2"/>
    <s v="41.902782"/>
    <s v="12.496366"/>
    <x v="9"/>
    <s v="Micro (1-10)"/>
    <x v="6"/>
    <d v="2024-05-26T00:00:00"/>
    <x v="0"/>
    <x v="6"/>
    <n v="4"/>
    <x v="0"/>
    <m/>
    <n v="281"/>
    <n v="40"/>
    <x v="188"/>
    <x v="176"/>
    <s v=""/>
  </r>
  <r>
    <x v="2665"/>
    <x v="2"/>
    <s v="41.902782"/>
    <s v="12.496366"/>
    <x v="5"/>
    <s v="Micro (1-10)"/>
    <x v="1"/>
    <d v="2024-05-28T00:00:00"/>
    <x v="2"/>
    <x v="6"/>
    <n v="4"/>
    <x v="0"/>
    <m/>
    <n v="1144"/>
    <n v="20"/>
    <x v="118"/>
    <x v="176"/>
    <s v=""/>
  </r>
  <r>
    <x v="2666"/>
    <x v="4"/>
    <s v="51.260197"/>
    <s v="4.402771"/>
    <x v="3"/>
    <s v="Micro (1-10)"/>
    <x v="6"/>
    <d v="2024-02-27T00:00:00"/>
    <x v="0"/>
    <x v="6"/>
    <n v="4"/>
    <x v="0"/>
    <m/>
    <n v="825"/>
    <n v="10"/>
    <x v="36"/>
    <x v="176"/>
    <s v=""/>
  </r>
  <r>
    <x v="2667"/>
    <x v="8"/>
    <s v="38.736946"/>
    <s v="-9.142685"/>
    <x v="5"/>
    <s v="Micro (1-10)"/>
    <x v="3"/>
    <d v="2024-02-14T00:00:00"/>
    <x v="2"/>
    <x v="6"/>
    <n v="4"/>
    <x v="0"/>
    <m/>
    <n v="750"/>
    <n v="70"/>
    <x v="391"/>
    <x v="176"/>
    <s v=""/>
  </r>
  <r>
    <x v="2668"/>
    <x v="1"/>
    <s v="40.416775"/>
    <s v="-3.703790"/>
    <x v="8"/>
    <s v="Micro (1-10)"/>
    <x v="6"/>
    <d v="2024-01-22T00:00:00"/>
    <x v="0"/>
    <x v="6"/>
    <n v="4"/>
    <x v="0"/>
    <m/>
    <n v="1158"/>
    <n v="30"/>
    <x v="26"/>
    <x v="176"/>
    <s v=""/>
  </r>
  <r>
    <x v="2669"/>
    <x v="3"/>
    <s v="52.520008"/>
    <s v="13.404954"/>
    <x v="11"/>
    <s v="Micro (1-10)"/>
    <x v="2"/>
    <d v="2024-01-24T00:00:00"/>
    <x v="0"/>
    <x v="6"/>
    <n v="4"/>
    <x v="0"/>
    <m/>
    <n v="918"/>
    <n v="30"/>
    <x v="20"/>
    <x v="176"/>
    <s v=""/>
  </r>
  <r>
    <x v="2670"/>
    <x v="8"/>
    <s v="38.736946"/>
    <s v="-9.142685"/>
    <x v="6"/>
    <s v="Micro (1-10)"/>
    <x v="1"/>
    <d v="2024-03-09T00:00:00"/>
    <x v="1"/>
    <x v="6"/>
    <n v="4"/>
    <x v="0"/>
    <m/>
    <n v="215"/>
    <n v="40"/>
    <x v="298"/>
    <x v="176"/>
    <s v=""/>
  </r>
  <r>
    <x v="2671"/>
    <x v="7"/>
    <s v="48.210033"/>
    <s v="16.363449"/>
    <x v="13"/>
    <s v="Micro (1-10)"/>
    <x v="5"/>
    <d v="2024-02-15T00:00:00"/>
    <x v="2"/>
    <x v="6"/>
    <n v="4"/>
    <x v="0"/>
    <m/>
    <n v="1060"/>
    <n v="30"/>
    <x v="164"/>
    <x v="176"/>
    <s v=""/>
  </r>
  <r>
    <x v="2672"/>
    <x v="3"/>
    <s v="52.520008"/>
    <s v="13.404954"/>
    <x v="7"/>
    <s v="Micro (1-10)"/>
    <x v="3"/>
    <d v="2024-04-18T00:00:00"/>
    <x v="2"/>
    <x v="6"/>
    <n v="4"/>
    <x v="0"/>
    <m/>
    <n v="493"/>
    <n v="30"/>
    <x v="308"/>
    <x v="176"/>
    <s v=""/>
  </r>
  <r>
    <x v="2673"/>
    <x v="5"/>
    <s v="46.204391"/>
    <s v="6.143158"/>
    <x v="3"/>
    <s v="Micro (1-10)"/>
    <x v="7"/>
    <d v="2024-03-27T00:00:00"/>
    <x v="0"/>
    <x v="6"/>
    <n v="4"/>
    <x v="0"/>
    <m/>
    <n v="815"/>
    <n v="20"/>
    <x v="91"/>
    <x v="176"/>
    <s v=""/>
  </r>
  <r>
    <x v="2674"/>
    <x v="0"/>
    <s v="52.370216"/>
    <s v="4.895168"/>
    <x v="10"/>
    <s v="Micro (1-10)"/>
    <x v="4"/>
    <d v="2024-02-26T00:00:00"/>
    <x v="0"/>
    <x v="6"/>
    <n v="4"/>
    <x v="0"/>
    <m/>
    <n v="595"/>
    <n v="70"/>
    <x v="387"/>
    <x v="176"/>
    <s v=""/>
  </r>
  <r>
    <x v="2675"/>
    <x v="5"/>
    <s v="46.204391"/>
    <s v="6.143158"/>
    <x v="8"/>
    <s v="Micro (1-10)"/>
    <x v="5"/>
    <d v="2024-01-20T00:00:00"/>
    <x v="0"/>
    <x v="6"/>
    <n v="4"/>
    <x v="0"/>
    <m/>
    <n v="739"/>
    <n v="30"/>
    <x v="102"/>
    <x v="176"/>
    <s v=""/>
  </r>
  <r>
    <x v="2676"/>
    <x v="0"/>
    <s v="52.370216"/>
    <s v="4.895168"/>
    <x v="0"/>
    <s v="Micro (1-10)"/>
    <x v="2"/>
    <d v="2024-01-29T00:00:00"/>
    <x v="1"/>
    <x v="6"/>
    <n v="4"/>
    <x v="0"/>
    <m/>
    <n v="571"/>
    <n v="40"/>
    <x v="388"/>
    <x v="176"/>
    <s v=""/>
  </r>
  <r>
    <x v="2677"/>
    <x v="8"/>
    <s v="38.736946"/>
    <s v="-9.142685"/>
    <x v="5"/>
    <s v="Micro (1-10)"/>
    <x v="6"/>
    <d v="2024-01-29T00:00:00"/>
    <x v="0"/>
    <x v="6"/>
    <n v="4"/>
    <x v="0"/>
    <m/>
    <n v="313"/>
    <n v="100"/>
    <x v="311"/>
    <x v="176"/>
    <s v=""/>
  </r>
  <r>
    <x v="2678"/>
    <x v="3"/>
    <s v="52.520008"/>
    <s v="13.404954"/>
    <x v="10"/>
    <s v="Micro (1-10)"/>
    <x v="2"/>
    <d v="2024-03-13T00:00:00"/>
    <x v="2"/>
    <x v="6"/>
    <n v="4"/>
    <x v="0"/>
    <m/>
    <n v="924"/>
    <n v="30"/>
    <x v="230"/>
    <x v="176"/>
    <s v=""/>
  </r>
  <r>
    <x v="2679"/>
    <x v="3"/>
    <s v="52.520008"/>
    <s v="13.404954"/>
    <x v="11"/>
    <s v="Micro (1-10)"/>
    <x v="1"/>
    <d v="2024-04-05T00:00:00"/>
    <x v="1"/>
    <x v="6"/>
    <n v="4"/>
    <x v="0"/>
    <m/>
    <n v="952"/>
    <n v="60"/>
    <x v="42"/>
    <x v="176"/>
    <s v=""/>
  </r>
  <r>
    <x v="2680"/>
    <x v="8"/>
    <s v="38.736946"/>
    <s v="-9.142685"/>
    <x v="8"/>
    <s v="Micro (1-10)"/>
    <x v="4"/>
    <d v="2024-03-05T00:00:00"/>
    <x v="0"/>
    <x v="6"/>
    <n v="4"/>
    <x v="0"/>
    <m/>
    <n v="202"/>
    <n v="20"/>
    <x v="72"/>
    <x v="176"/>
    <s v=""/>
  </r>
  <r>
    <x v="2681"/>
    <x v="8"/>
    <s v="38.736946"/>
    <s v="-9.142685"/>
    <x v="0"/>
    <s v="Micro (1-10)"/>
    <x v="1"/>
    <d v="2024-04-20T00:00:00"/>
    <x v="1"/>
    <x v="6"/>
    <n v="4"/>
    <x v="0"/>
    <m/>
    <n v="660"/>
    <n v="50"/>
    <x v="76"/>
    <x v="176"/>
    <s v=""/>
  </r>
  <r>
    <x v="2682"/>
    <x v="7"/>
    <s v="48.210033"/>
    <s v="16.363449"/>
    <x v="7"/>
    <s v="Micro (1-10)"/>
    <x v="2"/>
    <d v="2024-05-08T00:00:00"/>
    <x v="0"/>
    <x v="6"/>
    <n v="4"/>
    <x v="0"/>
    <m/>
    <n v="219"/>
    <n v="100"/>
    <x v="249"/>
    <x v="176"/>
    <s v=""/>
  </r>
  <r>
    <x v="2683"/>
    <x v="2"/>
    <s v="41.902782"/>
    <s v="12.496366"/>
    <x v="8"/>
    <s v="Micro (1-10)"/>
    <x v="3"/>
    <d v="2024-02-05T00:00:00"/>
    <x v="0"/>
    <x v="6"/>
    <n v="4"/>
    <x v="0"/>
    <m/>
    <n v="653"/>
    <n v="40"/>
    <x v="83"/>
    <x v="176"/>
    <s v=""/>
  </r>
  <r>
    <x v="2684"/>
    <x v="6"/>
    <s v="48.864716"/>
    <s v="2.349014"/>
    <x v="4"/>
    <s v="Micro (1-10)"/>
    <x v="2"/>
    <d v="2024-03-31T00:00:00"/>
    <x v="2"/>
    <x v="6"/>
    <n v="4"/>
    <x v="0"/>
    <m/>
    <n v="816"/>
    <n v="90"/>
    <x v="193"/>
    <x v="176"/>
    <s v=""/>
  </r>
  <r>
    <x v="2685"/>
    <x v="6"/>
    <s v="48.864716"/>
    <s v="2.349014"/>
    <x v="4"/>
    <s v="Micro (1-10)"/>
    <x v="3"/>
    <d v="2024-03-01T00:00:00"/>
    <x v="0"/>
    <x v="6"/>
    <n v="4"/>
    <x v="0"/>
    <m/>
    <n v="344"/>
    <n v="30"/>
    <x v="118"/>
    <x v="176"/>
    <s v=""/>
  </r>
  <r>
    <x v="2686"/>
    <x v="1"/>
    <s v="40.416775"/>
    <s v="-3.703790"/>
    <x v="4"/>
    <s v="Micro (1-10)"/>
    <x v="3"/>
    <d v="2024-03-18T00:00:00"/>
    <x v="2"/>
    <x v="6"/>
    <n v="4"/>
    <x v="0"/>
    <m/>
    <n v="557"/>
    <n v="20"/>
    <x v="353"/>
    <x v="176"/>
    <s v=""/>
  </r>
  <r>
    <x v="2687"/>
    <x v="0"/>
    <s v="52.370216"/>
    <s v="4.895168"/>
    <x v="0"/>
    <s v="Micro (1-10)"/>
    <x v="2"/>
    <d v="2024-05-31T00:00:00"/>
    <x v="2"/>
    <x v="6"/>
    <n v="4"/>
    <x v="0"/>
    <m/>
    <n v="721"/>
    <n v="40"/>
    <x v="374"/>
    <x v="176"/>
    <s v=""/>
  </r>
  <r>
    <x v="2688"/>
    <x v="2"/>
    <s v="41.902782"/>
    <s v="12.496366"/>
    <x v="8"/>
    <s v="Micro (1-10)"/>
    <x v="4"/>
    <d v="2024-04-16T00:00:00"/>
    <x v="0"/>
    <x v="6"/>
    <n v="4"/>
    <x v="0"/>
    <m/>
    <n v="964"/>
    <n v="40"/>
    <x v="54"/>
    <x v="176"/>
    <s v=""/>
  </r>
  <r>
    <x v="2689"/>
    <x v="4"/>
    <s v="51.260197"/>
    <s v="4.402771"/>
    <x v="7"/>
    <s v="Micro (1-10)"/>
    <x v="3"/>
    <d v="2024-04-08T00:00:00"/>
    <x v="0"/>
    <x v="6"/>
    <n v="4"/>
    <x v="0"/>
    <m/>
    <n v="438"/>
    <n v="40"/>
    <x v="376"/>
    <x v="176"/>
    <s v=""/>
  </r>
  <r>
    <x v="2690"/>
    <x v="3"/>
    <s v="52.520008"/>
    <s v="13.404954"/>
    <x v="7"/>
    <s v="Micro (1-10)"/>
    <x v="0"/>
    <d v="2024-05-02T00:00:00"/>
    <x v="1"/>
    <x v="6"/>
    <n v="4"/>
    <x v="0"/>
    <m/>
    <n v="238"/>
    <n v="20"/>
    <x v="121"/>
    <x v="176"/>
    <s v=""/>
  </r>
  <r>
    <x v="2691"/>
    <x v="3"/>
    <s v="52.520008"/>
    <s v="13.404954"/>
    <x v="4"/>
    <s v="Micro (1-10)"/>
    <x v="0"/>
    <d v="2024-02-16T00:00:00"/>
    <x v="2"/>
    <x v="6"/>
    <n v="4"/>
    <x v="0"/>
    <m/>
    <n v="381"/>
    <n v="30"/>
    <x v="347"/>
    <x v="176"/>
    <s v=""/>
  </r>
  <r>
    <x v="2692"/>
    <x v="2"/>
    <s v="41.902782"/>
    <s v="12.496366"/>
    <x v="4"/>
    <s v="Micro (1-10)"/>
    <x v="7"/>
    <d v="2024-04-14T00:00:00"/>
    <x v="1"/>
    <x v="6"/>
    <n v="4"/>
    <x v="0"/>
    <m/>
    <n v="943"/>
    <n v="30"/>
    <x v="261"/>
    <x v="176"/>
    <s v=""/>
  </r>
  <r>
    <x v="2693"/>
    <x v="5"/>
    <s v="46.204391"/>
    <s v="6.143158"/>
    <x v="0"/>
    <s v="Micro (1-10)"/>
    <x v="5"/>
    <d v="2024-05-08T00:00:00"/>
    <x v="0"/>
    <x v="6"/>
    <n v="4"/>
    <x v="0"/>
    <m/>
    <n v="413"/>
    <n v="50"/>
    <x v="300"/>
    <x v="176"/>
    <s v=""/>
  </r>
  <r>
    <x v="2694"/>
    <x v="0"/>
    <s v="52.370216"/>
    <s v="4.895168"/>
    <x v="10"/>
    <s v="Micro (1-10)"/>
    <x v="6"/>
    <d v="2024-02-05T00:00:00"/>
    <x v="0"/>
    <x v="6"/>
    <n v="4"/>
    <x v="0"/>
    <m/>
    <n v="1092"/>
    <n v="20"/>
    <x v="205"/>
    <x v="176"/>
    <s v=""/>
  </r>
  <r>
    <x v="2695"/>
    <x v="6"/>
    <s v="48.864716"/>
    <s v="2.349014"/>
    <x v="11"/>
    <s v="Micro (1-10)"/>
    <x v="4"/>
    <d v="2024-05-30T00:00:00"/>
    <x v="2"/>
    <x v="6"/>
    <n v="4"/>
    <x v="0"/>
    <m/>
    <n v="429"/>
    <n v="40"/>
    <x v="456"/>
    <x v="176"/>
    <s v=""/>
  </r>
  <r>
    <x v="2696"/>
    <x v="2"/>
    <s v="41.902782"/>
    <s v="12.496366"/>
    <x v="0"/>
    <s v="Micro (1-10)"/>
    <x v="4"/>
    <d v="2024-02-29T00:00:00"/>
    <x v="0"/>
    <x v="6"/>
    <n v="4"/>
    <x v="0"/>
    <m/>
    <n v="952"/>
    <n v="30"/>
    <x v="190"/>
    <x v="176"/>
    <s v=""/>
  </r>
  <r>
    <x v="2697"/>
    <x v="0"/>
    <s v="52.370216"/>
    <s v="4.895168"/>
    <x v="7"/>
    <s v="Micro (1-10)"/>
    <x v="5"/>
    <d v="2024-03-22T00:00:00"/>
    <x v="0"/>
    <x v="6"/>
    <n v="4"/>
    <x v="0"/>
    <m/>
    <n v="244"/>
    <n v="50"/>
    <x v="47"/>
    <x v="176"/>
    <s v=""/>
  </r>
  <r>
    <x v="2698"/>
    <x v="8"/>
    <s v="38.736946"/>
    <s v="-9.142685"/>
    <x v="6"/>
    <s v="Micro (1-10)"/>
    <x v="7"/>
    <d v="2024-01-13T00:00:00"/>
    <x v="1"/>
    <x v="6"/>
    <n v="4"/>
    <x v="0"/>
    <m/>
    <n v="223"/>
    <n v="90"/>
    <x v="146"/>
    <x v="176"/>
    <s v=""/>
  </r>
  <r>
    <x v="2699"/>
    <x v="7"/>
    <s v="48.210033"/>
    <s v="16.363449"/>
    <x v="4"/>
    <s v="Micro (1-10)"/>
    <x v="2"/>
    <d v="2024-04-20T00:00:00"/>
    <x v="2"/>
    <x v="6"/>
    <n v="4"/>
    <x v="0"/>
    <m/>
    <n v="370"/>
    <n v="40"/>
    <x v="54"/>
    <x v="176"/>
    <s v=""/>
  </r>
  <r>
    <x v="2700"/>
    <x v="2"/>
    <s v="41.902782"/>
    <s v="12.496366"/>
    <x v="5"/>
    <s v="Micro (1-10)"/>
    <x v="0"/>
    <d v="2024-04-24T00:00:00"/>
    <x v="1"/>
    <x v="6"/>
    <n v="4"/>
    <x v="0"/>
    <m/>
    <n v="1049"/>
    <n v="30"/>
    <x v="32"/>
    <x v="176"/>
    <s v=""/>
  </r>
  <r>
    <x v="2701"/>
    <x v="8"/>
    <s v="38.736946"/>
    <s v="-9.142685"/>
    <x v="12"/>
    <s v="Micro (1-10)"/>
    <x v="7"/>
    <d v="2024-05-02T00:00:00"/>
    <x v="2"/>
    <x v="6"/>
    <n v="4"/>
    <x v="0"/>
    <m/>
    <n v="380"/>
    <n v="20"/>
    <x v="11"/>
    <x v="176"/>
    <s v=""/>
  </r>
  <r>
    <x v="2702"/>
    <x v="3"/>
    <s v="52.520008"/>
    <s v="13.404954"/>
    <x v="8"/>
    <s v="Micro (1-10)"/>
    <x v="3"/>
    <d v="2024-02-25T00:00:00"/>
    <x v="1"/>
    <x v="6"/>
    <n v="4"/>
    <x v="0"/>
    <m/>
    <n v="1199"/>
    <n v="20"/>
    <x v="205"/>
    <x v="176"/>
    <s v=""/>
  </r>
  <r>
    <x v="2703"/>
    <x v="0"/>
    <s v="52.370216"/>
    <s v="4.895168"/>
    <x v="11"/>
    <s v="Micro (1-10)"/>
    <x v="3"/>
    <d v="2024-02-25T00:00:00"/>
    <x v="0"/>
    <x v="6"/>
    <n v="4"/>
    <x v="0"/>
    <m/>
    <n v="510"/>
    <n v="50"/>
    <x v="376"/>
    <x v="176"/>
    <s v=""/>
  </r>
  <r>
    <x v="2704"/>
    <x v="5"/>
    <s v="46.204391"/>
    <s v="6.143158"/>
    <x v="3"/>
    <s v="Micro (1-10)"/>
    <x v="1"/>
    <d v="2024-01-29T00:00:00"/>
    <x v="0"/>
    <x v="6"/>
    <n v="4"/>
    <x v="0"/>
    <m/>
    <n v="407"/>
    <n v="50"/>
    <x v="352"/>
    <x v="176"/>
    <s v=""/>
  </r>
  <r>
    <x v="2705"/>
    <x v="2"/>
    <s v="41.902782"/>
    <s v="12.496366"/>
    <x v="1"/>
    <s v="Micro (1-10)"/>
    <x v="1"/>
    <d v="2024-04-12T00:00:00"/>
    <x v="0"/>
    <x v="6"/>
    <n v="4"/>
    <x v="0"/>
    <m/>
    <n v="299"/>
    <n v="30"/>
    <x v="232"/>
    <x v="176"/>
    <s v=""/>
  </r>
  <r>
    <x v="2706"/>
    <x v="8"/>
    <s v="38.736946"/>
    <s v="-9.142685"/>
    <x v="4"/>
    <s v="Micro (1-10)"/>
    <x v="4"/>
    <d v="2024-01-17T00:00:00"/>
    <x v="0"/>
    <x v="6"/>
    <n v="4"/>
    <x v="0"/>
    <m/>
    <n v="706"/>
    <n v="20"/>
    <x v="152"/>
    <x v="176"/>
    <s v=""/>
  </r>
  <r>
    <x v="2707"/>
    <x v="6"/>
    <s v="48.864716"/>
    <s v="2.349014"/>
    <x v="4"/>
    <s v="Micro (1-10)"/>
    <x v="3"/>
    <d v="2024-05-02T00:00:00"/>
    <x v="0"/>
    <x v="6"/>
    <n v="4"/>
    <x v="0"/>
    <m/>
    <n v="766"/>
    <n v="40"/>
    <x v="262"/>
    <x v="176"/>
    <s v=""/>
  </r>
  <r>
    <x v="2708"/>
    <x v="5"/>
    <s v="46.204391"/>
    <s v="6.143158"/>
    <x v="4"/>
    <s v="Micro (1-10)"/>
    <x v="4"/>
    <d v="2024-04-05T00:00:00"/>
    <x v="0"/>
    <x v="6"/>
    <n v="4"/>
    <x v="0"/>
    <m/>
    <n v="496"/>
    <n v="60"/>
    <x v="81"/>
    <x v="176"/>
    <s v=""/>
  </r>
  <r>
    <x v="2709"/>
    <x v="1"/>
    <s v="40.416775"/>
    <s v="-3.703790"/>
    <x v="8"/>
    <s v="Micro (1-10)"/>
    <x v="4"/>
    <d v="2024-05-29T00:00:00"/>
    <x v="2"/>
    <x v="6"/>
    <n v="4"/>
    <x v="0"/>
    <m/>
    <n v="917"/>
    <n v="20"/>
    <x v="86"/>
    <x v="176"/>
    <s v=""/>
  </r>
  <r>
    <x v="2710"/>
    <x v="2"/>
    <s v="41.902782"/>
    <s v="12.496366"/>
    <x v="13"/>
    <s v="Micro (1-10)"/>
    <x v="2"/>
    <d v="2024-05-08T00:00:00"/>
    <x v="0"/>
    <x v="6"/>
    <n v="4"/>
    <x v="0"/>
    <m/>
    <n v="656"/>
    <n v="40"/>
    <x v="166"/>
    <x v="176"/>
    <s v=""/>
  </r>
  <r>
    <x v="2711"/>
    <x v="2"/>
    <s v="41.902782"/>
    <s v="12.496366"/>
    <x v="4"/>
    <s v="Micro (1-10)"/>
    <x v="5"/>
    <d v="2024-03-15T00:00:00"/>
    <x v="1"/>
    <x v="6"/>
    <n v="4"/>
    <x v="0"/>
    <m/>
    <n v="996"/>
    <n v="70"/>
    <x v="391"/>
    <x v="176"/>
    <s v=""/>
  </r>
  <r>
    <x v="2712"/>
    <x v="5"/>
    <s v="46.204391"/>
    <s v="6.143158"/>
    <x v="8"/>
    <s v="Micro (1-10)"/>
    <x v="6"/>
    <d v="2024-05-14T00:00:00"/>
    <x v="2"/>
    <x v="6"/>
    <n v="4"/>
    <x v="0"/>
    <m/>
    <n v="428"/>
    <n v="30"/>
    <x v="50"/>
    <x v="176"/>
    <s v=""/>
  </r>
  <r>
    <x v="2713"/>
    <x v="6"/>
    <s v="48.864716"/>
    <s v="2.349014"/>
    <x v="5"/>
    <s v="Micro (1-10)"/>
    <x v="2"/>
    <d v="2024-01-10T00:00:00"/>
    <x v="0"/>
    <x v="6"/>
    <n v="4"/>
    <x v="0"/>
    <m/>
    <n v="562"/>
    <n v="20"/>
    <x v="199"/>
    <x v="176"/>
    <s v=""/>
  </r>
  <r>
    <x v="2714"/>
    <x v="5"/>
    <s v="46.204391"/>
    <s v="6.143158"/>
    <x v="5"/>
    <s v="Micro (1-10)"/>
    <x v="2"/>
    <d v="2024-01-08T00:00:00"/>
    <x v="1"/>
    <x v="6"/>
    <n v="4"/>
    <x v="0"/>
    <m/>
    <n v="786"/>
    <n v="50"/>
    <x v="199"/>
    <x v="176"/>
    <s v=""/>
  </r>
  <r>
    <x v="2715"/>
    <x v="2"/>
    <s v="41.902782"/>
    <s v="12.496366"/>
    <x v="4"/>
    <s v="Micro (1-10)"/>
    <x v="4"/>
    <d v="2024-04-04T00:00:00"/>
    <x v="0"/>
    <x v="6"/>
    <n v="4"/>
    <x v="0"/>
    <m/>
    <n v="827"/>
    <n v="40"/>
    <x v="76"/>
    <x v="176"/>
    <s v=""/>
  </r>
  <r>
    <x v="2716"/>
    <x v="6"/>
    <s v="48.864716"/>
    <s v="2.349014"/>
    <x v="4"/>
    <s v="Micro (1-10)"/>
    <x v="1"/>
    <d v="2024-04-13T00:00:00"/>
    <x v="2"/>
    <x v="6"/>
    <n v="4"/>
    <x v="0"/>
    <m/>
    <n v="1021"/>
    <n v="60"/>
    <x v="200"/>
    <x v="176"/>
    <s v=""/>
  </r>
  <r>
    <x v="2717"/>
    <x v="3"/>
    <s v="52.520008"/>
    <s v="13.404954"/>
    <x v="13"/>
    <s v="Micro (1-10)"/>
    <x v="4"/>
    <d v="2024-01-25T00:00:00"/>
    <x v="2"/>
    <x v="6"/>
    <n v="4"/>
    <x v="0"/>
    <m/>
    <n v="509"/>
    <n v="40"/>
    <x v="80"/>
    <x v="176"/>
    <s v=""/>
  </r>
  <r>
    <x v="2718"/>
    <x v="3"/>
    <s v="52.520008"/>
    <s v="13.404954"/>
    <x v="0"/>
    <s v="Micro (1-10)"/>
    <x v="6"/>
    <d v="2024-01-20T00:00:00"/>
    <x v="2"/>
    <x v="6"/>
    <n v="4"/>
    <x v="0"/>
    <m/>
    <n v="883"/>
    <n v="40"/>
    <x v="191"/>
    <x v="176"/>
    <s v=""/>
  </r>
  <r>
    <x v="2719"/>
    <x v="2"/>
    <s v="41.902782"/>
    <s v="12.496366"/>
    <x v="7"/>
    <s v="Micro (1-10)"/>
    <x v="6"/>
    <d v="2024-05-19T00:00:00"/>
    <x v="0"/>
    <x v="6"/>
    <n v="4"/>
    <x v="0"/>
    <m/>
    <n v="500"/>
    <n v="30"/>
    <x v="22"/>
    <x v="176"/>
    <s v=""/>
  </r>
  <r>
    <x v="2720"/>
    <x v="2"/>
    <s v="41.902782"/>
    <s v="12.496366"/>
    <x v="3"/>
    <s v="Micro (1-10)"/>
    <x v="6"/>
    <d v="2024-03-28T00:00:00"/>
    <x v="1"/>
    <x v="6"/>
    <n v="4"/>
    <x v="0"/>
    <m/>
    <n v="891"/>
    <n v="90"/>
    <x v="418"/>
    <x v="176"/>
    <s v=""/>
  </r>
  <r>
    <x v="2721"/>
    <x v="2"/>
    <s v="41.902782"/>
    <s v="12.496366"/>
    <x v="0"/>
    <s v="Micro (1-10)"/>
    <x v="6"/>
    <d v="2024-05-14T00:00:00"/>
    <x v="1"/>
    <x v="6"/>
    <n v="4"/>
    <x v="0"/>
    <m/>
    <n v="811"/>
    <n v="20"/>
    <x v="446"/>
    <x v="176"/>
    <s v=""/>
  </r>
  <r>
    <x v="2722"/>
    <x v="3"/>
    <s v="52.520008"/>
    <s v="13.404954"/>
    <x v="5"/>
    <s v="Micro (1-10)"/>
    <x v="3"/>
    <d v="2024-01-29T00:00:00"/>
    <x v="2"/>
    <x v="6"/>
    <n v="4"/>
    <x v="0"/>
    <m/>
    <n v="993"/>
    <n v="20"/>
    <x v="199"/>
    <x v="176"/>
    <s v=""/>
  </r>
  <r>
    <x v="2723"/>
    <x v="2"/>
    <s v="41.902782"/>
    <s v="12.496366"/>
    <x v="8"/>
    <s v="Micro (1-10)"/>
    <x v="7"/>
    <d v="2024-04-30T00:00:00"/>
    <x v="1"/>
    <x v="6"/>
    <n v="4"/>
    <x v="0"/>
    <m/>
    <n v="1083"/>
    <n v="50"/>
    <x v="47"/>
    <x v="176"/>
    <s v=""/>
  </r>
  <r>
    <x v="2724"/>
    <x v="1"/>
    <s v="40.416775"/>
    <s v="-3.703790"/>
    <x v="4"/>
    <s v="Micro (1-10)"/>
    <x v="3"/>
    <d v="2024-04-28T00:00:00"/>
    <x v="2"/>
    <x v="6"/>
    <n v="4"/>
    <x v="0"/>
    <m/>
    <n v="928"/>
    <n v="50"/>
    <x v="149"/>
    <x v="176"/>
    <s v=""/>
  </r>
  <r>
    <x v="2725"/>
    <x v="2"/>
    <s v="41.902782"/>
    <s v="12.496366"/>
    <x v="4"/>
    <s v="Micro (1-10)"/>
    <x v="4"/>
    <d v="2024-04-19T00:00:00"/>
    <x v="0"/>
    <x v="6"/>
    <n v="4"/>
    <x v="0"/>
    <m/>
    <n v="307"/>
    <n v="30"/>
    <x v="9"/>
    <x v="176"/>
    <s v=""/>
  </r>
  <r>
    <x v="2726"/>
    <x v="2"/>
    <s v="41.902782"/>
    <s v="12.496366"/>
    <x v="4"/>
    <s v="Micro (1-10)"/>
    <x v="0"/>
    <d v="2024-04-02T00:00:00"/>
    <x v="0"/>
    <x v="6"/>
    <n v="4"/>
    <x v="0"/>
    <m/>
    <n v="697"/>
    <n v="60"/>
    <x v="196"/>
    <x v="176"/>
    <s v=""/>
  </r>
  <r>
    <x v="2727"/>
    <x v="5"/>
    <s v="46.204391"/>
    <s v="6.143158"/>
    <x v="5"/>
    <s v="Micro (1-10)"/>
    <x v="3"/>
    <d v="2024-04-07T00:00:00"/>
    <x v="2"/>
    <x v="6"/>
    <n v="4"/>
    <x v="0"/>
    <m/>
    <n v="451"/>
    <n v="30"/>
    <x v="239"/>
    <x v="176"/>
    <s v=""/>
  </r>
  <r>
    <x v="2728"/>
    <x v="5"/>
    <s v="46.204391"/>
    <s v="6.143158"/>
    <x v="0"/>
    <s v="Micro (1-10)"/>
    <x v="3"/>
    <d v="2024-01-25T00:00:00"/>
    <x v="1"/>
    <x v="6"/>
    <n v="4"/>
    <x v="0"/>
    <m/>
    <n v="1160"/>
    <n v="20"/>
    <x v="161"/>
    <x v="176"/>
    <s v=""/>
  </r>
  <r>
    <x v="2729"/>
    <x v="2"/>
    <s v="41.902782"/>
    <s v="12.496366"/>
    <x v="4"/>
    <s v="Micro (1-10)"/>
    <x v="3"/>
    <d v="2024-05-12T00:00:00"/>
    <x v="0"/>
    <x v="6"/>
    <n v="4"/>
    <x v="0"/>
    <m/>
    <n v="790"/>
    <n v="30"/>
    <x v="457"/>
    <x v="176"/>
    <s v=""/>
  </r>
  <r>
    <x v="2730"/>
    <x v="6"/>
    <s v="48.864716"/>
    <s v="2.349014"/>
    <x v="0"/>
    <s v="Micro (1-10)"/>
    <x v="1"/>
    <d v="2024-01-10T00:00:00"/>
    <x v="0"/>
    <x v="6"/>
    <n v="4"/>
    <x v="0"/>
    <m/>
    <n v="1196"/>
    <n v="20"/>
    <x v="393"/>
    <x v="176"/>
    <s v=""/>
  </r>
  <r>
    <x v="2731"/>
    <x v="2"/>
    <s v="41.902782"/>
    <s v="12.496366"/>
    <x v="3"/>
    <s v="Micro (1-10)"/>
    <x v="1"/>
    <d v="2024-02-28T00:00:00"/>
    <x v="2"/>
    <x v="6"/>
    <n v="4"/>
    <x v="0"/>
    <m/>
    <n v="915"/>
    <n v="30"/>
    <x v="154"/>
    <x v="176"/>
    <s v=""/>
  </r>
  <r>
    <x v="2732"/>
    <x v="7"/>
    <s v="48.210033"/>
    <s v="16.363449"/>
    <x v="5"/>
    <s v="Micro (1-10)"/>
    <x v="3"/>
    <d v="2024-03-27T00:00:00"/>
    <x v="2"/>
    <x v="6"/>
    <n v="4"/>
    <x v="0"/>
    <m/>
    <n v="1075"/>
    <n v="30"/>
    <x v="149"/>
    <x v="176"/>
    <s v=""/>
  </r>
  <r>
    <x v="2733"/>
    <x v="5"/>
    <s v="46.204391"/>
    <s v="6.143158"/>
    <x v="1"/>
    <s v="Micro (1-10)"/>
    <x v="4"/>
    <d v="2024-04-18T00:00:00"/>
    <x v="0"/>
    <x v="6"/>
    <n v="4"/>
    <x v="0"/>
    <m/>
    <n v="789"/>
    <n v="20"/>
    <x v="135"/>
    <x v="176"/>
    <s v=""/>
  </r>
  <r>
    <x v="2734"/>
    <x v="4"/>
    <s v="51.260197"/>
    <s v="4.402771"/>
    <x v="8"/>
    <s v="Micro (1-10)"/>
    <x v="4"/>
    <d v="2024-02-16T00:00:00"/>
    <x v="0"/>
    <x v="6"/>
    <n v="4"/>
    <x v="0"/>
    <m/>
    <n v="492"/>
    <n v="30"/>
    <x v="428"/>
    <x v="176"/>
    <s v=""/>
  </r>
  <r>
    <x v="2735"/>
    <x v="2"/>
    <s v="41.902782"/>
    <s v="12.496366"/>
    <x v="11"/>
    <s v="Medium (201-500)"/>
    <x v="1"/>
    <d v="2024-02-23T00:00:00"/>
    <x v="2"/>
    <x v="6"/>
    <n v="4"/>
    <x v="0"/>
    <m/>
    <n v="1940"/>
    <n v="40"/>
    <x v="458"/>
    <x v="176"/>
    <s v=""/>
  </r>
  <r>
    <x v="2736"/>
    <x v="3"/>
    <s v="52.520008"/>
    <s v="13.404954"/>
    <x v="5"/>
    <s v="Medium (201-500)"/>
    <x v="2"/>
    <d v="2024-02-03T00:00:00"/>
    <x v="1"/>
    <x v="6"/>
    <n v="4"/>
    <x v="0"/>
    <m/>
    <n v="6881"/>
    <n v="20"/>
    <x v="245"/>
    <x v="176"/>
    <s v=""/>
  </r>
  <r>
    <x v="2737"/>
    <x v="8"/>
    <s v="38.736946"/>
    <s v="-9.142685"/>
    <x v="0"/>
    <s v="Medium (201-500)"/>
    <x v="5"/>
    <d v="2024-04-06T00:00:00"/>
    <x v="0"/>
    <x v="6"/>
    <n v="4"/>
    <x v="0"/>
    <m/>
    <n v="1944"/>
    <n v="30"/>
    <x v="200"/>
    <x v="176"/>
    <s v=""/>
  </r>
  <r>
    <x v="2738"/>
    <x v="4"/>
    <s v="51.260197"/>
    <s v="4.402771"/>
    <x v="3"/>
    <s v="Medium (201-500)"/>
    <x v="5"/>
    <d v="2024-03-29T00:00:00"/>
    <x v="2"/>
    <x v="6"/>
    <n v="4"/>
    <x v="0"/>
    <m/>
    <n v="7599"/>
    <n v="60"/>
    <x v="228"/>
    <x v="176"/>
    <s v=""/>
  </r>
  <r>
    <x v="2739"/>
    <x v="8"/>
    <s v="38.736946"/>
    <s v="-9.142685"/>
    <x v="5"/>
    <s v="Medium (201-500)"/>
    <x v="3"/>
    <d v="2024-01-16T00:00:00"/>
    <x v="1"/>
    <x v="6"/>
    <n v="4"/>
    <x v="0"/>
    <m/>
    <n v="4083"/>
    <n v="10"/>
    <x v="5"/>
    <x v="176"/>
    <s v=""/>
  </r>
  <r>
    <x v="2740"/>
    <x v="5"/>
    <s v="46.204391"/>
    <s v="6.143158"/>
    <x v="5"/>
    <s v="Medium (201-500)"/>
    <x v="0"/>
    <d v="2024-03-26T00:00:00"/>
    <x v="1"/>
    <x v="6"/>
    <n v="4"/>
    <x v="0"/>
    <m/>
    <n v="6631"/>
    <n v="40"/>
    <x v="458"/>
    <x v="176"/>
    <s v=""/>
  </r>
  <r>
    <x v="2741"/>
    <x v="2"/>
    <s v="41.902782"/>
    <s v="12.496366"/>
    <x v="2"/>
    <s v="Medium (201-500)"/>
    <x v="7"/>
    <d v="2024-04-18T00:00:00"/>
    <x v="0"/>
    <x v="6"/>
    <n v="4"/>
    <x v="0"/>
    <m/>
    <n v="3675"/>
    <n v="60"/>
    <x v="384"/>
    <x v="176"/>
    <s v=""/>
  </r>
  <r>
    <x v="2742"/>
    <x v="2"/>
    <s v="41.902782"/>
    <s v="12.496366"/>
    <x v="10"/>
    <s v="Medium (201-500)"/>
    <x v="7"/>
    <d v="2024-03-18T00:00:00"/>
    <x v="1"/>
    <x v="6"/>
    <n v="4"/>
    <x v="0"/>
    <m/>
    <n v="6491"/>
    <n v="20"/>
    <x v="212"/>
    <x v="176"/>
    <s v=""/>
  </r>
  <r>
    <x v="2743"/>
    <x v="2"/>
    <s v="41.902782"/>
    <s v="12.496366"/>
    <x v="0"/>
    <s v="Medium (201-500)"/>
    <x v="6"/>
    <d v="2024-04-30T00:00:00"/>
    <x v="2"/>
    <x v="6"/>
    <n v="4"/>
    <x v="0"/>
    <m/>
    <n v="666"/>
    <n v="90"/>
    <x v="170"/>
    <x v="176"/>
    <s v=""/>
  </r>
  <r>
    <x v="2744"/>
    <x v="5"/>
    <s v="46.204391"/>
    <s v="6.143158"/>
    <x v="5"/>
    <s v="Medium (201-500)"/>
    <x v="3"/>
    <d v="2024-05-21T00:00:00"/>
    <x v="0"/>
    <x v="6"/>
    <n v="4"/>
    <x v="0"/>
    <m/>
    <n v="6272"/>
    <n v="90"/>
    <x v="72"/>
    <x v="176"/>
    <s v=""/>
  </r>
  <r>
    <x v="2745"/>
    <x v="5"/>
    <s v="46.204391"/>
    <s v="6.143158"/>
    <x v="1"/>
    <s v="Medium (201-500)"/>
    <x v="2"/>
    <d v="2024-05-14T00:00:00"/>
    <x v="2"/>
    <x v="6"/>
    <n v="4"/>
    <x v="0"/>
    <m/>
    <n v="6217"/>
    <n v="90"/>
    <x v="130"/>
    <x v="176"/>
    <s v=""/>
  </r>
  <r>
    <x v="2746"/>
    <x v="6"/>
    <s v="48.864716"/>
    <s v="2.349014"/>
    <x v="5"/>
    <s v="Medium (201-500)"/>
    <x v="3"/>
    <d v="2024-02-13T00:00:00"/>
    <x v="0"/>
    <x v="6"/>
    <n v="4"/>
    <x v="0"/>
    <m/>
    <n v="3368"/>
    <n v="80"/>
    <x v="329"/>
    <x v="176"/>
    <s v=""/>
  </r>
  <r>
    <x v="2747"/>
    <x v="2"/>
    <s v="41.902782"/>
    <s v="12.496366"/>
    <x v="10"/>
    <s v="Medium (201-500)"/>
    <x v="2"/>
    <d v="2024-05-27T00:00:00"/>
    <x v="2"/>
    <x v="6"/>
    <n v="4"/>
    <x v="0"/>
    <m/>
    <n v="6401"/>
    <n v="40"/>
    <x v="382"/>
    <x v="176"/>
    <s v=""/>
  </r>
  <r>
    <x v="2748"/>
    <x v="6"/>
    <s v="48.864716"/>
    <s v="2.349014"/>
    <x v="4"/>
    <s v="Medium (201-500)"/>
    <x v="5"/>
    <d v="2024-02-17T00:00:00"/>
    <x v="1"/>
    <x v="6"/>
    <n v="4"/>
    <x v="0"/>
    <m/>
    <n v="6003"/>
    <n v="50"/>
    <x v="340"/>
    <x v="176"/>
    <s v=""/>
  </r>
  <r>
    <x v="2749"/>
    <x v="7"/>
    <s v="48.210033"/>
    <s v="16.363449"/>
    <x v="4"/>
    <s v="Medium (201-500)"/>
    <x v="3"/>
    <d v="2024-01-27T00:00:00"/>
    <x v="2"/>
    <x v="6"/>
    <n v="4"/>
    <x v="0"/>
    <m/>
    <n v="4630"/>
    <n v="60"/>
    <x v="136"/>
    <x v="176"/>
    <s v=""/>
  </r>
  <r>
    <x v="2750"/>
    <x v="4"/>
    <s v="51.260197"/>
    <s v="4.402771"/>
    <x v="12"/>
    <s v="Medium (201-500)"/>
    <x v="7"/>
    <d v="2024-05-29T00:00:00"/>
    <x v="1"/>
    <x v="6"/>
    <n v="4"/>
    <x v="0"/>
    <m/>
    <n v="1412"/>
    <n v="20"/>
    <x v="459"/>
    <x v="176"/>
    <s v=""/>
  </r>
  <r>
    <x v="2751"/>
    <x v="3"/>
    <s v="52.520008"/>
    <s v="13.404954"/>
    <x v="5"/>
    <s v="Medium (201-500)"/>
    <x v="0"/>
    <d v="2024-01-10T00:00:00"/>
    <x v="1"/>
    <x v="6"/>
    <n v="4"/>
    <x v="0"/>
    <m/>
    <n v="7814"/>
    <n v="50"/>
    <x v="121"/>
    <x v="176"/>
    <s v=""/>
  </r>
  <r>
    <x v="2752"/>
    <x v="0"/>
    <s v="52.370216"/>
    <s v="4.895168"/>
    <x v="4"/>
    <s v="Medium (201-500)"/>
    <x v="4"/>
    <d v="2024-05-22T00:00:00"/>
    <x v="0"/>
    <x v="6"/>
    <n v="4"/>
    <x v="0"/>
    <m/>
    <n v="7896"/>
    <n v="20"/>
    <x v="100"/>
    <x v="176"/>
    <s v=""/>
  </r>
  <r>
    <x v="2753"/>
    <x v="5"/>
    <s v="46.204391"/>
    <s v="6.143158"/>
    <x v="3"/>
    <s v="Medium (201-500)"/>
    <x v="3"/>
    <d v="2024-04-22T00:00:00"/>
    <x v="1"/>
    <x v="6"/>
    <n v="4"/>
    <x v="0"/>
    <m/>
    <n v="2922"/>
    <n v="30"/>
    <x v="36"/>
    <x v="176"/>
    <s v=""/>
  </r>
  <r>
    <x v="2754"/>
    <x v="6"/>
    <s v="48.864716"/>
    <s v="2.349014"/>
    <x v="1"/>
    <s v="Medium (201-500)"/>
    <x v="7"/>
    <d v="2024-01-17T00:00:00"/>
    <x v="0"/>
    <x v="6"/>
    <n v="4"/>
    <x v="0"/>
    <m/>
    <n v="5709"/>
    <n v="30"/>
    <x v="363"/>
    <x v="176"/>
    <s v=""/>
  </r>
  <r>
    <x v="2755"/>
    <x v="2"/>
    <s v="41.902782"/>
    <s v="12.496366"/>
    <x v="4"/>
    <s v="Medium (201-500)"/>
    <x v="2"/>
    <d v="2024-02-02T00:00:00"/>
    <x v="1"/>
    <x v="6"/>
    <n v="4"/>
    <x v="0"/>
    <m/>
    <n v="1102"/>
    <n v="30"/>
    <x v="216"/>
    <x v="176"/>
    <s v=""/>
  </r>
  <r>
    <x v="2756"/>
    <x v="3"/>
    <s v="52.520008"/>
    <s v="13.404954"/>
    <x v="0"/>
    <s v="Medium (201-500)"/>
    <x v="6"/>
    <d v="2024-02-18T00:00:00"/>
    <x v="1"/>
    <x v="6"/>
    <n v="4"/>
    <x v="0"/>
    <m/>
    <n v="3809"/>
    <n v="30"/>
    <x v="42"/>
    <x v="176"/>
    <s v=""/>
  </r>
  <r>
    <x v="2757"/>
    <x v="2"/>
    <s v="41.902782"/>
    <s v="12.496366"/>
    <x v="12"/>
    <s v="Medium (201-500)"/>
    <x v="0"/>
    <d v="2024-05-04T00:00:00"/>
    <x v="2"/>
    <x v="6"/>
    <n v="4"/>
    <x v="0"/>
    <m/>
    <n v="3896"/>
    <n v="20"/>
    <x v="236"/>
    <x v="176"/>
    <s v=""/>
  </r>
  <r>
    <x v="2758"/>
    <x v="3"/>
    <s v="52.520008"/>
    <s v="13.404954"/>
    <x v="5"/>
    <s v="Medium (201-500)"/>
    <x v="4"/>
    <d v="2024-05-22T00:00:00"/>
    <x v="2"/>
    <x v="6"/>
    <n v="4"/>
    <x v="0"/>
    <m/>
    <n v="6990"/>
    <n v="50"/>
    <x v="335"/>
    <x v="176"/>
    <s v=""/>
  </r>
  <r>
    <x v="2759"/>
    <x v="0"/>
    <s v="52.370216"/>
    <s v="4.895168"/>
    <x v="0"/>
    <s v="Medium (201-500)"/>
    <x v="2"/>
    <d v="2024-05-27T00:00:00"/>
    <x v="0"/>
    <x v="6"/>
    <n v="4"/>
    <x v="0"/>
    <m/>
    <n v="6435"/>
    <n v="50"/>
    <x v="361"/>
    <x v="176"/>
    <s v=""/>
  </r>
  <r>
    <x v="2760"/>
    <x v="5"/>
    <s v="46.204391"/>
    <s v="6.143158"/>
    <x v="4"/>
    <s v="Medium (201-500)"/>
    <x v="3"/>
    <d v="2024-01-19T00:00:00"/>
    <x v="2"/>
    <x v="6"/>
    <n v="4"/>
    <x v="0"/>
    <m/>
    <n v="3314"/>
    <n v="40"/>
    <x v="263"/>
    <x v="176"/>
    <s v=""/>
  </r>
  <r>
    <x v="2761"/>
    <x v="8"/>
    <s v="38.736946"/>
    <s v="-9.142685"/>
    <x v="1"/>
    <s v="Medium (201-500)"/>
    <x v="4"/>
    <d v="2024-04-15T00:00:00"/>
    <x v="2"/>
    <x v="6"/>
    <n v="4"/>
    <x v="0"/>
    <m/>
    <n v="5389"/>
    <n v="50"/>
    <x v="222"/>
    <x v="176"/>
    <s v=""/>
  </r>
  <r>
    <x v="2762"/>
    <x v="8"/>
    <s v="38.736946"/>
    <s v="-9.142685"/>
    <x v="5"/>
    <s v="Medium (201-500)"/>
    <x v="3"/>
    <d v="2024-05-24T00:00:00"/>
    <x v="0"/>
    <x v="6"/>
    <n v="4"/>
    <x v="0"/>
    <m/>
    <n v="6440"/>
    <n v="30"/>
    <x v="338"/>
    <x v="176"/>
    <s v=""/>
  </r>
  <r>
    <x v="2763"/>
    <x v="2"/>
    <s v="41.902782"/>
    <s v="12.496366"/>
    <x v="1"/>
    <s v="Medium (201-500)"/>
    <x v="0"/>
    <d v="2024-02-24T00:00:00"/>
    <x v="0"/>
    <x v="6"/>
    <n v="4"/>
    <x v="0"/>
    <m/>
    <n v="6018"/>
    <n v="100"/>
    <x v="101"/>
    <x v="176"/>
    <s v=""/>
  </r>
  <r>
    <x v="2764"/>
    <x v="2"/>
    <s v="41.902782"/>
    <s v="12.496366"/>
    <x v="6"/>
    <s v="Medium (201-500)"/>
    <x v="2"/>
    <d v="2024-03-23T00:00:00"/>
    <x v="2"/>
    <x v="6"/>
    <n v="4"/>
    <x v="0"/>
    <m/>
    <n v="7288"/>
    <n v="30"/>
    <x v="411"/>
    <x v="176"/>
    <s v=""/>
  </r>
  <r>
    <x v="2765"/>
    <x v="5"/>
    <s v="46.204391"/>
    <s v="6.143158"/>
    <x v="4"/>
    <s v="Medium (201-500)"/>
    <x v="6"/>
    <d v="2024-04-19T00:00:00"/>
    <x v="0"/>
    <x v="6"/>
    <n v="4"/>
    <x v="0"/>
    <m/>
    <n v="1568"/>
    <n v="60"/>
    <x v="386"/>
    <x v="176"/>
    <s v=""/>
  </r>
  <r>
    <x v="2766"/>
    <x v="3"/>
    <s v="52.520008"/>
    <s v="13.404954"/>
    <x v="4"/>
    <s v="Medium (201-500)"/>
    <x v="2"/>
    <d v="2024-02-07T00:00:00"/>
    <x v="1"/>
    <x v="6"/>
    <n v="4"/>
    <x v="0"/>
    <m/>
    <n v="2820"/>
    <n v="90"/>
    <x v="324"/>
    <x v="176"/>
    <s v=""/>
  </r>
  <r>
    <x v="2767"/>
    <x v="6"/>
    <s v="48.864716"/>
    <s v="2.349014"/>
    <x v="5"/>
    <s v="Medium (201-500)"/>
    <x v="4"/>
    <d v="2024-02-24T00:00:00"/>
    <x v="1"/>
    <x v="6"/>
    <n v="4"/>
    <x v="0"/>
    <m/>
    <n v="556"/>
    <n v="50"/>
    <x v="79"/>
    <x v="176"/>
    <s v=""/>
  </r>
  <r>
    <x v="2768"/>
    <x v="2"/>
    <s v="41.902782"/>
    <s v="12.496366"/>
    <x v="13"/>
    <s v="Medium (201-500)"/>
    <x v="4"/>
    <d v="2024-04-20T00:00:00"/>
    <x v="1"/>
    <x v="6"/>
    <n v="4"/>
    <x v="0"/>
    <m/>
    <n v="3396"/>
    <n v="40"/>
    <x v="226"/>
    <x v="176"/>
    <s v=""/>
  </r>
  <r>
    <x v="2769"/>
    <x v="6"/>
    <s v="48.864716"/>
    <s v="2.349014"/>
    <x v="11"/>
    <s v="Medium (201-500)"/>
    <x v="7"/>
    <d v="2024-01-07T00:00:00"/>
    <x v="0"/>
    <x v="6"/>
    <n v="4"/>
    <x v="0"/>
    <m/>
    <n v="3793"/>
    <n v="100"/>
    <x v="460"/>
    <x v="176"/>
    <s v=""/>
  </r>
  <r>
    <x v="2770"/>
    <x v="6"/>
    <s v="48.864716"/>
    <s v="2.349014"/>
    <x v="12"/>
    <s v="Medium (201-500)"/>
    <x v="2"/>
    <d v="2024-01-25T00:00:00"/>
    <x v="1"/>
    <x v="6"/>
    <n v="4"/>
    <x v="0"/>
    <m/>
    <n v="3275"/>
    <n v="20"/>
    <x v="179"/>
    <x v="176"/>
    <s v=""/>
  </r>
  <r>
    <x v="2771"/>
    <x v="0"/>
    <s v="52.370216"/>
    <s v="4.895168"/>
    <x v="8"/>
    <s v="Medium (201-500)"/>
    <x v="3"/>
    <d v="2024-05-22T00:00:00"/>
    <x v="2"/>
    <x v="6"/>
    <n v="4"/>
    <x v="0"/>
    <m/>
    <n v="7618"/>
    <n v="30"/>
    <x v="182"/>
    <x v="176"/>
    <s v=""/>
  </r>
  <r>
    <x v="2772"/>
    <x v="2"/>
    <s v="41.902782"/>
    <s v="12.496366"/>
    <x v="0"/>
    <s v="Medium (201-500)"/>
    <x v="2"/>
    <d v="2024-05-16T00:00:00"/>
    <x v="1"/>
    <x v="6"/>
    <n v="4"/>
    <x v="0"/>
    <m/>
    <n v="1240"/>
    <n v="70"/>
    <x v="222"/>
    <x v="176"/>
    <s v=""/>
  </r>
  <r>
    <x v="2773"/>
    <x v="2"/>
    <s v="41.902782"/>
    <s v="12.496366"/>
    <x v="5"/>
    <s v="Medium (201-500)"/>
    <x v="7"/>
    <d v="2024-03-14T00:00:00"/>
    <x v="1"/>
    <x v="6"/>
    <n v="4"/>
    <x v="0"/>
    <m/>
    <n v="2040"/>
    <n v="40"/>
    <x v="153"/>
    <x v="176"/>
    <s v=""/>
  </r>
  <r>
    <x v="2774"/>
    <x v="5"/>
    <s v="46.204391"/>
    <s v="6.143158"/>
    <x v="0"/>
    <s v="Medium (201-500)"/>
    <x v="2"/>
    <d v="2024-03-02T00:00:00"/>
    <x v="1"/>
    <x v="6"/>
    <n v="4"/>
    <x v="0"/>
    <m/>
    <n v="4371"/>
    <n v="10"/>
    <x v="386"/>
    <x v="176"/>
    <s v=""/>
  </r>
  <r>
    <x v="2775"/>
    <x v="2"/>
    <s v="41.902782"/>
    <s v="12.496366"/>
    <x v="0"/>
    <s v="Medium (201-500)"/>
    <x v="2"/>
    <d v="2024-05-20T00:00:00"/>
    <x v="2"/>
    <x v="6"/>
    <n v="4"/>
    <x v="0"/>
    <m/>
    <n v="6865"/>
    <n v="80"/>
    <x v="71"/>
    <x v="176"/>
    <s v=""/>
  </r>
  <r>
    <x v="2776"/>
    <x v="0"/>
    <s v="52.370216"/>
    <s v="4.895168"/>
    <x v="8"/>
    <s v="Medium (201-500)"/>
    <x v="5"/>
    <d v="2024-05-14T00:00:00"/>
    <x v="0"/>
    <x v="6"/>
    <n v="4"/>
    <x v="0"/>
    <m/>
    <n v="1037"/>
    <n v="40"/>
    <x v="267"/>
    <x v="176"/>
    <s v=""/>
  </r>
  <r>
    <x v="2777"/>
    <x v="0"/>
    <s v="52.370216"/>
    <s v="4.895168"/>
    <x v="12"/>
    <s v="Medium (201-500)"/>
    <x v="3"/>
    <d v="2024-05-14T00:00:00"/>
    <x v="1"/>
    <x v="6"/>
    <n v="4"/>
    <x v="0"/>
    <m/>
    <n v="3278"/>
    <n v="90"/>
    <x v="150"/>
    <x v="176"/>
    <s v=""/>
  </r>
  <r>
    <x v="2778"/>
    <x v="8"/>
    <s v="38.736946"/>
    <s v="-9.142685"/>
    <x v="0"/>
    <s v="Medium (201-500)"/>
    <x v="1"/>
    <d v="2024-01-29T00:00:00"/>
    <x v="2"/>
    <x v="6"/>
    <n v="4"/>
    <x v="0"/>
    <m/>
    <n v="7181"/>
    <n v="40"/>
    <x v="143"/>
    <x v="176"/>
    <s v=""/>
  </r>
  <r>
    <x v="2779"/>
    <x v="1"/>
    <s v="40.416775"/>
    <s v="-3.703790"/>
    <x v="13"/>
    <s v="Medium (201-500)"/>
    <x v="5"/>
    <d v="2024-05-02T00:00:00"/>
    <x v="0"/>
    <x v="6"/>
    <n v="4"/>
    <x v="0"/>
    <m/>
    <n v="3474"/>
    <n v="70"/>
    <x v="109"/>
    <x v="176"/>
    <s v=""/>
  </r>
  <r>
    <x v="2780"/>
    <x v="3"/>
    <s v="52.520008"/>
    <s v="13.404954"/>
    <x v="6"/>
    <s v="Medium (201-500)"/>
    <x v="7"/>
    <d v="2024-01-27T00:00:00"/>
    <x v="2"/>
    <x v="6"/>
    <n v="4"/>
    <x v="0"/>
    <m/>
    <n v="6180"/>
    <n v="40"/>
    <x v="426"/>
    <x v="176"/>
    <s v=""/>
  </r>
  <r>
    <x v="2781"/>
    <x v="5"/>
    <s v="46.204391"/>
    <s v="6.143158"/>
    <x v="6"/>
    <s v="Medium (201-500)"/>
    <x v="0"/>
    <d v="2024-05-15T00:00:00"/>
    <x v="2"/>
    <x v="6"/>
    <n v="4"/>
    <x v="0"/>
    <m/>
    <n v="2254"/>
    <n v="50"/>
    <x v="33"/>
    <x v="176"/>
    <s v=""/>
  </r>
  <r>
    <x v="2782"/>
    <x v="4"/>
    <s v="51.260197"/>
    <s v="4.402771"/>
    <x v="3"/>
    <s v="Medium (201-500)"/>
    <x v="0"/>
    <d v="2024-01-15T00:00:00"/>
    <x v="0"/>
    <x v="6"/>
    <n v="4"/>
    <x v="0"/>
    <m/>
    <n v="1610"/>
    <n v="60"/>
    <x v="215"/>
    <x v="176"/>
    <s v=""/>
  </r>
  <r>
    <x v="2783"/>
    <x v="2"/>
    <s v="41.902782"/>
    <s v="12.496366"/>
    <x v="4"/>
    <s v="Medium (201-500)"/>
    <x v="3"/>
    <d v="2024-01-29T00:00:00"/>
    <x v="2"/>
    <x v="6"/>
    <n v="4"/>
    <x v="0"/>
    <m/>
    <n v="2244"/>
    <n v="20"/>
    <x v="454"/>
    <x v="176"/>
    <s v=""/>
  </r>
  <r>
    <x v="2784"/>
    <x v="4"/>
    <s v="51.260197"/>
    <s v="4.402771"/>
    <x v="7"/>
    <s v="Medium (201-500)"/>
    <x v="4"/>
    <d v="2024-05-05T00:00:00"/>
    <x v="0"/>
    <x v="6"/>
    <n v="4"/>
    <x v="0"/>
    <m/>
    <n v="1607"/>
    <n v="50"/>
    <x v="423"/>
    <x v="176"/>
    <s v=""/>
  </r>
  <r>
    <x v="2785"/>
    <x v="3"/>
    <s v="52.520008"/>
    <s v="13.404954"/>
    <x v="4"/>
    <s v="Medium (201-500)"/>
    <x v="1"/>
    <d v="2024-04-26T00:00:00"/>
    <x v="1"/>
    <x v="6"/>
    <n v="4"/>
    <x v="0"/>
    <m/>
    <n v="3843"/>
    <n v="30"/>
    <x v="239"/>
    <x v="176"/>
    <s v=""/>
  </r>
  <r>
    <x v="2786"/>
    <x v="2"/>
    <s v="41.902782"/>
    <s v="12.496366"/>
    <x v="4"/>
    <s v="Medium (201-500)"/>
    <x v="2"/>
    <d v="2024-02-24T00:00:00"/>
    <x v="0"/>
    <x v="6"/>
    <n v="4"/>
    <x v="0"/>
    <m/>
    <n v="630"/>
    <n v="40"/>
    <x v="105"/>
    <x v="176"/>
    <s v=""/>
  </r>
  <r>
    <x v="2787"/>
    <x v="3"/>
    <s v="52.520008"/>
    <s v="13.404954"/>
    <x v="4"/>
    <s v="Medium (201-500)"/>
    <x v="4"/>
    <d v="2024-04-13T00:00:00"/>
    <x v="0"/>
    <x v="6"/>
    <n v="4"/>
    <x v="0"/>
    <m/>
    <n v="3866"/>
    <n v="60"/>
    <x v="13"/>
    <x v="176"/>
    <s v=""/>
  </r>
  <r>
    <x v="2788"/>
    <x v="2"/>
    <s v="41.902782"/>
    <s v="12.496366"/>
    <x v="4"/>
    <s v="Medium (201-500)"/>
    <x v="2"/>
    <d v="2024-05-06T00:00:00"/>
    <x v="2"/>
    <x v="6"/>
    <n v="4"/>
    <x v="0"/>
    <m/>
    <n v="4358"/>
    <n v="30"/>
    <x v="83"/>
    <x v="176"/>
    <s v=""/>
  </r>
  <r>
    <x v="2789"/>
    <x v="0"/>
    <s v="52.370216"/>
    <s v="4.895168"/>
    <x v="3"/>
    <s v="Medium (201-500)"/>
    <x v="2"/>
    <d v="2024-05-03T00:00:00"/>
    <x v="2"/>
    <x v="6"/>
    <n v="4"/>
    <x v="0"/>
    <m/>
    <n v="1808"/>
    <n v="80"/>
    <x v="87"/>
    <x v="176"/>
    <s v=""/>
  </r>
  <r>
    <x v="2790"/>
    <x v="6"/>
    <s v="48.864716"/>
    <s v="2.349014"/>
    <x v="9"/>
    <s v="Medium (201-500)"/>
    <x v="7"/>
    <d v="2024-05-22T00:00:00"/>
    <x v="1"/>
    <x v="6"/>
    <n v="4"/>
    <x v="0"/>
    <m/>
    <n v="6476"/>
    <n v="20"/>
    <x v="0"/>
    <x v="176"/>
    <s v=""/>
  </r>
  <r>
    <x v="2791"/>
    <x v="6"/>
    <s v="48.864716"/>
    <s v="2.349014"/>
    <x v="5"/>
    <s v="Medium (201-500)"/>
    <x v="6"/>
    <d v="2024-01-17T00:00:00"/>
    <x v="0"/>
    <x v="6"/>
    <n v="4"/>
    <x v="0"/>
    <m/>
    <n v="4366"/>
    <n v="10"/>
    <x v="166"/>
    <x v="176"/>
    <s v=""/>
  </r>
  <r>
    <x v="2792"/>
    <x v="8"/>
    <s v="38.736946"/>
    <s v="-9.142685"/>
    <x v="8"/>
    <s v="Medium (201-500)"/>
    <x v="3"/>
    <d v="2024-05-19T00:00:00"/>
    <x v="2"/>
    <x v="6"/>
    <n v="4"/>
    <x v="0"/>
    <m/>
    <n v="4420"/>
    <n v="30"/>
    <x v="117"/>
    <x v="176"/>
    <s v=""/>
  </r>
  <r>
    <x v="2793"/>
    <x v="3"/>
    <s v="52.520008"/>
    <s v="13.404954"/>
    <x v="9"/>
    <s v="Medium (201-500)"/>
    <x v="2"/>
    <d v="2024-05-07T00:00:00"/>
    <x v="2"/>
    <x v="6"/>
    <n v="4"/>
    <x v="0"/>
    <m/>
    <n v="1393"/>
    <n v="60"/>
    <x v="381"/>
    <x v="176"/>
    <s v=""/>
  </r>
  <r>
    <x v="2794"/>
    <x v="2"/>
    <s v="41.902782"/>
    <s v="12.496366"/>
    <x v="6"/>
    <s v="Medium (201-500)"/>
    <x v="2"/>
    <d v="2024-01-05T00:00:00"/>
    <x v="1"/>
    <x v="6"/>
    <n v="4"/>
    <x v="0"/>
    <m/>
    <n v="3648"/>
    <n v="30"/>
    <x v="461"/>
    <x v="176"/>
    <s v=""/>
  </r>
  <r>
    <x v="2795"/>
    <x v="3"/>
    <s v="52.520008"/>
    <s v="13.404954"/>
    <x v="0"/>
    <s v="Medium (201-500)"/>
    <x v="3"/>
    <d v="2024-03-27T00:00:00"/>
    <x v="2"/>
    <x v="6"/>
    <n v="4"/>
    <x v="0"/>
    <m/>
    <n v="4612"/>
    <n v="20"/>
    <x v="50"/>
    <x v="176"/>
    <s v=""/>
  </r>
  <r>
    <x v="2796"/>
    <x v="3"/>
    <s v="52.520008"/>
    <s v="13.404954"/>
    <x v="3"/>
    <s v="Medium (201-500)"/>
    <x v="2"/>
    <d v="2024-02-16T00:00:00"/>
    <x v="0"/>
    <x v="6"/>
    <n v="4"/>
    <x v="0"/>
    <m/>
    <n v="5992"/>
    <n v="20"/>
    <x v="110"/>
    <x v="176"/>
    <s v=""/>
  </r>
  <r>
    <x v="2797"/>
    <x v="4"/>
    <s v="51.260197"/>
    <s v="4.402771"/>
    <x v="4"/>
    <s v="Medium (201-500)"/>
    <x v="5"/>
    <d v="2024-04-29T00:00:00"/>
    <x v="0"/>
    <x v="6"/>
    <n v="4"/>
    <x v="0"/>
    <m/>
    <n v="7591"/>
    <n v="30"/>
    <x v="25"/>
    <x v="176"/>
    <s v=""/>
  </r>
  <r>
    <x v="2798"/>
    <x v="2"/>
    <s v="41.902782"/>
    <s v="12.496366"/>
    <x v="5"/>
    <s v="Medium (201-500)"/>
    <x v="4"/>
    <d v="2024-02-14T00:00:00"/>
    <x v="2"/>
    <x v="6"/>
    <n v="4"/>
    <x v="0"/>
    <m/>
    <n v="1158"/>
    <n v="20"/>
    <x v="53"/>
    <x v="176"/>
    <s v=""/>
  </r>
  <r>
    <x v="2799"/>
    <x v="8"/>
    <s v="38.736946"/>
    <s v="-9.142685"/>
    <x v="6"/>
    <s v="Medium (201-500)"/>
    <x v="4"/>
    <d v="2024-05-17T00:00:00"/>
    <x v="0"/>
    <x v="6"/>
    <n v="4"/>
    <x v="0"/>
    <m/>
    <n v="5723"/>
    <n v="20"/>
    <x v="79"/>
    <x v="176"/>
    <s v=""/>
  </r>
  <r>
    <x v="2800"/>
    <x v="4"/>
    <s v="51.260197"/>
    <s v="4.402771"/>
    <x v="5"/>
    <s v="Medium (201-500)"/>
    <x v="5"/>
    <d v="2024-04-24T00:00:00"/>
    <x v="1"/>
    <x v="6"/>
    <n v="4"/>
    <x v="0"/>
    <m/>
    <n v="4941"/>
    <n v="30"/>
    <x v="52"/>
    <x v="176"/>
    <s v=""/>
  </r>
  <r>
    <x v="2801"/>
    <x v="1"/>
    <s v="40.416775"/>
    <s v="-3.703790"/>
    <x v="4"/>
    <s v="Medium (201-500)"/>
    <x v="1"/>
    <d v="2024-03-26T00:00:00"/>
    <x v="0"/>
    <x v="6"/>
    <n v="4"/>
    <x v="0"/>
    <m/>
    <n v="3814"/>
    <n v="60"/>
    <x v="339"/>
    <x v="176"/>
    <s v=""/>
  </r>
  <r>
    <x v="2802"/>
    <x v="0"/>
    <s v="52.370216"/>
    <s v="4.895168"/>
    <x v="4"/>
    <s v="Medium (201-500)"/>
    <x v="4"/>
    <d v="2024-03-01T00:00:00"/>
    <x v="2"/>
    <x v="6"/>
    <n v="4"/>
    <x v="0"/>
    <m/>
    <n v="6893"/>
    <n v="50"/>
    <x v="388"/>
    <x v="176"/>
    <s v=""/>
  </r>
  <r>
    <x v="2803"/>
    <x v="5"/>
    <s v="46.204391"/>
    <s v="6.143158"/>
    <x v="11"/>
    <s v="Medium (201-500)"/>
    <x v="2"/>
    <d v="2024-01-14T00:00:00"/>
    <x v="2"/>
    <x v="6"/>
    <n v="4"/>
    <x v="0"/>
    <m/>
    <n v="3543"/>
    <n v="40"/>
    <x v="84"/>
    <x v="176"/>
    <s v=""/>
  </r>
  <r>
    <x v="2804"/>
    <x v="2"/>
    <s v="41.902782"/>
    <s v="12.496366"/>
    <x v="5"/>
    <s v="Medium (201-500)"/>
    <x v="3"/>
    <d v="2024-05-30T00:00:00"/>
    <x v="2"/>
    <x v="6"/>
    <n v="4"/>
    <x v="0"/>
    <m/>
    <n v="3909"/>
    <n v="40"/>
    <x v="92"/>
    <x v="176"/>
    <s v=""/>
  </r>
  <r>
    <x v="2805"/>
    <x v="7"/>
    <s v="48.210033"/>
    <s v="16.363449"/>
    <x v="3"/>
    <s v="Medium (201-500)"/>
    <x v="2"/>
    <d v="2024-01-03T00:00:00"/>
    <x v="2"/>
    <x v="6"/>
    <n v="4"/>
    <x v="0"/>
    <m/>
    <n v="981"/>
    <n v="90"/>
    <x v="50"/>
    <x v="176"/>
    <s v=""/>
  </r>
  <r>
    <x v="2806"/>
    <x v="5"/>
    <s v="46.204391"/>
    <s v="6.143158"/>
    <x v="0"/>
    <s v="Medium (201-500)"/>
    <x v="3"/>
    <d v="2024-03-27T00:00:00"/>
    <x v="2"/>
    <x v="6"/>
    <n v="4"/>
    <x v="0"/>
    <m/>
    <n v="784"/>
    <n v="20"/>
    <x v="27"/>
    <x v="176"/>
    <s v=""/>
  </r>
  <r>
    <x v="2807"/>
    <x v="5"/>
    <s v="46.204391"/>
    <s v="6.143158"/>
    <x v="11"/>
    <s v="Medium (201-500)"/>
    <x v="6"/>
    <d v="2024-01-31T00:00:00"/>
    <x v="2"/>
    <x v="6"/>
    <n v="4"/>
    <x v="0"/>
    <m/>
    <n v="3108"/>
    <n v="30"/>
    <x v="417"/>
    <x v="176"/>
    <s v=""/>
  </r>
  <r>
    <x v="2808"/>
    <x v="3"/>
    <s v="52.520008"/>
    <s v="13.404954"/>
    <x v="7"/>
    <s v="Medium (201-500)"/>
    <x v="2"/>
    <d v="2024-01-23T00:00:00"/>
    <x v="2"/>
    <x v="6"/>
    <n v="4"/>
    <x v="0"/>
    <m/>
    <n v="5558"/>
    <n v="20"/>
    <x v="72"/>
    <x v="176"/>
    <s v=""/>
  </r>
  <r>
    <x v="2809"/>
    <x v="4"/>
    <s v="51.260197"/>
    <s v="4.402771"/>
    <x v="12"/>
    <s v="Medium (201-500)"/>
    <x v="3"/>
    <d v="2024-01-15T00:00:00"/>
    <x v="0"/>
    <x v="6"/>
    <n v="4"/>
    <x v="0"/>
    <m/>
    <n v="1260"/>
    <n v="50"/>
    <x v="375"/>
    <x v="176"/>
    <s v=""/>
  </r>
  <r>
    <x v="2810"/>
    <x v="5"/>
    <s v="46.204391"/>
    <s v="6.143158"/>
    <x v="0"/>
    <s v="Medium (201-500)"/>
    <x v="4"/>
    <d v="2024-05-03T00:00:00"/>
    <x v="1"/>
    <x v="6"/>
    <n v="4"/>
    <x v="0"/>
    <m/>
    <n v="5207"/>
    <n v="70"/>
    <x v="41"/>
    <x v="176"/>
    <s v=""/>
  </r>
  <r>
    <x v="2811"/>
    <x v="5"/>
    <s v="46.204391"/>
    <s v="6.143158"/>
    <x v="1"/>
    <s v="Medium (201-500)"/>
    <x v="3"/>
    <d v="2024-04-04T00:00:00"/>
    <x v="1"/>
    <x v="6"/>
    <n v="4"/>
    <x v="0"/>
    <m/>
    <n v="1503"/>
    <n v="80"/>
    <x v="74"/>
    <x v="176"/>
    <s v=""/>
  </r>
  <r>
    <x v="2812"/>
    <x v="5"/>
    <s v="46.204391"/>
    <s v="6.143158"/>
    <x v="5"/>
    <s v="Medium (201-500)"/>
    <x v="0"/>
    <d v="2024-02-10T00:00:00"/>
    <x v="0"/>
    <x v="6"/>
    <n v="4"/>
    <x v="0"/>
    <m/>
    <n v="6987"/>
    <n v="30"/>
    <x v="133"/>
    <x v="176"/>
    <s v=""/>
  </r>
  <r>
    <x v="2813"/>
    <x v="5"/>
    <s v="46.204391"/>
    <s v="6.143158"/>
    <x v="13"/>
    <s v="Medium (201-500)"/>
    <x v="1"/>
    <d v="2024-03-29T00:00:00"/>
    <x v="2"/>
    <x v="6"/>
    <n v="4"/>
    <x v="0"/>
    <m/>
    <n v="357"/>
    <n v="80"/>
    <x v="344"/>
    <x v="176"/>
    <s v=""/>
  </r>
  <r>
    <x v="2814"/>
    <x v="6"/>
    <s v="48.864716"/>
    <s v="2.349014"/>
    <x v="7"/>
    <s v="Medium (201-500)"/>
    <x v="1"/>
    <d v="2024-01-06T00:00:00"/>
    <x v="1"/>
    <x v="6"/>
    <n v="4"/>
    <x v="0"/>
    <m/>
    <n v="5253"/>
    <n v="50"/>
    <x v="462"/>
    <x v="176"/>
    <s v=""/>
  </r>
  <r>
    <x v="2815"/>
    <x v="6"/>
    <s v="48.864716"/>
    <s v="2.349014"/>
    <x v="2"/>
    <s v="Medium (201-500)"/>
    <x v="4"/>
    <d v="2024-01-15T00:00:00"/>
    <x v="1"/>
    <x v="6"/>
    <n v="4"/>
    <x v="0"/>
    <m/>
    <n v="5864"/>
    <n v="20"/>
    <x v="161"/>
    <x v="176"/>
    <s v=""/>
  </r>
  <r>
    <x v="2816"/>
    <x v="8"/>
    <s v="38.736946"/>
    <s v="-9.142685"/>
    <x v="5"/>
    <s v="Medium (201-500)"/>
    <x v="4"/>
    <d v="2024-05-27T00:00:00"/>
    <x v="0"/>
    <x v="6"/>
    <n v="4"/>
    <x v="0"/>
    <m/>
    <n v="2138"/>
    <n v="20"/>
    <x v="261"/>
    <x v="176"/>
    <s v=""/>
  </r>
  <r>
    <x v="2817"/>
    <x v="2"/>
    <s v="41.902782"/>
    <s v="12.496366"/>
    <x v="0"/>
    <s v="Medium (201-500)"/>
    <x v="2"/>
    <d v="2024-03-09T00:00:00"/>
    <x v="0"/>
    <x v="6"/>
    <n v="4"/>
    <x v="0"/>
    <m/>
    <n v="7070"/>
    <n v="20"/>
    <x v="161"/>
    <x v="176"/>
    <s v=""/>
  </r>
  <r>
    <x v="2818"/>
    <x v="2"/>
    <s v="41.902782"/>
    <s v="12.496366"/>
    <x v="0"/>
    <s v="Medium (201-500)"/>
    <x v="4"/>
    <d v="2024-05-20T00:00:00"/>
    <x v="2"/>
    <x v="6"/>
    <n v="4"/>
    <x v="0"/>
    <m/>
    <n v="3447"/>
    <n v="80"/>
    <x v="393"/>
    <x v="176"/>
    <s v=""/>
  </r>
  <r>
    <x v="2819"/>
    <x v="6"/>
    <s v="48.864716"/>
    <s v="2.349014"/>
    <x v="5"/>
    <s v="Medium (201-500)"/>
    <x v="3"/>
    <d v="2024-05-09T00:00:00"/>
    <x v="0"/>
    <x v="6"/>
    <n v="4"/>
    <x v="0"/>
    <m/>
    <n v="5824"/>
    <n v="50"/>
    <x v="399"/>
    <x v="176"/>
    <s v=""/>
  </r>
  <r>
    <x v="2820"/>
    <x v="5"/>
    <s v="46.204391"/>
    <s v="6.143158"/>
    <x v="3"/>
    <s v="Medium (201-500)"/>
    <x v="0"/>
    <d v="2024-04-11T00:00:00"/>
    <x v="0"/>
    <x v="6"/>
    <n v="4"/>
    <x v="0"/>
    <m/>
    <n v="6573"/>
    <n v="20"/>
    <x v="0"/>
    <x v="176"/>
    <s v=""/>
  </r>
  <r>
    <x v="2821"/>
    <x v="3"/>
    <s v="52.520008"/>
    <s v="13.404954"/>
    <x v="3"/>
    <s v="Medium (201-500)"/>
    <x v="5"/>
    <d v="2024-02-28T00:00:00"/>
    <x v="0"/>
    <x v="6"/>
    <n v="4"/>
    <x v="0"/>
    <m/>
    <n v="3855"/>
    <n v="100"/>
    <x v="220"/>
    <x v="176"/>
    <s v=""/>
  </r>
  <r>
    <x v="2822"/>
    <x v="5"/>
    <s v="46.204391"/>
    <s v="6.143158"/>
    <x v="9"/>
    <s v="Medium (201-500)"/>
    <x v="4"/>
    <d v="2024-05-01T00:00:00"/>
    <x v="0"/>
    <x v="6"/>
    <n v="4"/>
    <x v="0"/>
    <m/>
    <n v="6330"/>
    <n v="30"/>
    <x v="91"/>
    <x v="176"/>
    <s v=""/>
  </r>
  <r>
    <x v="2823"/>
    <x v="7"/>
    <s v="48.210033"/>
    <s v="16.363449"/>
    <x v="4"/>
    <s v="Medium (201-500)"/>
    <x v="3"/>
    <d v="2024-01-19T00:00:00"/>
    <x v="0"/>
    <x v="6"/>
    <n v="4"/>
    <x v="0"/>
    <m/>
    <n v="7787"/>
    <n v="40"/>
    <x v="226"/>
    <x v="176"/>
    <s v=""/>
  </r>
  <r>
    <x v="2824"/>
    <x v="2"/>
    <s v="41.902782"/>
    <s v="12.496366"/>
    <x v="4"/>
    <s v="Medium (201-500)"/>
    <x v="0"/>
    <d v="2024-05-11T00:00:00"/>
    <x v="1"/>
    <x v="6"/>
    <n v="4"/>
    <x v="0"/>
    <m/>
    <n v="4258"/>
    <n v="60"/>
    <x v="33"/>
    <x v="176"/>
    <s v=""/>
  </r>
  <r>
    <x v="2825"/>
    <x v="5"/>
    <s v="46.204391"/>
    <s v="6.143158"/>
    <x v="5"/>
    <s v="Medium (201-500)"/>
    <x v="3"/>
    <d v="2024-02-13T00:00:00"/>
    <x v="2"/>
    <x v="6"/>
    <n v="4"/>
    <x v="0"/>
    <m/>
    <n v="4736"/>
    <n v="50"/>
    <x v="316"/>
    <x v="176"/>
    <s v=""/>
  </r>
  <r>
    <x v="2826"/>
    <x v="6"/>
    <s v="48.864716"/>
    <s v="2.349014"/>
    <x v="3"/>
    <s v="Medium (201-500)"/>
    <x v="3"/>
    <d v="2024-04-20T00:00:00"/>
    <x v="1"/>
    <x v="6"/>
    <n v="4"/>
    <x v="0"/>
    <m/>
    <n v="7314"/>
    <n v="60"/>
    <x v="307"/>
    <x v="176"/>
    <s v=""/>
  </r>
  <r>
    <x v="2827"/>
    <x v="1"/>
    <s v="40.416775"/>
    <s v="-3.703790"/>
    <x v="7"/>
    <s v="Medium (201-500)"/>
    <x v="4"/>
    <d v="2024-02-02T00:00:00"/>
    <x v="1"/>
    <x v="6"/>
    <n v="4"/>
    <x v="0"/>
    <m/>
    <n v="2102"/>
    <n v="50"/>
    <x v="213"/>
    <x v="176"/>
    <s v=""/>
  </r>
  <r>
    <x v="2828"/>
    <x v="4"/>
    <s v="51.260197"/>
    <s v="4.402771"/>
    <x v="7"/>
    <s v="Medium (201-500)"/>
    <x v="3"/>
    <d v="2024-03-17T00:00:00"/>
    <x v="2"/>
    <x v="6"/>
    <n v="4"/>
    <x v="0"/>
    <m/>
    <n v="2771"/>
    <n v="20"/>
    <x v="393"/>
    <x v="176"/>
    <s v=""/>
  </r>
  <r>
    <x v="2829"/>
    <x v="2"/>
    <s v="41.902782"/>
    <s v="12.496366"/>
    <x v="3"/>
    <s v="Medium (201-500)"/>
    <x v="3"/>
    <d v="2024-01-10T00:00:00"/>
    <x v="2"/>
    <x v="6"/>
    <n v="4"/>
    <x v="0"/>
    <m/>
    <n v="4477"/>
    <n v="60"/>
    <x v="325"/>
    <x v="176"/>
    <s v=""/>
  </r>
  <r>
    <x v="2830"/>
    <x v="2"/>
    <s v="41.902782"/>
    <s v="12.496366"/>
    <x v="3"/>
    <s v="Medium (201-500)"/>
    <x v="3"/>
    <d v="2024-02-15T00:00:00"/>
    <x v="1"/>
    <x v="6"/>
    <n v="4"/>
    <x v="0"/>
    <m/>
    <n v="4588"/>
    <n v="20"/>
    <x v="244"/>
    <x v="176"/>
    <s v=""/>
  </r>
  <r>
    <x v="2831"/>
    <x v="5"/>
    <s v="46.204391"/>
    <s v="6.143158"/>
    <x v="10"/>
    <s v="Medium (201-500)"/>
    <x v="3"/>
    <d v="2024-01-10T00:00:00"/>
    <x v="1"/>
    <x v="6"/>
    <n v="4"/>
    <x v="0"/>
    <m/>
    <n v="2496"/>
    <n v="90"/>
    <x v="109"/>
    <x v="176"/>
    <s v=""/>
  </r>
  <r>
    <x v="2832"/>
    <x v="8"/>
    <s v="38.736946"/>
    <s v="-9.142685"/>
    <x v="2"/>
    <s v="Medium (201-500)"/>
    <x v="4"/>
    <d v="2024-02-13T00:00:00"/>
    <x v="2"/>
    <x v="6"/>
    <n v="4"/>
    <x v="0"/>
    <m/>
    <n v="2404"/>
    <n v="70"/>
    <x v="191"/>
    <x v="176"/>
    <s v=""/>
  </r>
  <r>
    <x v="2833"/>
    <x v="3"/>
    <s v="52.520008"/>
    <s v="13.404954"/>
    <x v="2"/>
    <s v="Medium (201-500)"/>
    <x v="0"/>
    <d v="2024-01-23T00:00:00"/>
    <x v="2"/>
    <x v="6"/>
    <n v="4"/>
    <x v="0"/>
    <m/>
    <n v="3681"/>
    <n v="30"/>
    <x v="71"/>
    <x v="176"/>
    <s v=""/>
  </r>
  <r>
    <x v="2834"/>
    <x v="6"/>
    <s v="48.864716"/>
    <s v="2.349014"/>
    <x v="3"/>
    <s v="Medium (201-500)"/>
    <x v="3"/>
    <d v="2024-02-17T00:00:00"/>
    <x v="2"/>
    <x v="6"/>
    <n v="4"/>
    <x v="0"/>
    <m/>
    <n v="4461"/>
    <n v="90"/>
    <x v="143"/>
    <x v="176"/>
    <s v=""/>
  </r>
  <r>
    <x v="2835"/>
    <x v="8"/>
    <s v="38.736946"/>
    <s v="-9.142685"/>
    <x v="0"/>
    <s v="Medium (201-500)"/>
    <x v="2"/>
    <d v="2024-04-19T00:00:00"/>
    <x v="0"/>
    <x v="6"/>
    <n v="4"/>
    <x v="0"/>
    <m/>
    <n v="4787"/>
    <n v="30"/>
    <x v="261"/>
    <x v="176"/>
    <s v=""/>
  </r>
  <r>
    <x v="2836"/>
    <x v="3"/>
    <s v="52.520008"/>
    <s v="13.404954"/>
    <x v="7"/>
    <s v="Medium (201-500)"/>
    <x v="6"/>
    <d v="2024-01-06T00:00:00"/>
    <x v="2"/>
    <x v="6"/>
    <n v="4"/>
    <x v="0"/>
    <m/>
    <n v="6643"/>
    <n v="30"/>
    <x v="306"/>
    <x v="176"/>
    <s v=""/>
  </r>
  <r>
    <x v="2837"/>
    <x v="5"/>
    <s v="46.204391"/>
    <s v="6.143158"/>
    <x v="4"/>
    <s v="Medium (201-500)"/>
    <x v="1"/>
    <d v="2024-03-18T00:00:00"/>
    <x v="2"/>
    <x v="6"/>
    <n v="4"/>
    <x v="0"/>
    <m/>
    <n v="2087"/>
    <n v="50"/>
    <x v="206"/>
    <x v="176"/>
    <s v=""/>
  </r>
  <r>
    <x v="2838"/>
    <x v="5"/>
    <s v="46.204391"/>
    <s v="6.143158"/>
    <x v="9"/>
    <s v="Medium (201-500)"/>
    <x v="4"/>
    <d v="2024-04-23T00:00:00"/>
    <x v="2"/>
    <x v="6"/>
    <n v="4"/>
    <x v="0"/>
    <m/>
    <n v="5674"/>
    <n v="30"/>
    <x v="427"/>
    <x v="176"/>
    <s v=""/>
  </r>
  <r>
    <x v="2839"/>
    <x v="0"/>
    <s v="52.370216"/>
    <s v="4.895168"/>
    <x v="12"/>
    <s v="Medium (201-500)"/>
    <x v="4"/>
    <d v="2024-03-24T00:00:00"/>
    <x v="2"/>
    <x v="6"/>
    <n v="4"/>
    <x v="0"/>
    <m/>
    <n v="6083"/>
    <n v="20"/>
    <x v="136"/>
    <x v="176"/>
    <s v=""/>
  </r>
  <r>
    <x v="2840"/>
    <x v="5"/>
    <s v="46.204391"/>
    <s v="6.143158"/>
    <x v="6"/>
    <s v="Medium (201-500)"/>
    <x v="3"/>
    <d v="2024-01-10T00:00:00"/>
    <x v="0"/>
    <x v="6"/>
    <n v="4"/>
    <x v="0"/>
    <m/>
    <n v="4081"/>
    <n v="50"/>
    <x v="44"/>
    <x v="176"/>
    <s v=""/>
  </r>
  <r>
    <x v="2841"/>
    <x v="0"/>
    <s v="52.370216"/>
    <s v="4.895168"/>
    <x v="2"/>
    <s v="Medium (201-500)"/>
    <x v="6"/>
    <d v="2024-05-12T00:00:00"/>
    <x v="2"/>
    <x v="6"/>
    <n v="4"/>
    <x v="0"/>
    <m/>
    <n v="2431"/>
    <n v="50"/>
    <x v="220"/>
    <x v="176"/>
    <s v=""/>
  </r>
  <r>
    <x v="2842"/>
    <x v="7"/>
    <s v="48.210033"/>
    <s v="16.363449"/>
    <x v="3"/>
    <s v="Medium (201-500)"/>
    <x v="4"/>
    <d v="2024-04-06T00:00:00"/>
    <x v="0"/>
    <x v="6"/>
    <n v="4"/>
    <x v="0"/>
    <m/>
    <n v="3478"/>
    <n v="60"/>
    <x v="381"/>
    <x v="176"/>
    <s v=""/>
  </r>
  <r>
    <x v="2843"/>
    <x v="4"/>
    <s v="51.260197"/>
    <s v="4.402771"/>
    <x v="11"/>
    <s v="Medium (201-500)"/>
    <x v="2"/>
    <d v="2024-04-08T00:00:00"/>
    <x v="2"/>
    <x v="6"/>
    <n v="4"/>
    <x v="0"/>
    <m/>
    <n v="2072"/>
    <n v="30"/>
    <x v="160"/>
    <x v="176"/>
    <s v=""/>
  </r>
  <r>
    <x v="2844"/>
    <x v="5"/>
    <s v="46.204391"/>
    <s v="6.143158"/>
    <x v="7"/>
    <s v="Medium (201-500)"/>
    <x v="0"/>
    <d v="2024-04-29T00:00:00"/>
    <x v="1"/>
    <x v="6"/>
    <n v="4"/>
    <x v="0"/>
    <m/>
    <n v="4837"/>
    <n v="40"/>
    <x v="347"/>
    <x v="176"/>
    <s v=""/>
  </r>
  <r>
    <x v="2845"/>
    <x v="2"/>
    <s v="41.902782"/>
    <s v="12.496366"/>
    <x v="4"/>
    <s v="Medium (201-500)"/>
    <x v="6"/>
    <d v="2024-04-08T00:00:00"/>
    <x v="2"/>
    <x v="6"/>
    <n v="4"/>
    <x v="0"/>
    <m/>
    <n v="4322"/>
    <n v="50"/>
    <x v="308"/>
    <x v="176"/>
    <s v=""/>
  </r>
  <r>
    <x v="2846"/>
    <x v="5"/>
    <s v="46.204391"/>
    <s v="6.143158"/>
    <x v="5"/>
    <s v="Medium (201-500)"/>
    <x v="3"/>
    <d v="2024-02-12T00:00:00"/>
    <x v="2"/>
    <x v="6"/>
    <n v="4"/>
    <x v="0"/>
    <m/>
    <n v="3220"/>
    <n v="30"/>
    <x v="37"/>
    <x v="176"/>
    <s v=""/>
  </r>
  <r>
    <x v="2847"/>
    <x v="5"/>
    <s v="46.204391"/>
    <s v="6.143158"/>
    <x v="6"/>
    <s v="Medium (201-500)"/>
    <x v="4"/>
    <d v="2024-02-23T00:00:00"/>
    <x v="1"/>
    <x v="6"/>
    <n v="4"/>
    <x v="0"/>
    <m/>
    <n v="4427"/>
    <n v="10"/>
    <x v="359"/>
    <x v="176"/>
    <s v=""/>
  </r>
  <r>
    <x v="2848"/>
    <x v="4"/>
    <s v="51.260197"/>
    <s v="4.402771"/>
    <x v="9"/>
    <s v="Medium (201-500)"/>
    <x v="3"/>
    <d v="2024-02-11T00:00:00"/>
    <x v="1"/>
    <x v="6"/>
    <n v="4"/>
    <x v="0"/>
    <m/>
    <n v="6006"/>
    <n v="40"/>
    <x v="11"/>
    <x v="176"/>
    <s v=""/>
  </r>
  <r>
    <x v="2849"/>
    <x v="8"/>
    <s v="38.736946"/>
    <s v="-9.142685"/>
    <x v="13"/>
    <s v="Medium (201-500)"/>
    <x v="3"/>
    <d v="2024-03-14T00:00:00"/>
    <x v="2"/>
    <x v="6"/>
    <n v="4"/>
    <x v="0"/>
    <m/>
    <n v="5823"/>
    <n v="60"/>
    <x v="96"/>
    <x v="176"/>
    <s v=""/>
  </r>
  <r>
    <x v="2850"/>
    <x v="8"/>
    <s v="38.736946"/>
    <s v="-9.142685"/>
    <x v="4"/>
    <s v="Medium (201-500)"/>
    <x v="0"/>
    <d v="2024-01-20T00:00:00"/>
    <x v="2"/>
    <x v="6"/>
    <n v="4"/>
    <x v="0"/>
    <m/>
    <n v="6192"/>
    <n v="80"/>
    <x v="254"/>
    <x v="176"/>
    <s v=""/>
  </r>
  <r>
    <x v="2851"/>
    <x v="8"/>
    <s v="38.736946"/>
    <s v="-9.142685"/>
    <x v="5"/>
    <s v="Medium (201-500)"/>
    <x v="2"/>
    <d v="2024-04-01T00:00:00"/>
    <x v="1"/>
    <x v="6"/>
    <n v="4"/>
    <x v="0"/>
    <m/>
    <n v="6839"/>
    <n v="80"/>
    <x v="362"/>
    <x v="176"/>
    <s v=""/>
  </r>
  <r>
    <x v="2852"/>
    <x v="3"/>
    <s v="52.520008"/>
    <s v="13.404954"/>
    <x v="8"/>
    <s v="Medium (201-500)"/>
    <x v="2"/>
    <d v="2024-03-21T00:00:00"/>
    <x v="2"/>
    <x v="6"/>
    <n v="4"/>
    <x v="0"/>
    <m/>
    <n v="1169"/>
    <n v="40"/>
    <x v="136"/>
    <x v="176"/>
    <s v=""/>
  </r>
  <r>
    <x v="2853"/>
    <x v="3"/>
    <s v="52.520008"/>
    <s v="13.404954"/>
    <x v="2"/>
    <s v="Medium (201-500)"/>
    <x v="0"/>
    <d v="2024-04-17T00:00:00"/>
    <x v="2"/>
    <x v="6"/>
    <n v="4"/>
    <x v="0"/>
    <m/>
    <n v="5999"/>
    <n v="50"/>
    <x v="344"/>
    <x v="176"/>
    <s v=""/>
  </r>
  <r>
    <x v="2854"/>
    <x v="4"/>
    <s v="51.260197"/>
    <s v="4.402771"/>
    <x v="4"/>
    <s v="Medium (201-500)"/>
    <x v="3"/>
    <d v="2024-03-25T00:00:00"/>
    <x v="2"/>
    <x v="6"/>
    <n v="4"/>
    <x v="0"/>
    <m/>
    <n v="3010"/>
    <n v="10"/>
    <x v="179"/>
    <x v="176"/>
    <s v=""/>
  </r>
  <r>
    <x v="2855"/>
    <x v="2"/>
    <s v="41.902782"/>
    <s v="12.496366"/>
    <x v="5"/>
    <s v="Medium (201-500)"/>
    <x v="3"/>
    <d v="2024-01-31T00:00:00"/>
    <x v="0"/>
    <x v="6"/>
    <n v="4"/>
    <x v="0"/>
    <m/>
    <n v="7709"/>
    <n v="70"/>
    <x v="110"/>
    <x v="176"/>
    <s v=""/>
  </r>
  <r>
    <x v="2856"/>
    <x v="7"/>
    <s v="48.210033"/>
    <s v="16.363449"/>
    <x v="3"/>
    <s v="Medium (201-500)"/>
    <x v="5"/>
    <d v="2024-03-05T00:00:00"/>
    <x v="0"/>
    <x v="6"/>
    <n v="4"/>
    <x v="0"/>
    <m/>
    <n v="7536"/>
    <n v="40"/>
    <x v="131"/>
    <x v="176"/>
    <s v=""/>
  </r>
  <r>
    <x v="2857"/>
    <x v="6"/>
    <s v="48.864716"/>
    <s v="2.349014"/>
    <x v="4"/>
    <s v="Medium (201-500)"/>
    <x v="5"/>
    <d v="2024-01-08T00:00:00"/>
    <x v="0"/>
    <x v="6"/>
    <n v="4"/>
    <x v="0"/>
    <m/>
    <n v="1519"/>
    <n v="20"/>
    <x v="328"/>
    <x v="176"/>
    <s v=""/>
  </r>
  <r>
    <x v="2858"/>
    <x v="2"/>
    <s v="41.902782"/>
    <s v="12.496366"/>
    <x v="12"/>
    <s v="Medium (201-500)"/>
    <x v="3"/>
    <d v="2024-05-12T00:00:00"/>
    <x v="2"/>
    <x v="6"/>
    <n v="4"/>
    <x v="0"/>
    <m/>
    <n v="2395"/>
    <n v="40"/>
    <x v="25"/>
    <x v="176"/>
    <s v=""/>
  </r>
  <r>
    <x v="2859"/>
    <x v="2"/>
    <s v="41.902782"/>
    <s v="12.496366"/>
    <x v="0"/>
    <s v="Medium (201-500)"/>
    <x v="2"/>
    <d v="2024-02-23T00:00:00"/>
    <x v="2"/>
    <x v="6"/>
    <n v="4"/>
    <x v="0"/>
    <m/>
    <n v="233"/>
    <n v="20"/>
    <x v="328"/>
    <x v="176"/>
    <s v=""/>
  </r>
  <r>
    <x v="2860"/>
    <x v="5"/>
    <s v="46.204391"/>
    <s v="6.143158"/>
    <x v="9"/>
    <s v="Medium (201-500)"/>
    <x v="4"/>
    <d v="2024-04-11T00:00:00"/>
    <x v="0"/>
    <x v="6"/>
    <n v="4"/>
    <x v="0"/>
    <m/>
    <n v="7912"/>
    <n v="30"/>
    <x v="373"/>
    <x v="176"/>
    <s v=""/>
  </r>
  <r>
    <x v="2861"/>
    <x v="6"/>
    <s v="48.864716"/>
    <s v="2.349014"/>
    <x v="5"/>
    <s v="Medium (201-500)"/>
    <x v="2"/>
    <d v="2024-03-09T00:00:00"/>
    <x v="2"/>
    <x v="6"/>
    <n v="4"/>
    <x v="0"/>
    <m/>
    <n v="6599"/>
    <n v="30"/>
    <x v="391"/>
    <x v="176"/>
    <s v=""/>
  </r>
  <r>
    <x v="2862"/>
    <x v="1"/>
    <s v="40.416775"/>
    <s v="-3.703790"/>
    <x v="4"/>
    <s v="Medium (201-500)"/>
    <x v="3"/>
    <d v="2024-03-08T00:00:00"/>
    <x v="2"/>
    <x v="6"/>
    <n v="4"/>
    <x v="0"/>
    <m/>
    <n v="3653"/>
    <n v="10"/>
    <x v="215"/>
    <x v="176"/>
    <s v=""/>
  </r>
  <r>
    <x v="2863"/>
    <x v="8"/>
    <s v="38.736946"/>
    <s v="-9.142685"/>
    <x v="0"/>
    <s v="Medium (201-500)"/>
    <x v="5"/>
    <d v="2024-04-15T00:00:00"/>
    <x v="0"/>
    <x v="6"/>
    <n v="4"/>
    <x v="0"/>
    <m/>
    <n v="6335"/>
    <n v="40"/>
    <x v="219"/>
    <x v="176"/>
    <s v=""/>
  </r>
  <r>
    <x v="2864"/>
    <x v="8"/>
    <s v="38.736946"/>
    <s v="-9.142685"/>
    <x v="4"/>
    <s v="Medium (201-500)"/>
    <x v="3"/>
    <d v="2024-01-20T00:00:00"/>
    <x v="2"/>
    <x v="6"/>
    <n v="4"/>
    <x v="0"/>
    <m/>
    <n v="5823"/>
    <n v="50"/>
    <x v="131"/>
    <x v="176"/>
    <s v=""/>
  </r>
  <r>
    <x v="2865"/>
    <x v="1"/>
    <s v="40.416775"/>
    <s v="-3.703790"/>
    <x v="1"/>
    <s v="Medium (201-500)"/>
    <x v="3"/>
    <d v="2024-04-19T00:00:00"/>
    <x v="2"/>
    <x v="6"/>
    <n v="4"/>
    <x v="0"/>
    <m/>
    <n v="520"/>
    <n v="80"/>
    <x v="283"/>
    <x v="176"/>
    <s v=""/>
  </r>
  <r>
    <x v="2866"/>
    <x v="2"/>
    <s v="41.902782"/>
    <s v="12.496366"/>
    <x v="0"/>
    <s v="Medium (201-500)"/>
    <x v="3"/>
    <d v="2024-05-01T00:00:00"/>
    <x v="2"/>
    <x v="6"/>
    <n v="4"/>
    <x v="0"/>
    <m/>
    <n v="2511"/>
    <n v="10"/>
    <x v="210"/>
    <x v="176"/>
    <s v=""/>
  </r>
  <r>
    <x v="2867"/>
    <x v="5"/>
    <s v="46.204391"/>
    <s v="6.143158"/>
    <x v="5"/>
    <s v="Medium (201-500)"/>
    <x v="3"/>
    <d v="2024-01-03T00:00:00"/>
    <x v="0"/>
    <x v="6"/>
    <n v="4"/>
    <x v="0"/>
    <m/>
    <n v="5998"/>
    <n v="100"/>
    <x v="3"/>
    <x v="176"/>
    <s v=""/>
  </r>
  <r>
    <x v="2868"/>
    <x v="5"/>
    <s v="46.204391"/>
    <s v="6.143158"/>
    <x v="13"/>
    <s v="Medium (201-500)"/>
    <x v="2"/>
    <d v="2024-04-19T00:00:00"/>
    <x v="0"/>
    <x v="6"/>
    <n v="4"/>
    <x v="0"/>
    <m/>
    <n v="2733"/>
    <n v="30"/>
    <x v="377"/>
    <x v="176"/>
    <s v=""/>
  </r>
  <r>
    <x v="2869"/>
    <x v="3"/>
    <s v="52.520008"/>
    <s v="13.404954"/>
    <x v="13"/>
    <s v="Medium (201-500)"/>
    <x v="3"/>
    <d v="2024-01-29T00:00:00"/>
    <x v="0"/>
    <x v="6"/>
    <n v="4"/>
    <x v="0"/>
    <m/>
    <n v="7415"/>
    <n v="80"/>
    <x v="288"/>
    <x v="176"/>
    <s v=""/>
  </r>
  <r>
    <x v="2870"/>
    <x v="8"/>
    <s v="38.736946"/>
    <s v="-9.142685"/>
    <x v="2"/>
    <s v="Medium (201-500)"/>
    <x v="7"/>
    <d v="2024-03-06T00:00:00"/>
    <x v="2"/>
    <x v="6"/>
    <n v="4"/>
    <x v="0"/>
    <m/>
    <n v="6237"/>
    <n v="30"/>
    <x v="122"/>
    <x v="176"/>
    <s v=""/>
  </r>
  <r>
    <x v="2871"/>
    <x v="5"/>
    <s v="46.204391"/>
    <s v="6.143158"/>
    <x v="3"/>
    <s v="Medium (201-500)"/>
    <x v="0"/>
    <d v="2024-05-28T00:00:00"/>
    <x v="1"/>
    <x v="6"/>
    <n v="4"/>
    <x v="0"/>
    <m/>
    <n v="822"/>
    <n v="20"/>
    <x v="423"/>
    <x v="176"/>
    <s v=""/>
  </r>
  <r>
    <x v="2872"/>
    <x v="6"/>
    <s v="48.864716"/>
    <s v="2.349014"/>
    <x v="8"/>
    <s v="Medium (201-500)"/>
    <x v="2"/>
    <d v="2024-05-02T00:00:00"/>
    <x v="2"/>
    <x v="6"/>
    <n v="4"/>
    <x v="0"/>
    <m/>
    <n v="4686"/>
    <n v="30"/>
    <x v="27"/>
    <x v="176"/>
    <s v=""/>
  </r>
  <r>
    <x v="2873"/>
    <x v="3"/>
    <s v="52.520008"/>
    <s v="13.404954"/>
    <x v="0"/>
    <s v="Medium (201-500)"/>
    <x v="4"/>
    <d v="2024-05-30T00:00:00"/>
    <x v="2"/>
    <x v="6"/>
    <n v="4"/>
    <x v="0"/>
    <m/>
    <n v="6335"/>
    <n v="50"/>
    <x v="201"/>
    <x v="176"/>
    <s v=""/>
  </r>
  <r>
    <x v="2874"/>
    <x v="1"/>
    <s v="40.416775"/>
    <s v="-3.703790"/>
    <x v="5"/>
    <s v="Medium (201-500)"/>
    <x v="2"/>
    <d v="2024-01-09T00:00:00"/>
    <x v="0"/>
    <x v="6"/>
    <n v="4"/>
    <x v="0"/>
    <m/>
    <n v="367"/>
    <n v="20"/>
    <x v="379"/>
    <x v="176"/>
    <s v=""/>
  </r>
  <r>
    <x v="2875"/>
    <x v="5"/>
    <s v="46.204391"/>
    <s v="6.143158"/>
    <x v="5"/>
    <s v="Medium (201-500)"/>
    <x v="1"/>
    <d v="2024-01-16T00:00:00"/>
    <x v="0"/>
    <x v="6"/>
    <n v="4"/>
    <x v="0"/>
    <m/>
    <n v="6868"/>
    <n v="50"/>
    <x v="382"/>
    <x v="176"/>
    <s v=""/>
  </r>
  <r>
    <x v="2876"/>
    <x v="3"/>
    <s v="52.520008"/>
    <s v="13.404954"/>
    <x v="3"/>
    <s v="Medium (201-500)"/>
    <x v="0"/>
    <d v="2024-03-11T00:00:00"/>
    <x v="1"/>
    <x v="6"/>
    <n v="4"/>
    <x v="0"/>
    <m/>
    <n v="4594"/>
    <n v="40"/>
    <x v="360"/>
    <x v="176"/>
    <s v=""/>
  </r>
  <r>
    <x v="2877"/>
    <x v="4"/>
    <s v="51.260197"/>
    <s v="4.402771"/>
    <x v="9"/>
    <s v="Medium (201-500)"/>
    <x v="5"/>
    <d v="2024-05-01T00:00:00"/>
    <x v="1"/>
    <x v="6"/>
    <n v="4"/>
    <x v="0"/>
    <m/>
    <n v="4181"/>
    <n v="50"/>
    <x v="24"/>
    <x v="176"/>
    <s v=""/>
  </r>
  <r>
    <x v="2878"/>
    <x v="7"/>
    <s v="48.210033"/>
    <s v="16.363449"/>
    <x v="11"/>
    <s v="Medium (201-500)"/>
    <x v="4"/>
    <d v="2024-03-11T00:00:00"/>
    <x v="2"/>
    <x v="6"/>
    <n v="4"/>
    <x v="0"/>
    <m/>
    <n v="4962"/>
    <n v="50"/>
    <x v="116"/>
    <x v="176"/>
    <s v=""/>
  </r>
  <r>
    <x v="2879"/>
    <x v="3"/>
    <s v="52.520008"/>
    <s v="13.404954"/>
    <x v="5"/>
    <s v="Medium (201-500)"/>
    <x v="2"/>
    <d v="2024-05-25T00:00:00"/>
    <x v="2"/>
    <x v="6"/>
    <n v="4"/>
    <x v="0"/>
    <m/>
    <n v="1517"/>
    <n v="60"/>
    <x v="383"/>
    <x v="176"/>
    <s v=""/>
  </r>
  <r>
    <x v="2880"/>
    <x v="2"/>
    <s v="41.902782"/>
    <s v="12.496366"/>
    <x v="4"/>
    <s v="Medium (201-500)"/>
    <x v="0"/>
    <d v="2024-01-27T00:00:00"/>
    <x v="0"/>
    <x v="6"/>
    <n v="4"/>
    <x v="0"/>
    <m/>
    <n v="3352"/>
    <n v="100"/>
    <x v="356"/>
    <x v="176"/>
    <s v=""/>
  </r>
  <r>
    <x v="2881"/>
    <x v="2"/>
    <s v="41.902782"/>
    <s v="12.496366"/>
    <x v="9"/>
    <s v="Medium (201-500)"/>
    <x v="3"/>
    <d v="2024-02-02T00:00:00"/>
    <x v="0"/>
    <x v="6"/>
    <n v="4"/>
    <x v="0"/>
    <m/>
    <n v="6861"/>
    <n v="40"/>
    <x v="245"/>
    <x v="176"/>
    <s v=""/>
  </r>
  <r>
    <x v="2882"/>
    <x v="2"/>
    <s v="41.902782"/>
    <s v="12.496366"/>
    <x v="4"/>
    <s v="Medium (201-500)"/>
    <x v="2"/>
    <d v="2024-02-21T00:00:00"/>
    <x v="0"/>
    <x v="6"/>
    <n v="4"/>
    <x v="0"/>
    <m/>
    <n v="5533"/>
    <n v="20"/>
    <x v="84"/>
    <x v="176"/>
    <s v=""/>
  </r>
  <r>
    <x v="2883"/>
    <x v="2"/>
    <s v="41.902782"/>
    <s v="12.496366"/>
    <x v="13"/>
    <s v="Medium (201-500)"/>
    <x v="2"/>
    <d v="2024-02-22T00:00:00"/>
    <x v="1"/>
    <x v="6"/>
    <n v="4"/>
    <x v="0"/>
    <m/>
    <n v="1742"/>
    <n v="20"/>
    <x v="393"/>
    <x v="176"/>
    <s v=""/>
  </r>
  <r>
    <x v="2884"/>
    <x v="6"/>
    <s v="48.864716"/>
    <s v="2.349014"/>
    <x v="1"/>
    <s v="Medium (201-500)"/>
    <x v="5"/>
    <d v="2024-05-03T00:00:00"/>
    <x v="1"/>
    <x v="6"/>
    <n v="4"/>
    <x v="0"/>
    <m/>
    <n v="7534"/>
    <n v="20"/>
    <x v="95"/>
    <x v="176"/>
    <s v=""/>
  </r>
  <r>
    <x v="2885"/>
    <x v="0"/>
    <s v="52.370216"/>
    <s v="4.895168"/>
    <x v="11"/>
    <s v="Medium (201-500)"/>
    <x v="0"/>
    <d v="2024-04-23T00:00:00"/>
    <x v="0"/>
    <x v="6"/>
    <n v="4"/>
    <x v="0"/>
    <m/>
    <n v="787"/>
    <n v="30"/>
    <x v="120"/>
    <x v="176"/>
    <s v=""/>
  </r>
  <r>
    <x v="2886"/>
    <x v="2"/>
    <s v="41.902782"/>
    <s v="12.496366"/>
    <x v="6"/>
    <s v="Medium (201-500)"/>
    <x v="0"/>
    <d v="2024-03-30T00:00:00"/>
    <x v="0"/>
    <x v="6"/>
    <n v="4"/>
    <x v="0"/>
    <m/>
    <n v="6798"/>
    <n v="20"/>
    <x v="290"/>
    <x v="176"/>
    <s v=""/>
  </r>
  <r>
    <x v="2887"/>
    <x v="4"/>
    <s v="51.260197"/>
    <s v="4.402771"/>
    <x v="6"/>
    <s v="Medium (201-500)"/>
    <x v="2"/>
    <d v="2024-04-13T00:00:00"/>
    <x v="2"/>
    <x v="6"/>
    <n v="4"/>
    <x v="0"/>
    <m/>
    <n v="1167"/>
    <n v="80"/>
    <x v="305"/>
    <x v="176"/>
    <s v=""/>
  </r>
  <r>
    <x v="2888"/>
    <x v="2"/>
    <s v="41.902782"/>
    <s v="12.496366"/>
    <x v="0"/>
    <s v="Medium (201-500)"/>
    <x v="7"/>
    <d v="2024-01-17T00:00:00"/>
    <x v="1"/>
    <x v="6"/>
    <n v="4"/>
    <x v="0"/>
    <m/>
    <n v="2117"/>
    <n v="40"/>
    <x v="328"/>
    <x v="176"/>
    <s v=""/>
  </r>
  <r>
    <x v="2889"/>
    <x v="3"/>
    <s v="52.520008"/>
    <s v="13.404954"/>
    <x v="4"/>
    <s v="Medium (201-500)"/>
    <x v="2"/>
    <d v="2024-03-09T00:00:00"/>
    <x v="2"/>
    <x v="6"/>
    <n v="4"/>
    <x v="0"/>
    <m/>
    <n v="1669"/>
    <n v="30"/>
    <x v="4"/>
    <x v="176"/>
    <s v=""/>
  </r>
  <r>
    <x v="2890"/>
    <x v="6"/>
    <s v="48.864716"/>
    <s v="2.349014"/>
    <x v="5"/>
    <s v="Medium (201-500)"/>
    <x v="3"/>
    <d v="2024-01-31T00:00:00"/>
    <x v="2"/>
    <x v="6"/>
    <n v="4"/>
    <x v="0"/>
    <m/>
    <n v="4026"/>
    <n v="40"/>
    <x v="230"/>
    <x v="176"/>
    <s v=""/>
  </r>
  <r>
    <x v="2891"/>
    <x v="4"/>
    <s v="51.260197"/>
    <s v="4.402771"/>
    <x v="4"/>
    <s v="Medium (201-500)"/>
    <x v="1"/>
    <d v="2024-05-05T00:00:00"/>
    <x v="1"/>
    <x v="6"/>
    <n v="4"/>
    <x v="0"/>
    <m/>
    <n v="5321"/>
    <n v="10"/>
    <x v="56"/>
    <x v="176"/>
    <s v=""/>
  </r>
  <r>
    <x v="2892"/>
    <x v="8"/>
    <s v="38.736946"/>
    <s v="-9.142685"/>
    <x v="0"/>
    <s v="Medium (201-500)"/>
    <x v="3"/>
    <d v="2024-03-25T00:00:00"/>
    <x v="2"/>
    <x v="6"/>
    <n v="4"/>
    <x v="0"/>
    <m/>
    <n v="4667"/>
    <n v="60"/>
    <x v="285"/>
    <x v="176"/>
    <s v=""/>
  </r>
  <r>
    <x v="2893"/>
    <x v="7"/>
    <s v="48.210033"/>
    <s v="16.363449"/>
    <x v="6"/>
    <s v="Medium (201-500)"/>
    <x v="3"/>
    <d v="2024-03-30T00:00:00"/>
    <x v="2"/>
    <x v="6"/>
    <n v="4"/>
    <x v="0"/>
    <m/>
    <n v="6981"/>
    <n v="60"/>
    <x v="161"/>
    <x v="176"/>
    <s v=""/>
  </r>
  <r>
    <x v="2894"/>
    <x v="3"/>
    <s v="52.520008"/>
    <s v="13.404954"/>
    <x v="1"/>
    <s v="Medium (201-500)"/>
    <x v="5"/>
    <d v="2024-01-02T00:00:00"/>
    <x v="0"/>
    <x v="6"/>
    <n v="4"/>
    <x v="0"/>
    <m/>
    <n v="1079"/>
    <n v="40"/>
    <x v="188"/>
    <x v="176"/>
    <s v=""/>
  </r>
  <r>
    <x v="2895"/>
    <x v="7"/>
    <s v="48.210033"/>
    <s v="16.363449"/>
    <x v="0"/>
    <s v="Medium (201-500)"/>
    <x v="2"/>
    <d v="2024-04-20T00:00:00"/>
    <x v="2"/>
    <x v="6"/>
    <n v="4"/>
    <x v="0"/>
    <m/>
    <n v="3445"/>
    <n v="20"/>
    <x v="223"/>
    <x v="176"/>
    <s v=""/>
  </r>
  <r>
    <x v="2896"/>
    <x v="8"/>
    <s v="38.736946"/>
    <s v="-9.142685"/>
    <x v="1"/>
    <s v="Medium (201-500)"/>
    <x v="2"/>
    <d v="2024-02-02T00:00:00"/>
    <x v="0"/>
    <x v="6"/>
    <n v="4"/>
    <x v="0"/>
    <m/>
    <n v="2714"/>
    <n v="50"/>
    <x v="168"/>
    <x v="176"/>
    <s v=""/>
  </r>
  <r>
    <x v="2897"/>
    <x v="4"/>
    <s v="51.260197"/>
    <s v="4.402771"/>
    <x v="11"/>
    <s v="Medium (201-500)"/>
    <x v="4"/>
    <d v="2024-05-03T00:00:00"/>
    <x v="2"/>
    <x v="6"/>
    <n v="4"/>
    <x v="0"/>
    <m/>
    <n v="3341"/>
    <n v="70"/>
    <x v="385"/>
    <x v="176"/>
    <s v=""/>
  </r>
  <r>
    <x v="2898"/>
    <x v="2"/>
    <s v="41.902782"/>
    <s v="12.496366"/>
    <x v="11"/>
    <s v="Medium (201-500)"/>
    <x v="1"/>
    <d v="2024-05-21T00:00:00"/>
    <x v="2"/>
    <x v="6"/>
    <n v="4"/>
    <x v="0"/>
    <m/>
    <n v="3270"/>
    <n v="20"/>
    <x v="371"/>
    <x v="176"/>
    <s v=""/>
  </r>
  <r>
    <x v="2899"/>
    <x v="4"/>
    <s v="51.260197"/>
    <s v="4.402771"/>
    <x v="0"/>
    <s v="Medium (201-500)"/>
    <x v="4"/>
    <d v="2024-01-22T00:00:00"/>
    <x v="2"/>
    <x v="6"/>
    <n v="4"/>
    <x v="0"/>
    <m/>
    <n v="5018"/>
    <n v="60"/>
    <x v="254"/>
    <x v="176"/>
    <s v=""/>
  </r>
  <r>
    <x v="2900"/>
    <x v="0"/>
    <s v="52.370216"/>
    <s v="4.895168"/>
    <x v="7"/>
    <s v="Medium (201-500)"/>
    <x v="0"/>
    <d v="2024-05-31T00:00:00"/>
    <x v="1"/>
    <x v="6"/>
    <n v="4"/>
    <x v="0"/>
    <m/>
    <n v="4354"/>
    <n v="60"/>
    <x v="113"/>
    <x v="176"/>
    <s v=""/>
  </r>
  <r>
    <x v="2901"/>
    <x v="2"/>
    <s v="41.902782"/>
    <s v="12.496366"/>
    <x v="13"/>
    <s v="Medium (201-500)"/>
    <x v="3"/>
    <d v="2024-05-21T00:00:00"/>
    <x v="1"/>
    <x v="6"/>
    <n v="4"/>
    <x v="0"/>
    <m/>
    <n v="977"/>
    <n v="30"/>
    <x v="316"/>
    <x v="176"/>
    <s v=""/>
  </r>
  <r>
    <x v="2902"/>
    <x v="7"/>
    <s v="48.210033"/>
    <s v="16.363449"/>
    <x v="3"/>
    <s v="Medium (201-500)"/>
    <x v="2"/>
    <d v="2024-05-30T00:00:00"/>
    <x v="1"/>
    <x v="6"/>
    <n v="4"/>
    <x v="0"/>
    <m/>
    <n v="2695"/>
    <n v="40"/>
    <x v="104"/>
    <x v="176"/>
    <s v=""/>
  </r>
  <r>
    <x v="2903"/>
    <x v="3"/>
    <s v="52.520008"/>
    <s v="13.404954"/>
    <x v="7"/>
    <s v="Medium (201-500)"/>
    <x v="7"/>
    <d v="2024-05-17T00:00:00"/>
    <x v="1"/>
    <x v="6"/>
    <n v="4"/>
    <x v="0"/>
    <m/>
    <n v="3064"/>
    <n v="20"/>
    <x v="261"/>
    <x v="176"/>
    <s v=""/>
  </r>
  <r>
    <x v="2904"/>
    <x v="2"/>
    <s v="41.902782"/>
    <s v="12.496366"/>
    <x v="5"/>
    <s v="Medium (201-500)"/>
    <x v="2"/>
    <d v="2024-04-27T00:00:00"/>
    <x v="2"/>
    <x v="6"/>
    <n v="4"/>
    <x v="0"/>
    <m/>
    <n v="6161"/>
    <n v="40"/>
    <x v="116"/>
    <x v="176"/>
    <s v=""/>
  </r>
  <r>
    <x v="2905"/>
    <x v="3"/>
    <s v="52.520008"/>
    <s v="13.404954"/>
    <x v="9"/>
    <s v="Medium (201-500)"/>
    <x v="7"/>
    <d v="2024-05-19T00:00:00"/>
    <x v="0"/>
    <x v="6"/>
    <n v="4"/>
    <x v="0"/>
    <m/>
    <n v="2689"/>
    <n v="30"/>
    <x v="437"/>
    <x v="176"/>
    <s v=""/>
  </r>
  <r>
    <x v="2906"/>
    <x v="0"/>
    <s v="52.370216"/>
    <s v="4.895168"/>
    <x v="10"/>
    <s v="Medium (201-500)"/>
    <x v="3"/>
    <d v="2024-01-03T00:00:00"/>
    <x v="2"/>
    <x v="6"/>
    <n v="4"/>
    <x v="0"/>
    <m/>
    <n v="3957"/>
    <n v="30"/>
    <x v="341"/>
    <x v="176"/>
    <s v=""/>
  </r>
  <r>
    <x v="2907"/>
    <x v="8"/>
    <s v="38.736946"/>
    <s v="-9.142685"/>
    <x v="11"/>
    <s v="Medium (201-500)"/>
    <x v="3"/>
    <d v="2024-03-05T00:00:00"/>
    <x v="2"/>
    <x v="6"/>
    <n v="4"/>
    <x v="0"/>
    <m/>
    <n v="6202"/>
    <n v="20"/>
    <x v="343"/>
    <x v="176"/>
    <s v=""/>
  </r>
  <r>
    <x v="2908"/>
    <x v="1"/>
    <s v="40.416775"/>
    <s v="-3.703790"/>
    <x v="6"/>
    <s v="Medium (201-500)"/>
    <x v="5"/>
    <d v="2024-02-17T00:00:00"/>
    <x v="1"/>
    <x v="6"/>
    <n v="4"/>
    <x v="0"/>
    <m/>
    <n v="7087"/>
    <n v="50"/>
    <x v="323"/>
    <x v="176"/>
    <s v=""/>
  </r>
  <r>
    <x v="2909"/>
    <x v="8"/>
    <s v="38.736946"/>
    <s v="-9.142685"/>
    <x v="6"/>
    <s v="Medium (201-500)"/>
    <x v="2"/>
    <d v="2024-04-07T00:00:00"/>
    <x v="1"/>
    <x v="6"/>
    <n v="4"/>
    <x v="0"/>
    <m/>
    <n v="6058"/>
    <n v="10"/>
    <x v="279"/>
    <x v="176"/>
    <s v=""/>
  </r>
  <r>
    <x v="2910"/>
    <x v="6"/>
    <s v="48.864716"/>
    <s v="2.349014"/>
    <x v="0"/>
    <s v="Medium (201-500)"/>
    <x v="4"/>
    <d v="2024-04-22T00:00:00"/>
    <x v="1"/>
    <x v="6"/>
    <n v="4"/>
    <x v="0"/>
    <m/>
    <n v="344"/>
    <n v="40"/>
    <x v="14"/>
    <x v="176"/>
    <s v=""/>
  </r>
  <r>
    <x v="2911"/>
    <x v="0"/>
    <s v="52.370216"/>
    <s v="4.895168"/>
    <x v="10"/>
    <s v="Medium (201-500)"/>
    <x v="3"/>
    <d v="2024-04-02T00:00:00"/>
    <x v="0"/>
    <x v="6"/>
    <n v="4"/>
    <x v="0"/>
    <m/>
    <n v="6674"/>
    <n v="100"/>
    <x v="56"/>
    <x v="176"/>
    <s v=""/>
  </r>
  <r>
    <x v="2912"/>
    <x v="4"/>
    <s v="51.260197"/>
    <s v="4.402771"/>
    <x v="5"/>
    <s v="Medium (201-500)"/>
    <x v="3"/>
    <d v="2024-05-06T00:00:00"/>
    <x v="0"/>
    <x v="6"/>
    <n v="4"/>
    <x v="0"/>
    <m/>
    <n v="3578"/>
    <n v="40"/>
    <x v="443"/>
    <x v="176"/>
    <s v=""/>
  </r>
  <r>
    <x v="2913"/>
    <x v="5"/>
    <s v="46.204391"/>
    <s v="6.143158"/>
    <x v="5"/>
    <s v="Medium (201-500)"/>
    <x v="6"/>
    <d v="2024-04-13T00:00:00"/>
    <x v="2"/>
    <x v="6"/>
    <n v="4"/>
    <x v="0"/>
    <m/>
    <n v="632"/>
    <n v="50"/>
    <x v="262"/>
    <x v="176"/>
    <s v=""/>
  </r>
  <r>
    <x v="2914"/>
    <x v="6"/>
    <s v="48.864716"/>
    <s v="2.349014"/>
    <x v="4"/>
    <s v="Medium (201-500)"/>
    <x v="6"/>
    <d v="2024-01-10T00:00:00"/>
    <x v="2"/>
    <x v="6"/>
    <n v="4"/>
    <x v="0"/>
    <m/>
    <n v="7338"/>
    <n v="20"/>
    <x v="11"/>
    <x v="176"/>
    <s v=""/>
  </r>
  <r>
    <x v="2915"/>
    <x v="5"/>
    <s v="46.204391"/>
    <s v="6.143158"/>
    <x v="8"/>
    <s v="Medium (201-500)"/>
    <x v="3"/>
    <d v="2024-03-04T00:00:00"/>
    <x v="2"/>
    <x v="6"/>
    <n v="4"/>
    <x v="0"/>
    <m/>
    <n v="1963"/>
    <n v="20"/>
    <x v="145"/>
    <x v="176"/>
    <s v=""/>
  </r>
  <r>
    <x v="2916"/>
    <x v="3"/>
    <s v="52.520008"/>
    <s v="13.404954"/>
    <x v="4"/>
    <s v="Medium (201-500)"/>
    <x v="3"/>
    <d v="2024-02-18T00:00:00"/>
    <x v="0"/>
    <x v="6"/>
    <n v="4"/>
    <x v="0"/>
    <m/>
    <n v="1230"/>
    <n v="60"/>
    <x v="359"/>
    <x v="176"/>
    <s v=""/>
  </r>
  <r>
    <x v="2917"/>
    <x v="8"/>
    <s v="38.736946"/>
    <s v="-9.142685"/>
    <x v="1"/>
    <s v="Medium (201-500)"/>
    <x v="3"/>
    <d v="2024-03-21T00:00:00"/>
    <x v="1"/>
    <x v="6"/>
    <n v="4"/>
    <x v="0"/>
    <m/>
    <n v="2321"/>
    <n v="40"/>
    <x v="279"/>
    <x v="176"/>
    <s v=""/>
  </r>
  <r>
    <x v="2918"/>
    <x v="2"/>
    <s v="41.902782"/>
    <s v="12.496366"/>
    <x v="0"/>
    <s v="Medium (201-500)"/>
    <x v="4"/>
    <d v="2024-02-06T00:00:00"/>
    <x v="2"/>
    <x v="6"/>
    <n v="4"/>
    <x v="0"/>
    <m/>
    <n v="3026"/>
    <n v="30"/>
    <x v="82"/>
    <x v="176"/>
    <s v=""/>
  </r>
  <r>
    <x v="2919"/>
    <x v="8"/>
    <s v="38.736946"/>
    <s v="-9.142685"/>
    <x v="0"/>
    <s v="Medium (201-500)"/>
    <x v="2"/>
    <d v="2024-04-10T00:00:00"/>
    <x v="2"/>
    <x v="6"/>
    <n v="4"/>
    <x v="0"/>
    <m/>
    <n v="527"/>
    <n v="40"/>
    <x v="116"/>
    <x v="176"/>
    <s v=""/>
  </r>
  <r>
    <x v="2920"/>
    <x v="6"/>
    <s v="48.864716"/>
    <s v="2.349014"/>
    <x v="11"/>
    <s v="Medium (201-500)"/>
    <x v="1"/>
    <d v="2024-01-27T00:00:00"/>
    <x v="2"/>
    <x v="6"/>
    <n v="4"/>
    <x v="0"/>
    <m/>
    <n v="7041"/>
    <n v="30"/>
    <x v="89"/>
    <x v="176"/>
    <s v=""/>
  </r>
  <r>
    <x v="2921"/>
    <x v="5"/>
    <s v="46.204391"/>
    <s v="6.143158"/>
    <x v="8"/>
    <s v="Medium (201-500)"/>
    <x v="5"/>
    <d v="2024-05-12T00:00:00"/>
    <x v="2"/>
    <x v="6"/>
    <n v="4"/>
    <x v="0"/>
    <m/>
    <n v="3290"/>
    <n v="20"/>
    <x v="411"/>
    <x v="176"/>
    <s v=""/>
  </r>
  <r>
    <x v="2922"/>
    <x v="5"/>
    <s v="46.204391"/>
    <s v="6.143158"/>
    <x v="5"/>
    <s v="Medium (201-500)"/>
    <x v="0"/>
    <d v="2024-03-09T00:00:00"/>
    <x v="2"/>
    <x v="6"/>
    <n v="4"/>
    <x v="0"/>
    <m/>
    <n v="1197"/>
    <n v="10"/>
    <x v="344"/>
    <x v="176"/>
    <s v=""/>
  </r>
  <r>
    <x v="2923"/>
    <x v="7"/>
    <s v="48.210033"/>
    <s v="16.363449"/>
    <x v="4"/>
    <s v="Medium (201-500)"/>
    <x v="4"/>
    <d v="2024-03-07T00:00:00"/>
    <x v="2"/>
    <x v="6"/>
    <n v="4"/>
    <x v="0"/>
    <m/>
    <n v="4953"/>
    <n v="70"/>
    <x v="355"/>
    <x v="176"/>
    <s v=""/>
  </r>
  <r>
    <x v="2924"/>
    <x v="3"/>
    <s v="52.520008"/>
    <s v="13.404954"/>
    <x v="7"/>
    <s v="Medium (201-500)"/>
    <x v="5"/>
    <d v="2024-02-19T00:00:00"/>
    <x v="0"/>
    <x v="6"/>
    <n v="4"/>
    <x v="0"/>
    <m/>
    <n v="7503"/>
    <n v="70"/>
    <x v="355"/>
    <x v="176"/>
    <s v=""/>
  </r>
  <r>
    <x v="2925"/>
    <x v="8"/>
    <s v="38.736946"/>
    <s v="-9.142685"/>
    <x v="4"/>
    <s v="Medium (201-500)"/>
    <x v="0"/>
    <d v="2024-05-20T00:00:00"/>
    <x v="2"/>
    <x v="6"/>
    <n v="4"/>
    <x v="0"/>
    <m/>
    <n v="7066"/>
    <n v="50"/>
    <x v="41"/>
    <x v="176"/>
    <s v=""/>
  </r>
  <r>
    <x v="2926"/>
    <x v="2"/>
    <s v="41.902782"/>
    <s v="12.496366"/>
    <x v="5"/>
    <s v="Medium (201-500)"/>
    <x v="4"/>
    <d v="2024-05-18T00:00:00"/>
    <x v="2"/>
    <x v="6"/>
    <n v="4"/>
    <x v="0"/>
    <m/>
    <n v="4099"/>
    <n v="20"/>
    <x v="305"/>
    <x v="176"/>
    <s v=""/>
  </r>
  <r>
    <x v="2927"/>
    <x v="3"/>
    <s v="52.520008"/>
    <s v="13.404954"/>
    <x v="11"/>
    <s v="Medium (201-500)"/>
    <x v="7"/>
    <d v="2024-03-01T00:00:00"/>
    <x v="1"/>
    <x v="6"/>
    <n v="4"/>
    <x v="0"/>
    <m/>
    <n v="1722"/>
    <n v="50"/>
    <x v="145"/>
    <x v="176"/>
    <s v=""/>
  </r>
  <r>
    <x v="2928"/>
    <x v="2"/>
    <s v="41.902782"/>
    <s v="12.496366"/>
    <x v="11"/>
    <s v="Medium (201-500)"/>
    <x v="2"/>
    <d v="2024-02-04T00:00:00"/>
    <x v="1"/>
    <x v="6"/>
    <n v="4"/>
    <x v="0"/>
    <m/>
    <n v="5168"/>
    <n v="20"/>
    <x v="209"/>
    <x v="176"/>
    <s v=""/>
  </r>
  <r>
    <x v="2929"/>
    <x v="2"/>
    <s v="41.902782"/>
    <s v="12.496366"/>
    <x v="0"/>
    <s v="Medium (201-500)"/>
    <x v="1"/>
    <d v="2024-02-22T00:00:00"/>
    <x v="0"/>
    <x v="6"/>
    <n v="4"/>
    <x v="0"/>
    <m/>
    <n v="2891"/>
    <n v="30"/>
    <x v="53"/>
    <x v="176"/>
    <s v=""/>
  </r>
  <r>
    <x v="2930"/>
    <x v="3"/>
    <s v="52.520008"/>
    <s v="13.404954"/>
    <x v="2"/>
    <s v="Medium (201-500)"/>
    <x v="6"/>
    <d v="2024-04-27T00:00:00"/>
    <x v="1"/>
    <x v="6"/>
    <n v="4"/>
    <x v="0"/>
    <m/>
    <n v="1649"/>
    <n v="50"/>
    <x v="325"/>
    <x v="176"/>
    <s v=""/>
  </r>
  <r>
    <x v="2931"/>
    <x v="5"/>
    <s v="46.204391"/>
    <s v="6.143158"/>
    <x v="4"/>
    <s v="Medium (201-500)"/>
    <x v="2"/>
    <d v="2024-01-31T00:00:00"/>
    <x v="2"/>
    <x v="6"/>
    <n v="4"/>
    <x v="0"/>
    <m/>
    <n v="3200"/>
    <n v="30"/>
    <x v="253"/>
    <x v="176"/>
    <s v=""/>
  </r>
  <r>
    <x v="2932"/>
    <x v="7"/>
    <s v="48.210033"/>
    <s v="16.363449"/>
    <x v="3"/>
    <s v="Medium (201-500)"/>
    <x v="7"/>
    <d v="2024-02-09T00:00:00"/>
    <x v="2"/>
    <x v="6"/>
    <n v="4"/>
    <x v="0"/>
    <m/>
    <n v="3905"/>
    <n v="50"/>
    <x v="253"/>
    <x v="176"/>
    <s v=""/>
  </r>
  <r>
    <x v="2933"/>
    <x v="8"/>
    <s v="38.736946"/>
    <s v="-9.142685"/>
    <x v="11"/>
    <s v="Medium (201-500)"/>
    <x v="3"/>
    <d v="2024-05-08T00:00:00"/>
    <x v="2"/>
    <x v="6"/>
    <n v="4"/>
    <x v="0"/>
    <m/>
    <n v="3917"/>
    <n v="40"/>
    <x v="226"/>
    <x v="176"/>
    <s v=""/>
  </r>
  <r>
    <x v="2934"/>
    <x v="0"/>
    <s v="52.370216"/>
    <s v="4.895168"/>
    <x v="7"/>
    <s v="Medium (201-500)"/>
    <x v="3"/>
    <d v="2024-02-19T00:00:00"/>
    <x v="1"/>
    <x v="6"/>
    <n v="4"/>
    <x v="0"/>
    <m/>
    <n v="4027"/>
    <n v="10"/>
    <x v="253"/>
    <x v="176"/>
    <s v=""/>
  </r>
  <r>
    <x v="2935"/>
    <x v="2"/>
    <s v="41.902782"/>
    <s v="12.496366"/>
    <x v="4"/>
    <s v="Medium (201-500)"/>
    <x v="3"/>
    <d v="2024-05-22T00:00:00"/>
    <x v="1"/>
    <x v="6"/>
    <n v="4"/>
    <x v="0"/>
    <m/>
    <n v="510"/>
    <n v="70"/>
    <x v="343"/>
    <x v="176"/>
    <s v=""/>
  </r>
  <r>
    <x v="2936"/>
    <x v="6"/>
    <s v="48.864716"/>
    <s v="2.349014"/>
    <x v="2"/>
    <s v="Medium (201-500)"/>
    <x v="4"/>
    <d v="2024-03-05T00:00:00"/>
    <x v="2"/>
    <x v="6"/>
    <n v="4"/>
    <x v="0"/>
    <m/>
    <n v="1421"/>
    <n v="70"/>
    <x v="189"/>
    <x v="176"/>
    <s v=""/>
  </r>
  <r>
    <x v="2937"/>
    <x v="2"/>
    <s v="41.902782"/>
    <s v="12.496366"/>
    <x v="5"/>
    <s v="Medium (201-500)"/>
    <x v="2"/>
    <d v="2024-05-21T00:00:00"/>
    <x v="2"/>
    <x v="6"/>
    <n v="4"/>
    <x v="0"/>
    <m/>
    <n v="6249"/>
    <n v="60"/>
    <x v="280"/>
    <x v="176"/>
    <s v=""/>
  </r>
  <r>
    <x v="2938"/>
    <x v="7"/>
    <s v="48.210033"/>
    <s v="16.363449"/>
    <x v="0"/>
    <s v="Medium (201-500)"/>
    <x v="7"/>
    <d v="2024-03-14T00:00:00"/>
    <x v="2"/>
    <x v="6"/>
    <n v="4"/>
    <x v="0"/>
    <m/>
    <n v="3162"/>
    <n v="30"/>
    <x v="418"/>
    <x v="176"/>
    <s v=""/>
  </r>
  <r>
    <x v="2939"/>
    <x v="2"/>
    <s v="41.902782"/>
    <s v="12.496366"/>
    <x v="0"/>
    <s v="Medium (201-500)"/>
    <x v="3"/>
    <d v="2024-02-14T00:00:00"/>
    <x v="0"/>
    <x v="6"/>
    <n v="4"/>
    <x v="0"/>
    <m/>
    <n v="2987"/>
    <n v="70"/>
    <x v="415"/>
    <x v="176"/>
    <s v=""/>
  </r>
  <r>
    <x v="2940"/>
    <x v="7"/>
    <s v="48.210033"/>
    <s v="16.363449"/>
    <x v="4"/>
    <s v="Medium (201-500)"/>
    <x v="2"/>
    <d v="2024-04-10T00:00:00"/>
    <x v="1"/>
    <x v="6"/>
    <n v="4"/>
    <x v="0"/>
    <m/>
    <n v="6703"/>
    <n v="60"/>
    <x v="85"/>
    <x v="176"/>
    <s v=""/>
  </r>
  <r>
    <x v="2941"/>
    <x v="2"/>
    <s v="41.902782"/>
    <s v="12.496366"/>
    <x v="9"/>
    <s v="Medium (201-500)"/>
    <x v="1"/>
    <d v="2024-04-04T00:00:00"/>
    <x v="2"/>
    <x v="6"/>
    <n v="4"/>
    <x v="0"/>
    <m/>
    <n v="7574"/>
    <n v="70"/>
    <x v="373"/>
    <x v="176"/>
    <s v=""/>
  </r>
  <r>
    <x v="2942"/>
    <x v="2"/>
    <s v="41.902782"/>
    <s v="12.496366"/>
    <x v="11"/>
    <s v="Medium (201-500)"/>
    <x v="3"/>
    <d v="2024-05-30T00:00:00"/>
    <x v="0"/>
    <x v="6"/>
    <n v="4"/>
    <x v="0"/>
    <m/>
    <n v="4596"/>
    <n v="40"/>
    <x v="255"/>
    <x v="176"/>
    <s v=""/>
  </r>
  <r>
    <x v="2943"/>
    <x v="2"/>
    <s v="41.902782"/>
    <s v="12.496366"/>
    <x v="4"/>
    <s v="Medium (201-500)"/>
    <x v="3"/>
    <d v="2024-03-14T00:00:00"/>
    <x v="2"/>
    <x v="6"/>
    <n v="4"/>
    <x v="0"/>
    <m/>
    <n v="465"/>
    <n v="40"/>
    <x v="259"/>
    <x v="176"/>
    <s v=""/>
  </r>
  <r>
    <x v="2944"/>
    <x v="4"/>
    <s v="51.260197"/>
    <s v="4.402771"/>
    <x v="10"/>
    <s v="Medium (201-500)"/>
    <x v="6"/>
    <d v="2024-04-21T00:00:00"/>
    <x v="2"/>
    <x v="6"/>
    <n v="4"/>
    <x v="0"/>
    <m/>
    <n v="689"/>
    <n v="70"/>
    <x v="201"/>
    <x v="176"/>
    <s v=""/>
  </r>
  <r>
    <x v="2945"/>
    <x v="3"/>
    <s v="52.520008"/>
    <s v="13.404954"/>
    <x v="5"/>
    <s v="Medium (201-500)"/>
    <x v="4"/>
    <d v="2024-01-21T00:00:00"/>
    <x v="2"/>
    <x v="6"/>
    <n v="4"/>
    <x v="0"/>
    <m/>
    <n v="3427"/>
    <n v="30"/>
    <x v="6"/>
    <x v="176"/>
    <s v=""/>
  </r>
  <r>
    <x v="2946"/>
    <x v="4"/>
    <s v="51.260197"/>
    <s v="4.402771"/>
    <x v="10"/>
    <s v="Medium (201-500)"/>
    <x v="6"/>
    <d v="2024-02-11T00:00:00"/>
    <x v="2"/>
    <x v="6"/>
    <n v="4"/>
    <x v="0"/>
    <m/>
    <n v="1182"/>
    <n v="40"/>
    <x v="260"/>
    <x v="176"/>
    <s v=""/>
  </r>
  <r>
    <x v="2947"/>
    <x v="6"/>
    <s v="48.864716"/>
    <s v="2.349014"/>
    <x v="8"/>
    <s v="Medium (201-500)"/>
    <x v="3"/>
    <d v="2024-05-29T00:00:00"/>
    <x v="1"/>
    <x v="6"/>
    <n v="4"/>
    <x v="0"/>
    <m/>
    <n v="4395"/>
    <n v="50"/>
    <x v="218"/>
    <x v="176"/>
    <s v=""/>
  </r>
  <r>
    <x v="2948"/>
    <x v="2"/>
    <s v="41.902782"/>
    <s v="12.496366"/>
    <x v="9"/>
    <s v="Medium (201-500)"/>
    <x v="5"/>
    <d v="2024-04-18T00:00:00"/>
    <x v="0"/>
    <x v="6"/>
    <n v="4"/>
    <x v="0"/>
    <m/>
    <n v="5571"/>
    <n v="100"/>
    <x v="215"/>
    <x v="176"/>
    <s v=""/>
  </r>
  <r>
    <x v="2949"/>
    <x v="8"/>
    <s v="38.736946"/>
    <s v="-9.142685"/>
    <x v="10"/>
    <s v="Medium (201-500)"/>
    <x v="2"/>
    <d v="2024-04-12T00:00:00"/>
    <x v="2"/>
    <x v="6"/>
    <n v="4"/>
    <x v="0"/>
    <m/>
    <n v="2940"/>
    <n v="50"/>
    <x v="209"/>
    <x v="176"/>
    <s v=""/>
  </r>
  <r>
    <x v="2950"/>
    <x v="8"/>
    <s v="38.736946"/>
    <s v="-9.142685"/>
    <x v="2"/>
    <s v="Medium (201-500)"/>
    <x v="5"/>
    <d v="2024-01-25T00:00:00"/>
    <x v="0"/>
    <x v="6"/>
    <n v="4"/>
    <x v="0"/>
    <m/>
    <n v="2791"/>
    <n v="40"/>
    <x v="142"/>
    <x v="176"/>
    <s v=""/>
  </r>
  <r>
    <x v="2951"/>
    <x v="5"/>
    <s v="46.204391"/>
    <s v="6.143158"/>
    <x v="8"/>
    <s v="Medium (201-500)"/>
    <x v="0"/>
    <d v="2024-04-18T00:00:00"/>
    <x v="1"/>
    <x v="6"/>
    <n v="4"/>
    <x v="0"/>
    <m/>
    <n v="2109"/>
    <n v="30"/>
    <x v="277"/>
    <x v="176"/>
    <s v=""/>
  </r>
  <r>
    <x v="2952"/>
    <x v="8"/>
    <s v="38.736946"/>
    <s v="-9.142685"/>
    <x v="5"/>
    <s v="Medium (201-500)"/>
    <x v="2"/>
    <d v="2024-04-27T00:00:00"/>
    <x v="2"/>
    <x v="6"/>
    <n v="4"/>
    <x v="0"/>
    <m/>
    <n v="6720"/>
    <n v="10"/>
    <x v="319"/>
    <x v="176"/>
    <s v=""/>
  </r>
  <r>
    <x v="2953"/>
    <x v="3"/>
    <s v="52.520008"/>
    <s v="13.404954"/>
    <x v="4"/>
    <s v="Medium (201-500)"/>
    <x v="4"/>
    <d v="2024-03-16T00:00:00"/>
    <x v="2"/>
    <x v="6"/>
    <n v="4"/>
    <x v="0"/>
    <m/>
    <n v="4558"/>
    <n v="50"/>
    <x v="31"/>
    <x v="176"/>
    <s v=""/>
  </r>
  <r>
    <x v="2954"/>
    <x v="8"/>
    <s v="38.736946"/>
    <s v="-9.142685"/>
    <x v="0"/>
    <s v="Medium (201-500)"/>
    <x v="4"/>
    <d v="2024-01-02T00:00:00"/>
    <x v="0"/>
    <x v="6"/>
    <n v="4"/>
    <x v="0"/>
    <m/>
    <n v="2950"/>
    <n v="30"/>
    <x v="364"/>
    <x v="176"/>
    <s v=""/>
  </r>
  <r>
    <x v="2955"/>
    <x v="2"/>
    <s v="41.902782"/>
    <s v="12.496366"/>
    <x v="4"/>
    <s v="Medium (201-500)"/>
    <x v="5"/>
    <d v="2024-01-19T00:00:00"/>
    <x v="2"/>
    <x v="6"/>
    <n v="4"/>
    <x v="0"/>
    <m/>
    <n v="4249"/>
    <n v="40"/>
    <x v="99"/>
    <x v="176"/>
    <s v=""/>
  </r>
  <r>
    <x v="2956"/>
    <x v="5"/>
    <s v="46.204391"/>
    <s v="6.143158"/>
    <x v="3"/>
    <s v="Medium (201-500)"/>
    <x v="3"/>
    <d v="2024-02-27T00:00:00"/>
    <x v="0"/>
    <x v="6"/>
    <n v="4"/>
    <x v="0"/>
    <m/>
    <n v="4159"/>
    <n v="50"/>
    <x v="248"/>
    <x v="176"/>
    <s v=""/>
  </r>
  <r>
    <x v="2957"/>
    <x v="3"/>
    <s v="52.520008"/>
    <s v="13.404954"/>
    <x v="3"/>
    <s v="Medium (201-500)"/>
    <x v="3"/>
    <d v="2024-04-08T00:00:00"/>
    <x v="2"/>
    <x v="6"/>
    <n v="4"/>
    <x v="0"/>
    <m/>
    <n v="6175"/>
    <n v="50"/>
    <x v="86"/>
    <x v="176"/>
    <s v=""/>
  </r>
  <r>
    <x v="2958"/>
    <x v="4"/>
    <s v="51.260197"/>
    <s v="4.402771"/>
    <x v="4"/>
    <s v="Medium (201-500)"/>
    <x v="3"/>
    <d v="2024-02-21T00:00:00"/>
    <x v="2"/>
    <x v="6"/>
    <n v="4"/>
    <x v="0"/>
    <m/>
    <n v="1800"/>
    <n v="80"/>
    <x v="231"/>
    <x v="176"/>
    <s v=""/>
  </r>
  <r>
    <x v="2959"/>
    <x v="2"/>
    <s v="41.902782"/>
    <s v="12.496366"/>
    <x v="12"/>
    <s v="Medium (201-500)"/>
    <x v="6"/>
    <d v="2024-01-06T00:00:00"/>
    <x v="1"/>
    <x v="6"/>
    <n v="4"/>
    <x v="0"/>
    <m/>
    <n v="3218"/>
    <n v="10"/>
    <x v="241"/>
    <x v="176"/>
    <s v=""/>
  </r>
  <r>
    <x v="2960"/>
    <x v="8"/>
    <s v="38.736946"/>
    <s v="-9.142685"/>
    <x v="10"/>
    <s v="Medium (201-500)"/>
    <x v="2"/>
    <d v="2024-03-25T00:00:00"/>
    <x v="2"/>
    <x v="6"/>
    <n v="4"/>
    <x v="0"/>
    <m/>
    <n v="5348"/>
    <n v="20"/>
    <x v="46"/>
    <x v="176"/>
    <s v=""/>
  </r>
  <r>
    <x v="2961"/>
    <x v="8"/>
    <s v="38.736946"/>
    <s v="-9.142685"/>
    <x v="1"/>
    <s v="Medium (201-500)"/>
    <x v="3"/>
    <d v="2024-01-15T00:00:00"/>
    <x v="0"/>
    <x v="6"/>
    <n v="4"/>
    <x v="0"/>
    <m/>
    <n v="5769"/>
    <n v="50"/>
    <x v="82"/>
    <x v="176"/>
    <s v=""/>
  </r>
  <r>
    <x v="2962"/>
    <x v="7"/>
    <s v="48.210033"/>
    <s v="16.363449"/>
    <x v="5"/>
    <s v="Medium (201-500)"/>
    <x v="1"/>
    <d v="2024-02-08T00:00:00"/>
    <x v="0"/>
    <x v="6"/>
    <n v="4"/>
    <x v="0"/>
    <m/>
    <n v="4554"/>
    <n v="50"/>
    <x v="221"/>
    <x v="176"/>
    <s v=""/>
  </r>
  <r>
    <x v="2963"/>
    <x v="8"/>
    <s v="38.736946"/>
    <s v="-9.142685"/>
    <x v="7"/>
    <s v="Medium (201-500)"/>
    <x v="6"/>
    <d v="2024-03-20T00:00:00"/>
    <x v="2"/>
    <x v="6"/>
    <n v="4"/>
    <x v="0"/>
    <m/>
    <n v="7249"/>
    <n v="30"/>
    <x v="188"/>
    <x v="176"/>
    <s v=""/>
  </r>
  <r>
    <x v="2964"/>
    <x v="3"/>
    <s v="52.520008"/>
    <s v="13.404954"/>
    <x v="0"/>
    <s v="Medium (201-500)"/>
    <x v="2"/>
    <d v="2024-05-11T00:00:00"/>
    <x v="1"/>
    <x v="6"/>
    <n v="4"/>
    <x v="0"/>
    <m/>
    <n v="4545"/>
    <n v="100"/>
    <x v="356"/>
    <x v="176"/>
    <s v=""/>
  </r>
  <r>
    <x v="2965"/>
    <x v="8"/>
    <s v="38.736946"/>
    <s v="-9.142685"/>
    <x v="4"/>
    <s v="Medium (201-500)"/>
    <x v="3"/>
    <d v="2024-01-25T00:00:00"/>
    <x v="2"/>
    <x v="6"/>
    <n v="4"/>
    <x v="0"/>
    <m/>
    <n v="7593"/>
    <n v="50"/>
    <x v="13"/>
    <x v="176"/>
    <s v=""/>
  </r>
  <r>
    <x v="2966"/>
    <x v="6"/>
    <s v="48.864716"/>
    <s v="2.349014"/>
    <x v="8"/>
    <s v="Medium (201-500)"/>
    <x v="4"/>
    <d v="2024-03-29T00:00:00"/>
    <x v="0"/>
    <x v="6"/>
    <n v="4"/>
    <x v="0"/>
    <m/>
    <n v="7630"/>
    <n v="100"/>
    <x v="253"/>
    <x v="176"/>
    <s v=""/>
  </r>
  <r>
    <x v="2967"/>
    <x v="5"/>
    <s v="46.204391"/>
    <s v="6.143158"/>
    <x v="11"/>
    <s v="Medium (201-500)"/>
    <x v="3"/>
    <d v="2024-02-19T00:00:00"/>
    <x v="2"/>
    <x v="6"/>
    <n v="4"/>
    <x v="0"/>
    <m/>
    <n v="6638"/>
    <n v="50"/>
    <x v="112"/>
    <x v="176"/>
    <s v=""/>
  </r>
  <r>
    <x v="2968"/>
    <x v="1"/>
    <s v="40.416775"/>
    <s v="-3.703790"/>
    <x v="12"/>
    <s v="Medium (201-500)"/>
    <x v="1"/>
    <d v="2024-05-29T00:00:00"/>
    <x v="2"/>
    <x v="6"/>
    <n v="4"/>
    <x v="0"/>
    <m/>
    <n v="7037"/>
    <n v="30"/>
    <x v="311"/>
    <x v="176"/>
    <s v=""/>
  </r>
  <r>
    <x v="2969"/>
    <x v="2"/>
    <s v="41.902782"/>
    <s v="12.496366"/>
    <x v="11"/>
    <s v="Medium (201-500)"/>
    <x v="5"/>
    <d v="2024-04-07T00:00:00"/>
    <x v="0"/>
    <x v="6"/>
    <n v="4"/>
    <x v="0"/>
    <m/>
    <n v="2752"/>
    <n v="40"/>
    <x v="63"/>
    <x v="176"/>
    <s v=""/>
  </r>
  <r>
    <x v="2970"/>
    <x v="6"/>
    <s v="48.864716"/>
    <s v="2.349014"/>
    <x v="4"/>
    <s v="Medium (201-500)"/>
    <x v="3"/>
    <d v="2024-05-19T00:00:00"/>
    <x v="2"/>
    <x v="6"/>
    <n v="4"/>
    <x v="0"/>
    <m/>
    <n v="6155"/>
    <n v="50"/>
    <x v="423"/>
    <x v="176"/>
    <s v=""/>
  </r>
  <r>
    <x v="2971"/>
    <x v="8"/>
    <s v="38.736946"/>
    <s v="-9.142685"/>
    <x v="3"/>
    <s v="Medium (201-500)"/>
    <x v="1"/>
    <d v="2024-02-07T00:00:00"/>
    <x v="0"/>
    <x v="6"/>
    <n v="4"/>
    <x v="0"/>
    <m/>
    <n v="922"/>
    <n v="60"/>
    <x v="122"/>
    <x v="176"/>
    <s v=""/>
  </r>
  <r>
    <x v="2972"/>
    <x v="8"/>
    <s v="38.736946"/>
    <s v="-9.142685"/>
    <x v="5"/>
    <s v="Medium (201-500)"/>
    <x v="7"/>
    <d v="2024-01-06T00:00:00"/>
    <x v="2"/>
    <x v="6"/>
    <n v="4"/>
    <x v="0"/>
    <m/>
    <n v="7744"/>
    <n v="20"/>
    <x v="373"/>
    <x v="176"/>
    <s v=""/>
  </r>
  <r>
    <x v="2973"/>
    <x v="3"/>
    <s v="52.520008"/>
    <s v="13.404954"/>
    <x v="11"/>
    <s v="Medium (201-500)"/>
    <x v="2"/>
    <d v="2024-03-03T00:00:00"/>
    <x v="2"/>
    <x v="6"/>
    <n v="4"/>
    <x v="0"/>
    <m/>
    <n v="4531"/>
    <n v="60"/>
    <x v="76"/>
    <x v="176"/>
    <s v=""/>
  </r>
  <r>
    <x v="2974"/>
    <x v="1"/>
    <s v="40.416775"/>
    <s v="-3.703790"/>
    <x v="2"/>
    <s v="Medium (201-500)"/>
    <x v="4"/>
    <d v="2024-04-18T00:00:00"/>
    <x v="0"/>
    <x v="6"/>
    <n v="4"/>
    <x v="0"/>
    <m/>
    <n v="6998"/>
    <n v="50"/>
    <x v="194"/>
    <x v="176"/>
    <s v=""/>
  </r>
  <r>
    <x v="2975"/>
    <x v="2"/>
    <s v="41.902782"/>
    <s v="12.496366"/>
    <x v="13"/>
    <s v="Medium (201-500)"/>
    <x v="0"/>
    <d v="2024-04-20T00:00:00"/>
    <x v="2"/>
    <x v="6"/>
    <n v="4"/>
    <x v="0"/>
    <m/>
    <n v="5694"/>
    <n v="30"/>
    <x v="274"/>
    <x v="176"/>
    <s v=""/>
  </r>
  <r>
    <x v="2976"/>
    <x v="2"/>
    <s v="41.902782"/>
    <s v="12.496366"/>
    <x v="7"/>
    <s v="Medium (201-500)"/>
    <x v="0"/>
    <d v="2024-04-24T00:00:00"/>
    <x v="1"/>
    <x v="6"/>
    <n v="4"/>
    <x v="0"/>
    <m/>
    <n v="1208"/>
    <n v="30"/>
    <x v="64"/>
    <x v="176"/>
    <s v=""/>
  </r>
  <r>
    <x v="2977"/>
    <x v="7"/>
    <s v="48.210033"/>
    <s v="16.363449"/>
    <x v="5"/>
    <s v="Medium (201-500)"/>
    <x v="3"/>
    <d v="2024-04-19T00:00:00"/>
    <x v="1"/>
    <x v="6"/>
    <n v="4"/>
    <x v="0"/>
    <m/>
    <n v="4553"/>
    <n v="70"/>
    <x v="376"/>
    <x v="176"/>
    <s v=""/>
  </r>
  <r>
    <x v="2978"/>
    <x v="5"/>
    <s v="46.204391"/>
    <s v="6.143158"/>
    <x v="7"/>
    <s v="Large (501-1000)"/>
    <x v="7"/>
    <d v="2024-03-11T00:00:00"/>
    <x v="0"/>
    <x v="6"/>
    <n v="4"/>
    <x v="0"/>
    <m/>
    <n v="17269"/>
    <n v="80"/>
    <x v="295"/>
    <x v="176"/>
    <s v=""/>
  </r>
  <r>
    <x v="2979"/>
    <x v="4"/>
    <s v="51.260197"/>
    <s v="4.402771"/>
    <x v="5"/>
    <s v="Large (501-1000)"/>
    <x v="3"/>
    <d v="2024-05-29T00:00:00"/>
    <x v="0"/>
    <x v="6"/>
    <n v="4"/>
    <x v="0"/>
    <m/>
    <n v="19776"/>
    <n v="40"/>
    <x v="277"/>
    <x v="176"/>
    <s v=""/>
  </r>
  <r>
    <x v="2980"/>
    <x v="0"/>
    <s v="52.370216"/>
    <s v="4.895168"/>
    <x v="3"/>
    <s v="Large (501-1000)"/>
    <x v="6"/>
    <d v="2024-05-13T00:00:00"/>
    <x v="1"/>
    <x v="6"/>
    <n v="4"/>
    <x v="0"/>
    <m/>
    <n v="8387"/>
    <n v="80"/>
    <x v="262"/>
    <x v="176"/>
    <s v=""/>
  </r>
  <r>
    <x v="2981"/>
    <x v="3"/>
    <s v="52.520008"/>
    <s v="13.404954"/>
    <x v="4"/>
    <s v="Large (501-1000)"/>
    <x v="0"/>
    <d v="2024-03-23T00:00:00"/>
    <x v="1"/>
    <x v="6"/>
    <n v="4"/>
    <x v="0"/>
    <m/>
    <n v="2737"/>
    <n v="30"/>
    <x v="95"/>
    <x v="176"/>
    <s v=""/>
  </r>
  <r>
    <x v="2982"/>
    <x v="1"/>
    <s v="40.416775"/>
    <s v="-3.703790"/>
    <x v="6"/>
    <s v="Large (501-1000)"/>
    <x v="7"/>
    <d v="2024-03-06T00:00:00"/>
    <x v="1"/>
    <x v="6"/>
    <n v="4"/>
    <x v="0"/>
    <m/>
    <n v="11686"/>
    <n v="100"/>
    <x v="213"/>
    <x v="176"/>
    <s v=""/>
  </r>
  <r>
    <x v="2983"/>
    <x v="2"/>
    <s v="41.902782"/>
    <s v="12.496366"/>
    <x v="1"/>
    <s v="Large (501-1000)"/>
    <x v="0"/>
    <d v="2024-03-20T00:00:00"/>
    <x v="1"/>
    <x v="6"/>
    <n v="4"/>
    <x v="0"/>
    <m/>
    <n v="17968"/>
    <n v="70"/>
    <x v="428"/>
    <x v="176"/>
    <s v=""/>
  </r>
  <r>
    <x v="2984"/>
    <x v="3"/>
    <s v="52.520008"/>
    <s v="13.404954"/>
    <x v="5"/>
    <s v="Large (501-1000)"/>
    <x v="0"/>
    <d v="2024-01-19T00:00:00"/>
    <x v="1"/>
    <x v="6"/>
    <n v="4"/>
    <x v="0"/>
    <m/>
    <n v="18418"/>
    <n v="30"/>
    <x v="448"/>
    <x v="176"/>
    <s v=""/>
  </r>
  <r>
    <x v="2985"/>
    <x v="3"/>
    <s v="52.520008"/>
    <s v="13.404954"/>
    <x v="10"/>
    <s v="Large (501-1000)"/>
    <x v="2"/>
    <d v="2024-04-07T00:00:00"/>
    <x v="1"/>
    <x v="6"/>
    <n v="4"/>
    <x v="0"/>
    <m/>
    <n v="12543"/>
    <n v="40"/>
    <x v="124"/>
    <x v="176"/>
    <s v=""/>
  </r>
  <r>
    <x v="2986"/>
    <x v="0"/>
    <s v="52.370216"/>
    <s v="4.895168"/>
    <x v="10"/>
    <s v="Large (501-1000)"/>
    <x v="4"/>
    <d v="2024-01-14T00:00:00"/>
    <x v="2"/>
    <x v="6"/>
    <n v="4"/>
    <x v="0"/>
    <m/>
    <n v="4700"/>
    <n v="90"/>
    <x v="71"/>
    <x v="176"/>
    <s v=""/>
  </r>
  <r>
    <x v="2987"/>
    <x v="1"/>
    <s v="40.416775"/>
    <s v="-3.703790"/>
    <x v="5"/>
    <s v="Large (501-1000)"/>
    <x v="1"/>
    <d v="2024-05-16T00:00:00"/>
    <x v="0"/>
    <x v="6"/>
    <n v="4"/>
    <x v="0"/>
    <m/>
    <n v="14149"/>
    <n v="60"/>
    <x v="314"/>
    <x v="176"/>
    <s v=""/>
  </r>
  <r>
    <x v="2988"/>
    <x v="0"/>
    <s v="52.370216"/>
    <s v="4.895168"/>
    <x v="5"/>
    <s v="Large (501-1000)"/>
    <x v="3"/>
    <d v="2024-01-25T00:00:00"/>
    <x v="1"/>
    <x v="6"/>
    <n v="4"/>
    <x v="0"/>
    <m/>
    <n v="11883"/>
    <n v="50"/>
    <x v="248"/>
    <x v="176"/>
    <s v=""/>
  </r>
  <r>
    <x v="2989"/>
    <x v="6"/>
    <s v="48.864716"/>
    <s v="2.349014"/>
    <x v="8"/>
    <s v="Large (501-1000)"/>
    <x v="0"/>
    <d v="2024-03-06T00:00:00"/>
    <x v="2"/>
    <x v="6"/>
    <n v="4"/>
    <x v="0"/>
    <m/>
    <n v="17461"/>
    <n v="100"/>
    <x v="79"/>
    <x v="176"/>
    <s v=""/>
  </r>
  <r>
    <x v="2990"/>
    <x v="6"/>
    <s v="48.864716"/>
    <s v="2.349014"/>
    <x v="3"/>
    <s v="Large (501-1000)"/>
    <x v="1"/>
    <d v="2024-05-15T00:00:00"/>
    <x v="2"/>
    <x v="6"/>
    <n v="4"/>
    <x v="0"/>
    <m/>
    <n v="10548"/>
    <n v="40"/>
    <x v="20"/>
    <x v="176"/>
    <s v=""/>
  </r>
  <r>
    <x v="2991"/>
    <x v="2"/>
    <s v="41.902782"/>
    <s v="12.496366"/>
    <x v="13"/>
    <s v="Large (501-1000)"/>
    <x v="6"/>
    <d v="2024-03-07T00:00:00"/>
    <x v="2"/>
    <x v="6"/>
    <n v="4"/>
    <x v="0"/>
    <m/>
    <n v="19123"/>
    <n v="50"/>
    <x v="193"/>
    <x v="176"/>
    <s v=""/>
  </r>
  <r>
    <x v="2992"/>
    <x v="8"/>
    <s v="38.736946"/>
    <s v="-9.142685"/>
    <x v="9"/>
    <s v="Enterprise (1001+)"/>
    <x v="3"/>
    <d v="2024-02-29T00:00:00"/>
    <x v="1"/>
    <x v="6"/>
    <n v="4"/>
    <x v="0"/>
    <m/>
    <n v="5885"/>
    <n v="60"/>
    <x v="430"/>
    <x v="176"/>
    <s v=""/>
  </r>
  <r>
    <x v="2993"/>
    <x v="0"/>
    <s v="52.370216"/>
    <s v="4.895168"/>
    <x v="9"/>
    <s v="Enterprise (1001+)"/>
    <x v="2"/>
    <d v="2024-03-24T00:00:00"/>
    <x v="1"/>
    <x v="6"/>
    <n v="4"/>
    <x v="0"/>
    <m/>
    <n v="18768"/>
    <n v="50"/>
    <x v="191"/>
    <x v="176"/>
    <s v=""/>
  </r>
  <r>
    <x v="2994"/>
    <x v="1"/>
    <s v="40.416775"/>
    <s v="-3.703790"/>
    <x v="6"/>
    <s v="Enterprise (1001+)"/>
    <x v="0"/>
    <d v="2024-04-12T00:00:00"/>
    <x v="2"/>
    <x v="6"/>
    <n v="4"/>
    <x v="0"/>
    <m/>
    <n v="19868"/>
    <n v="40"/>
    <x v="427"/>
    <x v="176"/>
    <s v=""/>
  </r>
  <r>
    <x v="2995"/>
    <x v="8"/>
    <s v="38.736946"/>
    <s v="-9.142685"/>
    <x v="13"/>
    <s v="Enterprise (1001+)"/>
    <x v="4"/>
    <d v="2024-05-06T00:00:00"/>
    <x v="0"/>
    <x v="6"/>
    <n v="4"/>
    <x v="0"/>
    <m/>
    <n v="19105"/>
    <n v="40"/>
    <x v="216"/>
    <x v="176"/>
    <s v=""/>
  </r>
  <r>
    <x v="2996"/>
    <x v="3"/>
    <s v="52.520008"/>
    <s v="13.404954"/>
    <x v="8"/>
    <s v="Enterprise (1001+)"/>
    <x v="4"/>
    <d v="2024-03-28T00:00:00"/>
    <x v="2"/>
    <x v="6"/>
    <n v="4"/>
    <x v="0"/>
    <m/>
    <n v="10835"/>
    <n v="20"/>
    <x v="29"/>
    <x v="176"/>
    <s v=""/>
  </r>
  <r>
    <x v="2997"/>
    <x v="2"/>
    <s v="41.902782"/>
    <s v="12.496366"/>
    <x v="6"/>
    <s v="Enterprise (1001+)"/>
    <x v="7"/>
    <d v="2024-02-12T00:00:00"/>
    <x v="0"/>
    <x v="6"/>
    <n v="4"/>
    <x v="0"/>
    <m/>
    <n v="11636"/>
    <n v="40"/>
    <x v="172"/>
    <x v="176"/>
    <s v=""/>
  </r>
  <r>
    <x v="2998"/>
    <x v="0"/>
    <s v="52.370216"/>
    <s v="4.895168"/>
    <x v="0"/>
    <s v="Enterprise (1001+)"/>
    <x v="3"/>
    <d v="2024-04-19T00:00:00"/>
    <x v="1"/>
    <x v="6"/>
    <n v="4"/>
    <x v="0"/>
    <m/>
    <n v="18536"/>
    <n v="10"/>
    <x v="173"/>
    <x v="176"/>
    <s v=""/>
  </r>
  <r>
    <x v="2999"/>
    <x v="5"/>
    <s v="46.204391"/>
    <s v="6.143158"/>
    <x v="0"/>
    <s v="Enterprise (1001+)"/>
    <x v="3"/>
    <d v="2024-05-20T00:00:00"/>
    <x v="1"/>
    <x v="6"/>
    <n v="4"/>
    <x v="0"/>
    <m/>
    <n v="2680"/>
    <n v="20"/>
    <x v="438"/>
    <x v="176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F70CD-1E8B-4CAD-BDB0-B63B8BFF64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7">
    <pivotField dataField="1" showAll="0">
      <items count="3002">
        <item x="1039"/>
        <item x="402"/>
        <item x="1891"/>
        <item x="984"/>
        <item x="2552"/>
        <item x="409"/>
        <item x="655"/>
        <item x="64"/>
        <item x="1188"/>
        <item x="1396"/>
        <item x="2463"/>
        <item x="1352"/>
        <item x="2841"/>
        <item x="575"/>
        <item x="2658"/>
        <item x="44"/>
        <item x="1773"/>
        <item x="1655"/>
        <item x="1701"/>
        <item x="370"/>
        <item x="1757"/>
        <item x="2739"/>
        <item x="399"/>
        <item x="2461"/>
        <item x="1324"/>
        <item x="1195"/>
        <item x="709"/>
        <item x="1042"/>
        <item x="2954"/>
        <item x="1842"/>
        <item x="998"/>
        <item x="1019"/>
        <item x="2234"/>
        <item x="1847"/>
        <item x="1841"/>
        <item x="2168"/>
        <item x="2804"/>
        <item x="1545"/>
        <item x="1026"/>
        <item x="1294"/>
        <item x="2778"/>
        <item x="1611"/>
        <item x="138"/>
        <item x="921"/>
        <item x="133"/>
        <item x="232"/>
        <item x="200"/>
        <item x="960"/>
        <item x="210"/>
        <item x="2797"/>
        <item x="1293"/>
        <item x="2537"/>
        <item x="1866"/>
        <item x="2837"/>
        <item x="2657"/>
        <item x="2254"/>
        <item x="2995"/>
        <item x="2222"/>
        <item x="2345"/>
        <item x="1224"/>
        <item x="1131"/>
        <item x="435"/>
        <item x="484"/>
        <item x="2762"/>
        <item x="532"/>
        <item x="2217"/>
        <item x="2635"/>
        <item x="1205"/>
        <item x="1474"/>
        <item x="449"/>
        <item x="2631"/>
        <item x="567"/>
        <item x="2046"/>
        <item x="1550"/>
        <item x="1052"/>
        <item x="2417"/>
        <item x="1227"/>
        <item x="964"/>
        <item x="757"/>
        <item x="2998"/>
        <item x="896"/>
        <item x="2448"/>
        <item x="2442"/>
        <item x="1122"/>
        <item x="1422"/>
        <item x="1263"/>
        <item x="1900"/>
        <item x="1329"/>
        <item x="1282"/>
        <item x="2439"/>
        <item x="2050"/>
        <item x="1610"/>
        <item x="602"/>
        <item x="731"/>
        <item x="2391"/>
        <item x="1065"/>
        <item x="1493"/>
        <item x="694"/>
        <item x="270"/>
        <item x="1330"/>
        <item x="1627"/>
        <item x="2589"/>
        <item x="1332"/>
        <item x="952"/>
        <item x="508"/>
        <item x="897"/>
        <item x="1808"/>
        <item x="1371"/>
        <item x="1143"/>
        <item x="982"/>
        <item x="106"/>
        <item x="2579"/>
        <item x="314"/>
        <item x="1776"/>
        <item x="2305"/>
        <item x="1725"/>
        <item x="1436"/>
        <item x="1506"/>
        <item x="2946"/>
        <item x="2371"/>
        <item x="1503"/>
        <item x="2411"/>
        <item x="2294"/>
        <item x="1345"/>
        <item x="618"/>
        <item x="2348"/>
        <item x="1818"/>
        <item x="1747"/>
        <item x="2074"/>
        <item x="17"/>
        <item x="2367"/>
        <item x="1614"/>
        <item x="268"/>
        <item x="2611"/>
        <item x="231"/>
        <item x="2493"/>
        <item x="910"/>
        <item x="2100"/>
        <item x="2365"/>
        <item x="2565"/>
        <item x="2815"/>
        <item x="1241"/>
        <item x="623"/>
        <item x="840"/>
        <item x="301"/>
        <item x="2227"/>
        <item x="2913"/>
        <item x="2926"/>
        <item x="24"/>
        <item x="1281"/>
        <item x="2920"/>
        <item x="81"/>
        <item x="2372"/>
        <item x="1174"/>
        <item x="2340"/>
        <item x="1273"/>
        <item x="1511"/>
        <item x="2019"/>
        <item x="759"/>
        <item x="61"/>
        <item x="2571"/>
        <item x="1442"/>
        <item x="495"/>
        <item x="1570"/>
        <item x="2672"/>
        <item x="2449"/>
        <item x="2656"/>
        <item x="1896"/>
        <item x="331"/>
        <item x="78"/>
        <item x="1245"/>
        <item x="1845"/>
        <item x="417"/>
        <item x="2899"/>
        <item x="2069"/>
        <item x="2058"/>
        <item x="796"/>
        <item x="2127"/>
        <item x="2970"/>
        <item x="1774"/>
        <item x="199"/>
        <item x="187"/>
        <item x="2406"/>
        <item x="174"/>
        <item x="1960"/>
        <item x="1492"/>
        <item x="1861"/>
        <item x="131"/>
        <item x="1504"/>
        <item x="677"/>
        <item x="1318"/>
        <item x="2323"/>
        <item x="2986"/>
        <item x="2009"/>
        <item x="69"/>
        <item x="1639"/>
        <item x="25"/>
        <item x="2526"/>
        <item x="1640"/>
        <item x="302"/>
        <item x="2623"/>
        <item x="464"/>
        <item x="1000"/>
        <item x="1709"/>
        <item x="893"/>
        <item x="151"/>
        <item x="627"/>
        <item x="2664"/>
        <item x="1257"/>
        <item x="1297"/>
        <item x="1801"/>
        <item x="2269"/>
        <item x="1860"/>
        <item x="932"/>
        <item x="833"/>
        <item x="2500"/>
        <item x="2794"/>
        <item x="208"/>
        <item x="1128"/>
        <item x="2890"/>
        <item x="2363"/>
        <item x="2286"/>
        <item x="662"/>
        <item x="862"/>
        <item x="1317"/>
        <item x="866"/>
        <item x="230"/>
        <item x="723"/>
        <item x="2918"/>
        <item x="1342"/>
        <item x="830"/>
        <item x="283"/>
        <item x="2697"/>
        <item x="1068"/>
        <item x="53"/>
        <item x="545"/>
        <item x="1204"/>
        <item x="1398"/>
        <item x="1478"/>
        <item x="98"/>
        <item x="2742"/>
        <item x="1658"/>
        <item x="2174"/>
        <item x="2800"/>
        <item x="1220"/>
        <item x="1613"/>
        <item x="1552"/>
        <item x="2362"/>
        <item x="2224"/>
        <item x="2369"/>
        <item x="2062"/>
        <item x="1307"/>
        <item x="680"/>
        <item x="1974"/>
        <item x="931"/>
        <item x="1764"/>
        <item x="170"/>
        <item x="74"/>
        <item x="66"/>
        <item x="1359"/>
        <item x="651"/>
        <item x="11"/>
        <item x="2063"/>
        <item x="166"/>
        <item x="1834"/>
        <item x="1819"/>
        <item x="1496"/>
        <item x="1291"/>
        <item x="130"/>
        <item x="285"/>
        <item x="1313"/>
        <item x="1099"/>
        <item x="1259"/>
        <item x="2498"/>
        <item x="2492"/>
        <item x="878"/>
        <item x="1306"/>
        <item x="224"/>
        <item x="873"/>
        <item x="1256"/>
        <item x="1298"/>
        <item x="2387"/>
        <item x="611"/>
        <item x="128"/>
        <item x="2399"/>
        <item x="1051"/>
        <item x="577"/>
        <item x="2807"/>
        <item x="1031"/>
        <item x="411"/>
        <item x="612"/>
        <item x="1370"/>
        <item x="2746"/>
        <item x="2637"/>
        <item x="811"/>
        <item x="2639"/>
        <item x="2428"/>
        <item x="1235"/>
        <item x="2241"/>
        <item x="2690"/>
        <item x="2857"/>
        <item x="2374"/>
        <item x="2409"/>
        <item x="2447"/>
        <item x="203"/>
        <item x="1902"/>
        <item x="1693"/>
        <item x="1669"/>
        <item x="2704"/>
        <item x="2695"/>
        <item x="2869"/>
        <item x="462"/>
        <item x="1186"/>
        <item x="1321"/>
        <item x="2366"/>
        <item x="1999"/>
        <item x="2531"/>
        <item x="994"/>
        <item x="1196"/>
        <item x="457"/>
        <item x="1419"/>
        <item x="330"/>
        <item x="436"/>
        <item x="2477"/>
        <item x="2740"/>
        <item x="277"/>
        <item x="2478"/>
        <item x="1473"/>
        <item x="825"/>
        <item x="153"/>
        <item x="2932"/>
        <item x="895"/>
        <item x="1561"/>
        <item x="588"/>
        <item x="1909"/>
        <item x="398"/>
        <item x="2452"/>
        <item x="2801"/>
        <item x="201"/>
        <item x="2693"/>
        <item x="717"/>
        <item x="2941"/>
        <item x="2297"/>
        <item x="2713"/>
        <item x="819"/>
        <item x="1723"/>
        <item x="1755"/>
        <item x="99"/>
        <item x="1470"/>
        <item x="1203"/>
        <item x="1467"/>
        <item x="869"/>
        <item x="2993"/>
        <item x="2347"/>
        <item x="407"/>
        <item x="1648"/>
        <item x="2154"/>
        <item x="1714"/>
        <item x="1429"/>
        <item x="2246"/>
        <item x="1651"/>
        <item x="2237"/>
        <item x="2161"/>
        <item x="393"/>
        <item x="1670"/>
        <item x="2780"/>
        <item x="578"/>
        <item x="1097"/>
        <item x="1246"/>
        <item x="1127"/>
        <item x="2717"/>
        <item x="1935"/>
        <item x="2263"/>
        <item x="485"/>
        <item x="2872"/>
        <item x="41"/>
        <item x="2806"/>
        <item x="1686"/>
        <item x="809"/>
        <item x="1472"/>
        <item x="815"/>
        <item x="1844"/>
        <item x="603"/>
        <item x="644"/>
        <item x="305"/>
        <item x="2096"/>
        <item x="2158"/>
        <item x="916"/>
        <item x="2624"/>
        <item x="344"/>
        <item x="1910"/>
        <item x="239"/>
        <item x="369"/>
        <item x="2147"/>
        <item x="1807"/>
        <item x="2249"/>
        <item x="2911"/>
        <item x="1338"/>
        <item x="1198"/>
        <item x="453"/>
        <item x="1098"/>
        <item x="1265"/>
        <item x="175"/>
        <item x="1089"/>
        <item x="2133"/>
        <item x="2336"/>
        <item x="372"/>
        <item x="2126"/>
        <item x="992"/>
        <item x="2033"/>
        <item x="2937"/>
        <item x="2290"/>
        <item x="2730"/>
        <item x="2091"/>
        <item x="420"/>
        <item x="2825"/>
        <item x="2564"/>
        <item x="1768"/>
        <item x="1664"/>
        <item x="1962"/>
        <item x="1394"/>
        <item x="289"/>
        <item x="70"/>
        <item x="2314"/>
        <item x="1485"/>
        <item x="2893"/>
        <item x="1826"/>
        <item x="132"/>
        <item x="2541"/>
        <item x="1681"/>
        <item x="2322"/>
        <item x="1597"/>
        <item x="2823"/>
        <item x="1254"/>
        <item x="2327"/>
        <item x="2103"/>
        <item x="197"/>
        <item x="1123"/>
        <item x="1189"/>
        <item x="1972"/>
        <item x="2648"/>
        <item x="431"/>
        <item x="1702"/>
        <item x="2020"/>
        <item x="512"/>
        <item x="558"/>
        <item x="1937"/>
        <item x="2320"/>
        <item x="1425"/>
        <item x="676"/>
        <item x="839"/>
        <item x="1277"/>
        <item x="1213"/>
        <item x="1871"/>
        <item x="2354"/>
        <item x="2833"/>
        <item x="2848"/>
        <item x="1119"/>
        <item x="1868"/>
        <item x="300"/>
        <item x="876"/>
        <item x="72"/>
        <item x="1606"/>
        <item x="1314"/>
        <item x="2273"/>
        <item x="2185"/>
        <item x="125"/>
        <item x="2400"/>
        <item x="2392"/>
        <item x="2789"/>
        <item x="631"/>
        <item x="15"/>
        <item x="2909"/>
        <item x="101"/>
        <item x="1268"/>
        <item x="429"/>
        <item x="609"/>
        <item x="1160"/>
        <item x="1565"/>
        <item x="858"/>
        <item x="2253"/>
        <item x="284"/>
        <item x="2023"/>
        <item x="351"/>
        <item x="544"/>
        <item x="54"/>
        <item x="1136"/>
        <item x="1825"/>
        <item x="1200"/>
        <item x="1912"/>
        <item x="880"/>
        <item x="1428"/>
        <item x="793"/>
        <item x="1316"/>
        <item x="561"/>
        <item x="254"/>
        <item x="2471"/>
        <item x="2325"/>
        <item x="1376"/>
        <item x="1983"/>
        <item x="360"/>
        <item x="2798"/>
        <item x="427"/>
        <item x="1574"/>
        <item x="318"/>
        <item x="735"/>
        <item x="973"/>
        <item x="922"/>
        <item x="1349"/>
        <item x="598"/>
        <item x="2396"/>
        <item x="2949"/>
        <item x="2298"/>
        <item x="2270"/>
        <item x="2432"/>
        <item x="2240"/>
        <item x="902"/>
        <item x="1108"/>
        <item x="1555"/>
        <item x="1012"/>
        <item x="906"/>
        <item x="771"/>
        <item x="2026"/>
        <item x="67"/>
        <item x="1835"/>
        <item x="2199"/>
        <item x="744"/>
        <item x="2666"/>
        <item x="663"/>
        <item x="251"/>
        <item x="328"/>
        <item x="1594"/>
        <item x="977"/>
        <item x="2677"/>
        <item x="2881"/>
        <item x="1927"/>
        <item x="403"/>
        <item x="1906"/>
        <item x="1005"/>
        <item x="1211"/>
        <item x="2922"/>
        <item x="1109"/>
        <item x="2947"/>
        <item x="2332"/>
        <item x="1518"/>
        <item x="2490"/>
        <item x="2759"/>
        <item x="1720"/>
        <item x="1916"/>
        <item x="1046"/>
        <item x="2081"/>
        <item x="2375"/>
        <item x="2523"/>
        <item x="2939"/>
        <item x="2018"/>
        <item x="1688"/>
        <item x="2832"/>
        <item x="1982"/>
        <item x="1623"/>
        <item x="2615"/>
        <item x="2095"/>
        <item x="1076"/>
        <item x="2148"/>
        <item x="1173"/>
        <item x="2678"/>
        <item x="1538"/>
        <item x="1596"/>
        <item x="607"/>
        <item x="871"/>
        <item x="593"/>
        <item x="690"/>
        <item x="2268"/>
        <item x="2820"/>
        <item x="1490"/>
        <item x="555"/>
        <item x="2358"/>
        <item x="2454"/>
        <item x="1875"/>
        <item x="530"/>
        <item x="1206"/>
        <item x="706"/>
        <item x="2534"/>
        <item x="1598"/>
        <item x="2930"/>
        <item x="926"/>
        <item x="1484"/>
        <item x="1877"/>
        <item x="1817"/>
        <item x="2003"/>
        <item x="2257"/>
        <item x="795"/>
        <item x="2092"/>
        <item x="2845"/>
        <item x="1499"/>
        <item x="1084"/>
        <item x="2834"/>
        <item x="85"/>
        <item x="1882"/>
        <item x="2729"/>
        <item x="339"/>
        <item x="2584"/>
        <item x="2727"/>
        <item x="2651"/>
        <item x="1750"/>
        <item x="1057"/>
        <item x="697"/>
        <item x="915"/>
        <item x="1786"/>
        <item x="1590"/>
        <item x="785"/>
        <item x="1154"/>
        <item x="2718"/>
        <item x="779"/>
        <item x="1942"/>
        <item x="2929"/>
        <item x="2570"/>
        <item x="1604"/>
        <item x="2012"/>
        <item x="1567"/>
        <item x="1233"/>
        <item x="1581"/>
        <item x="190"/>
        <item x="445"/>
        <item x="2211"/>
        <item x="2754"/>
        <item x="543"/>
        <item x="1527"/>
        <item x="1471"/>
        <item x="2085"/>
        <item x="2744"/>
        <item x="712"/>
        <item x="295"/>
        <item x="2601"/>
        <item x="2645"/>
        <item x="371"/>
        <item x="179"/>
        <item x="517"/>
        <item x="2484"/>
        <item x="458"/>
        <item x="533"/>
        <item x="2769"/>
        <item x="2824"/>
        <item x="1869"/>
        <item x="2264"/>
        <item x="2816"/>
        <item x="494"/>
        <item x="2644"/>
        <item x="2763"/>
        <item x="1872"/>
        <item x="1924"/>
        <item x="1915"/>
        <item x="2616"/>
        <item x="1783"/>
        <item x="2880"/>
        <item x="1003"/>
        <item x="2731"/>
        <item x="115"/>
        <item x="1932"/>
        <item x="2981"/>
        <item x="865"/>
        <item x="1446"/>
        <item x="2843"/>
        <item x="2826"/>
        <item x="582"/>
        <item x="937"/>
        <item x="645"/>
        <item x="2851"/>
        <item x="414"/>
        <item x="65"/>
        <item x="2419"/>
        <item x="1103"/>
        <item x="1228"/>
        <item x="2912"/>
        <item x="881"/>
        <item x="391"/>
        <item x="831"/>
        <item x="1393"/>
        <item x="2938"/>
        <item x="1083"/>
        <item x="2741"/>
        <item x="1276"/>
        <item x="885"/>
        <item x="2041"/>
        <item x="255"/>
        <item x="2228"/>
        <item x="2427"/>
        <item x="2476"/>
        <item x="2022"/>
        <item x="834"/>
        <item x="1694"/>
        <item x="1018"/>
        <item x="2467"/>
        <item x="2633"/>
        <item x="202"/>
        <item x="859"/>
        <item x="2429"/>
        <item x="887"/>
        <item x="1199"/>
        <item x="452"/>
        <item x="2628"/>
        <item x="448"/>
        <item x="1684"/>
        <item x="276"/>
        <item x="1112"/>
        <item x="1295"/>
        <item x="1977"/>
        <item x="1247"/>
        <item x="2435"/>
        <item x="2159"/>
        <item x="594"/>
        <item x="2964"/>
        <item x="985"/>
        <item x="1691"/>
        <item x="2923"/>
        <item x="2903"/>
        <item x="1622"/>
        <item x="2822"/>
        <item x="587"/>
        <item x="2583"/>
        <item x="2688"/>
        <item x="1704"/>
        <item x="2123"/>
        <item x="800"/>
        <item x="1619"/>
        <item x="1824"/>
        <item x="2198"/>
        <item x="1685"/>
        <item x="1874"/>
        <item x="450"/>
        <item x="455"/>
        <item x="5"/>
        <item x="94"/>
        <item x="1775"/>
        <item x="1383"/>
        <item x="2819"/>
        <item x="2303"/>
        <item x="1607"/>
        <item x="2195"/>
        <item x="260"/>
        <item x="1617"/>
        <item x="1038"/>
        <item x="2481"/>
        <item x="1193"/>
        <item x="40"/>
        <item x="22"/>
        <item x="947"/>
        <item x="227"/>
        <item x="2000"/>
        <item x="580"/>
        <item x="1746"/>
        <item x="1543"/>
        <item x="1699"/>
        <item x="2647"/>
        <item x="997"/>
        <item x="2649"/>
        <item x="2919"/>
        <item x="838"/>
        <item x="750"/>
        <item x="2513"/>
        <item x="2049"/>
        <item x="2505"/>
        <item x="2972"/>
        <item x="630"/>
        <item x="2287"/>
        <item x="987"/>
        <item x="2468"/>
        <item x="2934"/>
        <item x="1106"/>
        <item x="2162"/>
        <item x="2805"/>
        <item x="225"/>
        <item x="160"/>
        <item x="2335"/>
        <item x="1498"/>
        <item x="2204"/>
        <item x="2462"/>
        <item x="171"/>
        <item x="2209"/>
        <item x="1913"/>
        <item x="1403"/>
        <item x="1304"/>
        <item x="1415"/>
        <item x="633"/>
        <item x="1179"/>
        <item x="2474"/>
        <item x="589"/>
        <item x="2267"/>
        <item x="204"/>
        <item x="2034"/>
        <item x="2084"/>
        <item x="541"/>
        <item x="1404"/>
        <item x="710"/>
        <item x="2131"/>
        <item x="954"/>
        <item x="2707"/>
        <item x="468"/>
        <item x="2441"/>
        <item x="1024"/>
        <item x="505"/>
        <item x="1258"/>
        <item x="685"/>
        <item x="907"/>
        <item x="2689"/>
        <item x="2006"/>
        <item x="2641"/>
        <item x="2282"/>
        <item x="250"/>
        <item x="652"/>
        <item x="2967"/>
        <item x="1635"/>
        <item x="1991"/>
        <item x="213"/>
        <item x="927"/>
        <item x="472"/>
        <item x="1985"/>
        <item x="1079"/>
        <item x="554"/>
        <item x="1149"/>
        <item x="355"/>
        <item x="572"/>
        <item x="248"/>
        <item x="2232"/>
        <item x="2683"/>
        <item x="1671"/>
        <item x="1362"/>
        <item x="1001"/>
        <item x="2057"/>
        <item x="716"/>
        <item x="2496"/>
        <item x="291"/>
        <item x="1388"/>
        <item x="905"/>
        <item x="1410"/>
        <item x="1654"/>
        <item x="2145"/>
        <item x="770"/>
        <item x="2098"/>
        <item x="2316"/>
        <item x="925"/>
        <item x="2567"/>
        <item x="1521"/>
        <item x="2068"/>
        <item x="1534"/>
        <item x="1767"/>
        <item x="2680"/>
        <item x="2682"/>
        <item x="1171"/>
        <item x="976"/>
        <item x="42"/>
        <item x="1327"/>
        <item x="38"/>
        <item x="2124"/>
        <item x="2896"/>
        <item x="2653"/>
        <item x="1315"/>
        <item x="1753"/>
        <item x="2621"/>
        <item x="1973"/>
        <item x="941"/>
        <item x="568"/>
        <item x="898"/>
        <item x="753"/>
        <item x="112"/>
        <item x="2958"/>
        <item x="1560"/>
        <item x="583"/>
        <item x="2955"/>
        <item x="1178"/>
        <item x="474"/>
        <item x="1101"/>
        <item x="1132"/>
        <item x="573"/>
        <item x="1515"/>
        <item x="1100"/>
        <item x="2416"/>
        <item x="1158"/>
        <item x="2521"/>
        <item x="49"/>
        <item x="2299"/>
        <item x="783"/>
        <item x="2512"/>
        <item x="1903"/>
        <item x="782"/>
        <item x="2150"/>
        <item x="509"/>
        <item x="901"/>
        <item x="2056"/>
        <item x="2066"/>
        <item x="205"/>
        <item x="666"/>
        <item x="646"/>
        <item x="461"/>
        <item x="1107"/>
        <item x="478"/>
        <item x="2659"/>
        <item x="1646"/>
        <item x="2171"/>
        <item x="784"/>
        <item x="247"/>
        <item x="2577"/>
        <item x="2040"/>
        <item x="1858"/>
        <item x="988"/>
        <item x="875"/>
        <item x="2669"/>
        <item x="1007"/>
        <item x="108"/>
        <item x="1392"/>
        <item x="673"/>
        <item x="1516"/>
        <item x="2813"/>
        <item x="2990"/>
        <item x="1672"/>
        <item x="1156"/>
        <item x="1372"/>
        <item x="1365"/>
        <item x="2099"/>
        <item x="2891"/>
        <item x="637"/>
        <item x="1507"/>
        <item x="168"/>
        <item x="1217"/>
        <item x="1963"/>
        <item x="2875"/>
        <item x="746"/>
        <item x="974"/>
        <item x="2992"/>
        <item x="1248"/>
        <item x="1899"/>
        <item x="2180"/>
        <item x="1944"/>
        <item x="2499"/>
        <item x="614"/>
        <item x="957"/>
        <item x="325"/>
        <item x="164"/>
        <item x="1645"/>
        <item x="257"/>
        <item x="595"/>
        <item x="909"/>
        <item x="1618"/>
        <item x="1884"/>
        <item x="60"/>
        <item x="993"/>
        <item x="1166"/>
        <item x="2965"/>
        <item x="354"/>
        <item x="1833"/>
        <item x="2042"/>
        <item x="1244"/>
        <item x="2343"/>
        <item x="728"/>
        <item x="1037"/>
        <item x="216"/>
        <item x="2827"/>
        <item x="635"/>
        <item x="377"/>
        <item x="2973"/>
        <item x="1311"/>
        <item x="2265"/>
        <item x="1625"/>
        <item x="299"/>
        <item x="1967"/>
        <item x="2733"/>
        <item x="2882"/>
        <item x="226"/>
        <item x="2143"/>
        <item x="1989"/>
        <item x="1837"/>
        <item x="207"/>
        <item x="1157"/>
        <item x="1305"/>
        <item x="1346"/>
        <item x="755"/>
        <item x="432"/>
        <item x="2529"/>
        <item x="218"/>
        <item x="316"/>
        <item x="1027"/>
        <item x="1167"/>
        <item x="1093"/>
        <item x="963"/>
        <item x="2622"/>
        <item x="1269"/>
        <item x="2420"/>
        <item x="1803"/>
        <item x="1795"/>
        <item x="141"/>
        <item x="1895"/>
        <item x="892"/>
        <item x="608"/>
        <item x="311"/>
        <item x="1495"/>
        <item x="2071"/>
        <item x="2182"/>
        <item x="2422"/>
        <item x="86"/>
        <item x="309"/>
        <item x="211"/>
        <item x="2181"/>
        <item x="155"/>
        <item x="109"/>
        <item x="2908"/>
        <item x="751"/>
        <item x="2520"/>
        <item x="2602"/>
        <item x="156"/>
        <item x="2002"/>
        <item x="1064"/>
        <item x="2285"/>
        <item x="1751"/>
        <item x="1340"/>
        <item x="2560"/>
        <item x="1501"/>
        <item x="774"/>
        <item x="114"/>
        <item x="2854"/>
        <item x="143"/>
        <item x="2281"/>
        <item x="2221"/>
        <item x="856"/>
        <item x="77"/>
        <item x="2324"/>
        <item x="1608"/>
        <item x="2573"/>
        <item x="2188"/>
        <item x="2302"/>
        <item x="2590"/>
        <item x="1469"/>
        <item x="20"/>
        <item x="1707"/>
        <item x="1743"/>
        <item x="2914"/>
        <item x="2915"/>
        <item x="182"/>
        <item x="2398"/>
        <item x="249"/>
        <item x="889"/>
        <item x="2317"/>
        <item x="2381"/>
        <item x="2724"/>
        <item x="1949"/>
        <item x="1071"/>
        <item x="1953"/>
        <item x="959"/>
        <item x="2714"/>
        <item x="1836"/>
        <item x="499"/>
        <item x="385"/>
        <item x="1729"/>
        <item x="488"/>
        <item x="2814"/>
        <item x="2878"/>
        <item x="82"/>
        <item x="696"/>
        <item x="2115"/>
        <item x="2378"/>
        <item x="13"/>
        <item x="1839"/>
        <item x="341"/>
        <item x="154"/>
        <item x="2674"/>
        <item x="1086"/>
        <item x="418"/>
        <item x="139"/>
        <item x="565"/>
        <item x="75"/>
        <item x="2190"/>
        <item x="2256"/>
        <item x="1209"/>
        <item x="946"/>
        <item x="1230"/>
        <item x="1347"/>
        <item x="2156"/>
        <item x="2310"/>
        <item x="191"/>
        <item x="2667"/>
        <item x="2061"/>
        <item x="2931"/>
        <item x="1059"/>
        <item x="1161"/>
        <item x="234"/>
        <item x="864"/>
        <item x="2550"/>
        <item x="1740"/>
        <item x="124"/>
        <item x="1889"/>
        <item x="1820"/>
        <item x="1632"/>
        <item x="2795"/>
        <item x="480"/>
        <item x="2383"/>
        <item x="2173"/>
        <item x="214"/>
        <item x="638"/>
        <item x="1460"/>
        <item x="674"/>
        <item x="181"/>
        <item x="1192"/>
        <item x="586"/>
        <item x="1416"/>
        <item x="92"/>
        <item x="2393"/>
        <item x="2709"/>
        <item x="903"/>
        <item x="1806"/>
        <item x="2901"/>
        <item x="486"/>
        <item x="1225"/>
        <item x="424"/>
        <item x="687"/>
        <item x="2557"/>
        <item x="2536"/>
        <item x="2975"/>
        <item x="768"/>
        <item x="1424"/>
        <item x="1080"/>
        <item x="2339"/>
        <item x="2982"/>
        <item x="1271"/>
        <item x="665"/>
        <item x="2850"/>
        <item x="2540"/>
        <item x="1433"/>
        <item x="2959"/>
        <item x="1423"/>
        <item x="2330"/>
        <item x="142"/>
        <item x="1851"/>
        <item x="1384"/>
        <item x="68"/>
        <item x="2691"/>
        <item x="569"/>
        <item x="396"/>
        <item x="2715"/>
        <item x="798"/>
        <item x="1309"/>
        <item x="2262"/>
        <item x="1421"/>
        <item x="167"/>
        <item x="600"/>
        <item x="1733"/>
        <item x="2597"/>
        <item x="2283"/>
        <item x="1921"/>
        <item x="828"/>
        <item x="238"/>
        <item x="2776"/>
        <item x="2214"/>
        <item x="350"/>
        <item x="2203"/>
        <item x="1822"/>
        <item x="2775"/>
        <item x="80"/>
        <item x="2129"/>
        <item x="346"/>
        <item x="2089"/>
        <item x="2728"/>
        <item x="1878"/>
        <item x="2569"/>
        <item x="2048"/>
        <item x="769"/>
        <item x="12"/>
        <item x="2153"/>
        <item x="1854"/>
        <item x="835"/>
        <item x="671"/>
        <item x="691"/>
        <item x="2902"/>
        <item x="334"/>
        <item x="1739"/>
        <item x="2987"/>
        <item x="246"/>
        <item x="1873"/>
        <item x="2083"/>
        <item x="2761"/>
        <item x="849"/>
        <item x="345"/>
        <item x="1440"/>
        <item x="2558"/>
        <item x="2279"/>
        <item x="1250"/>
        <item x="1389"/>
        <item x="374"/>
        <item x="1033"/>
        <item x="439"/>
        <item x="2475"/>
        <item x="1"/>
        <item x="1134"/>
        <item x="1401"/>
        <item x="275"/>
        <item x="1718"/>
        <item x="1981"/>
        <item x="1549"/>
        <item x="188"/>
        <item x="1088"/>
        <item x="2430"/>
        <item x="2817"/>
        <item x="780"/>
        <item x="1468"/>
        <item x="1145"/>
        <item x="237"/>
        <item x="536"/>
        <item x="324"/>
        <item x="406"/>
        <item x="2389"/>
        <item x="2698"/>
        <item x="149"/>
        <item x="2538"/>
        <item x="1546"/>
        <item x="266"/>
        <item x="597"/>
        <item x="340"/>
        <item x="2984"/>
        <item x="1862"/>
        <item x="2004"/>
        <item x="426"/>
        <item x="616"/>
        <item x="1036"/>
        <item x="604"/>
        <item x="134"/>
        <item x="1708"/>
        <item x="497"/>
        <item x="1726"/>
        <item x="2483"/>
        <item x="2770"/>
        <item x="348"/>
        <item x="3"/>
        <item x="860"/>
        <item x="701"/>
        <item x="1781"/>
        <item x="1124"/>
        <item x="2073"/>
        <item x="2480"/>
        <item x="1439"/>
        <item x="2306"/>
        <item x="2591"/>
        <item x="2355"/>
        <item x="2581"/>
        <item x="2978"/>
        <item x="1641"/>
        <item x="274"/>
        <item x="2743"/>
        <item x="2936"/>
        <item x="1183"/>
        <item x="2415"/>
        <item x="215"/>
        <item x="2720"/>
        <item x="2885"/>
        <item x="756"/>
        <item x="1366"/>
        <item x="186"/>
        <item x="2614"/>
        <item x="152"/>
        <item x="1765"/>
        <item x="1466"/>
        <item x="1082"/>
        <item x="306"/>
        <item x="313"/>
        <item x="1766"/>
        <item x="1811"/>
        <item x="1674"/>
        <item x="1584"/>
        <item x="1234"/>
        <item x="695"/>
        <item x="2511"/>
        <item x="1232"/>
        <item x="1553"/>
        <item x="2556"/>
        <item x="1353"/>
        <item x="2961"/>
        <item x="763"/>
        <item x="2239"/>
        <item x="1576"/>
        <item x="235"/>
        <item x="1155"/>
        <item x="107"/>
        <item x="1062"/>
        <item x="654"/>
        <item x="2446"/>
        <item x="2021"/>
        <item x="269"/>
        <item x="2821"/>
        <item x="412"/>
        <item x="242"/>
        <item x="272"/>
        <item x="1850"/>
        <item x="1451"/>
        <item x="1118"/>
        <item x="1523"/>
        <item x="1497"/>
        <item x="1812"/>
        <item x="692"/>
        <item x="1715"/>
        <item x="1657"/>
        <item x="320"/>
        <item x="121"/>
        <item x="2566"/>
        <item x="854"/>
        <item x="749"/>
        <item x="1675"/>
        <item x="2863"/>
        <item x="2296"/>
        <item x="2594"/>
        <item x="2097"/>
        <item x="1630"/>
        <item x="2465"/>
        <item x="1886"/>
        <item x="1575"/>
        <item x="2192"/>
        <item x="1579"/>
        <item x="1266"/>
        <item x="2963"/>
        <item x="89"/>
        <item x="961"/>
        <item x="2266"/>
        <item x="1898"/>
        <item x="776"/>
        <item x="1430"/>
        <item x="10"/>
        <item x="847"/>
        <item x="33"/>
        <item x="2838"/>
        <item x="90"/>
        <item x="1544"/>
        <item x="267"/>
        <item x="1890"/>
        <item x="463"/>
        <item x="259"/>
        <item x="359"/>
        <item x="1017"/>
        <item x="1431"/>
        <item x="483"/>
        <item x="481"/>
        <item x="2047"/>
        <item x="2562"/>
        <item x="2494"/>
        <item x="1176"/>
        <item x="2888"/>
        <item x="934"/>
        <item x="1796"/>
        <item x="1482"/>
        <item x="1629"/>
        <item x="1488"/>
        <item x="2106"/>
        <item x="702"/>
        <item x="148"/>
        <item x="312"/>
        <item x="2495"/>
        <item x="2782"/>
        <item x="2522"/>
        <item x="1752"/>
        <item x="799"/>
        <item x="882"/>
        <item x="2781"/>
        <item x="1078"/>
        <item x="2726"/>
        <item x="715"/>
        <item x="724"/>
        <item x="698"/>
        <item x="2785"/>
        <item x="184"/>
        <item x="2338"/>
        <item x="804"/>
        <item x="944"/>
        <item x="2839"/>
        <item x="2160"/>
        <item x="760"/>
        <item x="158"/>
        <item x="729"/>
        <item x="2887"/>
        <item x="1489"/>
        <item x="48"/>
        <item x="890"/>
        <item x="1814"/>
        <item x="476"/>
        <item x="2960"/>
        <item x="1150"/>
        <item x="1965"/>
        <item x="2554"/>
        <item x="2996"/>
        <item x="229"/>
        <item x="1095"/>
        <item x="1855"/>
        <item x="2135"/>
        <item x="1950"/>
        <item x="2139"/>
        <item x="365"/>
        <item x="43"/>
        <item x="2876"/>
        <item x="1885"/>
        <item x="919"/>
        <item x="2662"/>
        <item x="1104"/>
        <item x="730"/>
        <item x="2779"/>
        <item x="1058"/>
        <item x="2284"/>
        <item x="923"/>
        <item x="1894"/>
        <item x="1053"/>
        <item x="1130"/>
        <item x="2535"/>
        <item x="437"/>
        <item x="502"/>
        <item x="37"/>
        <item x="28"/>
        <item x="2956"/>
        <item x="1848"/>
        <item x="1556"/>
        <item x="2165"/>
        <item x="2155"/>
        <item x="1940"/>
        <item x="679"/>
        <item x="221"/>
        <item x="2504"/>
        <item x="2968"/>
        <item x="2895"/>
        <item x="1060"/>
        <item x="2235"/>
        <item x="1728"/>
        <item x="2831"/>
        <item x="1187"/>
        <item x="1390"/>
        <item x="2574"/>
        <item x="700"/>
        <item x="63"/>
        <item x="778"/>
        <item x="1375"/>
        <item x="2660"/>
        <item x="308"/>
        <item x="146"/>
        <item x="516"/>
        <item x="1450"/>
        <item x="945"/>
        <item x="71"/>
        <item x="1285"/>
        <item x="1979"/>
        <item x="45"/>
        <item x="1226"/>
        <item x="317"/>
        <item x="2868"/>
        <item x="2278"/>
        <item x="2308"/>
        <item x="252"/>
        <item x="196"/>
        <item x="1441"/>
        <item x="189"/>
        <item x="367"/>
        <item x="2421"/>
        <item x="2607"/>
        <item x="1129"/>
        <item x="2350"/>
        <item x="1692"/>
        <item x="1002"/>
        <item x="2309"/>
        <item x="1959"/>
        <item x="2060"/>
        <item x="233"/>
        <item x="1402"/>
        <item x="1133"/>
        <item x="2485"/>
        <item x="282"/>
        <item x="2356"/>
        <item x="1418"/>
        <item x="273"/>
        <item x="650"/>
        <item x="1583"/>
        <item x="173"/>
        <item x="708"/>
        <item x="1139"/>
        <item x="2812"/>
        <item x="2167"/>
        <item x="647"/>
        <item x="995"/>
        <item x="1449"/>
        <item x="1804"/>
        <item x="137"/>
        <item x="2337"/>
        <item x="2999"/>
        <item x="34"/>
        <item x="1585"/>
        <item x="2852"/>
        <item x="1988"/>
        <item x="606"/>
        <item x="1813"/>
        <item x="2542"/>
        <item x="841"/>
        <item x="1255"/>
        <item x="271"/>
        <item x="1846"/>
        <item x="323"/>
        <item x="1414"/>
        <item x="1126"/>
        <item x="1438"/>
        <item x="787"/>
        <item x="1663"/>
        <item x="2384"/>
        <item x="1369"/>
        <item x="1548"/>
        <item x="2787"/>
        <item x="2219"/>
        <item x="278"/>
        <item x="814"/>
        <item x="2773"/>
        <item x="999"/>
        <item x="832"/>
        <item x="1601"/>
        <item x="2613"/>
        <item x="2331"/>
        <item x="913"/>
        <item x="2514"/>
        <item x="1738"/>
        <item x="521"/>
        <item x="2258"/>
        <item x="2539"/>
        <item x="1551"/>
        <item x="1452"/>
        <item x="1827"/>
        <item x="2172"/>
        <item x="1798"/>
        <item x="2884"/>
        <item x="808"/>
        <item x="705"/>
        <item x="389"/>
        <item x="1063"/>
        <item x="741"/>
        <item x="624"/>
        <item x="2985"/>
        <item x="1286"/>
        <item x="1831"/>
        <item x="2242"/>
        <item x="2910"/>
        <item x="2696"/>
        <item x="1302"/>
        <item x="2708"/>
        <item x="1595"/>
        <item x="1251"/>
        <item x="2980"/>
        <item x="2988"/>
        <item x="1035"/>
        <item x="123"/>
        <item x="1357"/>
        <item x="2879"/>
        <item x="1319"/>
        <item x="596"/>
        <item x="1863"/>
        <item x="1386"/>
        <item x="84"/>
        <item x="2349"/>
        <item x="87"/>
        <item x="951"/>
        <item x="2598"/>
        <item x="2545"/>
        <item x="492"/>
        <item x="2617"/>
        <item x="948"/>
        <item x="2163"/>
        <item x="421"/>
        <item x="1272"/>
        <item x="286"/>
        <item x="2044"/>
        <item x="1120"/>
        <item x="1513"/>
        <item x="2655"/>
        <item x="2553"/>
        <item x="1911"/>
        <item x="1476"/>
        <item x="1368"/>
        <item x="2086"/>
        <item x="559"/>
        <item x="2132"/>
        <item x="380"/>
        <item x="579"/>
        <item x="981"/>
        <item x="868"/>
        <item x="2877"/>
        <item x="590"/>
        <item x="1087"/>
        <item x="625"/>
        <item x="1159"/>
        <item x="2276"/>
        <item x="2082"/>
        <item x="539"/>
        <item x="1815"/>
        <item x="2745"/>
        <item x="870"/>
        <item x="1791"/>
        <item x="1867"/>
        <item x="844"/>
        <item x="576"/>
        <item x="1144"/>
        <item x="2402"/>
        <item x="292"/>
        <item x="563"/>
        <item x="244"/>
        <item x="76"/>
        <item x="2194"/>
        <item x="853"/>
        <item x="228"/>
        <item x="2010"/>
        <item x="1934"/>
        <item x="2243"/>
        <item x="2122"/>
        <item x="2533"/>
        <item x="241"/>
        <item x="287"/>
        <item x="467"/>
        <item x="2907"/>
        <item x="110"/>
        <item x="1434"/>
        <item x="2943"/>
        <item x="361"/>
        <item x="872"/>
        <item x="185"/>
        <item x="761"/>
        <item x="2121"/>
        <item x="727"/>
        <item x="986"/>
        <item x="2989"/>
        <item x="122"/>
        <item x="938"/>
        <item x="2502"/>
        <item x="2016"/>
        <item x="1789"/>
        <item x="966"/>
        <item x="1367"/>
        <item x="419"/>
        <item x="1734"/>
        <item x="321"/>
        <item x="1510"/>
        <item x="1690"/>
        <item x="584"/>
        <item x="2036"/>
        <item x="52"/>
        <item x="980"/>
        <item x="2344"/>
        <item x="2380"/>
        <item x="1164"/>
        <item x="2671"/>
        <item x="2247"/>
        <item x="1580"/>
        <item x="2600"/>
        <item x="288"/>
        <item x="2886"/>
        <item x="1599"/>
        <item x="2595"/>
        <item x="1377"/>
        <item x="1296"/>
        <item x="2370"/>
        <item x="1274"/>
        <item x="2676"/>
        <item x="2606"/>
        <item x="2612"/>
        <item x="434"/>
        <item x="1744"/>
        <item x="2549"/>
        <item x="386"/>
        <item x="2599"/>
        <item x="2072"/>
        <item x="2075"/>
        <item x="1986"/>
        <item x="2179"/>
        <item x="581"/>
        <item x="1992"/>
        <item x="917"/>
        <item x="2497"/>
        <item x="2663"/>
        <item x="2808"/>
        <item x="2491"/>
        <item x="914"/>
        <item x="2788"/>
        <item x="2125"/>
        <item x="978"/>
        <item x="2196"/>
        <item x="2054"/>
        <item x="2460"/>
        <item x="571"/>
        <item x="2140"/>
        <item x="1444"/>
        <item x="2038"/>
        <item x="2059"/>
        <item x="1673"/>
        <item x="408"/>
        <item x="1706"/>
        <item x="1933"/>
        <item x="657"/>
        <item x="2681"/>
        <item x="1061"/>
        <item x="1771"/>
        <item x="1587"/>
        <item x="2291"/>
        <item x="2935"/>
        <item x="1945"/>
        <item x="742"/>
        <item x="31"/>
        <item x="482"/>
        <item x="904"/>
        <item x="163"/>
        <item x="2412"/>
        <item x="29"/>
        <item x="1114"/>
        <item x="59"/>
        <item x="2588"/>
        <item x="1901"/>
        <item x="55"/>
        <item x="2200"/>
        <item x="456"/>
        <item x="1022"/>
        <item x="540"/>
        <item x="1925"/>
        <item x="531"/>
        <item x="1761"/>
        <item x="1832"/>
        <item x="1742"/>
        <item x="223"/>
        <item x="1650"/>
        <item x="1946"/>
        <item x="2559"/>
        <item x="2357"/>
        <item x="2301"/>
        <item x="688"/>
        <item x="2811"/>
        <item x="2014"/>
        <item x="329"/>
        <item x="574"/>
        <item x="1578"/>
        <item x="2883"/>
        <item x="670"/>
        <item x="2774"/>
        <item x="1011"/>
        <item x="2846"/>
        <item x="1591"/>
        <item x="2341"/>
        <item x="908"/>
        <item x="1840"/>
        <item x="2313"/>
        <item x="1081"/>
        <item x="2503"/>
        <item x="2176"/>
        <item x="504"/>
        <item x="1443"/>
        <item x="1454"/>
        <item x="2470"/>
        <item x="1805"/>
        <item x="2750"/>
        <item x="2758"/>
        <item x="1147"/>
        <item x="562"/>
        <item x="1975"/>
        <item x="2950"/>
        <item x="649"/>
        <item x="1802"/>
        <item x="1163"/>
        <item x="1395"/>
        <item x="2971"/>
        <item x="721"/>
        <item x="1857"/>
        <item x="368"/>
        <item x="297"/>
        <item x="2437"/>
        <item x="2548"/>
        <item x="1301"/>
        <item x="183"/>
        <item x="2361"/>
        <item x="2627"/>
        <item x="2321"/>
        <item x="1010"/>
        <item x="675"/>
        <item x="1849"/>
        <item x="1711"/>
        <item x="639"/>
        <item x="2723"/>
        <item x="2578"/>
        <item x="2045"/>
        <item x="792"/>
        <item x="2067"/>
        <item x="888"/>
        <item x="884"/>
        <item x="1782"/>
        <item x="686"/>
        <item x="1413"/>
        <item x="1952"/>
        <item x="2706"/>
        <item x="2138"/>
        <item x="1072"/>
        <item x="1308"/>
        <item x="1535"/>
        <item x="748"/>
        <item x="2146"/>
        <item x="1328"/>
        <item x="2712"/>
        <item x="2342"/>
        <item x="1223"/>
        <item x="161"/>
        <item x="2250"/>
        <item x="1609"/>
        <item x="2128"/>
        <item x="2216"/>
        <item x="1014"/>
        <item x="2390"/>
        <item x="1481"/>
        <item x="962"/>
        <item x="1602"/>
        <item x="2948"/>
        <item x="522"/>
        <item x="2394"/>
        <item x="2904"/>
        <item x="2544"/>
        <item x="2519"/>
        <item x="2114"/>
        <item x="2725"/>
        <item x="1687"/>
        <item x="489"/>
        <item x="1364"/>
        <item x="1821"/>
        <item x="928"/>
        <item x="1335"/>
        <item x="1028"/>
        <item x="791"/>
        <item x="556"/>
        <item x="2855"/>
        <item x="1380"/>
        <item x="343"/>
        <item x="2418"/>
        <item x="30"/>
        <item x="1267"/>
        <item x="2686"/>
        <item x="2386"/>
        <item x="714"/>
        <item x="2"/>
        <item x="1920"/>
        <item x="2735"/>
        <item x="548"/>
        <item x="2747"/>
        <item x="165"/>
        <item x="451"/>
        <item x="2251"/>
        <item x="2105"/>
        <item x="1487"/>
        <item x="1787"/>
        <item x="1361"/>
        <item x="315"/>
        <item x="2184"/>
        <item x="1957"/>
        <item x="1993"/>
        <item x="752"/>
        <item x="1762"/>
        <item x="390"/>
        <item x="2786"/>
        <item x="958"/>
        <item x="2525"/>
        <item x="1569"/>
        <item x="1151"/>
        <item x="2585"/>
        <item x="2011"/>
        <item x="2906"/>
        <item x="1279"/>
        <item x="347"/>
        <item x="2711"/>
        <item x="2632"/>
        <item x="1784"/>
        <item x="2894"/>
        <item x="2530"/>
        <item x="515"/>
        <item x="2397"/>
        <item x="2646"/>
        <item x="1137"/>
        <item x="537"/>
        <item x="1040"/>
        <item x="2489"/>
        <item x="2107"/>
        <item x="767"/>
        <item x="1712"/>
        <item x="523"/>
        <item x="162"/>
        <item x="1069"/>
        <item x="668"/>
        <item x="1621"/>
        <item x="1350"/>
        <item x="1710"/>
        <item x="73"/>
        <item x="949"/>
        <item x="2453"/>
        <item x="591"/>
        <item x="1322"/>
        <item x="1700"/>
        <item x="9"/>
        <item x="2640"/>
        <item x="2450"/>
        <item x="1631"/>
        <item x="965"/>
        <item x="116"/>
        <item x="1667"/>
        <item x="2052"/>
        <item x="303"/>
        <item x="788"/>
        <item x="1212"/>
        <item x="83"/>
        <item x="416"/>
        <item x="2791"/>
        <item x="501"/>
        <item x="1676"/>
        <item x="1360"/>
        <item x="1526"/>
        <item x="1586"/>
        <item x="1799"/>
        <item x="2862"/>
        <item x="1636"/>
        <item x="2830"/>
        <item x="2953"/>
        <item x="2236"/>
        <item x="2765"/>
        <item x="2433"/>
        <item x="1537"/>
        <item x="382"/>
        <item x="1054"/>
        <item x="1883"/>
        <item x="2001"/>
        <item x="1303"/>
        <item x="950"/>
        <item x="2751"/>
        <item x="2629"/>
        <item x="1477"/>
        <item x="762"/>
        <item x="1284"/>
        <item x="387"/>
        <item x="564"/>
        <item x="610"/>
        <item x="120"/>
        <item x="105"/>
        <item x="1181"/>
        <item x="2364"/>
        <item x="1417"/>
        <item x="781"/>
        <item x="1964"/>
        <item x="119"/>
        <item x="1620"/>
        <item x="220"/>
        <item x="1287"/>
        <item x="127"/>
        <item x="2109"/>
        <item x="2144"/>
        <item x="2829"/>
        <item x="2300"/>
        <item x="2703"/>
        <item x="503"/>
        <item x="126"/>
        <item x="626"/>
        <item x="619"/>
        <item x="1582"/>
        <item x="861"/>
        <item x="1588"/>
        <item x="256"/>
        <item x="510"/>
        <item x="2319"/>
        <item x="802"/>
        <item x="851"/>
        <item x="2459"/>
        <item x="1525"/>
        <item x="404"/>
        <item x="2748"/>
        <item x="1528"/>
        <item x="2206"/>
        <item x="2212"/>
        <item x="2201"/>
        <item x="2684"/>
        <item x="2030"/>
        <item x="726"/>
        <item x="2274"/>
        <item x="1085"/>
        <item x="1637"/>
        <item x="1260"/>
        <item x="2506"/>
        <item x="2643"/>
        <item x="1300"/>
        <item x="1730"/>
        <item x="470"/>
        <item x="1520"/>
        <item x="2120"/>
        <item x="2191"/>
        <item x="1004"/>
        <item x="262"/>
        <item x="1678"/>
        <item x="2670"/>
        <item x="2169"/>
        <item x="159"/>
        <item x="2225"/>
        <item x="2351"/>
        <item x="989"/>
        <item x="2108"/>
        <item x="1355"/>
        <item x="2035"/>
        <item x="912"/>
        <item x="1382"/>
        <item x="953"/>
        <item x="1936"/>
        <item x="1464"/>
        <item x="475"/>
        <item x="803"/>
        <item x="2110"/>
        <item x="2593"/>
        <item x="2064"/>
        <item x="2642"/>
        <item x="1236"/>
        <item x="1486"/>
        <item x="430"/>
        <item x="1572"/>
        <item x="1732"/>
        <item x="1756"/>
        <item x="817"/>
        <item x="1662"/>
        <item x="443"/>
        <item x="534"/>
        <item x="279"/>
        <item x="713"/>
        <item x="2634"/>
        <item x="704"/>
        <item x="1194"/>
        <item x="2738"/>
        <item x="397"/>
        <item x="2113"/>
        <item x="857"/>
        <item x="2466"/>
        <item x="642"/>
        <item x="1600"/>
        <item x="1270"/>
        <item x="899"/>
        <item x="2373"/>
        <item x="2149"/>
        <item x="852"/>
        <item x="557"/>
        <item x="1554"/>
        <item x="118"/>
        <item x="1182"/>
        <item x="1462"/>
        <item x="2423"/>
        <item x="2407"/>
        <item x="725"/>
        <item x="843"/>
        <item x="734"/>
        <item x="150"/>
        <item x="1237"/>
        <item x="1077"/>
        <item x="745"/>
        <item x="2333"/>
        <item x="2455"/>
        <item x="924"/>
        <item x="1310"/>
        <item x="2555"/>
        <item x="2359"/>
        <item x="490"/>
        <item x="615"/>
        <item x="2408"/>
        <item x="940"/>
        <item x="1407"/>
        <item x="1184"/>
        <item x="1759"/>
        <item x="1135"/>
        <item x="96"/>
        <item x="1666"/>
        <item x="1790"/>
        <item x="2431"/>
        <item x="1465"/>
        <item x="1779"/>
        <item x="176"/>
        <item x="178"/>
        <item x="2757"/>
        <item x="1045"/>
        <item x="1931"/>
        <item x="1391"/>
        <item x="1509"/>
        <item x="2609"/>
        <item x="1013"/>
        <item x="1716"/>
        <item x="605"/>
        <item x="1253"/>
        <item x="2507"/>
        <item x="1541"/>
        <item x="1432"/>
        <item x="1299"/>
        <item x="2620"/>
        <item x="2151"/>
        <item x="1169"/>
        <item x="479"/>
        <item x="2166"/>
        <item x="1665"/>
        <item x="1459"/>
        <item x="2561"/>
        <item x="1094"/>
        <item x="2596"/>
        <item x="900"/>
        <item x="1517"/>
        <item x="2861"/>
        <item x="147"/>
        <item x="1971"/>
        <item x="1566"/>
        <item x="2630"/>
        <item x="1397"/>
        <item x="1531"/>
        <item x="1919"/>
        <item x="1044"/>
        <item x="1923"/>
        <item x="2079"/>
        <item x="1529"/>
        <item x="1453"/>
        <item x="405"/>
        <item x="193"/>
        <item x="1976"/>
        <item x="718"/>
        <item x="2858"/>
        <item x="1320"/>
        <item x="2346"/>
        <item x="2226"/>
        <item x="2951"/>
        <item x="1218"/>
        <item x="1780"/>
        <item x="599"/>
        <item x="2295"/>
        <item x="8"/>
        <item x="1405"/>
        <item x="261"/>
        <item x="88"/>
        <item x="140"/>
        <item x="2187"/>
        <item x="1852"/>
        <item x="2053"/>
        <item x="863"/>
        <item x="46"/>
        <item x="2093"/>
        <item x="2230"/>
        <item x="1374"/>
        <item x="338"/>
        <item x="2458"/>
        <item x="2835"/>
        <item x="2405"/>
        <item x="2997"/>
        <item x="628"/>
        <item x="930"/>
        <item x="1770"/>
        <item x="2090"/>
        <item x="50"/>
        <item x="2464"/>
        <item x="2261"/>
        <item x="209"/>
        <item x="1373"/>
        <item x="18"/>
        <item x="1113"/>
        <item x="969"/>
        <item x="79"/>
        <item x="2889"/>
        <item x="570"/>
        <item x="1023"/>
        <item x="177"/>
        <item x="547"/>
        <item x="1533"/>
        <item x="2473"/>
        <item x="2486"/>
        <item x="1275"/>
        <item x="39"/>
        <item x="661"/>
        <item x="1494"/>
        <item x="967"/>
        <item x="446"/>
        <item x="2080"/>
        <item x="823"/>
        <item x="1809"/>
        <item x="929"/>
        <item x="1008"/>
        <item x="1280"/>
        <item x="732"/>
        <item x="2379"/>
        <item x="356"/>
        <item x="2024"/>
        <item x="1458"/>
        <item x="2025"/>
        <item x="1616"/>
        <item x="2189"/>
        <item x="1075"/>
        <item x="217"/>
        <item x="632"/>
        <item x="990"/>
        <item x="1644"/>
        <item x="16"/>
        <item x="21"/>
        <item x="129"/>
        <item x="617"/>
        <item x="1547"/>
        <item x="2177"/>
        <item x="2796"/>
        <item x="2568"/>
        <item x="1853"/>
        <item x="2118"/>
        <item x="1668"/>
        <item x="2515"/>
        <item x="1713"/>
        <item x="1264"/>
        <item x="1568"/>
        <item x="2619"/>
        <item x="2065"/>
        <item x="258"/>
        <item x="1969"/>
        <item x="777"/>
        <item x="2456"/>
        <item x="2426"/>
        <item x="2668"/>
        <item x="1215"/>
        <item x="342"/>
        <item x="364"/>
        <item x="1016"/>
        <item x="2802"/>
        <item x="2436"/>
        <item x="736"/>
        <item x="1207"/>
        <item x="2213"/>
        <item x="2737"/>
        <item x="1522"/>
        <item x="2983"/>
        <item x="1292"/>
        <item x="836"/>
        <item x="2849"/>
        <item x="62"/>
        <item x="2425"/>
        <item x="513"/>
        <item x="693"/>
        <item x="2865"/>
        <item x="1816"/>
        <item x="1697"/>
        <item x="918"/>
        <item x="2510"/>
        <item x="1794"/>
        <item x="1070"/>
        <item x="2702"/>
        <item x="2005"/>
        <item x="658"/>
        <item x="765"/>
        <item x="1829"/>
        <item x="195"/>
        <item x="2604"/>
        <item x="2329"/>
        <item x="942"/>
        <item x="1406"/>
        <item x="879"/>
        <item x="56"/>
        <item x="1278"/>
        <item x="2031"/>
        <item x="2028"/>
        <item x="363"/>
        <item x="373"/>
        <item x="2966"/>
        <item x="395"/>
        <item x="1748"/>
        <item x="660"/>
        <item x="867"/>
        <item x="136"/>
        <item x="1030"/>
        <item x="2626"/>
        <item x="1864"/>
        <item x="1435"/>
        <item x="1612"/>
        <item x="2694"/>
        <item x="219"/>
        <item x="2353"/>
        <item x="2130"/>
        <item x="2994"/>
        <item x="1843"/>
        <item x="743"/>
        <item x="1067"/>
        <item x="2898"/>
        <item x="1170"/>
        <item x="850"/>
        <item x="1242"/>
        <item x="1652"/>
        <item x="629"/>
        <item x="1810"/>
        <item x="621"/>
        <item x="366"/>
        <item x="634"/>
        <item x="682"/>
        <item x="2892"/>
        <item x="506"/>
        <item x="2094"/>
        <item x="1105"/>
        <item x="1290"/>
        <item x="2732"/>
        <item x="102"/>
        <item x="2119"/>
        <item x="1980"/>
        <item x="491"/>
        <item x="1331"/>
        <item x="2404"/>
        <item x="327"/>
        <item x="1558"/>
        <item x="689"/>
        <item x="1769"/>
        <item x="2605"/>
        <item x="2245"/>
        <item x="2152"/>
        <item x="206"/>
        <item x="524"/>
        <item x="1961"/>
        <item x="1110"/>
        <item x="1175"/>
        <item x="2853"/>
        <item x="678"/>
        <item x="1735"/>
        <item x="2252"/>
        <item x="375"/>
        <item x="1312"/>
        <item x="983"/>
        <item x="653"/>
        <item x="477"/>
        <item x="2784"/>
        <item x="111"/>
        <item x="747"/>
        <item x="1121"/>
        <item x="1162"/>
        <item x="566"/>
        <item x="1626"/>
        <item x="1032"/>
        <item x="1880"/>
        <item x="1888"/>
        <item x="2866"/>
        <item x="332"/>
        <item x="1219"/>
        <item x="1703"/>
        <item x="2679"/>
        <item x="2231"/>
        <item x="1239"/>
        <item x="2385"/>
        <item x="1772"/>
        <item x="667"/>
        <item x="1792"/>
        <item x="518"/>
        <item x="1351"/>
        <item x="1788"/>
        <item x="936"/>
        <item x="2117"/>
        <item x="1571"/>
        <item x="1736"/>
        <item x="1029"/>
        <item x="1956"/>
        <item x="1649"/>
        <item x="1249"/>
        <item x="2792"/>
        <item x="2008"/>
        <item x="2976"/>
        <item x="376"/>
        <item x="511"/>
        <item x="2873"/>
        <item x="801"/>
        <item x="2413"/>
        <item x="1190"/>
        <item x="1593"/>
        <item x="1966"/>
        <item x="1412"/>
        <item x="1987"/>
        <item x="2818"/>
        <item x="837"/>
        <item x="1073"/>
        <item x="719"/>
        <item x="1448"/>
        <item x="2328"/>
        <item x="2864"/>
        <item x="2897"/>
        <item x="1231"/>
        <item x="1354"/>
        <item x="775"/>
        <item x="553"/>
        <item x="842"/>
        <item x="2586"/>
        <item x="2665"/>
        <item x="1564"/>
        <item x="245"/>
        <item x="1615"/>
        <item x="1628"/>
        <item x="1589"/>
        <item x="1341"/>
        <item x="2051"/>
        <item x="2272"/>
        <item x="797"/>
        <item x="874"/>
        <item x="640"/>
        <item x="23"/>
        <item x="384"/>
        <item x="1034"/>
        <item x="613"/>
        <item x="2974"/>
        <item x="2692"/>
        <item x="807"/>
        <item x="2137"/>
        <item x="2395"/>
        <item x="772"/>
        <item x="1483"/>
        <item x="2382"/>
        <item x="2039"/>
        <item x="1096"/>
        <item x="1090"/>
        <item x="1479"/>
        <item x="1859"/>
        <item x="1830"/>
        <item x="2315"/>
        <item x="157"/>
        <item x="1508"/>
        <item x="1647"/>
        <item x="1500"/>
        <item x="1455"/>
        <item x="1763"/>
        <item x="2280"/>
        <item x="1323"/>
        <item x="1990"/>
        <item x="2809"/>
        <item x="699"/>
        <item x="473"/>
        <item x="1577"/>
        <item x="2916"/>
        <item x="32"/>
        <item x="956"/>
        <item x="2580"/>
        <item x="1892"/>
        <item x="826"/>
        <item x="401"/>
        <item x="2479"/>
        <item x="821"/>
        <item x="1887"/>
        <item x="1055"/>
        <item x="2991"/>
        <item x="975"/>
        <item x="2836"/>
        <item x="1947"/>
        <item x="1870"/>
        <item x="1015"/>
        <item x="1978"/>
        <item x="2457"/>
        <item x="2517"/>
        <item x="794"/>
        <item x="1624"/>
        <item x="4"/>
        <item x="1325"/>
        <item x="441"/>
        <item x="352"/>
        <item x="822"/>
        <item x="2767"/>
        <item x="1229"/>
        <item x="1142"/>
        <item x="1777"/>
        <item x="19"/>
        <item x="500"/>
        <item x="2636"/>
        <item x="1202"/>
        <item x="2749"/>
        <item x="816"/>
        <item x="827"/>
        <item x="1754"/>
        <item x="1041"/>
        <item x="1660"/>
        <item x="1047"/>
        <item x="97"/>
        <item x="2210"/>
        <item x="2488"/>
        <item x="1048"/>
        <item x="1339"/>
        <item x="529"/>
        <item x="2699"/>
        <item x="970"/>
        <item x="1261"/>
        <item x="415"/>
        <item x="2721"/>
        <item x="1358"/>
        <item x="519"/>
        <item x="2311"/>
        <item x="592"/>
        <item x="806"/>
        <item x="2223"/>
        <item x="737"/>
        <item x="47"/>
        <item x="1519"/>
        <item x="1378"/>
        <item x="1661"/>
        <item x="2944"/>
        <item x="2178"/>
        <item x="51"/>
        <item x="520"/>
        <item x="2572"/>
        <item x="1943"/>
        <item x="498"/>
        <item x="2700"/>
        <item x="1066"/>
        <item x="683"/>
        <item x="2318"/>
        <item x="1638"/>
        <item x="1074"/>
        <item x="2527"/>
        <item x="1140"/>
        <item x="664"/>
        <item x="2673"/>
        <item x="2076"/>
        <item x="1562"/>
        <item x="1216"/>
        <item x="2777"/>
        <item x="1724"/>
        <item x="636"/>
        <item x="1348"/>
        <item x="1994"/>
        <item x="1677"/>
        <item x="2352"/>
        <item x="1958"/>
        <item x="263"/>
        <item x="1540"/>
        <item x="886"/>
        <item x="2900"/>
        <item x="1262"/>
        <item x="1009"/>
        <item x="2576"/>
        <item x="333"/>
        <item x="1695"/>
        <item x="2856"/>
        <item x="1125"/>
        <item x="939"/>
        <item x="2716"/>
        <item x="2403"/>
        <item x="2142"/>
        <item x="290"/>
        <item x="2942"/>
        <item x="2551"/>
        <item x="2532"/>
        <item x="1387"/>
        <item x="1172"/>
        <item x="1049"/>
        <item x="805"/>
        <item x="192"/>
        <item x="2312"/>
        <item x="2783"/>
        <item x="1409"/>
        <item x="1592"/>
        <item x="855"/>
        <item x="2170"/>
        <item x="1838"/>
        <item x="1447"/>
        <item x="1536"/>
        <item x="1797"/>
        <item x="1445"/>
        <item x="1420"/>
        <item x="465"/>
        <item x="720"/>
        <item x="1491"/>
        <item x="487"/>
        <item x="1221"/>
        <item x="1116"/>
        <item x="392"/>
        <item x="2388"/>
        <item x="26"/>
        <item x="1785"/>
        <item x="2186"/>
        <item x="1185"/>
        <item x="310"/>
        <item x="656"/>
        <item x="1252"/>
        <item x="1385"/>
        <item x="357"/>
        <item x="739"/>
        <item x="1865"/>
        <item x="971"/>
        <item x="1968"/>
        <item x="2007"/>
        <item x="1941"/>
        <item x="493"/>
        <item x="848"/>
        <item x="2070"/>
        <item x="2516"/>
        <item x="2193"/>
        <item x="1463"/>
        <item x="2756"/>
        <item x="1336"/>
        <item x="1138"/>
        <item x="528"/>
        <item x="824"/>
        <item x="2768"/>
        <item x="2078"/>
        <item x="447"/>
        <item x="7"/>
        <item x="535"/>
        <item x="2753"/>
        <item x="2736"/>
        <item x="551"/>
        <item x="527"/>
        <item x="2547"/>
        <item x="2248"/>
        <item x="1408"/>
        <item x="2304"/>
        <item x="194"/>
        <item x="2013"/>
        <item x="1893"/>
        <item x="326"/>
        <item x="2905"/>
        <item x="1680"/>
        <item x="1514"/>
        <item x="265"/>
        <item x="2440"/>
        <item x="1951"/>
        <item x="1505"/>
        <item x="1091"/>
        <item x="2275"/>
        <item x="496"/>
        <item x="758"/>
        <item x="703"/>
        <item x="0"/>
        <item x="2766"/>
        <item x="2087"/>
        <item x="1823"/>
        <item x="549"/>
        <item x="1659"/>
        <item x="2469"/>
        <item x="2625"/>
        <item x="2292"/>
        <item x="1148"/>
        <item x="1656"/>
        <item x="2410"/>
        <item x="117"/>
        <item x="2104"/>
        <item x="1214"/>
        <item x="400"/>
        <item x="281"/>
        <item x="1760"/>
        <item x="1930"/>
        <item x="2207"/>
        <item x="550"/>
        <item x="546"/>
        <item x="394"/>
        <item x="2654"/>
        <item x="2587"/>
        <item x="2969"/>
        <item x="1881"/>
        <item x="422"/>
        <item x="789"/>
        <item x="2867"/>
        <item x="2518"/>
        <item x="144"/>
        <item x="2444"/>
        <item x="1427"/>
        <item x="2101"/>
        <item x="2134"/>
        <item x="2575"/>
        <item x="1050"/>
        <item x="438"/>
        <item x="1997"/>
        <item x="1603"/>
        <item x="1633"/>
        <item x="2434"/>
        <item x="1698"/>
        <item x="1970"/>
        <item x="585"/>
        <item x="1152"/>
        <item x="620"/>
        <item x="2414"/>
        <item x="243"/>
        <item x="1334"/>
        <item x="2055"/>
        <item x="1679"/>
        <item x="2259"/>
        <item x="1741"/>
        <item x="2610"/>
        <item x="104"/>
        <item x="659"/>
        <item x="2027"/>
        <item x="1363"/>
        <item x="1381"/>
        <item x="1998"/>
        <item x="1502"/>
        <item x="413"/>
        <item x="58"/>
        <item x="525"/>
        <item x="711"/>
        <item x="2860"/>
        <item x="1243"/>
        <item x="2979"/>
        <item x="2705"/>
        <item x="2925"/>
        <item x="383"/>
        <item x="1530"/>
        <item x="1719"/>
        <item x="240"/>
        <item x="820"/>
        <item x="2307"/>
        <item x="2917"/>
        <item x="471"/>
        <item x="622"/>
        <item x="1288"/>
        <item x="722"/>
        <item x="1948"/>
        <item x="1717"/>
        <item x="307"/>
        <item x="1917"/>
        <item x="2451"/>
        <item x="1922"/>
        <item x="538"/>
        <item x="1929"/>
        <item x="1758"/>
        <item x="2472"/>
        <item x="180"/>
        <item x="829"/>
        <item x="1905"/>
        <item x="2772"/>
        <item x="1984"/>
        <item x="2810"/>
        <item x="1563"/>
        <item x="388"/>
        <item x="322"/>
        <item x="2326"/>
        <item x="1778"/>
        <item x="1289"/>
        <item x="2940"/>
        <item x="172"/>
        <item x="1165"/>
        <item x="2102"/>
        <item x="1426"/>
        <item x="2017"/>
        <item x="2208"/>
        <item x="1532"/>
        <item x="442"/>
        <item x="454"/>
        <item x="1928"/>
        <item x="2771"/>
        <item x="1400"/>
        <item x="362"/>
        <item x="672"/>
        <item x="507"/>
        <item x="2164"/>
        <item x="1793"/>
        <item x="222"/>
        <item x="2870"/>
        <item x="883"/>
        <item x="2112"/>
        <item x="2293"/>
        <item x="57"/>
        <item x="2289"/>
        <item x="113"/>
        <item x="2710"/>
        <item x="972"/>
        <item x="1955"/>
        <item x="2238"/>
        <item x="979"/>
        <item x="1643"/>
        <item x="812"/>
        <item x="1914"/>
        <item x="1907"/>
        <item x="2220"/>
        <item x="444"/>
        <item x="2202"/>
        <item x="353"/>
        <item x="1539"/>
        <item x="294"/>
        <item x="2957"/>
        <item x="2360"/>
        <item x="103"/>
        <item x="1146"/>
        <item x="1727"/>
        <item x="1333"/>
        <item x="754"/>
        <item x="2871"/>
        <item x="891"/>
        <item x="2546"/>
        <item x="766"/>
        <item x="1828"/>
        <item x="2803"/>
        <item x="2582"/>
        <item x="935"/>
        <item x="911"/>
        <item x="1879"/>
        <item x="335"/>
        <item x="2687"/>
        <item x="641"/>
        <item x="2962"/>
        <item x="1557"/>
        <item x="2563"/>
        <item x="198"/>
        <item x="2842"/>
        <item x="264"/>
        <item x="738"/>
        <item x="1995"/>
        <item x="36"/>
        <item x="1240"/>
        <item x="601"/>
        <item x="1938"/>
        <item x="2244"/>
        <item x="845"/>
        <item x="2952"/>
        <item x="410"/>
        <item x="933"/>
        <item x="2255"/>
        <item x="1102"/>
        <item x="2592"/>
        <item x="1705"/>
        <item x="2508"/>
        <item x="1006"/>
        <item x="381"/>
        <item x="2928"/>
        <item x="877"/>
        <item x="1605"/>
        <item x="378"/>
        <item x="733"/>
        <item x="2288"/>
        <item x="2734"/>
        <item x="996"/>
        <item x="2793"/>
        <item x="920"/>
        <item x="643"/>
        <item x="2377"/>
        <item x="2376"/>
        <item x="1115"/>
        <item x="2277"/>
        <item x="894"/>
        <item x="2509"/>
        <item x="1222"/>
        <item x="2719"/>
        <item x="2874"/>
        <item x="319"/>
        <item x="1180"/>
        <item x="991"/>
        <item x="2650"/>
        <item x="1456"/>
        <item x="1731"/>
        <item x="2183"/>
        <item x="1343"/>
        <item x="169"/>
        <item x="35"/>
        <item x="2799"/>
        <item x="1954"/>
        <item x="2260"/>
        <item x="2661"/>
        <item x="2755"/>
        <item x="2638"/>
        <item x="552"/>
        <item x="1683"/>
        <item x="2543"/>
        <item x="2015"/>
        <item x="2844"/>
        <item x="135"/>
        <item x="1856"/>
        <item x="1689"/>
        <item x="1696"/>
        <item x="466"/>
        <item x="955"/>
        <item x="2233"/>
        <item x="2652"/>
        <item x="1634"/>
        <item x="1210"/>
        <item x="1737"/>
        <item x="2116"/>
        <item x="2675"/>
        <item x="379"/>
        <item x="428"/>
        <item x="2438"/>
        <item x="1238"/>
        <item x="293"/>
        <item x="1437"/>
        <item x="27"/>
        <item x="1559"/>
        <item x="2603"/>
        <item x="423"/>
        <item x="764"/>
        <item x="1996"/>
        <item x="1283"/>
        <item x="669"/>
        <item x="212"/>
        <item x="2840"/>
        <item x="2722"/>
        <item x="304"/>
        <item x="786"/>
        <item x="1480"/>
        <item x="2157"/>
        <item x="2528"/>
        <item x="425"/>
        <item x="846"/>
        <item x="968"/>
        <item x="460"/>
        <item x="2945"/>
        <item x="2859"/>
        <item x="1876"/>
        <item x="560"/>
        <item x="2334"/>
        <item x="2141"/>
        <item x="943"/>
        <item x="2685"/>
        <item x="1111"/>
        <item x="514"/>
        <item x="91"/>
        <item x="2608"/>
        <item x="1056"/>
        <item x="2368"/>
        <item x="2701"/>
        <item x="2790"/>
        <item x="296"/>
        <item x="2136"/>
        <item x="1745"/>
        <item x="2088"/>
        <item x="2618"/>
        <item x="2401"/>
        <item x="2847"/>
        <item x="790"/>
        <item x="2921"/>
        <item x="1025"/>
        <item x="2197"/>
        <item x="95"/>
        <item x="2487"/>
        <item x="1197"/>
        <item x="1344"/>
        <item x="1092"/>
        <item x="1379"/>
        <item x="2524"/>
        <item x="1020"/>
        <item x="773"/>
        <item x="1411"/>
        <item x="1904"/>
        <item x="459"/>
        <item x="1457"/>
        <item x="1800"/>
        <item x="1573"/>
        <item x="2043"/>
        <item x="1191"/>
        <item x="337"/>
        <item x="2924"/>
        <item x="433"/>
        <item x="2424"/>
        <item x="1512"/>
        <item x="1141"/>
        <item x="100"/>
        <item x="358"/>
        <item x="1939"/>
        <item x="2445"/>
        <item x="810"/>
        <item x="1399"/>
        <item x="542"/>
        <item x="1021"/>
        <item x="2215"/>
        <item x="1475"/>
        <item x="1208"/>
        <item x="1722"/>
        <item x="1337"/>
        <item x="1326"/>
        <item x="440"/>
        <item x="813"/>
        <item x="2760"/>
        <item x="2501"/>
        <item x="298"/>
        <item x="2828"/>
        <item x="2111"/>
        <item x="2037"/>
        <item x="469"/>
        <item x="526"/>
        <item x="349"/>
        <item x="1918"/>
        <item x="1682"/>
        <item x="1043"/>
        <item x="1356"/>
        <item x="1524"/>
        <item x="6"/>
        <item x="681"/>
        <item x="2175"/>
        <item x="1653"/>
        <item x="253"/>
        <item x="1177"/>
        <item x="707"/>
        <item x="1908"/>
        <item x="1153"/>
        <item x="1168"/>
        <item x="1542"/>
        <item x="2229"/>
        <item x="1749"/>
        <item x="336"/>
        <item x="2032"/>
        <item x="2029"/>
        <item x="93"/>
        <item x="648"/>
        <item x="1897"/>
        <item x="2271"/>
        <item x="1642"/>
        <item x="2927"/>
        <item x="684"/>
        <item x="818"/>
        <item x="2205"/>
        <item x="1926"/>
        <item x="2218"/>
        <item x="2752"/>
        <item x="2077"/>
        <item x="1201"/>
        <item x="2482"/>
        <item x="1721"/>
        <item x="280"/>
        <item x="236"/>
        <item x="2764"/>
        <item x="1461"/>
        <item x="2933"/>
        <item x="2977"/>
        <item x="14"/>
        <item x="145"/>
        <item x="1117"/>
        <item x="2443"/>
        <item x="740"/>
        <item x="3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3"/>
        <item x="5"/>
        <item x="2"/>
        <item x="6"/>
        <item x="4"/>
        <item x="1"/>
        <item x="0"/>
        <item sd="0"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0"/>
    <field x="9"/>
  </rowFields>
  <rowItems count="16">
    <i>
      <x/>
    </i>
    <i r="1">
      <x v="3"/>
    </i>
    <i>
      <x v="1"/>
    </i>
    <i r="1">
      <x v="5"/>
    </i>
    <i>
      <x v="2"/>
    </i>
    <i r="1">
      <x v="2"/>
    </i>
    <i>
      <x v="3"/>
    </i>
    <i r="1">
      <x v="6"/>
    </i>
    <i>
      <x v="4"/>
    </i>
    <i r="1">
      <x v="4"/>
    </i>
    <i>
      <x v="5"/>
    </i>
    <i r="1">
      <x v="1"/>
    </i>
    <i>
      <x v="6"/>
    </i>
    <i r="1">
      <x/>
    </i>
    <i>
      <x v="7"/>
    </i>
    <i t="grand">
      <x/>
    </i>
  </rowItems>
  <colItems count="1">
    <i/>
  </colItems>
  <dataFields count="1">
    <dataField name="Count of Organization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1F5FF-F85B-4BD2-9275-7D12EC99E98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3:B13" firstHeaderRow="1" firstDataRow="1" firstDataCol="1"/>
  <pivotFields count="21">
    <pivotField dataField="1" showAll="0"/>
    <pivotField axis="axisRow" showAll="0">
      <items count="10">
        <item x="7"/>
        <item x="4"/>
        <item x="6"/>
        <item x="3"/>
        <item x="2"/>
        <item x="0"/>
        <item x="8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multipleItemSelectionAllowed="1" showAll="0"/>
    <pivotField showAll="0"/>
    <pivotField showAll="0"/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rganization" fld="0" subtotal="count" showDataAs="percentOfTotal" baseField="0" baseItem="0" numFmtId="9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783ED-679E-40F5-B3F1-92AD2DB3079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3" firstHeaderRow="1" firstDataRow="1" firstDataCol="1" rowPageCount="1" colPageCount="1"/>
  <pivotFields count="21">
    <pivotField dataField="1" showAll="0"/>
    <pivotField axis="axisRow" showAll="0">
      <items count="10">
        <item x="7"/>
        <item x="4"/>
        <item x="6"/>
        <item x="3"/>
        <item x="2"/>
        <item x="0"/>
        <item x="8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axis="axisPage" multipleItemSelectionAllowed="1" showAll="0">
      <items count="8">
        <item h="1" x="0"/>
        <item x="1"/>
        <item h="1" x="2"/>
        <item h="1" x="3"/>
        <item h="1" x="4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9" hier="-1"/>
  </pageFields>
  <dataFields count="1">
    <dataField name="Count of Organization" fld="0" subtotal="count" showDataAs="percentOfTotal" baseField="0" baseItem="0" numFmtId="9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6A7DA-5893-46E5-B301-C314238D242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dustry">
  <location ref="A3:B17" firstHeaderRow="1" firstDataRow="1" firstDataCol="1" rowPageCount="1" colPageCount="1"/>
  <pivotFields count="21">
    <pivotField dataField="1" showAll="0">
      <items count="3001">
        <item x="1039"/>
        <item x="402"/>
        <item x="1891"/>
        <item x="984"/>
        <item x="2552"/>
        <item x="409"/>
        <item x="655"/>
        <item x="64"/>
        <item x="1188"/>
        <item x="1396"/>
        <item x="2463"/>
        <item x="1352"/>
        <item x="2841"/>
        <item x="575"/>
        <item x="2658"/>
        <item x="44"/>
        <item x="1773"/>
        <item x="1655"/>
        <item x="1701"/>
        <item x="370"/>
        <item x="1757"/>
        <item x="2739"/>
        <item x="399"/>
        <item x="2461"/>
        <item x="1324"/>
        <item x="1195"/>
        <item x="709"/>
        <item x="1042"/>
        <item x="2954"/>
        <item x="1842"/>
        <item x="998"/>
        <item x="1019"/>
        <item x="2234"/>
        <item x="1847"/>
        <item x="1841"/>
        <item x="2168"/>
        <item x="2804"/>
        <item x="1545"/>
        <item x="1026"/>
        <item x="1294"/>
        <item x="2778"/>
        <item x="1611"/>
        <item x="138"/>
        <item x="921"/>
        <item x="133"/>
        <item x="232"/>
        <item x="200"/>
        <item x="960"/>
        <item x="210"/>
        <item x="2797"/>
        <item x="1293"/>
        <item x="2537"/>
        <item x="1866"/>
        <item x="2837"/>
        <item x="2657"/>
        <item x="2254"/>
        <item x="2995"/>
        <item x="2222"/>
        <item x="2345"/>
        <item x="1224"/>
        <item x="1131"/>
        <item x="435"/>
        <item x="484"/>
        <item x="2762"/>
        <item x="532"/>
        <item x="2217"/>
        <item x="2635"/>
        <item x="1205"/>
        <item x="1474"/>
        <item x="449"/>
        <item x="2631"/>
        <item x="567"/>
        <item x="2046"/>
        <item x="1550"/>
        <item x="1052"/>
        <item x="2417"/>
        <item x="1227"/>
        <item x="964"/>
        <item x="757"/>
        <item x="2998"/>
        <item x="896"/>
        <item x="2448"/>
        <item x="2442"/>
        <item x="1122"/>
        <item x="1422"/>
        <item x="1263"/>
        <item x="1900"/>
        <item x="1329"/>
        <item x="1282"/>
        <item x="2439"/>
        <item x="2050"/>
        <item x="1610"/>
        <item x="602"/>
        <item x="731"/>
        <item x="2391"/>
        <item x="1065"/>
        <item x="1493"/>
        <item x="694"/>
        <item x="270"/>
        <item x="1330"/>
        <item x="1627"/>
        <item x="2589"/>
        <item x="1332"/>
        <item x="952"/>
        <item x="508"/>
        <item x="897"/>
        <item x="1808"/>
        <item x="1371"/>
        <item x="1143"/>
        <item x="982"/>
        <item x="106"/>
        <item x="2579"/>
        <item x="314"/>
        <item x="1776"/>
        <item x="2305"/>
        <item x="1725"/>
        <item x="1436"/>
        <item x="1506"/>
        <item x="2946"/>
        <item x="2371"/>
        <item x="1503"/>
        <item x="2411"/>
        <item x="2294"/>
        <item x="1345"/>
        <item x="618"/>
        <item x="2348"/>
        <item x="1818"/>
        <item x="1747"/>
        <item x="2074"/>
        <item x="17"/>
        <item x="2367"/>
        <item x="1614"/>
        <item x="268"/>
        <item x="2611"/>
        <item x="231"/>
        <item x="2493"/>
        <item x="910"/>
        <item x="2100"/>
        <item x="2365"/>
        <item x="2565"/>
        <item x="2815"/>
        <item x="1241"/>
        <item x="623"/>
        <item x="840"/>
        <item x="301"/>
        <item x="2227"/>
        <item x="2913"/>
        <item x="2926"/>
        <item x="24"/>
        <item x="1281"/>
        <item x="2920"/>
        <item x="81"/>
        <item x="2372"/>
        <item x="1174"/>
        <item x="2340"/>
        <item x="1273"/>
        <item x="1511"/>
        <item x="2019"/>
        <item x="759"/>
        <item x="61"/>
        <item x="2571"/>
        <item x="1442"/>
        <item x="495"/>
        <item x="1570"/>
        <item x="2672"/>
        <item x="2449"/>
        <item x="2656"/>
        <item x="1896"/>
        <item x="331"/>
        <item x="78"/>
        <item x="1245"/>
        <item x="1845"/>
        <item x="417"/>
        <item x="2899"/>
        <item x="2069"/>
        <item x="2058"/>
        <item x="796"/>
        <item x="2127"/>
        <item x="2970"/>
        <item x="1774"/>
        <item x="199"/>
        <item x="187"/>
        <item x="2406"/>
        <item x="174"/>
        <item x="1960"/>
        <item x="1492"/>
        <item x="1861"/>
        <item x="131"/>
        <item x="1504"/>
        <item x="677"/>
        <item x="1318"/>
        <item x="2323"/>
        <item x="2986"/>
        <item x="2009"/>
        <item x="69"/>
        <item x="1639"/>
        <item x="25"/>
        <item x="2526"/>
        <item x="1640"/>
        <item x="302"/>
        <item x="2623"/>
        <item x="464"/>
        <item x="1000"/>
        <item x="1709"/>
        <item x="893"/>
        <item x="151"/>
        <item x="627"/>
        <item x="2664"/>
        <item x="1257"/>
        <item x="1297"/>
        <item x="1801"/>
        <item x="2269"/>
        <item x="1860"/>
        <item x="932"/>
        <item x="833"/>
        <item x="2500"/>
        <item x="2794"/>
        <item x="208"/>
        <item x="1128"/>
        <item x="2890"/>
        <item x="2363"/>
        <item x="2286"/>
        <item x="662"/>
        <item x="862"/>
        <item x="1317"/>
        <item x="866"/>
        <item x="230"/>
        <item x="723"/>
        <item x="2918"/>
        <item x="1342"/>
        <item x="830"/>
        <item x="283"/>
        <item x="2697"/>
        <item x="1068"/>
        <item x="53"/>
        <item x="545"/>
        <item x="1204"/>
        <item x="1398"/>
        <item x="1478"/>
        <item x="98"/>
        <item x="2742"/>
        <item x="1658"/>
        <item x="2174"/>
        <item x="2800"/>
        <item x="1220"/>
        <item x="1613"/>
        <item x="1552"/>
        <item x="2362"/>
        <item x="2224"/>
        <item x="2369"/>
        <item x="2062"/>
        <item x="1307"/>
        <item x="680"/>
        <item x="1974"/>
        <item x="931"/>
        <item x="1764"/>
        <item x="170"/>
        <item x="74"/>
        <item x="66"/>
        <item x="1359"/>
        <item x="651"/>
        <item x="11"/>
        <item x="2063"/>
        <item x="166"/>
        <item x="1834"/>
        <item x="1819"/>
        <item x="1496"/>
        <item x="1291"/>
        <item x="130"/>
        <item x="285"/>
        <item x="1313"/>
        <item x="1099"/>
        <item x="1259"/>
        <item x="2498"/>
        <item x="2492"/>
        <item x="878"/>
        <item x="1306"/>
        <item x="224"/>
        <item x="873"/>
        <item x="1256"/>
        <item x="1298"/>
        <item x="2387"/>
        <item x="611"/>
        <item x="128"/>
        <item x="2399"/>
        <item x="1051"/>
        <item x="577"/>
        <item x="2807"/>
        <item x="1031"/>
        <item x="411"/>
        <item x="612"/>
        <item x="1370"/>
        <item x="2746"/>
        <item x="2637"/>
        <item x="811"/>
        <item x="2639"/>
        <item x="2428"/>
        <item x="1235"/>
        <item x="2241"/>
        <item x="2690"/>
        <item x="2857"/>
        <item x="2374"/>
        <item x="2409"/>
        <item x="2447"/>
        <item x="203"/>
        <item x="1902"/>
        <item x="1693"/>
        <item x="1669"/>
        <item x="2704"/>
        <item x="2695"/>
        <item x="2869"/>
        <item x="462"/>
        <item x="1186"/>
        <item x="1321"/>
        <item x="2366"/>
        <item x="1999"/>
        <item x="2531"/>
        <item x="994"/>
        <item x="1196"/>
        <item x="457"/>
        <item x="1419"/>
        <item x="330"/>
        <item x="436"/>
        <item x="2477"/>
        <item x="2740"/>
        <item x="277"/>
        <item x="2478"/>
        <item x="1473"/>
        <item x="825"/>
        <item x="153"/>
        <item x="2932"/>
        <item x="895"/>
        <item x="1561"/>
        <item x="588"/>
        <item x="1909"/>
        <item x="398"/>
        <item x="2452"/>
        <item x="2801"/>
        <item x="201"/>
        <item x="2693"/>
        <item x="717"/>
        <item x="2941"/>
        <item x="2297"/>
        <item x="2713"/>
        <item x="819"/>
        <item x="1723"/>
        <item x="1755"/>
        <item x="99"/>
        <item x="1470"/>
        <item x="1203"/>
        <item x="1467"/>
        <item x="869"/>
        <item x="2993"/>
        <item x="2347"/>
        <item x="407"/>
        <item x="1648"/>
        <item x="2154"/>
        <item x="1714"/>
        <item x="1429"/>
        <item x="2246"/>
        <item x="1651"/>
        <item x="2237"/>
        <item x="2161"/>
        <item x="393"/>
        <item x="1670"/>
        <item x="2780"/>
        <item x="578"/>
        <item x="1097"/>
        <item x="1246"/>
        <item x="1127"/>
        <item x="2717"/>
        <item x="1935"/>
        <item x="2263"/>
        <item x="485"/>
        <item x="2872"/>
        <item x="41"/>
        <item x="2806"/>
        <item x="1686"/>
        <item x="809"/>
        <item x="1472"/>
        <item x="815"/>
        <item x="1844"/>
        <item x="603"/>
        <item x="644"/>
        <item x="305"/>
        <item x="2096"/>
        <item x="2158"/>
        <item x="916"/>
        <item x="2624"/>
        <item x="344"/>
        <item x="1910"/>
        <item x="239"/>
        <item x="369"/>
        <item x="2147"/>
        <item x="1807"/>
        <item x="2249"/>
        <item x="2911"/>
        <item x="1338"/>
        <item x="1198"/>
        <item x="453"/>
        <item x="1098"/>
        <item x="1265"/>
        <item x="175"/>
        <item x="1089"/>
        <item x="2133"/>
        <item x="2336"/>
        <item x="372"/>
        <item x="2126"/>
        <item x="992"/>
        <item x="2033"/>
        <item x="2937"/>
        <item x="2290"/>
        <item x="2730"/>
        <item x="2091"/>
        <item x="420"/>
        <item x="2825"/>
        <item x="2564"/>
        <item x="1768"/>
        <item x="1664"/>
        <item x="1962"/>
        <item x="1394"/>
        <item x="289"/>
        <item x="70"/>
        <item x="2314"/>
        <item x="1485"/>
        <item x="2893"/>
        <item x="1826"/>
        <item x="132"/>
        <item x="2541"/>
        <item x="1681"/>
        <item x="2322"/>
        <item x="1597"/>
        <item x="2823"/>
        <item x="1254"/>
        <item x="2327"/>
        <item x="2103"/>
        <item x="197"/>
        <item x="1123"/>
        <item x="1189"/>
        <item x="1972"/>
        <item x="2648"/>
        <item x="431"/>
        <item x="1702"/>
        <item x="2020"/>
        <item x="512"/>
        <item x="558"/>
        <item x="1937"/>
        <item x="2320"/>
        <item x="1425"/>
        <item x="676"/>
        <item x="839"/>
        <item x="1277"/>
        <item x="1213"/>
        <item x="1871"/>
        <item x="2354"/>
        <item x="2833"/>
        <item x="2848"/>
        <item x="1119"/>
        <item x="1868"/>
        <item x="300"/>
        <item x="876"/>
        <item x="72"/>
        <item x="1606"/>
        <item x="1314"/>
        <item x="2273"/>
        <item x="2185"/>
        <item x="125"/>
        <item x="2400"/>
        <item x="2392"/>
        <item x="2789"/>
        <item x="631"/>
        <item x="15"/>
        <item x="2909"/>
        <item x="101"/>
        <item x="1268"/>
        <item x="429"/>
        <item x="609"/>
        <item x="1160"/>
        <item x="1565"/>
        <item x="858"/>
        <item x="2253"/>
        <item x="284"/>
        <item x="2023"/>
        <item x="351"/>
        <item x="544"/>
        <item x="54"/>
        <item x="1136"/>
        <item x="1825"/>
        <item x="1200"/>
        <item x="1912"/>
        <item x="880"/>
        <item x="1428"/>
        <item x="793"/>
        <item x="1316"/>
        <item x="561"/>
        <item x="254"/>
        <item x="2471"/>
        <item x="2325"/>
        <item x="1376"/>
        <item x="1983"/>
        <item x="360"/>
        <item x="2798"/>
        <item x="427"/>
        <item x="1574"/>
        <item x="318"/>
        <item x="735"/>
        <item x="973"/>
        <item x="922"/>
        <item x="1349"/>
        <item x="598"/>
        <item x="2396"/>
        <item x="2949"/>
        <item x="2298"/>
        <item x="2270"/>
        <item x="2432"/>
        <item x="2240"/>
        <item x="902"/>
        <item x="1108"/>
        <item x="1555"/>
        <item x="1012"/>
        <item x="906"/>
        <item x="771"/>
        <item x="2026"/>
        <item x="67"/>
        <item x="1835"/>
        <item x="2199"/>
        <item x="744"/>
        <item x="2666"/>
        <item x="663"/>
        <item x="251"/>
        <item x="328"/>
        <item x="1594"/>
        <item x="977"/>
        <item x="2677"/>
        <item x="2881"/>
        <item x="1927"/>
        <item x="403"/>
        <item x="1906"/>
        <item x="1005"/>
        <item x="1211"/>
        <item x="2922"/>
        <item x="1109"/>
        <item x="2947"/>
        <item x="2332"/>
        <item x="1518"/>
        <item x="2490"/>
        <item x="2759"/>
        <item x="1720"/>
        <item x="1916"/>
        <item x="1046"/>
        <item x="2081"/>
        <item x="2375"/>
        <item x="2523"/>
        <item x="2939"/>
        <item x="2018"/>
        <item x="1688"/>
        <item x="2832"/>
        <item x="1982"/>
        <item x="1623"/>
        <item x="2615"/>
        <item x="2095"/>
        <item x="1076"/>
        <item x="2148"/>
        <item x="1173"/>
        <item x="2678"/>
        <item x="1538"/>
        <item x="1596"/>
        <item x="607"/>
        <item x="871"/>
        <item x="593"/>
        <item x="690"/>
        <item x="2268"/>
        <item x="2820"/>
        <item x="1490"/>
        <item x="555"/>
        <item x="2358"/>
        <item x="2454"/>
        <item x="1875"/>
        <item x="530"/>
        <item x="1206"/>
        <item x="706"/>
        <item x="2534"/>
        <item x="1598"/>
        <item x="2930"/>
        <item x="926"/>
        <item x="1484"/>
        <item x="1877"/>
        <item x="1817"/>
        <item x="2003"/>
        <item x="2257"/>
        <item x="795"/>
        <item x="2092"/>
        <item x="2845"/>
        <item x="1499"/>
        <item x="1084"/>
        <item x="2834"/>
        <item x="85"/>
        <item x="1882"/>
        <item x="2729"/>
        <item x="339"/>
        <item x="2584"/>
        <item x="2727"/>
        <item x="2651"/>
        <item x="1750"/>
        <item x="1057"/>
        <item x="697"/>
        <item x="915"/>
        <item x="1786"/>
        <item x="1590"/>
        <item x="785"/>
        <item x="1154"/>
        <item x="2718"/>
        <item x="779"/>
        <item x="1942"/>
        <item x="2929"/>
        <item x="2570"/>
        <item x="1604"/>
        <item x="2012"/>
        <item x="1567"/>
        <item x="1233"/>
        <item x="1581"/>
        <item x="190"/>
        <item x="445"/>
        <item x="2211"/>
        <item x="2754"/>
        <item x="543"/>
        <item x="1527"/>
        <item x="1471"/>
        <item x="2085"/>
        <item x="2744"/>
        <item x="712"/>
        <item x="295"/>
        <item x="2601"/>
        <item x="2645"/>
        <item x="371"/>
        <item x="179"/>
        <item x="517"/>
        <item x="2484"/>
        <item x="458"/>
        <item x="533"/>
        <item x="2769"/>
        <item x="2824"/>
        <item x="1869"/>
        <item x="2264"/>
        <item x="2816"/>
        <item x="494"/>
        <item x="2644"/>
        <item x="2763"/>
        <item x="1872"/>
        <item x="1924"/>
        <item x="1915"/>
        <item x="2616"/>
        <item x="1783"/>
        <item x="2880"/>
        <item x="1003"/>
        <item x="2731"/>
        <item x="115"/>
        <item x="1932"/>
        <item x="2981"/>
        <item x="865"/>
        <item x="1446"/>
        <item x="2843"/>
        <item x="2826"/>
        <item x="582"/>
        <item x="937"/>
        <item x="645"/>
        <item x="2851"/>
        <item x="414"/>
        <item x="65"/>
        <item x="2419"/>
        <item x="1103"/>
        <item x="1228"/>
        <item x="2912"/>
        <item x="881"/>
        <item x="391"/>
        <item x="831"/>
        <item x="1393"/>
        <item x="2938"/>
        <item x="1083"/>
        <item x="2741"/>
        <item x="1276"/>
        <item x="885"/>
        <item x="2041"/>
        <item x="255"/>
        <item x="2228"/>
        <item x="2427"/>
        <item x="2476"/>
        <item x="2022"/>
        <item x="834"/>
        <item x="1694"/>
        <item x="1018"/>
        <item x="2467"/>
        <item x="2633"/>
        <item x="202"/>
        <item x="859"/>
        <item x="2429"/>
        <item x="887"/>
        <item x="1199"/>
        <item x="452"/>
        <item x="2628"/>
        <item x="448"/>
        <item x="1684"/>
        <item x="276"/>
        <item x="1112"/>
        <item x="1295"/>
        <item x="1977"/>
        <item x="1247"/>
        <item x="2435"/>
        <item x="2159"/>
        <item x="594"/>
        <item x="2964"/>
        <item x="985"/>
        <item x="1691"/>
        <item x="2923"/>
        <item x="2903"/>
        <item x="1622"/>
        <item x="2822"/>
        <item x="587"/>
        <item x="2583"/>
        <item x="2688"/>
        <item x="1704"/>
        <item x="2123"/>
        <item x="800"/>
        <item x="1619"/>
        <item x="1824"/>
        <item x="2198"/>
        <item x="1685"/>
        <item x="1874"/>
        <item x="450"/>
        <item x="455"/>
        <item x="5"/>
        <item x="94"/>
        <item x="1775"/>
        <item x="1383"/>
        <item x="2819"/>
        <item x="2303"/>
        <item x="1607"/>
        <item x="2195"/>
        <item x="260"/>
        <item x="1617"/>
        <item x="1038"/>
        <item x="2481"/>
        <item x="1193"/>
        <item x="40"/>
        <item x="22"/>
        <item x="947"/>
        <item x="227"/>
        <item x="2000"/>
        <item x="580"/>
        <item x="1746"/>
        <item x="1543"/>
        <item x="1699"/>
        <item x="2647"/>
        <item x="997"/>
        <item x="2649"/>
        <item x="2919"/>
        <item x="838"/>
        <item x="750"/>
        <item x="2513"/>
        <item x="2049"/>
        <item x="2505"/>
        <item x="2972"/>
        <item x="630"/>
        <item x="2287"/>
        <item x="987"/>
        <item x="2468"/>
        <item x="2934"/>
        <item x="1106"/>
        <item x="2162"/>
        <item x="2805"/>
        <item x="225"/>
        <item x="160"/>
        <item x="2335"/>
        <item x="1498"/>
        <item x="2204"/>
        <item x="2462"/>
        <item x="171"/>
        <item x="2209"/>
        <item x="1913"/>
        <item x="1403"/>
        <item x="1304"/>
        <item x="1415"/>
        <item x="633"/>
        <item x="1179"/>
        <item x="2474"/>
        <item x="589"/>
        <item x="2267"/>
        <item x="204"/>
        <item x="2034"/>
        <item x="2084"/>
        <item x="541"/>
        <item x="1404"/>
        <item x="710"/>
        <item x="2131"/>
        <item x="954"/>
        <item x="2707"/>
        <item x="468"/>
        <item x="2441"/>
        <item x="1024"/>
        <item x="505"/>
        <item x="1258"/>
        <item x="685"/>
        <item x="907"/>
        <item x="2689"/>
        <item x="2006"/>
        <item x="2641"/>
        <item x="2282"/>
        <item x="250"/>
        <item x="652"/>
        <item x="2967"/>
        <item x="1635"/>
        <item x="1991"/>
        <item x="213"/>
        <item x="927"/>
        <item x="472"/>
        <item x="1985"/>
        <item x="1079"/>
        <item x="554"/>
        <item x="1149"/>
        <item x="355"/>
        <item x="572"/>
        <item x="248"/>
        <item x="2232"/>
        <item x="2683"/>
        <item x="1671"/>
        <item x="1362"/>
        <item x="1001"/>
        <item x="2057"/>
        <item x="716"/>
        <item x="2496"/>
        <item x="291"/>
        <item x="1388"/>
        <item x="905"/>
        <item x="1410"/>
        <item x="1654"/>
        <item x="2145"/>
        <item x="770"/>
        <item x="2098"/>
        <item x="2316"/>
        <item x="925"/>
        <item x="2567"/>
        <item x="1521"/>
        <item x="2068"/>
        <item x="1534"/>
        <item x="1767"/>
        <item x="2680"/>
        <item x="2682"/>
        <item x="1171"/>
        <item x="976"/>
        <item x="42"/>
        <item x="1327"/>
        <item x="38"/>
        <item x="2124"/>
        <item x="2896"/>
        <item x="2653"/>
        <item x="1315"/>
        <item x="1753"/>
        <item x="2621"/>
        <item x="1973"/>
        <item x="941"/>
        <item x="568"/>
        <item x="898"/>
        <item x="753"/>
        <item x="112"/>
        <item x="2958"/>
        <item x="1560"/>
        <item x="583"/>
        <item x="2955"/>
        <item x="1178"/>
        <item x="474"/>
        <item x="1101"/>
        <item x="1132"/>
        <item x="573"/>
        <item x="1515"/>
        <item x="1100"/>
        <item x="2416"/>
        <item x="1158"/>
        <item x="2521"/>
        <item x="49"/>
        <item x="2299"/>
        <item x="783"/>
        <item x="2512"/>
        <item x="1903"/>
        <item x="782"/>
        <item x="2150"/>
        <item x="509"/>
        <item x="901"/>
        <item x="2056"/>
        <item x="2066"/>
        <item x="205"/>
        <item x="666"/>
        <item x="646"/>
        <item x="461"/>
        <item x="1107"/>
        <item x="478"/>
        <item x="2659"/>
        <item x="1646"/>
        <item x="2171"/>
        <item x="784"/>
        <item x="247"/>
        <item x="2577"/>
        <item x="2040"/>
        <item x="1858"/>
        <item x="988"/>
        <item x="875"/>
        <item x="2669"/>
        <item x="1007"/>
        <item x="108"/>
        <item x="1392"/>
        <item x="673"/>
        <item x="1516"/>
        <item x="2813"/>
        <item x="2990"/>
        <item x="1672"/>
        <item x="1156"/>
        <item x="1372"/>
        <item x="1365"/>
        <item x="2099"/>
        <item x="2891"/>
        <item x="637"/>
        <item x="1507"/>
        <item x="168"/>
        <item x="1217"/>
        <item x="1963"/>
        <item x="2875"/>
        <item x="746"/>
        <item x="974"/>
        <item x="2992"/>
        <item x="1248"/>
        <item x="1899"/>
        <item x="2180"/>
        <item x="1944"/>
        <item x="2499"/>
        <item x="614"/>
        <item x="957"/>
        <item x="325"/>
        <item x="164"/>
        <item x="1645"/>
        <item x="257"/>
        <item x="595"/>
        <item x="909"/>
        <item x="1618"/>
        <item x="1884"/>
        <item x="60"/>
        <item x="993"/>
        <item x="1166"/>
        <item x="2965"/>
        <item x="354"/>
        <item x="1833"/>
        <item x="2042"/>
        <item x="1244"/>
        <item x="2343"/>
        <item x="728"/>
        <item x="1037"/>
        <item x="216"/>
        <item x="2827"/>
        <item x="635"/>
        <item x="377"/>
        <item x="2973"/>
        <item x="1311"/>
        <item x="2265"/>
        <item x="1625"/>
        <item x="299"/>
        <item x="1967"/>
        <item x="2733"/>
        <item x="2882"/>
        <item x="226"/>
        <item x="2143"/>
        <item x="1989"/>
        <item x="1837"/>
        <item x="207"/>
        <item x="1157"/>
        <item x="1305"/>
        <item x="1346"/>
        <item x="755"/>
        <item x="432"/>
        <item x="2529"/>
        <item x="218"/>
        <item x="316"/>
        <item x="1027"/>
        <item x="1167"/>
        <item x="1093"/>
        <item x="963"/>
        <item x="2622"/>
        <item x="1269"/>
        <item x="2420"/>
        <item x="1803"/>
        <item x="1795"/>
        <item x="141"/>
        <item x="1895"/>
        <item x="892"/>
        <item x="608"/>
        <item x="311"/>
        <item x="1495"/>
        <item x="2071"/>
        <item x="2182"/>
        <item x="2422"/>
        <item x="86"/>
        <item x="309"/>
        <item x="211"/>
        <item x="2181"/>
        <item x="155"/>
        <item x="109"/>
        <item x="2908"/>
        <item x="751"/>
        <item x="2520"/>
        <item x="2602"/>
        <item x="156"/>
        <item x="2002"/>
        <item x="1064"/>
        <item x="2285"/>
        <item x="1751"/>
        <item x="1340"/>
        <item x="2560"/>
        <item x="1501"/>
        <item x="774"/>
        <item x="114"/>
        <item x="2854"/>
        <item x="143"/>
        <item x="2281"/>
        <item x="2221"/>
        <item x="856"/>
        <item x="77"/>
        <item x="2324"/>
        <item x="1608"/>
        <item x="2573"/>
        <item x="2188"/>
        <item x="2302"/>
        <item x="2590"/>
        <item x="1469"/>
        <item x="20"/>
        <item x="1707"/>
        <item x="1743"/>
        <item x="2914"/>
        <item x="2915"/>
        <item x="182"/>
        <item x="2398"/>
        <item x="249"/>
        <item x="889"/>
        <item x="2317"/>
        <item x="2381"/>
        <item x="2724"/>
        <item x="1949"/>
        <item x="1071"/>
        <item x="1953"/>
        <item x="959"/>
        <item x="2714"/>
        <item x="1836"/>
        <item x="499"/>
        <item x="385"/>
        <item x="1729"/>
        <item x="488"/>
        <item x="2814"/>
        <item x="2878"/>
        <item x="82"/>
        <item x="696"/>
        <item x="2115"/>
        <item x="2378"/>
        <item x="13"/>
        <item x="1839"/>
        <item x="341"/>
        <item x="154"/>
        <item x="2674"/>
        <item x="1086"/>
        <item x="418"/>
        <item x="139"/>
        <item x="565"/>
        <item x="75"/>
        <item x="2190"/>
        <item x="2256"/>
        <item x="1209"/>
        <item x="946"/>
        <item x="1230"/>
        <item x="1347"/>
        <item x="2156"/>
        <item x="2310"/>
        <item x="191"/>
        <item x="2667"/>
        <item x="2061"/>
        <item x="2931"/>
        <item x="1059"/>
        <item x="1161"/>
        <item x="234"/>
        <item x="864"/>
        <item x="2550"/>
        <item x="1740"/>
        <item x="124"/>
        <item x="1889"/>
        <item x="1820"/>
        <item x="1632"/>
        <item x="2795"/>
        <item x="480"/>
        <item x="2383"/>
        <item x="2173"/>
        <item x="214"/>
        <item x="638"/>
        <item x="1460"/>
        <item x="674"/>
        <item x="181"/>
        <item x="1192"/>
        <item x="586"/>
        <item x="1416"/>
        <item x="92"/>
        <item x="2393"/>
        <item x="2709"/>
        <item x="903"/>
        <item x="1806"/>
        <item x="2901"/>
        <item x="486"/>
        <item x="1225"/>
        <item x="424"/>
        <item x="687"/>
        <item x="2557"/>
        <item x="2536"/>
        <item x="2975"/>
        <item x="768"/>
        <item x="1424"/>
        <item x="1080"/>
        <item x="2339"/>
        <item x="2982"/>
        <item x="1271"/>
        <item x="665"/>
        <item x="2850"/>
        <item x="2540"/>
        <item x="1433"/>
        <item x="2959"/>
        <item x="1423"/>
        <item x="2330"/>
        <item x="142"/>
        <item x="1851"/>
        <item x="1384"/>
        <item x="68"/>
        <item x="2691"/>
        <item x="569"/>
        <item x="396"/>
        <item x="2715"/>
        <item x="798"/>
        <item x="1309"/>
        <item x="2262"/>
        <item x="1421"/>
        <item x="167"/>
        <item x="600"/>
        <item x="1733"/>
        <item x="2597"/>
        <item x="2283"/>
        <item x="1921"/>
        <item x="828"/>
        <item x="238"/>
        <item x="2776"/>
        <item x="2214"/>
        <item x="350"/>
        <item x="2203"/>
        <item x="1822"/>
        <item x="2775"/>
        <item x="80"/>
        <item x="2129"/>
        <item x="346"/>
        <item x="2089"/>
        <item x="2728"/>
        <item x="1878"/>
        <item x="2569"/>
        <item x="2048"/>
        <item x="769"/>
        <item x="12"/>
        <item x="2153"/>
        <item x="1854"/>
        <item x="835"/>
        <item x="671"/>
        <item x="691"/>
        <item x="2902"/>
        <item x="334"/>
        <item x="1739"/>
        <item x="2987"/>
        <item x="246"/>
        <item x="1873"/>
        <item x="2083"/>
        <item x="2761"/>
        <item x="849"/>
        <item x="345"/>
        <item x="1440"/>
        <item x="2558"/>
        <item x="2279"/>
        <item x="1250"/>
        <item x="1389"/>
        <item x="374"/>
        <item x="1033"/>
        <item x="439"/>
        <item x="2475"/>
        <item x="1"/>
        <item x="1134"/>
        <item x="1401"/>
        <item x="275"/>
        <item x="1718"/>
        <item x="1981"/>
        <item x="1549"/>
        <item x="188"/>
        <item x="1088"/>
        <item x="2430"/>
        <item x="2817"/>
        <item x="780"/>
        <item x="1468"/>
        <item x="1145"/>
        <item x="237"/>
        <item x="536"/>
        <item x="324"/>
        <item x="406"/>
        <item x="2389"/>
        <item x="2698"/>
        <item x="149"/>
        <item x="2538"/>
        <item x="1546"/>
        <item x="266"/>
        <item x="597"/>
        <item x="340"/>
        <item x="2984"/>
        <item x="1862"/>
        <item x="2004"/>
        <item x="426"/>
        <item x="616"/>
        <item x="1036"/>
        <item x="604"/>
        <item x="134"/>
        <item x="1708"/>
        <item x="497"/>
        <item x="1726"/>
        <item x="2483"/>
        <item x="2770"/>
        <item x="348"/>
        <item x="3"/>
        <item x="860"/>
        <item x="701"/>
        <item x="1781"/>
        <item x="1124"/>
        <item x="2073"/>
        <item x="2480"/>
        <item x="1439"/>
        <item x="2306"/>
        <item x="2591"/>
        <item x="2355"/>
        <item x="2581"/>
        <item x="2978"/>
        <item x="1641"/>
        <item x="274"/>
        <item x="2743"/>
        <item x="2936"/>
        <item x="1183"/>
        <item x="2415"/>
        <item x="215"/>
        <item x="2720"/>
        <item x="2885"/>
        <item x="756"/>
        <item x="1366"/>
        <item x="186"/>
        <item x="2614"/>
        <item x="152"/>
        <item x="1765"/>
        <item x="1466"/>
        <item x="1082"/>
        <item x="306"/>
        <item x="313"/>
        <item x="1766"/>
        <item x="1811"/>
        <item x="1674"/>
        <item x="1584"/>
        <item x="1234"/>
        <item x="695"/>
        <item x="2511"/>
        <item x="1232"/>
        <item x="1553"/>
        <item x="2556"/>
        <item x="1353"/>
        <item x="2961"/>
        <item x="763"/>
        <item x="2239"/>
        <item x="1576"/>
        <item x="235"/>
        <item x="1155"/>
        <item x="107"/>
        <item x="1062"/>
        <item x="654"/>
        <item x="2446"/>
        <item x="2021"/>
        <item x="269"/>
        <item x="2821"/>
        <item x="412"/>
        <item x="242"/>
        <item x="272"/>
        <item x="1850"/>
        <item x="1451"/>
        <item x="1118"/>
        <item x="1523"/>
        <item x="1497"/>
        <item x="1812"/>
        <item x="692"/>
        <item x="1715"/>
        <item x="1657"/>
        <item x="320"/>
        <item x="121"/>
        <item x="2566"/>
        <item x="854"/>
        <item x="749"/>
        <item x="1675"/>
        <item x="2863"/>
        <item x="2296"/>
        <item x="2594"/>
        <item x="2097"/>
        <item x="1630"/>
        <item x="2465"/>
        <item x="1886"/>
        <item x="1575"/>
        <item x="2192"/>
        <item x="1579"/>
        <item x="1266"/>
        <item x="2963"/>
        <item x="89"/>
        <item x="961"/>
        <item x="2266"/>
        <item x="1898"/>
        <item x="776"/>
        <item x="1430"/>
        <item x="10"/>
        <item x="847"/>
        <item x="33"/>
        <item x="2838"/>
        <item x="90"/>
        <item x="1544"/>
        <item x="267"/>
        <item x="1890"/>
        <item x="463"/>
        <item x="259"/>
        <item x="359"/>
        <item x="1017"/>
        <item x="1431"/>
        <item x="483"/>
        <item x="481"/>
        <item x="2047"/>
        <item x="2562"/>
        <item x="2494"/>
        <item x="1176"/>
        <item x="2888"/>
        <item x="934"/>
        <item x="1796"/>
        <item x="1482"/>
        <item x="1629"/>
        <item x="1488"/>
        <item x="2106"/>
        <item x="702"/>
        <item x="148"/>
        <item x="312"/>
        <item x="2495"/>
        <item x="2782"/>
        <item x="2522"/>
        <item x="1752"/>
        <item x="799"/>
        <item x="882"/>
        <item x="2781"/>
        <item x="1078"/>
        <item x="2726"/>
        <item x="715"/>
        <item x="724"/>
        <item x="698"/>
        <item x="2785"/>
        <item x="184"/>
        <item x="2338"/>
        <item x="804"/>
        <item x="944"/>
        <item x="2839"/>
        <item x="2160"/>
        <item x="760"/>
        <item x="158"/>
        <item x="729"/>
        <item x="2887"/>
        <item x="1489"/>
        <item x="48"/>
        <item x="890"/>
        <item x="1814"/>
        <item x="476"/>
        <item x="2960"/>
        <item x="1150"/>
        <item x="1965"/>
        <item x="2554"/>
        <item x="2996"/>
        <item x="229"/>
        <item x="1095"/>
        <item x="1855"/>
        <item x="2135"/>
        <item x="1950"/>
        <item x="2139"/>
        <item x="365"/>
        <item x="43"/>
        <item x="2876"/>
        <item x="1885"/>
        <item x="919"/>
        <item x="2662"/>
        <item x="1104"/>
        <item x="730"/>
        <item x="2779"/>
        <item x="1058"/>
        <item x="2284"/>
        <item x="923"/>
        <item x="1894"/>
        <item x="1053"/>
        <item x="1130"/>
        <item x="2535"/>
        <item x="437"/>
        <item x="502"/>
        <item x="37"/>
        <item x="28"/>
        <item x="2956"/>
        <item x="1848"/>
        <item x="1556"/>
        <item x="2165"/>
        <item x="2155"/>
        <item x="1940"/>
        <item x="679"/>
        <item x="221"/>
        <item x="2504"/>
        <item x="2968"/>
        <item x="2895"/>
        <item x="1060"/>
        <item x="2235"/>
        <item x="1728"/>
        <item x="2831"/>
        <item x="1187"/>
        <item x="1390"/>
        <item x="2574"/>
        <item x="700"/>
        <item x="63"/>
        <item x="778"/>
        <item x="1375"/>
        <item x="2660"/>
        <item x="308"/>
        <item x="146"/>
        <item x="516"/>
        <item x="1450"/>
        <item x="945"/>
        <item x="71"/>
        <item x="1285"/>
        <item x="1979"/>
        <item x="45"/>
        <item x="1226"/>
        <item x="317"/>
        <item x="2868"/>
        <item x="2278"/>
        <item x="2308"/>
        <item x="252"/>
        <item x="196"/>
        <item x="1441"/>
        <item x="189"/>
        <item x="367"/>
        <item x="2421"/>
        <item x="2607"/>
        <item x="1129"/>
        <item x="2350"/>
        <item x="1692"/>
        <item x="1002"/>
        <item x="2309"/>
        <item x="1959"/>
        <item x="2060"/>
        <item x="233"/>
        <item x="1402"/>
        <item x="1133"/>
        <item x="2485"/>
        <item x="282"/>
        <item x="2356"/>
        <item x="1418"/>
        <item x="273"/>
        <item x="650"/>
        <item x="1583"/>
        <item x="173"/>
        <item x="708"/>
        <item x="1139"/>
        <item x="2812"/>
        <item x="2167"/>
        <item x="647"/>
        <item x="995"/>
        <item x="1449"/>
        <item x="1804"/>
        <item x="137"/>
        <item x="2337"/>
        <item x="2999"/>
        <item x="34"/>
        <item x="1585"/>
        <item x="2852"/>
        <item x="1988"/>
        <item x="606"/>
        <item x="1813"/>
        <item x="2542"/>
        <item x="841"/>
        <item x="1255"/>
        <item x="271"/>
        <item x="1846"/>
        <item x="323"/>
        <item x="1414"/>
        <item x="1126"/>
        <item x="1438"/>
        <item x="787"/>
        <item x="1663"/>
        <item x="2384"/>
        <item x="1369"/>
        <item x="1548"/>
        <item x="2787"/>
        <item x="2219"/>
        <item x="278"/>
        <item x="814"/>
        <item x="2773"/>
        <item x="999"/>
        <item x="832"/>
        <item x="1601"/>
        <item x="2613"/>
        <item x="2331"/>
        <item x="913"/>
        <item x="2514"/>
        <item x="1738"/>
        <item x="521"/>
        <item x="2258"/>
        <item x="2539"/>
        <item x="1551"/>
        <item x="1452"/>
        <item x="1827"/>
        <item x="2172"/>
        <item x="1798"/>
        <item x="2884"/>
        <item x="808"/>
        <item x="705"/>
        <item x="389"/>
        <item x="1063"/>
        <item x="741"/>
        <item x="624"/>
        <item x="2985"/>
        <item x="1286"/>
        <item x="1831"/>
        <item x="2242"/>
        <item x="2910"/>
        <item x="2696"/>
        <item x="1302"/>
        <item x="2708"/>
        <item x="1595"/>
        <item x="1251"/>
        <item x="2980"/>
        <item x="2988"/>
        <item x="1035"/>
        <item x="123"/>
        <item x="1357"/>
        <item x="2879"/>
        <item x="1319"/>
        <item x="596"/>
        <item x="1863"/>
        <item x="1386"/>
        <item x="84"/>
        <item x="2349"/>
        <item x="87"/>
        <item x="951"/>
        <item x="2598"/>
        <item x="2545"/>
        <item x="492"/>
        <item x="2617"/>
        <item x="948"/>
        <item x="2163"/>
        <item x="421"/>
        <item x="1272"/>
        <item x="286"/>
        <item x="2044"/>
        <item x="1120"/>
        <item x="1513"/>
        <item x="2655"/>
        <item x="2553"/>
        <item x="1911"/>
        <item x="1476"/>
        <item x="1368"/>
        <item x="2086"/>
        <item x="559"/>
        <item x="2132"/>
        <item x="380"/>
        <item x="579"/>
        <item x="981"/>
        <item x="868"/>
        <item x="2877"/>
        <item x="590"/>
        <item x="1087"/>
        <item x="625"/>
        <item x="1159"/>
        <item x="2276"/>
        <item x="2082"/>
        <item x="539"/>
        <item x="1815"/>
        <item x="2745"/>
        <item x="870"/>
        <item x="1791"/>
        <item x="1867"/>
        <item x="844"/>
        <item x="576"/>
        <item x="1144"/>
        <item x="2402"/>
        <item x="292"/>
        <item x="563"/>
        <item x="244"/>
        <item x="76"/>
        <item x="2194"/>
        <item x="853"/>
        <item x="228"/>
        <item x="2010"/>
        <item x="1934"/>
        <item x="2243"/>
        <item x="2122"/>
        <item x="2533"/>
        <item x="241"/>
        <item x="287"/>
        <item x="467"/>
        <item x="2907"/>
        <item x="110"/>
        <item x="1434"/>
        <item x="2943"/>
        <item x="361"/>
        <item x="872"/>
        <item x="185"/>
        <item x="761"/>
        <item x="2121"/>
        <item x="727"/>
        <item x="986"/>
        <item x="2989"/>
        <item x="122"/>
        <item x="938"/>
        <item x="2502"/>
        <item x="2016"/>
        <item x="1789"/>
        <item x="966"/>
        <item x="1367"/>
        <item x="419"/>
        <item x="1734"/>
        <item x="321"/>
        <item x="1510"/>
        <item x="1690"/>
        <item x="584"/>
        <item x="2036"/>
        <item x="52"/>
        <item x="980"/>
        <item x="2344"/>
        <item x="2380"/>
        <item x="1164"/>
        <item x="2671"/>
        <item x="2247"/>
        <item x="1580"/>
        <item x="2600"/>
        <item x="288"/>
        <item x="2886"/>
        <item x="1599"/>
        <item x="2595"/>
        <item x="1377"/>
        <item x="1296"/>
        <item x="2370"/>
        <item x="1274"/>
        <item x="2676"/>
        <item x="2606"/>
        <item x="2612"/>
        <item x="434"/>
        <item x="1744"/>
        <item x="2549"/>
        <item x="386"/>
        <item x="2599"/>
        <item x="2072"/>
        <item x="2075"/>
        <item x="1986"/>
        <item x="2179"/>
        <item x="581"/>
        <item x="1992"/>
        <item x="917"/>
        <item x="2497"/>
        <item x="2663"/>
        <item x="2808"/>
        <item x="2491"/>
        <item x="914"/>
        <item x="2788"/>
        <item x="2125"/>
        <item x="978"/>
        <item x="2196"/>
        <item x="2054"/>
        <item x="2460"/>
        <item x="571"/>
        <item x="2140"/>
        <item x="1444"/>
        <item x="2038"/>
        <item x="2059"/>
        <item x="1673"/>
        <item x="408"/>
        <item x="1706"/>
        <item x="1933"/>
        <item x="657"/>
        <item x="2681"/>
        <item x="1061"/>
        <item x="1771"/>
        <item x="1587"/>
        <item x="2291"/>
        <item x="2935"/>
        <item x="1945"/>
        <item x="742"/>
        <item x="31"/>
        <item x="482"/>
        <item x="904"/>
        <item x="163"/>
        <item x="2412"/>
        <item x="29"/>
        <item x="1114"/>
        <item x="59"/>
        <item x="2588"/>
        <item x="1901"/>
        <item x="55"/>
        <item x="2200"/>
        <item x="456"/>
        <item x="1022"/>
        <item x="540"/>
        <item x="1925"/>
        <item x="531"/>
        <item x="1761"/>
        <item x="1832"/>
        <item x="1742"/>
        <item x="223"/>
        <item x="1650"/>
        <item x="1946"/>
        <item x="2559"/>
        <item x="2357"/>
        <item x="2301"/>
        <item x="688"/>
        <item x="2811"/>
        <item x="2014"/>
        <item x="329"/>
        <item x="574"/>
        <item x="1578"/>
        <item x="2883"/>
        <item x="670"/>
        <item x="2774"/>
        <item x="1011"/>
        <item x="2846"/>
        <item x="1591"/>
        <item x="2341"/>
        <item x="908"/>
        <item x="1840"/>
        <item x="2313"/>
        <item x="1081"/>
        <item x="2503"/>
        <item x="2176"/>
        <item x="504"/>
        <item x="1443"/>
        <item x="1454"/>
        <item x="2470"/>
        <item x="1805"/>
        <item x="2750"/>
        <item x="2758"/>
        <item x="1147"/>
        <item x="562"/>
        <item x="1975"/>
        <item x="2950"/>
        <item x="649"/>
        <item x="1802"/>
        <item x="1163"/>
        <item x="1395"/>
        <item x="2971"/>
        <item x="721"/>
        <item x="1857"/>
        <item x="368"/>
        <item x="297"/>
        <item x="2437"/>
        <item x="2548"/>
        <item x="1301"/>
        <item x="183"/>
        <item x="2361"/>
        <item x="2627"/>
        <item x="2321"/>
        <item x="1010"/>
        <item x="675"/>
        <item x="1849"/>
        <item x="1711"/>
        <item x="639"/>
        <item x="2723"/>
        <item x="2578"/>
        <item x="2045"/>
        <item x="792"/>
        <item x="2067"/>
        <item x="888"/>
        <item x="884"/>
        <item x="1782"/>
        <item x="686"/>
        <item x="1413"/>
        <item x="1952"/>
        <item x="2706"/>
        <item x="2138"/>
        <item x="1072"/>
        <item x="1308"/>
        <item x="1535"/>
        <item x="748"/>
        <item x="2146"/>
        <item x="1328"/>
        <item x="2712"/>
        <item x="2342"/>
        <item x="1223"/>
        <item x="161"/>
        <item x="2250"/>
        <item x="1609"/>
        <item x="2128"/>
        <item x="2216"/>
        <item x="1014"/>
        <item x="2390"/>
        <item x="1481"/>
        <item x="962"/>
        <item x="1602"/>
        <item x="2948"/>
        <item x="522"/>
        <item x="2394"/>
        <item x="2904"/>
        <item x="2544"/>
        <item x="2519"/>
        <item x="2114"/>
        <item x="2725"/>
        <item x="1687"/>
        <item x="489"/>
        <item x="1364"/>
        <item x="1821"/>
        <item x="928"/>
        <item x="1335"/>
        <item x="1028"/>
        <item x="791"/>
        <item x="556"/>
        <item x="2855"/>
        <item x="1380"/>
        <item x="343"/>
        <item x="2418"/>
        <item x="30"/>
        <item x="1267"/>
        <item x="2686"/>
        <item x="2386"/>
        <item x="714"/>
        <item x="2"/>
        <item x="1920"/>
        <item x="2735"/>
        <item x="548"/>
        <item x="2747"/>
        <item x="165"/>
        <item x="451"/>
        <item x="2251"/>
        <item x="2105"/>
        <item x="1487"/>
        <item x="1787"/>
        <item x="1361"/>
        <item x="315"/>
        <item x="2184"/>
        <item x="1957"/>
        <item x="1993"/>
        <item x="752"/>
        <item x="1762"/>
        <item x="390"/>
        <item x="2786"/>
        <item x="958"/>
        <item x="2525"/>
        <item x="1569"/>
        <item x="1151"/>
        <item x="2585"/>
        <item x="2011"/>
        <item x="2906"/>
        <item x="1279"/>
        <item x="347"/>
        <item x="2711"/>
        <item x="2632"/>
        <item x="1784"/>
        <item x="2894"/>
        <item x="2530"/>
        <item x="515"/>
        <item x="2397"/>
        <item x="2646"/>
        <item x="1137"/>
        <item x="537"/>
        <item x="1040"/>
        <item x="2489"/>
        <item x="2107"/>
        <item x="767"/>
        <item x="1712"/>
        <item x="523"/>
        <item x="162"/>
        <item x="1069"/>
        <item x="668"/>
        <item x="1621"/>
        <item x="1350"/>
        <item x="1710"/>
        <item x="73"/>
        <item x="949"/>
        <item x="2453"/>
        <item x="591"/>
        <item x="1322"/>
        <item x="1700"/>
        <item x="9"/>
        <item x="2640"/>
        <item x="2450"/>
        <item x="1631"/>
        <item x="965"/>
        <item x="116"/>
        <item x="1667"/>
        <item x="2052"/>
        <item x="303"/>
        <item x="788"/>
        <item x="1212"/>
        <item x="83"/>
        <item x="416"/>
        <item x="2791"/>
        <item x="501"/>
        <item x="1676"/>
        <item x="1360"/>
        <item x="1526"/>
        <item x="1586"/>
        <item x="1799"/>
        <item x="2862"/>
        <item x="1636"/>
        <item x="2830"/>
        <item x="2953"/>
        <item x="2236"/>
        <item x="2765"/>
        <item x="2433"/>
        <item x="1537"/>
        <item x="382"/>
        <item x="1054"/>
        <item x="1883"/>
        <item x="2001"/>
        <item x="1303"/>
        <item x="950"/>
        <item x="2751"/>
        <item x="2629"/>
        <item x="1477"/>
        <item x="762"/>
        <item x="1284"/>
        <item x="387"/>
        <item x="564"/>
        <item x="610"/>
        <item x="120"/>
        <item x="105"/>
        <item x="1181"/>
        <item x="2364"/>
        <item x="1417"/>
        <item x="781"/>
        <item x="1964"/>
        <item x="119"/>
        <item x="1620"/>
        <item x="220"/>
        <item x="1287"/>
        <item x="127"/>
        <item x="2109"/>
        <item x="2144"/>
        <item x="2829"/>
        <item x="2300"/>
        <item x="2703"/>
        <item x="503"/>
        <item x="126"/>
        <item x="626"/>
        <item x="619"/>
        <item x="1582"/>
        <item x="861"/>
        <item x="1588"/>
        <item x="256"/>
        <item x="510"/>
        <item x="2319"/>
        <item x="802"/>
        <item x="851"/>
        <item x="2459"/>
        <item x="1525"/>
        <item x="404"/>
        <item x="2748"/>
        <item x="1528"/>
        <item x="2206"/>
        <item x="2212"/>
        <item x="2201"/>
        <item x="2684"/>
        <item x="2030"/>
        <item x="726"/>
        <item x="2274"/>
        <item x="1085"/>
        <item x="1637"/>
        <item x="1260"/>
        <item x="2506"/>
        <item x="2643"/>
        <item x="1300"/>
        <item x="1730"/>
        <item x="470"/>
        <item x="1520"/>
        <item x="2120"/>
        <item x="2191"/>
        <item x="1004"/>
        <item x="262"/>
        <item x="1678"/>
        <item x="2670"/>
        <item x="2169"/>
        <item x="159"/>
        <item x="2225"/>
        <item x="2351"/>
        <item x="989"/>
        <item x="2108"/>
        <item x="1355"/>
        <item x="2035"/>
        <item x="912"/>
        <item x="1382"/>
        <item x="953"/>
        <item x="1936"/>
        <item x="1464"/>
        <item x="475"/>
        <item x="803"/>
        <item x="2110"/>
        <item x="2593"/>
        <item x="2064"/>
        <item x="2642"/>
        <item x="1236"/>
        <item x="1486"/>
        <item x="430"/>
        <item x="1572"/>
        <item x="1732"/>
        <item x="1756"/>
        <item x="817"/>
        <item x="1662"/>
        <item x="443"/>
        <item x="534"/>
        <item x="279"/>
        <item x="713"/>
        <item x="2634"/>
        <item x="704"/>
        <item x="1194"/>
        <item x="2738"/>
        <item x="397"/>
        <item x="2113"/>
        <item x="857"/>
        <item x="2466"/>
        <item x="642"/>
        <item x="1600"/>
        <item x="1270"/>
        <item x="899"/>
        <item x="2373"/>
        <item x="2149"/>
        <item x="852"/>
        <item x="557"/>
        <item x="1554"/>
        <item x="118"/>
        <item x="1182"/>
        <item x="1462"/>
        <item x="2423"/>
        <item x="2407"/>
        <item x="725"/>
        <item x="843"/>
        <item x="734"/>
        <item x="150"/>
        <item x="1237"/>
        <item x="1077"/>
        <item x="745"/>
        <item x="2333"/>
        <item x="2455"/>
        <item x="924"/>
        <item x="1310"/>
        <item x="2555"/>
        <item x="2359"/>
        <item x="490"/>
        <item x="615"/>
        <item x="2408"/>
        <item x="940"/>
        <item x="1407"/>
        <item x="1184"/>
        <item x="1759"/>
        <item x="1135"/>
        <item x="96"/>
        <item x="1666"/>
        <item x="1790"/>
        <item x="2431"/>
        <item x="1465"/>
        <item x="1779"/>
        <item x="176"/>
        <item x="178"/>
        <item x="2757"/>
        <item x="1045"/>
        <item x="1931"/>
        <item x="1391"/>
        <item x="1509"/>
        <item x="2609"/>
        <item x="1013"/>
        <item x="1716"/>
        <item x="605"/>
        <item x="1253"/>
        <item x="2507"/>
        <item x="1541"/>
        <item x="1432"/>
        <item x="1299"/>
        <item x="2620"/>
        <item x="2151"/>
        <item x="1169"/>
        <item x="479"/>
        <item x="2166"/>
        <item x="1665"/>
        <item x="1459"/>
        <item x="2561"/>
        <item x="1094"/>
        <item x="2596"/>
        <item x="900"/>
        <item x="1517"/>
        <item x="2861"/>
        <item x="147"/>
        <item x="1971"/>
        <item x="1566"/>
        <item x="2630"/>
        <item x="1397"/>
        <item x="1531"/>
        <item x="1919"/>
        <item x="1044"/>
        <item x="1923"/>
        <item x="2079"/>
        <item x="1529"/>
        <item x="1453"/>
        <item x="405"/>
        <item x="193"/>
        <item x="1976"/>
        <item x="718"/>
        <item x="2858"/>
        <item x="1320"/>
        <item x="2346"/>
        <item x="2226"/>
        <item x="2951"/>
        <item x="1218"/>
        <item x="1780"/>
        <item x="599"/>
        <item x="2295"/>
        <item x="8"/>
        <item x="1405"/>
        <item x="261"/>
        <item x="88"/>
        <item x="140"/>
        <item x="2187"/>
        <item x="1852"/>
        <item x="2053"/>
        <item x="863"/>
        <item x="46"/>
        <item x="2093"/>
        <item x="2230"/>
        <item x="1374"/>
        <item x="338"/>
        <item x="2458"/>
        <item x="2835"/>
        <item x="2405"/>
        <item x="2997"/>
        <item x="628"/>
        <item x="930"/>
        <item x="1770"/>
        <item x="2090"/>
        <item x="50"/>
        <item x="2464"/>
        <item x="2261"/>
        <item x="209"/>
        <item x="1373"/>
        <item x="18"/>
        <item x="1113"/>
        <item x="969"/>
        <item x="79"/>
        <item x="2889"/>
        <item x="570"/>
        <item x="1023"/>
        <item x="177"/>
        <item x="547"/>
        <item x="1533"/>
        <item x="2473"/>
        <item x="2486"/>
        <item x="1275"/>
        <item x="39"/>
        <item x="661"/>
        <item x="1494"/>
        <item x="967"/>
        <item x="446"/>
        <item x="2080"/>
        <item x="823"/>
        <item x="1809"/>
        <item x="929"/>
        <item x="1008"/>
        <item x="1280"/>
        <item x="732"/>
        <item x="2379"/>
        <item x="356"/>
        <item x="2024"/>
        <item x="1458"/>
        <item x="2025"/>
        <item x="1616"/>
        <item x="2189"/>
        <item x="1075"/>
        <item x="217"/>
        <item x="632"/>
        <item x="990"/>
        <item x="1644"/>
        <item x="16"/>
        <item x="21"/>
        <item x="129"/>
        <item x="617"/>
        <item x="1547"/>
        <item x="2177"/>
        <item x="2796"/>
        <item x="2568"/>
        <item x="1853"/>
        <item x="2118"/>
        <item x="1668"/>
        <item x="2515"/>
        <item x="1713"/>
        <item x="1264"/>
        <item x="1568"/>
        <item x="2619"/>
        <item x="2065"/>
        <item x="258"/>
        <item x="1969"/>
        <item x="777"/>
        <item x="2456"/>
        <item x="2426"/>
        <item x="2668"/>
        <item x="1215"/>
        <item x="342"/>
        <item x="364"/>
        <item x="1016"/>
        <item x="2802"/>
        <item x="2436"/>
        <item x="736"/>
        <item x="1207"/>
        <item x="2213"/>
        <item x="2737"/>
        <item x="1522"/>
        <item x="2983"/>
        <item x="1292"/>
        <item x="836"/>
        <item x="2849"/>
        <item x="62"/>
        <item x="2425"/>
        <item x="513"/>
        <item x="693"/>
        <item x="2865"/>
        <item x="1816"/>
        <item x="1697"/>
        <item x="918"/>
        <item x="2510"/>
        <item x="1794"/>
        <item x="1070"/>
        <item x="2702"/>
        <item x="2005"/>
        <item x="658"/>
        <item x="765"/>
        <item x="1829"/>
        <item x="195"/>
        <item x="2604"/>
        <item x="2329"/>
        <item x="942"/>
        <item x="1406"/>
        <item x="879"/>
        <item x="56"/>
        <item x="1278"/>
        <item x="2031"/>
        <item x="2028"/>
        <item x="363"/>
        <item x="373"/>
        <item x="2966"/>
        <item x="395"/>
        <item x="1748"/>
        <item x="660"/>
        <item x="867"/>
        <item x="136"/>
        <item x="1030"/>
        <item x="2626"/>
        <item x="1864"/>
        <item x="1435"/>
        <item x="1612"/>
        <item x="2694"/>
        <item x="219"/>
        <item x="2353"/>
        <item x="2130"/>
        <item x="2994"/>
        <item x="1843"/>
        <item x="743"/>
        <item x="1067"/>
        <item x="2898"/>
        <item x="1170"/>
        <item x="850"/>
        <item x="1242"/>
        <item x="1652"/>
        <item x="629"/>
        <item x="1810"/>
        <item x="621"/>
        <item x="366"/>
        <item x="634"/>
        <item x="682"/>
        <item x="2892"/>
        <item x="506"/>
        <item x="2094"/>
        <item x="1105"/>
        <item x="1290"/>
        <item x="2732"/>
        <item x="102"/>
        <item x="2119"/>
        <item x="1980"/>
        <item x="491"/>
        <item x="1331"/>
        <item x="2404"/>
        <item x="327"/>
        <item x="1558"/>
        <item x="689"/>
        <item x="1769"/>
        <item x="2605"/>
        <item x="2245"/>
        <item x="2152"/>
        <item x="206"/>
        <item x="524"/>
        <item x="1961"/>
        <item x="1110"/>
        <item x="1175"/>
        <item x="2853"/>
        <item x="678"/>
        <item x="1735"/>
        <item x="2252"/>
        <item x="375"/>
        <item x="1312"/>
        <item x="983"/>
        <item x="653"/>
        <item x="477"/>
        <item x="2784"/>
        <item x="111"/>
        <item x="747"/>
        <item x="1121"/>
        <item x="1162"/>
        <item x="566"/>
        <item x="1626"/>
        <item x="1032"/>
        <item x="1880"/>
        <item x="1888"/>
        <item x="2866"/>
        <item x="332"/>
        <item x="1219"/>
        <item x="1703"/>
        <item x="2679"/>
        <item x="2231"/>
        <item x="1239"/>
        <item x="2385"/>
        <item x="1772"/>
        <item x="667"/>
        <item x="1792"/>
        <item x="518"/>
        <item x="1351"/>
        <item x="1788"/>
        <item x="936"/>
        <item x="2117"/>
        <item x="1571"/>
        <item x="1736"/>
        <item x="1029"/>
        <item x="1956"/>
        <item x="1649"/>
        <item x="1249"/>
        <item x="2792"/>
        <item x="2008"/>
        <item x="2976"/>
        <item x="376"/>
        <item x="511"/>
        <item x="2873"/>
        <item x="801"/>
        <item x="2413"/>
        <item x="1190"/>
        <item x="1593"/>
        <item x="1966"/>
        <item x="1412"/>
        <item x="1987"/>
        <item x="2818"/>
        <item x="837"/>
        <item x="1073"/>
        <item x="719"/>
        <item x="1448"/>
        <item x="2328"/>
        <item x="2864"/>
        <item x="2897"/>
        <item x="1231"/>
        <item x="1354"/>
        <item x="775"/>
        <item x="553"/>
        <item x="842"/>
        <item x="2586"/>
        <item x="2665"/>
        <item x="1564"/>
        <item x="245"/>
        <item x="1615"/>
        <item x="1628"/>
        <item x="1589"/>
        <item x="1341"/>
        <item x="2051"/>
        <item x="2272"/>
        <item x="797"/>
        <item x="874"/>
        <item x="640"/>
        <item x="23"/>
        <item x="384"/>
        <item x="1034"/>
        <item x="613"/>
        <item x="2974"/>
        <item x="2692"/>
        <item x="807"/>
        <item x="2137"/>
        <item x="2395"/>
        <item x="772"/>
        <item x="1483"/>
        <item x="2382"/>
        <item x="2039"/>
        <item x="1096"/>
        <item x="1090"/>
        <item x="1479"/>
        <item x="1859"/>
        <item x="1830"/>
        <item x="2315"/>
        <item x="157"/>
        <item x="1508"/>
        <item x="1647"/>
        <item x="1500"/>
        <item x="1455"/>
        <item x="1763"/>
        <item x="2280"/>
        <item x="1323"/>
        <item x="1990"/>
        <item x="2809"/>
        <item x="699"/>
        <item x="473"/>
        <item x="1577"/>
        <item x="2916"/>
        <item x="32"/>
        <item x="956"/>
        <item x="2580"/>
        <item x="1892"/>
        <item x="826"/>
        <item x="401"/>
        <item x="2479"/>
        <item x="821"/>
        <item x="1887"/>
        <item x="1055"/>
        <item x="2991"/>
        <item x="975"/>
        <item x="2836"/>
        <item x="1947"/>
        <item x="1870"/>
        <item x="1015"/>
        <item x="1978"/>
        <item x="2457"/>
        <item x="2517"/>
        <item x="794"/>
        <item x="1624"/>
        <item x="4"/>
        <item x="1325"/>
        <item x="441"/>
        <item x="352"/>
        <item x="822"/>
        <item x="2767"/>
        <item x="1229"/>
        <item x="1142"/>
        <item x="1777"/>
        <item x="19"/>
        <item x="500"/>
        <item x="2636"/>
        <item x="1202"/>
        <item x="2749"/>
        <item x="816"/>
        <item x="827"/>
        <item x="1754"/>
        <item x="1041"/>
        <item x="1660"/>
        <item x="1047"/>
        <item x="97"/>
        <item x="2210"/>
        <item x="2488"/>
        <item x="1048"/>
        <item x="1339"/>
        <item x="529"/>
        <item x="2699"/>
        <item x="970"/>
        <item x="1261"/>
        <item x="415"/>
        <item x="2721"/>
        <item x="1358"/>
        <item x="519"/>
        <item x="2311"/>
        <item x="592"/>
        <item x="806"/>
        <item x="2223"/>
        <item x="737"/>
        <item x="47"/>
        <item x="1519"/>
        <item x="1378"/>
        <item x="1661"/>
        <item x="2944"/>
        <item x="2178"/>
        <item x="51"/>
        <item x="520"/>
        <item x="2572"/>
        <item x="1943"/>
        <item x="498"/>
        <item x="2700"/>
        <item x="1066"/>
        <item x="683"/>
        <item x="2318"/>
        <item x="1638"/>
        <item x="1074"/>
        <item x="2527"/>
        <item x="1140"/>
        <item x="664"/>
        <item x="2673"/>
        <item x="2076"/>
        <item x="1562"/>
        <item x="1216"/>
        <item x="2777"/>
        <item x="1724"/>
        <item x="636"/>
        <item x="1348"/>
        <item x="1994"/>
        <item x="1677"/>
        <item x="2352"/>
        <item x="1958"/>
        <item x="263"/>
        <item x="1540"/>
        <item x="886"/>
        <item x="2900"/>
        <item x="1262"/>
        <item x="1009"/>
        <item x="2576"/>
        <item x="333"/>
        <item x="1695"/>
        <item x="2856"/>
        <item x="1125"/>
        <item x="939"/>
        <item x="2716"/>
        <item x="2403"/>
        <item x="2142"/>
        <item x="290"/>
        <item x="2942"/>
        <item x="2551"/>
        <item x="2532"/>
        <item x="1387"/>
        <item x="1172"/>
        <item x="1049"/>
        <item x="805"/>
        <item x="192"/>
        <item x="2312"/>
        <item x="2783"/>
        <item x="1409"/>
        <item x="1592"/>
        <item x="855"/>
        <item x="2170"/>
        <item x="1838"/>
        <item x="1447"/>
        <item x="1536"/>
        <item x="1797"/>
        <item x="1445"/>
        <item x="1420"/>
        <item x="465"/>
        <item x="720"/>
        <item x="1491"/>
        <item x="487"/>
        <item x="1221"/>
        <item x="1116"/>
        <item x="392"/>
        <item x="2388"/>
        <item x="26"/>
        <item x="1785"/>
        <item x="2186"/>
        <item x="1185"/>
        <item x="310"/>
        <item x="656"/>
        <item x="1252"/>
        <item x="1385"/>
        <item x="357"/>
        <item x="739"/>
        <item x="1865"/>
        <item x="971"/>
        <item x="1968"/>
        <item x="2007"/>
        <item x="1941"/>
        <item x="493"/>
        <item x="848"/>
        <item x="2070"/>
        <item x="2516"/>
        <item x="2193"/>
        <item x="1463"/>
        <item x="2756"/>
        <item x="1336"/>
        <item x="1138"/>
        <item x="528"/>
        <item x="824"/>
        <item x="2768"/>
        <item x="2078"/>
        <item x="447"/>
        <item x="7"/>
        <item x="535"/>
        <item x="2753"/>
        <item x="2736"/>
        <item x="551"/>
        <item x="527"/>
        <item x="2547"/>
        <item x="2248"/>
        <item x="1408"/>
        <item x="2304"/>
        <item x="194"/>
        <item x="2013"/>
        <item x="1893"/>
        <item x="326"/>
        <item x="2905"/>
        <item x="1680"/>
        <item x="1514"/>
        <item x="265"/>
        <item x="2440"/>
        <item x="1951"/>
        <item x="1505"/>
        <item x="1091"/>
        <item x="2275"/>
        <item x="496"/>
        <item x="758"/>
        <item x="703"/>
        <item x="0"/>
        <item x="2766"/>
        <item x="2087"/>
        <item x="1823"/>
        <item x="549"/>
        <item x="1659"/>
        <item x="2469"/>
        <item x="2625"/>
        <item x="2292"/>
        <item x="1148"/>
        <item x="1656"/>
        <item x="2410"/>
        <item x="117"/>
        <item x="2104"/>
        <item x="1214"/>
        <item x="400"/>
        <item x="281"/>
        <item x="1760"/>
        <item x="1930"/>
        <item x="2207"/>
        <item x="550"/>
        <item x="546"/>
        <item x="394"/>
        <item x="2654"/>
        <item x="2587"/>
        <item x="2969"/>
        <item x="1881"/>
        <item x="422"/>
        <item x="789"/>
        <item x="2867"/>
        <item x="2518"/>
        <item x="144"/>
        <item x="2444"/>
        <item x="1427"/>
        <item x="2101"/>
        <item x="2134"/>
        <item x="2575"/>
        <item x="1050"/>
        <item x="438"/>
        <item x="1997"/>
        <item x="1603"/>
        <item x="1633"/>
        <item x="2434"/>
        <item x="1698"/>
        <item x="1970"/>
        <item x="585"/>
        <item x="1152"/>
        <item x="620"/>
        <item x="2414"/>
        <item x="243"/>
        <item x="1334"/>
        <item x="2055"/>
        <item x="1679"/>
        <item x="2259"/>
        <item x="1741"/>
        <item x="2610"/>
        <item x="104"/>
        <item x="659"/>
        <item x="2027"/>
        <item x="1363"/>
        <item x="1381"/>
        <item x="1998"/>
        <item x="1502"/>
        <item x="413"/>
        <item x="58"/>
        <item x="525"/>
        <item x="711"/>
        <item x="2860"/>
        <item x="1243"/>
        <item x="2979"/>
        <item x="2705"/>
        <item x="2925"/>
        <item x="383"/>
        <item x="1530"/>
        <item x="1719"/>
        <item x="240"/>
        <item x="820"/>
        <item x="2307"/>
        <item x="2917"/>
        <item x="471"/>
        <item x="622"/>
        <item x="1288"/>
        <item x="722"/>
        <item x="1948"/>
        <item x="1717"/>
        <item x="307"/>
        <item x="1917"/>
        <item x="2451"/>
        <item x="1922"/>
        <item x="538"/>
        <item x="1929"/>
        <item x="1758"/>
        <item x="2472"/>
        <item x="180"/>
        <item x="829"/>
        <item x="1905"/>
        <item x="2772"/>
        <item x="1984"/>
        <item x="2810"/>
        <item x="1563"/>
        <item x="388"/>
        <item x="322"/>
        <item x="2326"/>
        <item x="1778"/>
        <item x="1289"/>
        <item x="2940"/>
        <item x="172"/>
        <item x="1165"/>
        <item x="2102"/>
        <item x="1426"/>
        <item x="2017"/>
        <item x="2208"/>
        <item x="1532"/>
        <item x="442"/>
        <item x="454"/>
        <item x="1928"/>
        <item x="2771"/>
        <item x="1400"/>
        <item x="362"/>
        <item x="672"/>
        <item x="507"/>
        <item x="2164"/>
        <item x="1793"/>
        <item x="222"/>
        <item x="2870"/>
        <item x="883"/>
        <item x="2112"/>
        <item x="2293"/>
        <item x="57"/>
        <item x="2289"/>
        <item x="113"/>
        <item x="2710"/>
        <item x="972"/>
        <item x="1955"/>
        <item x="2238"/>
        <item x="979"/>
        <item x="1643"/>
        <item x="812"/>
        <item x="1914"/>
        <item x="1907"/>
        <item x="2220"/>
        <item x="444"/>
        <item x="2202"/>
        <item x="353"/>
        <item x="1539"/>
        <item x="294"/>
        <item x="2957"/>
        <item x="2360"/>
        <item x="103"/>
        <item x="1146"/>
        <item x="1727"/>
        <item x="1333"/>
        <item x="754"/>
        <item x="2871"/>
        <item x="891"/>
        <item x="2546"/>
        <item x="766"/>
        <item x="1828"/>
        <item x="2803"/>
        <item x="2582"/>
        <item x="935"/>
        <item x="911"/>
        <item x="1879"/>
        <item x="335"/>
        <item x="2687"/>
        <item x="641"/>
        <item x="2962"/>
        <item x="1557"/>
        <item x="2563"/>
        <item x="198"/>
        <item x="2842"/>
        <item x="264"/>
        <item x="738"/>
        <item x="1995"/>
        <item x="36"/>
        <item x="1240"/>
        <item x="601"/>
        <item x="1938"/>
        <item x="2244"/>
        <item x="845"/>
        <item x="2952"/>
        <item x="410"/>
        <item x="933"/>
        <item x="2255"/>
        <item x="1102"/>
        <item x="2592"/>
        <item x="1705"/>
        <item x="2508"/>
        <item x="1006"/>
        <item x="381"/>
        <item x="2928"/>
        <item x="877"/>
        <item x="1605"/>
        <item x="378"/>
        <item x="733"/>
        <item x="2288"/>
        <item x="2734"/>
        <item x="996"/>
        <item x="2793"/>
        <item x="920"/>
        <item x="643"/>
        <item x="2377"/>
        <item x="2376"/>
        <item x="1115"/>
        <item x="2277"/>
        <item x="894"/>
        <item x="2509"/>
        <item x="1222"/>
        <item x="2719"/>
        <item x="2874"/>
        <item x="319"/>
        <item x="1180"/>
        <item x="991"/>
        <item x="2650"/>
        <item x="1456"/>
        <item x="1731"/>
        <item x="2183"/>
        <item x="1343"/>
        <item x="169"/>
        <item x="35"/>
        <item x="2799"/>
        <item x="1954"/>
        <item x="2260"/>
        <item x="2661"/>
        <item x="2755"/>
        <item x="2638"/>
        <item x="552"/>
        <item x="1683"/>
        <item x="2543"/>
        <item x="2015"/>
        <item x="2844"/>
        <item x="135"/>
        <item x="1856"/>
        <item x="1689"/>
        <item x="1696"/>
        <item x="466"/>
        <item x="955"/>
        <item x="2233"/>
        <item x="2652"/>
        <item x="1634"/>
        <item x="1210"/>
        <item x="1737"/>
        <item x="2116"/>
        <item x="2675"/>
        <item x="379"/>
        <item x="428"/>
        <item x="2438"/>
        <item x="1238"/>
        <item x="293"/>
        <item x="1437"/>
        <item x="27"/>
        <item x="1559"/>
        <item x="2603"/>
        <item x="423"/>
        <item x="764"/>
        <item x="1996"/>
        <item x="1283"/>
        <item x="669"/>
        <item x="212"/>
        <item x="2840"/>
        <item x="2722"/>
        <item x="304"/>
        <item x="786"/>
        <item x="1480"/>
        <item x="2157"/>
        <item x="2528"/>
        <item x="425"/>
        <item x="846"/>
        <item x="968"/>
        <item x="460"/>
        <item x="2945"/>
        <item x="2859"/>
        <item x="1876"/>
        <item x="560"/>
        <item x="2334"/>
        <item x="2141"/>
        <item x="943"/>
        <item x="2685"/>
        <item x="1111"/>
        <item x="514"/>
        <item x="91"/>
        <item x="2608"/>
        <item x="1056"/>
        <item x="2368"/>
        <item x="2701"/>
        <item x="2790"/>
        <item x="296"/>
        <item x="2136"/>
        <item x="1745"/>
        <item x="2088"/>
        <item x="2618"/>
        <item x="2401"/>
        <item x="2847"/>
        <item x="790"/>
        <item x="2921"/>
        <item x="1025"/>
        <item x="2197"/>
        <item x="95"/>
        <item x="2487"/>
        <item x="1197"/>
        <item x="1344"/>
        <item x="1092"/>
        <item x="1379"/>
        <item x="2524"/>
        <item x="1020"/>
        <item x="773"/>
        <item x="1411"/>
        <item x="1904"/>
        <item x="459"/>
        <item x="1457"/>
        <item x="1800"/>
        <item x="1573"/>
        <item x="2043"/>
        <item x="1191"/>
        <item x="337"/>
        <item x="2924"/>
        <item x="433"/>
        <item x="2424"/>
        <item x="1512"/>
        <item x="1141"/>
        <item x="100"/>
        <item x="358"/>
        <item x="1939"/>
        <item x="2445"/>
        <item x="810"/>
        <item x="1399"/>
        <item x="542"/>
        <item x="1021"/>
        <item x="2215"/>
        <item x="1475"/>
        <item x="1208"/>
        <item x="1722"/>
        <item x="1337"/>
        <item x="1326"/>
        <item x="440"/>
        <item x="813"/>
        <item x="2760"/>
        <item x="2501"/>
        <item x="298"/>
        <item x="2828"/>
        <item x="2111"/>
        <item x="2037"/>
        <item x="469"/>
        <item x="526"/>
        <item x="349"/>
        <item x="1918"/>
        <item x="1682"/>
        <item x="1043"/>
        <item x="1356"/>
        <item x="1524"/>
        <item x="6"/>
        <item x="681"/>
        <item x="2175"/>
        <item x="1653"/>
        <item x="253"/>
        <item x="1177"/>
        <item x="707"/>
        <item x="1908"/>
        <item x="1153"/>
        <item x="1168"/>
        <item x="1542"/>
        <item x="2229"/>
        <item x="1749"/>
        <item x="336"/>
        <item x="2032"/>
        <item x="2029"/>
        <item x="93"/>
        <item x="648"/>
        <item x="1897"/>
        <item x="2271"/>
        <item x="1642"/>
        <item x="2927"/>
        <item x="684"/>
        <item x="818"/>
        <item x="2205"/>
        <item x="1926"/>
        <item x="2218"/>
        <item x="2752"/>
        <item x="2077"/>
        <item x="1201"/>
        <item x="2482"/>
        <item x="1721"/>
        <item x="280"/>
        <item x="236"/>
        <item x="2764"/>
        <item x="1461"/>
        <item x="2933"/>
        <item x="2977"/>
        <item x="14"/>
        <item x="145"/>
        <item x="1117"/>
        <item x="2443"/>
        <item x="740"/>
        <item t="default"/>
      </items>
    </pivotField>
    <pivotField showAll="0"/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Page" multipleItemSelectionAllowed="1" showAll="0">
      <items count="8">
        <item h="1" x="1"/>
        <item x="2"/>
        <item h="1" x="3"/>
        <item h="1" x="4"/>
        <item h="1" x="5"/>
        <item h="1" x="6"/>
        <item h="1" x="0"/>
        <item t="default"/>
      </items>
    </pivotField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11" hier="-1"/>
  </pageFields>
  <dataFields count="1">
    <dataField name="Count of Organization" fld="0" subtotal="count" baseField="0" baseItem="0"/>
  </dataFields>
  <formats count="4">
    <format dxfId="27">
      <pivotArea field="4" type="button" dataOnly="0" labelOnly="1" outline="0" axis="axisRow" fieldPosition="0"/>
    </format>
    <format dxfId="26">
      <pivotArea dataOnly="0" labelOnly="1" outline="0" axis="axisValues" fieldPosition="0"/>
    </format>
    <format dxfId="25">
      <pivotArea collapsedLevelsAreSubtotals="1" fieldPosition="0">
        <references count="1">
          <reference field="4" count="13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4">
      <pivotArea dataOnly="0" labelOnly="1" fieldPosition="0">
        <references count="1">
          <reference field="4" count="13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71239-1A36-4A4D-8FDB-74059CB17F6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8" firstHeaderRow="1" firstDataRow="1" firstDataCol="1" rowPageCount="1" colPageCount="1"/>
  <pivotFields count="21">
    <pivotField dataField="1" showAll="0"/>
    <pivotField showAll="0"/>
    <pivotField showAll="0"/>
    <pivotField showAll="0"/>
    <pivotField axis="axisRow" showAll="0">
      <items count="15">
        <item x="7"/>
        <item x="0"/>
        <item x="10"/>
        <item x="2"/>
        <item x="1"/>
        <item x="13"/>
        <item x="3"/>
        <item x="5"/>
        <item x="12"/>
        <item x="8"/>
        <item x="9"/>
        <item x="6"/>
        <item x="11"/>
        <item x="4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Page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11" hier="-1"/>
  </pageFields>
  <dataFields count="1">
    <dataField name="Count of Organiz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CAA08-7B08-43AF-84B4-734E3003F58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9:E43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ganiz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952E6-68B4-4DFC-9737-060B63DFFB3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D23:E33" firstHeaderRow="1" firstDataRow="1" firstDataCol="1"/>
  <pivotFields count="21">
    <pivotField dataField="1" showAll="0"/>
    <pivotField axis="axisRow" showAll="0">
      <items count="10">
        <item x="7"/>
        <item x="4"/>
        <item x="6"/>
        <item x="3"/>
        <item x="2"/>
        <item x="0"/>
        <item x="8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rganiz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F6463-9F14-4C89-B333-7024C22B995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9:B43" firstHeaderRow="1" firstDataRow="1" firstDataCol="1" rowPageCount="1" colPageCount="1"/>
  <pivotFields count="21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Page" multipleItemSelectionAllowed="1" showAll="0">
      <items count="8">
        <item h="1" x="1"/>
        <item x="2"/>
        <item h="1" x="3"/>
        <item h="1" x="4"/>
        <item h="1" x="5"/>
        <item h="1" x="6"/>
        <item h="1" x="0"/>
        <item t="default"/>
      </items>
    </pivotField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1" hier="-1"/>
  </pageFields>
  <dataFields count="1">
    <dataField name="Count of Organization" fld="0" subtotal="count" baseField="0" baseItem="0"/>
  </dataFields>
  <formats count="6">
    <format dxfId="33">
      <pivotArea field="8" type="button" dataOnly="0" labelOnly="1" outline="0" axis="axisRow" fieldPosition="0"/>
    </format>
    <format dxfId="32">
      <pivotArea dataOnly="0" labelOnly="1" outline="0" axis="axisValues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collapsedLevelsAreSubtotals="1" fieldPosition="0">
        <references count="1">
          <reference field="8" count="0"/>
        </references>
      </pivotArea>
    </format>
    <format dxfId="28">
      <pivotArea dataOnly="0" labelOnly="1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943D7-FE11-4BD2-89D8-ABB11FDD9D0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23:B33" firstHeaderRow="1" firstDataRow="1" firstDataCol="1" rowPageCount="1" colPageCount="1"/>
  <pivotFields count="21">
    <pivotField dataField="1" showAll="0"/>
    <pivotField axis="axisRow" showAll="0">
      <items count="10">
        <item x="7"/>
        <item x="4"/>
        <item x="6"/>
        <item x="3"/>
        <item x="2"/>
        <item x="0"/>
        <item x="8"/>
        <item x="1"/>
        <item x="5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Page" multipleItemSelectionAllowed="1" showAll="0">
      <items count="8">
        <item h="1" x="1"/>
        <item x="2"/>
        <item h="1" x="3"/>
        <item h="1" x="4"/>
        <item h="1" x="5"/>
        <item h="1" x="6"/>
        <item h="1" x="0"/>
        <item t="default"/>
      </items>
    </pivotField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1" hier="-1"/>
  </pageFields>
  <dataFields count="1">
    <dataField name="Count of Organization" fld="0" subtotal="count" baseField="0" baseItem="0"/>
  </dataFields>
  <formats count="11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collapsedLevelsAreSubtotals="1" fieldPosition="0">
        <references count="1">
          <reference field="1" count="0"/>
        </references>
      </pivotArea>
    </format>
    <format dxfId="34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E6F84-771A-472F-9C98-39B8084B042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ts">
  <location ref="D3:E12" firstHeaderRow="1" firstDataRow="1" firstDataCol="1" rowPageCount="1" colPageCount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axis="axisPage" multipleItemSelectionAllowed="1" showAll="0">
      <items count="8">
        <item h="1" x="1"/>
        <item h="1" x="2"/>
        <item h="1" x="3"/>
        <item h="1" x="4"/>
        <item h="1" x="5"/>
        <item x="6"/>
        <item h="1" x="0"/>
        <item t="default"/>
      </items>
    </pivotField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1" hier="-1"/>
  </pageFields>
  <dataFields count="1">
    <dataField name="Count of Organization" fld="0" subtotal="count" baseField="0" baseItem="0"/>
  </dataFields>
  <formats count="2">
    <format dxfId="5">
      <pivotArea collapsedLevelsAreSubtotals="1" fieldPosition="0">
        <references count="1">
          <reference field="6" count="1">
            <x v="5"/>
          </reference>
        </references>
      </pivotArea>
    </format>
    <format dxfId="4">
      <pivotArea dataOnly="0" labelOnly="1" fieldPosition="0">
        <references count="1">
          <reference field="6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842CB-9B08-4261-BBC9-092CDCF8A63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ts">
  <location ref="A3:B12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ganization" fld="0" subtotal="count" baseField="0" baseItem="0"/>
  </dataFields>
  <formats count="2">
    <format dxfId="7">
      <pivotArea collapsedLevelsAreSubtotals="1" fieldPosition="0">
        <references count="1">
          <reference field="6" count="1">
            <x v="5"/>
          </reference>
        </references>
      </pivotArea>
    </format>
    <format dxfId="6">
      <pivotArea dataOnly="0" labelOnly="1" fieldPosition="0">
        <references count="1">
          <reference field="6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3CC33-EFE7-46EE-8416-15BA921E418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ts">
  <location ref="A16:B2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Deal Value, $" fld="13" baseField="0" baseItem="0"/>
  </dataFields>
  <formats count="7">
    <format dxfId="14">
      <pivotArea collapsedLevelsAreSubtotals="1" fieldPosition="0">
        <references count="1">
          <reference field="6" count="0"/>
        </references>
      </pivotArea>
    </format>
    <format dxfId="13">
      <pivotArea collapsedLevelsAreSubtotals="1" fieldPosition="0">
        <references count="1">
          <reference field="6" count="1">
            <x v="5"/>
          </reference>
        </references>
      </pivotArea>
    </format>
    <format dxfId="12">
      <pivotArea dataOnly="0" labelOnly="1" fieldPosition="0">
        <references count="1">
          <reference field="6" count="1">
            <x v="5"/>
          </reference>
        </references>
      </pivotArea>
    </format>
    <format dxfId="11">
      <pivotArea collapsedLevelsAreSubtotals="1" fieldPosition="0">
        <references count="1">
          <reference field="6" count="1">
            <x v="5"/>
          </reference>
        </references>
      </pivotArea>
    </format>
    <format dxfId="10">
      <pivotArea dataOnly="0" labelOnly="1" fieldPosition="0">
        <references count="1">
          <reference field="6" count="1">
            <x v="5"/>
          </reference>
        </references>
      </pivotArea>
    </format>
    <format dxfId="9">
      <pivotArea collapsedLevelsAreSubtotals="1" fieldPosition="0">
        <references count="1">
          <reference field="6" count="1">
            <x v="5"/>
          </reference>
        </references>
      </pivotArea>
    </format>
    <format dxfId="8">
      <pivotArea dataOnly="0" labelOnly="1" fieldPosition="0">
        <references count="1">
          <reference field="6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35632-DCFB-4AF0-8647-1B4050CCB4C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multipleItemSelectionAllowed="1" showAll="0">
      <items count="8">
        <item h="1" x="1"/>
        <item x="2"/>
        <item h="1" x="3"/>
        <item h="1" x="4"/>
        <item h="1" x="5"/>
        <item x="6"/>
        <item h="1" x="0"/>
        <item t="default"/>
      </items>
    </pivotField>
    <pivotField showAll="0"/>
    <pivotField dataField="1"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3">
    <i>
      <x v="1"/>
    </i>
    <i>
      <x v="5"/>
    </i>
    <i t="grand">
      <x/>
    </i>
  </rowItems>
  <colItems count="1">
    <i/>
  </colItems>
  <dataFields count="1">
    <dataField name="Count of Deal Value, $" fld="13" subtotal="count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7FE60-BAE3-49A2-8CAA-93EED832348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showAll="0"/>
    <pivotField axis="axisRow" multipleItemSelectionAllowed="1" showAll="0">
      <items count="8">
        <item x="1"/>
        <item h="1" x="2"/>
        <item x="3"/>
        <item x="4"/>
        <item x="5"/>
        <item h="1" x="6"/>
        <item x="0"/>
        <item t="default"/>
      </items>
    </pivotField>
    <pivotField showAll="0"/>
    <pivotField dataField="1"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9"/>
    <field x="11"/>
  </rowFields>
  <rowItems count="6">
    <i>
      <x v="4"/>
    </i>
    <i r="1">
      <x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Deal Value, $" fld="13" baseField="0" baseItem="0" numFmtId="4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16D0E-8717-414B-971D-5B445A95435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8">
        <item h="1" sd="0" x="0"/>
        <item h="1" sd="0" x="1"/>
        <item h="1" sd="0" x="2"/>
        <item h="1" sd="0" x="3"/>
        <item x="4"/>
        <item h="1" sd="0" x="5"/>
        <item h="1" sd="0" x="6"/>
        <item t="default"/>
      </items>
    </pivotField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dataField="1"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9"/>
    <field x="11"/>
  </rowFields>
  <rowItems count="8"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ount of Deal Value, $" fld="13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E70D8-AF7E-4977-92FC-A14CA6A3C22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 rowPageCount="2" colPageCount="1"/>
  <pivotFields count="21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Page" multipleItemSelectionAllowed="1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showAll="0"/>
    <pivotField axis="axisPage" multipleItemSelectionAllowed="1" showAll="0">
      <items count="8">
        <item x="1"/>
        <item h="1" x="2"/>
        <item x="3"/>
        <item x="4"/>
        <item x="5"/>
        <item h="1" x="6"/>
        <item x="0"/>
        <item t="default"/>
      </items>
    </pivotField>
    <pivotField showAll="0"/>
    <pivotField dataField="1" showAll="0"/>
    <pivotField showAll="0"/>
    <pivotField axis="axisRow"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4">
    <field x="20"/>
    <field x="19"/>
    <field x="18"/>
    <field x="15"/>
  </rowFields>
  <rowItems count="3">
    <i>
      <x v="1"/>
    </i>
    <i>
      <x v="2"/>
    </i>
    <i t="grand">
      <x/>
    </i>
  </rowItems>
  <colItems count="1">
    <i/>
  </colItems>
  <pageFields count="2">
    <pageField fld="9" hier="-1"/>
    <pageField fld="11" hier="-1"/>
  </pageFields>
  <dataFields count="1">
    <dataField name="Sum of Deal Value, $" fld="13" baseField="0" baseItem="0" numFmtId="166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05ED4-22DD-4D4B-BC75-5C1AB36ECAD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3" firstHeaderRow="1" firstDataRow="1" firstDataCol="1" rowPageCount="2" colPageCount="1"/>
  <pivotFields count="21"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4"/>
        <item x="0"/>
        <item x="5"/>
        <item x="3"/>
        <item x="2"/>
        <item x="6"/>
        <item t="default"/>
      </items>
    </pivotField>
    <pivotField numFmtId="14" showAll="0"/>
    <pivotField showAll="0"/>
    <pivotField axis="axisPage" multipleItemSelectionAllowed="1" showAll="0">
      <items count="8">
        <item h="1" x="0"/>
        <item x="1"/>
        <item h="1" x="2"/>
        <item h="1" x="3"/>
        <item h="1" x="4"/>
        <item h="1" x="5"/>
        <item h="1" x="6"/>
        <item t="default"/>
      </items>
    </pivotField>
    <pivotField showAll="0"/>
    <pivotField multipleItemSelectionAllowed="1" showAll="0">
      <items count="8">
        <item h="1" x="1"/>
        <item h="1" x="2"/>
        <item h="1" x="3"/>
        <item h="1" x="4"/>
        <item h="1" x="5"/>
        <item x="6"/>
        <item h="1" x="0"/>
        <item t="default"/>
      </items>
    </pivotField>
    <pivotField showAll="0"/>
    <pivotField showAll="0"/>
    <pivotField showAll="0"/>
    <pivotField numFmtId="14" showAll="0">
      <items count="464">
        <item x="55"/>
        <item x="452"/>
        <item x="461"/>
        <item x="445"/>
        <item x="406"/>
        <item x="462"/>
        <item x="422"/>
        <item x="303"/>
        <item x="448"/>
        <item x="439"/>
        <item x="433"/>
        <item x="460"/>
        <item x="397"/>
        <item x="331"/>
        <item x="352"/>
        <item x="380"/>
        <item x="378"/>
        <item x="389"/>
        <item x="296"/>
        <item x="292"/>
        <item x="403"/>
        <item x="318"/>
        <item x="363"/>
        <item x="454"/>
        <item x="102"/>
        <item x="268"/>
        <item x="291"/>
        <item x="125"/>
        <item x="304"/>
        <item x="167"/>
        <item x="241"/>
        <item x="450"/>
        <item x="407"/>
        <item x="306"/>
        <item x="449"/>
        <item x="80"/>
        <item x="394"/>
        <item x="354"/>
        <item x="127"/>
        <item x="5"/>
        <item x="35"/>
        <item x="367"/>
        <item x="357"/>
        <item x="366"/>
        <item x="417"/>
        <item x="429"/>
        <item x="195"/>
        <item x="441"/>
        <item x="67"/>
        <item x="15"/>
        <item x="421"/>
        <item x="28"/>
        <item x="110"/>
        <item x="317"/>
        <item x="409"/>
        <item x="355"/>
        <item x="198"/>
        <item x="151"/>
        <item x="156"/>
        <item x="416"/>
        <item x="375"/>
        <item x="73"/>
        <item x="420"/>
        <item x="323"/>
        <item x="45"/>
        <item x="177"/>
        <item x="349"/>
        <item x="66"/>
        <item x="453"/>
        <item x="327"/>
        <item x="162"/>
        <item x="350"/>
        <item x="136"/>
        <item x="405"/>
        <item x="39"/>
        <item x="169"/>
        <item x="176"/>
        <item x="328"/>
        <item x="49"/>
        <item x="428"/>
        <item x="301"/>
        <item x="185"/>
        <item x="78"/>
        <item x="133"/>
        <item x="410"/>
        <item x="333"/>
        <item x="415"/>
        <item x="101"/>
        <item x="13"/>
        <item x="193"/>
        <item x="59"/>
        <item x="180"/>
        <item x="430"/>
        <item x="152"/>
        <item x="332"/>
        <item x="294"/>
        <item x="315"/>
        <item x="372"/>
        <item x="339"/>
        <item x="6"/>
        <item x="269"/>
        <item x="114"/>
        <item x="360"/>
        <item x="112"/>
        <item x="273"/>
        <item x="119"/>
        <item x="8"/>
        <item x="257"/>
        <item x="368"/>
        <item x="239"/>
        <item x="307"/>
        <item x="60"/>
        <item x="143"/>
        <item x="36"/>
        <item x="173"/>
        <item x="426"/>
        <item x="142"/>
        <item x="300"/>
        <item x="256"/>
        <item x="228"/>
        <item x="83"/>
        <item x="166"/>
        <item x="132"/>
        <item x="93"/>
        <item x="158"/>
        <item x="181"/>
        <item x="27"/>
        <item x="288"/>
        <item x="122"/>
        <item x="82"/>
        <item x="370"/>
        <item x="262"/>
        <item x="322"/>
        <item x="91"/>
        <item x="37"/>
        <item x="147"/>
        <item x="344"/>
        <item x="148"/>
        <item x="245"/>
        <item x="320"/>
        <item x="346"/>
        <item x="86"/>
        <item x="68"/>
        <item x="150"/>
        <item x="247"/>
        <item x="358"/>
        <item x="249"/>
        <item x="393"/>
        <item x="325"/>
        <item x="341"/>
        <item x="310"/>
        <item x="117"/>
        <item x="97"/>
        <item x="295"/>
        <item x="329"/>
        <item x="141"/>
        <item x="98"/>
        <item x="347"/>
        <item x="222"/>
        <item x="70"/>
        <item x="92"/>
        <item x="130"/>
        <item x="283"/>
        <item x="106"/>
        <item x="191"/>
        <item x="140"/>
        <item x="252"/>
        <item x="85"/>
        <item x="7"/>
        <item x="340"/>
        <item x="62"/>
        <item x="88"/>
        <item x="161"/>
        <item x="297"/>
        <item x="84"/>
        <item x="251"/>
        <item x="244"/>
        <item x="19"/>
        <item x="20"/>
        <item x="168"/>
        <item x="205"/>
        <item x="0"/>
        <item x="190"/>
        <item x="124"/>
        <item x="145"/>
        <item x="276"/>
        <item x="139"/>
        <item x="215"/>
        <item x="34"/>
        <item x="208"/>
        <item x="261"/>
        <item x="197"/>
        <item x="10"/>
        <item x="199"/>
        <item x="63"/>
        <item x="374"/>
        <item x="376"/>
        <item x="401"/>
        <item x="30"/>
        <item x="362"/>
        <item x="230"/>
        <item x="56"/>
        <item x="319"/>
        <item x="254"/>
        <item x="26"/>
        <item x="438"/>
        <item x="371"/>
        <item x="118"/>
        <item x="144"/>
        <item x="313"/>
        <item x="50"/>
        <item x="314"/>
        <item x="400"/>
        <item x="74"/>
        <item x="278"/>
        <item x="131"/>
        <item x="343"/>
        <item x="284"/>
        <item x="146"/>
        <item x="236"/>
        <item x="14"/>
        <item x="179"/>
        <item x="121"/>
        <item x="174"/>
        <item x="11"/>
        <item x="72"/>
        <item x="388"/>
        <item x="356"/>
        <item x="4"/>
        <item x="178"/>
        <item x="398"/>
        <item x="204"/>
        <item x="99"/>
        <item x="211"/>
        <item x="61"/>
        <item x="163"/>
        <item x="369"/>
        <item x="226"/>
        <item x="111"/>
        <item x="109"/>
        <item x="189"/>
        <item x="24"/>
        <item x="32"/>
        <item x="160"/>
        <item x="364"/>
        <item x="48"/>
        <item x="3"/>
        <item x="194"/>
        <item x="42"/>
        <item x="289"/>
        <item x="137"/>
        <item x="427"/>
        <item x="321"/>
        <item x="115"/>
        <item x="342"/>
        <item x="248"/>
        <item x="52"/>
        <item x="16"/>
        <item x="411"/>
        <item x="12"/>
        <item x="1"/>
        <item x="216"/>
        <item x="203"/>
        <item x="382"/>
        <item x="282"/>
        <item x="423"/>
        <item x="153"/>
        <item x="29"/>
        <item x="79"/>
        <item x="196"/>
        <item x="65"/>
        <item x="17"/>
        <item x="274"/>
        <item x="135"/>
        <item x="311"/>
        <item x="316"/>
        <item x="384"/>
        <item x="188"/>
        <item x="43"/>
        <item x="267"/>
        <item x="90"/>
        <item x="390"/>
        <item x="326"/>
        <item x="309"/>
        <item x="129"/>
        <item x="175"/>
        <item x="253"/>
        <item x="324"/>
        <item x="103"/>
        <item x="157"/>
        <item x="171"/>
        <item x="386"/>
        <item x="183"/>
        <item x="221"/>
        <item x="126"/>
        <item x="336"/>
        <item x="116"/>
        <item x="373"/>
        <item x="58"/>
        <item x="33"/>
        <item x="218"/>
        <item x="31"/>
        <item x="419"/>
        <item x="212"/>
        <item x="458"/>
        <item x="64"/>
        <item x="235"/>
        <item x="94"/>
        <item x="96"/>
        <item x="77"/>
        <item x="40"/>
        <item x="379"/>
        <item x="277"/>
        <item x="21"/>
        <item x="154"/>
        <item x="120"/>
        <item x="381"/>
        <item x="53"/>
        <item x="95"/>
        <item x="100"/>
        <item x="123"/>
        <item x="71"/>
        <item x="260"/>
        <item x="391"/>
        <item x="44"/>
        <item x="217"/>
        <item x="213"/>
        <item x="38"/>
        <item x="89"/>
        <item x="107"/>
        <item x="47"/>
        <item x="298"/>
        <item x="201"/>
        <item x="392"/>
        <item x="87"/>
        <item x="359"/>
        <item x="263"/>
        <item x="9"/>
        <item x="231"/>
        <item x="75"/>
        <item x="155"/>
        <item x="187"/>
        <item x="229"/>
        <item x="200"/>
        <item x="238"/>
        <item x="209"/>
        <item x="134"/>
        <item x="290"/>
        <item x="214"/>
        <item x="172"/>
        <item x="207"/>
        <item x="57"/>
        <item x="23"/>
        <item x="113"/>
        <item x="219"/>
        <item x="220"/>
        <item x="387"/>
        <item x="164"/>
        <item x="105"/>
        <item x="224"/>
        <item x="279"/>
        <item x="186"/>
        <item x="165"/>
        <item x="408"/>
        <item x="223"/>
        <item x="54"/>
        <item x="348"/>
        <item x="243"/>
        <item x="308"/>
        <item x="425"/>
        <item x="159"/>
        <item x="104"/>
        <item x="312"/>
        <item x="170"/>
        <item x="225"/>
        <item x="76"/>
        <item x="293"/>
        <item x="149"/>
        <item x="25"/>
        <item x="138"/>
        <item x="51"/>
        <item x="246"/>
        <item x="280"/>
        <item x="250"/>
        <item x="272"/>
        <item x="377"/>
        <item x="81"/>
        <item x="182"/>
        <item x="255"/>
        <item x="259"/>
        <item x="412"/>
        <item x="275"/>
        <item x="227"/>
        <item x="418"/>
        <item x="281"/>
        <item x="431"/>
        <item x="286"/>
        <item x="41"/>
        <item x="335"/>
        <item x="232"/>
        <item x="353"/>
        <item x="402"/>
        <item x="69"/>
        <item x="2"/>
        <item x="206"/>
        <item x="457"/>
        <item x="265"/>
        <item x="242"/>
        <item x="210"/>
        <item x="46"/>
        <item x="258"/>
        <item x="285"/>
        <item x="395"/>
        <item x="234"/>
        <item x="299"/>
        <item x="305"/>
        <item x="442"/>
        <item x="385"/>
        <item x="266"/>
        <item x="436"/>
        <item x="264"/>
        <item x="237"/>
        <item x="233"/>
        <item x="413"/>
        <item x="330"/>
        <item x="399"/>
        <item x="18"/>
        <item x="446"/>
        <item x="128"/>
        <item x="361"/>
        <item x="287"/>
        <item x="338"/>
        <item x="334"/>
        <item x="270"/>
        <item x="451"/>
        <item x="240"/>
        <item x="22"/>
        <item x="345"/>
        <item x="444"/>
        <item x="432"/>
        <item x="202"/>
        <item x="351"/>
        <item x="383"/>
        <item x="404"/>
        <item x="108"/>
        <item x="443"/>
        <item x="455"/>
        <item x="437"/>
        <item x="192"/>
        <item x="424"/>
        <item x="184"/>
        <item x="447"/>
        <item x="434"/>
        <item x="440"/>
        <item x="459"/>
        <item x="271"/>
        <item x="302"/>
        <item x="337"/>
        <item x="456"/>
        <item x="365"/>
        <item x="435"/>
        <item x="396"/>
        <item x="414"/>
        <item t="default"/>
      </items>
    </pivotField>
    <pivotField axis="axisPage" multipleItemSelectionAllowed="1" showAll="0">
      <items count="178">
        <item x="134"/>
        <item x="61"/>
        <item x="14"/>
        <item x="163"/>
        <item x="149"/>
        <item x="15"/>
        <item x="52"/>
        <item x="98"/>
        <item x="36"/>
        <item x="67"/>
        <item x="39"/>
        <item x="173"/>
        <item x="105"/>
        <item x="37"/>
        <item x="29"/>
        <item x="109"/>
        <item x="77"/>
        <item x="70"/>
        <item x="133"/>
        <item x="156"/>
        <item x="113"/>
        <item x="99"/>
        <item x="100"/>
        <item x="27"/>
        <item x="111"/>
        <item x="81"/>
        <item x="75"/>
        <item x="87"/>
        <item x="169"/>
        <item x="84"/>
        <item x="44"/>
        <item x="124"/>
        <item x="151"/>
        <item x="158"/>
        <item x="122"/>
        <item x="49"/>
        <item x="117"/>
        <item x="138"/>
        <item x="51"/>
        <item x="162"/>
        <item x="26"/>
        <item x="96"/>
        <item x="121"/>
        <item x="47"/>
        <item x="95"/>
        <item x="165"/>
        <item x="34"/>
        <item x="97"/>
        <item x="135"/>
        <item x="8"/>
        <item x="23"/>
        <item x="78"/>
        <item x="68"/>
        <item x="154"/>
        <item x="63"/>
        <item x="119"/>
        <item x="114"/>
        <item x="148"/>
        <item x="20"/>
        <item x="160"/>
        <item x="80"/>
        <item x="57"/>
        <item x="82"/>
        <item x="106"/>
        <item x="5"/>
        <item x="11"/>
        <item x="146"/>
        <item x="132"/>
        <item x="12"/>
        <item x="31"/>
        <item x="45"/>
        <item x="171"/>
        <item x="118"/>
        <item x="71"/>
        <item x="136"/>
        <item x="102"/>
        <item x="56"/>
        <item x="142"/>
        <item x="129"/>
        <item x="3"/>
        <item x="110"/>
        <item x="38"/>
        <item x="2"/>
        <item x="79"/>
        <item x="10"/>
        <item x="24"/>
        <item x="150"/>
        <item x="139"/>
        <item x="161"/>
        <item x="88"/>
        <item x="145"/>
        <item x="144"/>
        <item x="16"/>
        <item x="32"/>
        <item x="65"/>
        <item x="125"/>
        <item x="172"/>
        <item x="157"/>
        <item x="167"/>
        <item x="35"/>
        <item x="91"/>
        <item x="104"/>
        <item x="55"/>
        <item x="42"/>
        <item x="153"/>
        <item x="143"/>
        <item x="140"/>
        <item x="18"/>
        <item x="17"/>
        <item x="76"/>
        <item x="72"/>
        <item x="126"/>
        <item x="83"/>
        <item x="123"/>
        <item x="28"/>
        <item x="66"/>
        <item x="9"/>
        <item x="59"/>
        <item x="43"/>
        <item x="33"/>
        <item x="137"/>
        <item x="159"/>
        <item x="74"/>
        <item x="130"/>
        <item x="155"/>
        <item x="90"/>
        <item x="152"/>
        <item x="168"/>
        <item x="0"/>
        <item x="175"/>
        <item x="41"/>
        <item x="6"/>
        <item x="7"/>
        <item x="147"/>
        <item x="115"/>
        <item x="86"/>
        <item x="62"/>
        <item x="164"/>
        <item x="112"/>
        <item x="108"/>
        <item x="54"/>
        <item x="22"/>
        <item x="13"/>
        <item x="141"/>
        <item x="174"/>
        <item x="25"/>
        <item x="101"/>
        <item x="46"/>
        <item x="92"/>
        <item x="4"/>
        <item x="94"/>
        <item x="93"/>
        <item x="128"/>
        <item x="21"/>
        <item x="120"/>
        <item x="103"/>
        <item x="50"/>
        <item x="64"/>
        <item x="40"/>
        <item x="131"/>
        <item x="53"/>
        <item x="48"/>
        <item x="166"/>
        <item x="60"/>
        <item x="73"/>
        <item x="19"/>
        <item x="69"/>
        <item x="127"/>
        <item x="89"/>
        <item x="30"/>
        <item x="107"/>
        <item x="85"/>
        <item x="116"/>
        <item x="58"/>
        <item x="1"/>
        <item x="170"/>
        <item h="1" x="176"/>
        <item t="default"/>
      </items>
    </pivotField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16" hier="-1"/>
    <pageField fld="9" hier="-1"/>
  </pageFields>
  <dataFields count="1">
    <dataField name="Average of Delay Days" fld="17" subtotal="average" baseField="6" baseItem="0" numFmtId="1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2E4C2-56D4-41DE-AE18-5F7646C02E80}" name="Table1" displayName="Table1" ref="A1:R3001" totalsRowShown="0">
  <autoFilter ref="A1:R3001" xr:uid="{21D2E4C2-56D4-41DE-AE18-5F7646C02E80}"/>
  <sortState xmlns:xlrd2="http://schemas.microsoft.com/office/spreadsheetml/2017/richdata2" ref="A1040:R1823">
    <sortCondition ref="H1:H3001"/>
  </sortState>
  <tableColumns count="18">
    <tableColumn id="1" xr3:uid="{C92DFF32-1C61-45A8-8DC2-9BA2DFB42404}" name="Organization"/>
    <tableColumn id="2" xr3:uid="{7FCADF5C-3FD5-42FC-AEAB-A6DF181C26D9}" name="Country"/>
    <tableColumn id="21" xr3:uid="{832D4892-EF27-48F5-B22D-9757F09A6DF4}" name="Lattitude" dataDxfId="23"/>
    <tableColumn id="22" xr3:uid="{FFFBC904-572E-463A-ABEB-94114E41D51B}" name="Longitude" dataDxfId="22"/>
    <tableColumn id="3" xr3:uid="{AD1D32AE-5DDB-4996-BF31-C07845B75C3F}" name="Industry"/>
    <tableColumn id="4" xr3:uid="{56DE5668-45CC-482F-B37C-A06679E7C045}" name="Organization size"/>
    <tableColumn id="5" xr3:uid="{4E91FE27-786C-45D7-817C-052F87F6D1F5}" name="Owner"/>
    <tableColumn id="11" xr3:uid="{10404214-49EF-4B0D-BC1C-E2360EC2B050}" name="Lead acquisition date" dataDxfId="21"/>
    <tableColumn id="6" xr3:uid="{7804AF3E-A8ED-49BE-95DE-68C7B08097E4}" name="Product"/>
    <tableColumn id="7" xr3:uid="{AB81FFA9-1C1C-4FF4-B06F-FD9B81C0DB8C}" name="Status"/>
    <tableColumn id="12" xr3:uid="{D5088114-EBCF-4C42-A58A-9BCA3BB968B0}" name="Status sequence"/>
    <tableColumn id="8" xr3:uid="{B6354085-7933-4072-A1AD-4EA80D31A6C4}" name="Stage"/>
    <tableColumn id="15" xr3:uid="{59BE6312-6560-475C-98D9-4FD2A0A7CA43}" name="Stage sequence"/>
    <tableColumn id="13" xr3:uid="{F5BB3BD1-7546-4274-850B-9CCE0F24BBE5}" name="Deal Value, $"/>
    <tableColumn id="9" xr3:uid="{F070E18D-F834-41DC-BFA6-52A4E7759FD8}" name="Probability, %"/>
    <tableColumn id="16" xr3:uid="{A10614F0-EC88-47F1-A39B-20852EE8B98C}" name="Expected close date" dataDxfId="20"/>
    <tableColumn id="17" xr3:uid="{E0BE630A-5927-4306-BCF5-D5196BDAF848}" name="Actual close date" dataDxfId="19"/>
    <tableColumn id="10" xr3:uid="{6CA598F8-670F-4902-891C-8FA58B412303}" name="Delay Days" dataDxfId="18">
      <calculatedColumnFormula>IF(Table1[[#This Row],[Actual close date]]="","",Table1[[#This Row],[Actual close date]]-Table1[[#This Row],[Expected close date]])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850F-7F34-4150-A0A4-D2726EBD10DE}">
  <dimension ref="A1:R3001"/>
  <sheetViews>
    <sheetView tabSelected="1" topLeftCell="D1" zoomScale="115" zoomScaleNormal="115" workbookViewId="0">
      <selection activeCell="T1341" sqref="T1341"/>
    </sheetView>
  </sheetViews>
  <sheetFormatPr defaultRowHeight="15" x14ac:dyDescent="0.25"/>
  <cols>
    <col min="1" max="1" width="17.5703125" customWidth="1"/>
    <col min="2" max="4" width="15.85546875" customWidth="1"/>
    <col min="5" max="5" width="36" bestFit="1" customWidth="1"/>
    <col min="6" max="6" width="22" customWidth="1"/>
    <col min="7" max="7" width="16" bestFit="1" customWidth="1"/>
    <col min="8" max="8" width="22.5703125" style="1" customWidth="1"/>
    <col min="9" max="9" width="15.5703125" bestFit="1" customWidth="1"/>
    <col min="10" max="10" width="17.5703125" bestFit="1" customWidth="1"/>
    <col min="11" max="11" width="18.28515625" customWidth="1"/>
    <col min="12" max="12" width="13.28515625" customWidth="1"/>
    <col min="13" max="13" width="19" customWidth="1"/>
    <col min="14" max="14" width="21.5703125" customWidth="1"/>
    <col min="15" max="15" width="15.42578125" style="1" customWidth="1"/>
    <col min="16" max="16" width="20.140625" style="1" customWidth="1"/>
    <col min="17" max="17" width="19.85546875" customWidth="1"/>
    <col min="18" max="18" width="14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3147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45402</v>
      </c>
      <c r="I2" t="s">
        <v>24</v>
      </c>
      <c r="J2" t="s">
        <v>25</v>
      </c>
      <c r="K2">
        <v>7</v>
      </c>
      <c r="N2">
        <v>833</v>
      </c>
      <c r="O2">
        <v>90</v>
      </c>
      <c r="P2" s="1">
        <v>45511</v>
      </c>
      <c r="Q2" s="1">
        <v>45470</v>
      </c>
      <c r="R2">
        <f>IF(Table1[[#This Row],[Actual close date]]="","",Table1[[#This Row],[Actual close date]]-Table1[[#This Row],[Expected close date]])</f>
        <v>-41</v>
      </c>
    </row>
    <row r="3" spans="1:18" x14ac:dyDescent="0.25">
      <c r="A3" t="s">
        <v>26</v>
      </c>
      <c r="B3" t="s">
        <v>27</v>
      </c>
      <c r="C3" t="s">
        <v>28</v>
      </c>
      <c r="D3">
        <v>-3.7037900000000001</v>
      </c>
      <c r="E3" t="s">
        <v>30</v>
      </c>
      <c r="F3" t="s">
        <v>22</v>
      </c>
      <c r="G3" t="s">
        <v>31</v>
      </c>
      <c r="H3" s="1">
        <v>45440</v>
      </c>
      <c r="I3" t="s">
        <v>24</v>
      </c>
      <c r="J3" t="s">
        <v>25</v>
      </c>
      <c r="K3">
        <v>7</v>
      </c>
      <c r="N3">
        <v>1623</v>
      </c>
      <c r="O3">
        <v>30</v>
      </c>
      <c r="P3" s="1">
        <v>45590</v>
      </c>
      <c r="Q3" s="1">
        <v>45546</v>
      </c>
      <c r="R3">
        <f>IF(Table1[[#This Row],[Actual close date]]="","",Table1[[#This Row],[Actual close date]]-Table1[[#This Row],[Expected close date]])</f>
        <v>-44</v>
      </c>
    </row>
    <row r="4" spans="1:18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37</v>
      </c>
      <c r="H4" s="1">
        <v>45368</v>
      </c>
      <c r="I4" t="s">
        <v>24</v>
      </c>
      <c r="J4" t="s">
        <v>25</v>
      </c>
      <c r="K4">
        <v>7</v>
      </c>
      <c r="N4">
        <v>1928</v>
      </c>
      <c r="O4">
        <v>20</v>
      </c>
      <c r="P4" s="1">
        <v>45733</v>
      </c>
      <c r="Q4" s="1">
        <v>45423</v>
      </c>
      <c r="R4">
        <f>IF(Table1[[#This Row],[Actual close date]]="","",Table1[[#This Row],[Actual close date]]-Table1[[#This Row],[Expected close date]])</f>
        <v>-310</v>
      </c>
    </row>
    <row r="5" spans="1:18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22</v>
      </c>
      <c r="G5" t="s">
        <v>37</v>
      </c>
      <c r="H5" s="1">
        <v>45309</v>
      </c>
      <c r="I5" t="s">
        <v>24</v>
      </c>
      <c r="J5" t="s">
        <v>25</v>
      </c>
      <c r="K5">
        <v>7</v>
      </c>
      <c r="N5">
        <v>303</v>
      </c>
      <c r="O5">
        <v>50</v>
      </c>
      <c r="P5" s="1">
        <v>45511</v>
      </c>
      <c r="Q5" s="1">
        <v>45418</v>
      </c>
      <c r="R5">
        <f>IF(Table1[[#This Row],[Actual close date]]="","",Table1[[#This Row],[Actual close date]]-Table1[[#This Row],[Expected close date]])</f>
        <v>-93</v>
      </c>
    </row>
    <row r="6" spans="1:18" x14ac:dyDescent="0.25">
      <c r="A6" t="s">
        <v>43</v>
      </c>
      <c r="B6" t="s">
        <v>39</v>
      </c>
      <c r="C6" t="s">
        <v>40</v>
      </c>
      <c r="D6" t="s">
        <v>41</v>
      </c>
      <c r="E6" t="s">
        <v>30</v>
      </c>
      <c r="F6" t="s">
        <v>22</v>
      </c>
      <c r="G6" t="s">
        <v>37</v>
      </c>
      <c r="H6" s="1">
        <v>45388</v>
      </c>
      <c r="I6" t="s">
        <v>24</v>
      </c>
      <c r="J6" t="s">
        <v>25</v>
      </c>
      <c r="K6">
        <v>7</v>
      </c>
      <c r="N6">
        <v>1911</v>
      </c>
      <c r="O6">
        <v>30</v>
      </c>
      <c r="P6" s="1">
        <v>45576</v>
      </c>
      <c r="Q6" s="1">
        <v>45498</v>
      </c>
      <c r="R6">
        <f>IF(Table1[[#This Row],[Actual close date]]="","",Table1[[#This Row],[Actual close date]]-Table1[[#This Row],[Expected close date]])</f>
        <v>-78</v>
      </c>
    </row>
    <row r="7" spans="1:18" x14ac:dyDescent="0.25">
      <c r="A7" t="s">
        <v>44</v>
      </c>
      <c r="B7" t="s">
        <v>39</v>
      </c>
      <c r="C7" t="s">
        <v>40</v>
      </c>
      <c r="D7" t="s">
        <v>41</v>
      </c>
      <c r="E7" t="s">
        <v>45</v>
      </c>
      <c r="F7" t="s">
        <v>22</v>
      </c>
      <c r="G7" t="s">
        <v>46</v>
      </c>
      <c r="H7" s="1">
        <v>45343</v>
      </c>
      <c r="I7" t="s">
        <v>47</v>
      </c>
      <c r="J7" t="s">
        <v>25</v>
      </c>
      <c r="K7">
        <v>7</v>
      </c>
      <c r="N7">
        <v>455</v>
      </c>
      <c r="O7">
        <v>20</v>
      </c>
      <c r="P7" s="1">
        <v>45558</v>
      </c>
      <c r="Q7" s="1">
        <v>45423</v>
      </c>
      <c r="R7">
        <f>IF(Table1[[#This Row],[Actual close date]]="","",Table1[[#This Row],[Actual close date]]-Table1[[#This Row],[Expected close date]])</f>
        <v>-135</v>
      </c>
    </row>
    <row r="8" spans="1:18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22</v>
      </c>
      <c r="G8" t="s">
        <v>46</v>
      </c>
      <c r="H8" s="1">
        <v>45335</v>
      </c>
      <c r="I8" t="s">
        <v>24</v>
      </c>
      <c r="J8" t="s">
        <v>25</v>
      </c>
      <c r="K8">
        <v>7</v>
      </c>
      <c r="N8">
        <v>351</v>
      </c>
      <c r="O8">
        <v>30</v>
      </c>
      <c r="P8" s="1">
        <v>45369</v>
      </c>
      <c r="Q8" s="1">
        <v>45399</v>
      </c>
      <c r="R8">
        <f>IF(Table1[[#This Row],[Actual close date]]="","",Table1[[#This Row],[Actual close date]]-Table1[[#This Row],[Expected close date]])</f>
        <v>30</v>
      </c>
    </row>
    <row r="9" spans="1:18" x14ac:dyDescent="0.25">
      <c r="A9" t="s">
        <v>53</v>
      </c>
      <c r="B9" t="s">
        <v>54</v>
      </c>
      <c r="C9" t="s">
        <v>55</v>
      </c>
      <c r="D9" t="s">
        <v>56</v>
      </c>
      <c r="E9" t="s">
        <v>52</v>
      </c>
      <c r="F9" t="s">
        <v>22</v>
      </c>
      <c r="G9" t="s">
        <v>57</v>
      </c>
      <c r="H9" s="1">
        <v>45306</v>
      </c>
      <c r="I9" t="s">
        <v>47</v>
      </c>
      <c r="J9" t="s">
        <v>25</v>
      </c>
      <c r="K9">
        <v>7</v>
      </c>
      <c r="N9">
        <v>230</v>
      </c>
      <c r="O9">
        <v>70</v>
      </c>
      <c r="P9" s="1">
        <v>45429</v>
      </c>
      <c r="Q9" s="1">
        <v>45423</v>
      </c>
      <c r="R9">
        <f>IF(Table1[[#This Row],[Actual close date]]="","",Table1[[#This Row],[Actual close date]]-Table1[[#This Row],[Expected close date]])</f>
        <v>-6</v>
      </c>
    </row>
    <row r="10" spans="1:18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37</v>
      </c>
      <c r="H10" s="1">
        <v>45360</v>
      </c>
      <c r="I10" t="s">
        <v>24</v>
      </c>
      <c r="J10" t="s">
        <v>25</v>
      </c>
      <c r="K10">
        <v>7</v>
      </c>
      <c r="N10">
        <v>1697</v>
      </c>
      <c r="O10">
        <v>80</v>
      </c>
      <c r="P10" s="1">
        <v>45498</v>
      </c>
      <c r="Q10" s="1">
        <v>45473</v>
      </c>
      <c r="R10">
        <f>IF(Table1[[#This Row],[Actual close date]]="","",Table1[[#This Row],[Actual close date]]-Table1[[#This Row],[Expected close date]])</f>
        <v>-25</v>
      </c>
    </row>
    <row r="11" spans="1:18" x14ac:dyDescent="0.25">
      <c r="A11" t="s">
        <v>63</v>
      </c>
      <c r="B11" t="s">
        <v>54</v>
      </c>
      <c r="C11" t="s">
        <v>55</v>
      </c>
      <c r="D11" t="s">
        <v>56</v>
      </c>
      <c r="E11" t="s">
        <v>45</v>
      </c>
      <c r="F11" t="s">
        <v>22</v>
      </c>
      <c r="G11" t="s">
        <v>46</v>
      </c>
      <c r="H11" s="1">
        <v>45383</v>
      </c>
      <c r="I11" t="s">
        <v>64</v>
      </c>
      <c r="J11" t="s">
        <v>25</v>
      </c>
      <c r="K11">
        <v>7</v>
      </c>
      <c r="N11">
        <v>320</v>
      </c>
      <c r="O11">
        <v>60</v>
      </c>
      <c r="P11" s="1">
        <v>45436</v>
      </c>
      <c r="Q11" s="1">
        <v>45474</v>
      </c>
      <c r="R11">
        <f>IF(Table1[[#This Row],[Actual close date]]="","",Table1[[#This Row],[Actual close date]]-Table1[[#This Row],[Expected close date]])</f>
        <v>38</v>
      </c>
    </row>
    <row r="12" spans="1:18" x14ac:dyDescent="0.25">
      <c r="A12" t="s">
        <v>65</v>
      </c>
      <c r="B12" t="s">
        <v>39</v>
      </c>
      <c r="C12" t="s">
        <v>40</v>
      </c>
      <c r="D12" t="s">
        <v>41</v>
      </c>
      <c r="E12" t="s">
        <v>66</v>
      </c>
      <c r="F12" t="s">
        <v>22</v>
      </c>
      <c r="G12" t="s">
        <v>31</v>
      </c>
      <c r="H12" s="1">
        <v>45334</v>
      </c>
      <c r="I12" t="s">
        <v>47</v>
      </c>
      <c r="J12" t="s">
        <v>25</v>
      </c>
      <c r="K12">
        <v>7</v>
      </c>
      <c r="N12">
        <v>721</v>
      </c>
      <c r="O12">
        <v>20</v>
      </c>
      <c r="P12" s="1">
        <v>45667</v>
      </c>
      <c r="Q12" s="1">
        <v>45382</v>
      </c>
      <c r="R12">
        <f>IF(Table1[[#This Row],[Actual close date]]="","",Table1[[#This Row],[Actual close date]]-Table1[[#This Row],[Expected close date]])</f>
        <v>-285</v>
      </c>
    </row>
    <row r="13" spans="1:18" x14ac:dyDescent="0.25">
      <c r="A13" t="s">
        <v>67</v>
      </c>
      <c r="B13" t="s">
        <v>33</v>
      </c>
      <c r="C13" t="s">
        <v>34</v>
      </c>
      <c r="D13" t="s">
        <v>35</v>
      </c>
      <c r="E13" t="s">
        <v>45</v>
      </c>
      <c r="F13" t="s">
        <v>22</v>
      </c>
      <c r="G13" t="s">
        <v>37</v>
      </c>
      <c r="H13" s="1">
        <v>45351</v>
      </c>
      <c r="I13" t="s">
        <v>64</v>
      </c>
      <c r="J13" t="s">
        <v>25</v>
      </c>
      <c r="K13">
        <v>7</v>
      </c>
      <c r="N13">
        <v>768</v>
      </c>
      <c r="O13">
        <v>80</v>
      </c>
      <c r="P13" s="1">
        <v>45522</v>
      </c>
      <c r="Q13" s="1">
        <v>45458</v>
      </c>
      <c r="R13">
        <f>IF(Table1[[#This Row],[Actual close date]]="","",Table1[[#This Row],[Actual close date]]-Table1[[#This Row],[Expected close date]])</f>
        <v>-64</v>
      </c>
    </row>
    <row r="14" spans="1:18" x14ac:dyDescent="0.25">
      <c r="A14" t="s">
        <v>68</v>
      </c>
      <c r="B14" t="s">
        <v>69</v>
      </c>
      <c r="C14" t="s">
        <v>70</v>
      </c>
      <c r="D14" t="s">
        <v>71</v>
      </c>
      <c r="E14" t="s">
        <v>42</v>
      </c>
      <c r="F14" t="s">
        <v>22</v>
      </c>
      <c r="G14" t="s">
        <v>72</v>
      </c>
      <c r="H14" s="1">
        <v>45393</v>
      </c>
      <c r="I14" t="s">
        <v>24</v>
      </c>
      <c r="J14" t="s">
        <v>25</v>
      </c>
      <c r="K14">
        <v>7</v>
      </c>
      <c r="N14">
        <v>741</v>
      </c>
      <c r="O14">
        <v>40</v>
      </c>
      <c r="P14" s="1">
        <v>45554</v>
      </c>
      <c r="Q14" s="1">
        <v>45425</v>
      </c>
      <c r="R14">
        <f>IF(Table1[[#This Row],[Actual close date]]="","",Table1[[#This Row],[Actual close date]]-Table1[[#This Row],[Expected close date]])</f>
        <v>-129</v>
      </c>
    </row>
    <row r="15" spans="1:18" x14ac:dyDescent="0.25">
      <c r="A15" t="s">
        <v>73</v>
      </c>
      <c r="B15" t="s">
        <v>59</v>
      </c>
      <c r="C15" t="s">
        <v>60</v>
      </c>
      <c r="D15" t="s">
        <v>61</v>
      </c>
      <c r="E15" t="s">
        <v>74</v>
      </c>
      <c r="F15" t="s">
        <v>22</v>
      </c>
      <c r="G15" t="s">
        <v>46</v>
      </c>
      <c r="H15" s="1">
        <v>45314</v>
      </c>
      <c r="I15" t="s">
        <v>24</v>
      </c>
      <c r="J15" t="s">
        <v>25</v>
      </c>
      <c r="K15">
        <v>7</v>
      </c>
      <c r="N15">
        <v>668</v>
      </c>
      <c r="O15">
        <v>70</v>
      </c>
      <c r="P15" s="1">
        <v>45589</v>
      </c>
      <c r="Q15" s="1">
        <v>45401</v>
      </c>
      <c r="R15">
        <f>IF(Table1[[#This Row],[Actual close date]]="","",Table1[[#This Row],[Actual close date]]-Table1[[#This Row],[Expected close date]])</f>
        <v>-188</v>
      </c>
    </row>
    <row r="16" spans="1:18" x14ac:dyDescent="0.25">
      <c r="A16" t="s">
        <v>75</v>
      </c>
      <c r="B16" t="s">
        <v>76</v>
      </c>
      <c r="C16" t="s">
        <v>77</v>
      </c>
      <c r="D16" t="s">
        <v>78</v>
      </c>
      <c r="E16" t="s">
        <v>21</v>
      </c>
      <c r="F16" t="s">
        <v>22</v>
      </c>
      <c r="G16" t="s">
        <v>57</v>
      </c>
      <c r="H16" s="1">
        <v>45361</v>
      </c>
      <c r="I16" t="s">
        <v>47</v>
      </c>
      <c r="J16" t="s">
        <v>25</v>
      </c>
      <c r="K16">
        <v>7</v>
      </c>
      <c r="N16">
        <v>406</v>
      </c>
      <c r="O16">
        <v>30</v>
      </c>
      <c r="P16" s="1">
        <v>45436</v>
      </c>
      <c r="Q16" s="1">
        <v>45418</v>
      </c>
      <c r="R16">
        <f>IF(Table1[[#This Row],[Actual close date]]="","",Table1[[#This Row],[Actual close date]]-Table1[[#This Row],[Expected close date]])</f>
        <v>-18</v>
      </c>
    </row>
    <row r="17" spans="1:18" x14ac:dyDescent="0.25">
      <c r="A17" t="s">
        <v>79</v>
      </c>
      <c r="B17" t="s">
        <v>76</v>
      </c>
      <c r="C17" t="s">
        <v>77</v>
      </c>
      <c r="D17" t="s">
        <v>78</v>
      </c>
      <c r="E17" t="s">
        <v>52</v>
      </c>
      <c r="F17" t="s">
        <v>22</v>
      </c>
      <c r="G17" t="s">
        <v>46</v>
      </c>
      <c r="H17" s="1">
        <v>45394</v>
      </c>
      <c r="I17" t="s">
        <v>64</v>
      </c>
      <c r="J17" t="s">
        <v>25</v>
      </c>
      <c r="K17">
        <v>7</v>
      </c>
      <c r="N17">
        <v>1686</v>
      </c>
      <c r="O17">
        <v>40</v>
      </c>
      <c r="P17" s="1">
        <v>45418</v>
      </c>
      <c r="Q17" s="1">
        <v>45407</v>
      </c>
      <c r="R17">
        <f>IF(Table1[[#This Row],[Actual close date]]="","",Table1[[#This Row],[Actual close date]]-Table1[[#This Row],[Expected close date]])</f>
        <v>-11</v>
      </c>
    </row>
    <row r="18" spans="1:18" x14ac:dyDescent="0.25">
      <c r="A18" t="s">
        <v>80</v>
      </c>
      <c r="B18" t="s">
        <v>76</v>
      </c>
      <c r="C18" t="s">
        <v>77</v>
      </c>
      <c r="D18" t="s">
        <v>78</v>
      </c>
      <c r="E18" t="s">
        <v>74</v>
      </c>
      <c r="F18" t="s">
        <v>22</v>
      </c>
      <c r="G18" t="s">
        <v>37</v>
      </c>
      <c r="H18" s="1">
        <v>45366</v>
      </c>
      <c r="I18" t="s">
        <v>64</v>
      </c>
      <c r="J18" t="s">
        <v>25</v>
      </c>
      <c r="K18">
        <v>7</v>
      </c>
      <c r="N18">
        <v>317</v>
      </c>
      <c r="O18">
        <v>40</v>
      </c>
      <c r="P18" s="1">
        <v>45550</v>
      </c>
      <c r="Q18" s="1">
        <v>45486</v>
      </c>
      <c r="R18">
        <f>IF(Table1[[#This Row],[Actual close date]]="","",Table1[[#This Row],[Actual close date]]-Table1[[#This Row],[Expected close date]])</f>
        <v>-64</v>
      </c>
    </row>
    <row r="19" spans="1:18" x14ac:dyDescent="0.25">
      <c r="A19" t="s">
        <v>81</v>
      </c>
      <c r="B19" t="s">
        <v>18</v>
      </c>
      <c r="C19" t="s">
        <v>19</v>
      </c>
      <c r="D19" t="s">
        <v>20</v>
      </c>
      <c r="E19" t="s">
        <v>82</v>
      </c>
      <c r="F19" t="s">
        <v>22</v>
      </c>
      <c r="G19" t="s">
        <v>83</v>
      </c>
      <c r="H19" s="1">
        <v>45308</v>
      </c>
      <c r="I19" t="s">
        <v>24</v>
      </c>
      <c r="J19" t="s">
        <v>25</v>
      </c>
      <c r="K19">
        <v>7</v>
      </c>
      <c r="N19">
        <v>1813</v>
      </c>
      <c r="O19">
        <v>40</v>
      </c>
      <c r="P19" s="1">
        <v>45379</v>
      </c>
      <c r="Q19" s="1">
        <v>45315</v>
      </c>
      <c r="R19">
        <f>IF(Table1[[#This Row],[Actual close date]]="","",Table1[[#This Row],[Actual close date]]-Table1[[#This Row],[Expected close date]])</f>
        <v>-64</v>
      </c>
    </row>
    <row r="20" spans="1:18" x14ac:dyDescent="0.25">
      <c r="A20" t="s">
        <v>84</v>
      </c>
      <c r="B20" t="s">
        <v>33</v>
      </c>
      <c r="C20" t="s">
        <v>34</v>
      </c>
      <c r="D20" t="s">
        <v>35</v>
      </c>
      <c r="E20" t="s">
        <v>74</v>
      </c>
      <c r="F20" t="s">
        <v>22</v>
      </c>
      <c r="G20" t="s">
        <v>85</v>
      </c>
      <c r="H20" s="1">
        <v>45315</v>
      </c>
      <c r="I20" t="s">
        <v>64</v>
      </c>
      <c r="J20" t="s">
        <v>25</v>
      </c>
      <c r="K20">
        <v>7</v>
      </c>
      <c r="N20">
        <v>1515</v>
      </c>
      <c r="O20">
        <v>40</v>
      </c>
      <c r="P20" s="1">
        <v>45587</v>
      </c>
      <c r="Q20" s="1">
        <v>45325</v>
      </c>
      <c r="R20">
        <f>IF(Table1[[#This Row],[Actual close date]]="","",Table1[[#This Row],[Actual close date]]-Table1[[#This Row],[Expected close date]])</f>
        <v>-262</v>
      </c>
    </row>
    <row r="21" spans="1:18" x14ac:dyDescent="0.25">
      <c r="A21" t="s">
        <v>86</v>
      </c>
      <c r="B21" t="s">
        <v>49</v>
      </c>
      <c r="C21" t="s">
        <v>50</v>
      </c>
      <c r="D21" t="s">
        <v>51</v>
      </c>
      <c r="E21" t="s">
        <v>45</v>
      </c>
      <c r="F21" t="s">
        <v>22</v>
      </c>
      <c r="G21" t="s">
        <v>57</v>
      </c>
      <c r="H21" s="1">
        <v>45401</v>
      </c>
      <c r="I21" t="s">
        <v>24</v>
      </c>
      <c r="J21" t="s">
        <v>25</v>
      </c>
      <c r="K21">
        <v>7</v>
      </c>
      <c r="N21">
        <v>1569</v>
      </c>
      <c r="O21">
        <v>50</v>
      </c>
      <c r="P21" s="1">
        <v>45601</v>
      </c>
      <c r="Q21" s="1">
        <v>45433</v>
      </c>
      <c r="R21">
        <f>IF(Table1[[#This Row],[Actual close date]]="","",Table1[[#This Row],[Actual close date]]-Table1[[#This Row],[Expected close date]])</f>
        <v>-168</v>
      </c>
    </row>
    <row r="22" spans="1:18" x14ac:dyDescent="0.25">
      <c r="A22" t="s">
        <v>87</v>
      </c>
      <c r="B22" t="s">
        <v>39</v>
      </c>
      <c r="C22" t="s">
        <v>40</v>
      </c>
      <c r="D22" t="s">
        <v>41</v>
      </c>
      <c r="E22" t="s">
        <v>66</v>
      </c>
      <c r="F22" t="s">
        <v>22</v>
      </c>
      <c r="G22" t="s">
        <v>83</v>
      </c>
      <c r="H22" s="1">
        <v>45418</v>
      </c>
      <c r="I22" t="s">
        <v>47</v>
      </c>
      <c r="J22" t="s">
        <v>25</v>
      </c>
      <c r="K22">
        <v>7</v>
      </c>
      <c r="N22">
        <v>405</v>
      </c>
      <c r="O22">
        <v>40</v>
      </c>
      <c r="P22" s="1">
        <v>45756</v>
      </c>
      <c r="Q22" s="1">
        <v>45450</v>
      </c>
      <c r="R22">
        <f>IF(Table1[[#This Row],[Actual close date]]="","",Table1[[#This Row],[Actual close date]]-Table1[[#This Row],[Expected close date]])</f>
        <v>-306</v>
      </c>
    </row>
    <row r="23" spans="1:18" x14ac:dyDescent="0.25">
      <c r="A23" t="s">
        <v>88</v>
      </c>
      <c r="B23" t="s">
        <v>33</v>
      </c>
      <c r="C23" t="s">
        <v>34</v>
      </c>
      <c r="D23" t="s">
        <v>35</v>
      </c>
      <c r="E23" t="s">
        <v>74</v>
      </c>
      <c r="F23" t="s">
        <v>22</v>
      </c>
      <c r="G23" t="s">
        <v>46</v>
      </c>
      <c r="H23" s="1">
        <v>45442</v>
      </c>
      <c r="I23" t="s">
        <v>24</v>
      </c>
      <c r="J23" t="s">
        <v>25</v>
      </c>
      <c r="K23">
        <v>7</v>
      </c>
      <c r="N23">
        <v>1456</v>
      </c>
      <c r="O23">
        <v>60</v>
      </c>
      <c r="P23" s="1">
        <v>45507</v>
      </c>
      <c r="Q23" s="1">
        <v>45449</v>
      </c>
      <c r="R23">
        <f>IF(Table1[[#This Row],[Actual close date]]="","",Table1[[#This Row],[Actual close date]]-Table1[[#This Row],[Expected close date]])</f>
        <v>-58</v>
      </c>
    </row>
    <row r="24" spans="1:18" x14ac:dyDescent="0.25">
      <c r="A24" t="s">
        <v>89</v>
      </c>
      <c r="B24" t="s">
        <v>59</v>
      </c>
      <c r="C24" t="s">
        <v>60</v>
      </c>
      <c r="D24" t="s">
        <v>61</v>
      </c>
      <c r="E24" t="s">
        <v>74</v>
      </c>
      <c r="F24" t="s">
        <v>22</v>
      </c>
      <c r="G24" t="s">
        <v>85</v>
      </c>
      <c r="H24" s="1">
        <v>45419</v>
      </c>
      <c r="I24" t="s">
        <v>64</v>
      </c>
      <c r="J24" t="s">
        <v>25</v>
      </c>
      <c r="K24">
        <v>7</v>
      </c>
      <c r="N24">
        <v>217</v>
      </c>
      <c r="O24">
        <v>90</v>
      </c>
      <c r="P24" s="1">
        <v>45508</v>
      </c>
      <c r="Q24" s="1">
        <v>45526</v>
      </c>
      <c r="R24">
        <f>IF(Table1[[#This Row],[Actual close date]]="","",Table1[[#This Row],[Actual close date]]-Table1[[#This Row],[Expected close date]])</f>
        <v>18</v>
      </c>
    </row>
    <row r="25" spans="1:18" x14ac:dyDescent="0.25">
      <c r="A25" t="s">
        <v>90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46</v>
      </c>
      <c r="H25" s="1">
        <v>45350</v>
      </c>
      <c r="I25" t="s">
        <v>64</v>
      </c>
      <c r="J25" t="s">
        <v>25</v>
      </c>
      <c r="K25">
        <v>7</v>
      </c>
      <c r="N25">
        <v>426</v>
      </c>
      <c r="O25">
        <v>40</v>
      </c>
      <c r="P25" s="1">
        <v>45643</v>
      </c>
      <c r="Q25" s="1">
        <v>45392</v>
      </c>
      <c r="R25">
        <f>IF(Table1[[#This Row],[Actual close date]]="","",Table1[[#This Row],[Actual close date]]-Table1[[#This Row],[Expected close date]])</f>
        <v>-251</v>
      </c>
    </row>
    <row r="26" spans="1:18" x14ac:dyDescent="0.25">
      <c r="A26" t="s">
        <v>91</v>
      </c>
      <c r="B26" t="s">
        <v>33</v>
      </c>
      <c r="C26" t="s">
        <v>34</v>
      </c>
      <c r="D26" t="s">
        <v>35</v>
      </c>
      <c r="E26" t="s">
        <v>21</v>
      </c>
      <c r="F26" t="s">
        <v>22</v>
      </c>
      <c r="G26" t="s">
        <v>83</v>
      </c>
      <c r="H26" s="1">
        <v>45407</v>
      </c>
      <c r="I26" t="s">
        <v>24</v>
      </c>
      <c r="J26" t="s">
        <v>25</v>
      </c>
      <c r="K26">
        <v>7</v>
      </c>
      <c r="N26">
        <v>1846</v>
      </c>
      <c r="O26">
        <v>60</v>
      </c>
      <c r="P26" s="1">
        <v>45766</v>
      </c>
      <c r="Q26" s="1">
        <v>45504</v>
      </c>
      <c r="R26">
        <f>IF(Table1[[#This Row],[Actual close date]]="","",Table1[[#This Row],[Actual close date]]-Table1[[#This Row],[Expected close date]])</f>
        <v>-262</v>
      </c>
    </row>
    <row r="27" spans="1:18" x14ac:dyDescent="0.25">
      <c r="A27" t="s">
        <v>92</v>
      </c>
      <c r="B27" t="s">
        <v>33</v>
      </c>
      <c r="C27" t="s">
        <v>34</v>
      </c>
      <c r="D27" t="s">
        <v>35</v>
      </c>
      <c r="E27" t="s">
        <v>62</v>
      </c>
      <c r="F27" t="s">
        <v>22</v>
      </c>
      <c r="G27" t="s">
        <v>37</v>
      </c>
      <c r="H27" s="1">
        <v>45401</v>
      </c>
      <c r="I27" t="s">
        <v>24</v>
      </c>
      <c r="J27" t="s">
        <v>25</v>
      </c>
      <c r="K27">
        <v>7</v>
      </c>
      <c r="N27">
        <v>1515</v>
      </c>
      <c r="O27">
        <v>40</v>
      </c>
      <c r="P27" s="1">
        <v>45682</v>
      </c>
      <c r="Q27" s="1">
        <v>45485</v>
      </c>
      <c r="R27">
        <f>IF(Table1[[#This Row],[Actual close date]]="","",Table1[[#This Row],[Actual close date]]-Table1[[#This Row],[Expected close date]])</f>
        <v>-197</v>
      </c>
    </row>
    <row r="28" spans="1:18" x14ac:dyDescent="0.25">
      <c r="A28" t="s">
        <v>93</v>
      </c>
      <c r="B28" t="s">
        <v>33</v>
      </c>
      <c r="C28" t="s">
        <v>34</v>
      </c>
      <c r="D28" t="s">
        <v>35</v>
      </c>
      <c r="E28" t="s">
        <v>74</v>
      </c>
      <c r="F28" t="s">
        <v>22</v>
      </c>
      <c r="G28" t="s">
        <v>83</v>
      </c>
      <c r="H28" s="1">
        <v>45343</v>
      </c>
      <c r="I28" t="s">
        <v>64</v>
      </c>
      <c r="J28" t="s">
        <v>25</v>
      </c>
      <c r="K28">
        <v>7</v>
      </c>
      <c r="N28">
        <v>1007</v>
      </c>
      <c r="O28">
        <v>20</v>
      </c>
      <c r="P28" s="1">
        <v>45571</v>
      </c>
      <c r="Q28" s="1">
        <v>45383</v>
      </c>
      <c r="R28">
        <f>IF(Table1[[#This Row],[Actual close date]]="","",Table1[[#This Row],[Actual close date]]-Table1[[#This Row],[Expected close date]])</f>
        <v>-188</v>
      </c>
    </row>
    <row r="29" spans="1:18" x14ac:dyDescent="0.25">
      <c r="A29" t="s">
        <v>94</v>
      </c>
      <c r="B29" t="s">
        <v>54</v>
      </c>
      <c r="C29" t="s">
        <v>55</v>
      </c>
      <c r="D29" t="s">
        <v>56</v>
      </c>
      <c r="E29" t="s">
        <v>36</v>
      </c>
      <c r="F29" t="s">
        <v>22</v>
      </c>
      <c r="G29" t="s">
        <v>72</v>
      </c>
      <c r="H29" s="1">
        <v>45415</v>
      </c>
      <c r="I29" t="s">
        <v>64</v>
      </c>
      <c r="J29" t="s">
        <v>25</v>
      </c>
      <c r="K29">
        <v>7</v>
      </c>
      <c r="N29">
        <v>1895</v>
      </c>
      <c r="O29">
        <v>80</v>
      </c>
      <c r="P29" s="1">
        <v>45708</v>
      </c>
      <c r="Q29" s="1">
        <v>45426</v>
      </c>
      <c r="R29">
        <f>IF(Table1[[#This Row],[Actual close date]]="","",Table1[[#This Row],[Actual close date]]-Table1[[#This Row],[Expected close date]])</f>
        <v>-282</v>
      </c>
    </row>
    <row r="30" spans="1:18" x14ac:dyDescent="0.25">
      <c r="A30" t="s">
        <v>95</v>
      </c>
      <c r="B30" t="s">
        <v>59</v>
      </c>
      <c r="C30" t="s">
        <v>60</v>
      </c>
      <c r="D30" t="s">
        <v>61</v>
      </c>
      <c r="E30" t="s">
        <v>42</v>
      </c>
      <c r="F30" t="s">
        <v>22</v>
      </c>
      <c r="G30" t="s">
        <v>57</v>
      </c>
      <c r="H30" s="1">
        <v>45378</v>
      </c>
      <c r="I30" t="s">
        <v>64</v>
      </c>
      <c r="J30" t="s">
        <v>25</v>
      </c>
      <c r="K30">
        <v>7</v>
      </c>
      <c r="N30">
        <v>748</v>
      </c>
      <c r="O30">
        <v>50</v>
      </c>
      <c r="P30" s="1">
        <v>45534</v>
      </c>
      <c r="Q30" s="1">
        <v>45489</v>
      </c>
      <c r="R30">
        <f>IF(Table1[[#This Row],[Actual close date]]="","",Table1[[#This Row],[Actual close date]]-Table1[[#This Row],[Expected close date]])</f>
        <v>-45</v>
      </c>
    </row>
    <row r="31" spans="1:18" x14ac:dyDescent="0.25">
      <c r="A31" t="s">
        <v>96</v>
      </c>
      <c r="B31" t="s">
        <v>33</v>
      </c>
      <c r="C31" t="s">
        <v>34</v>
      </c>
      <c r="D31" t="s">
        <v>35</v>
      </c>
      <c r="E31" t="s">
        <v>74</v>
      </c>
      <c r="F31" t="s">
        <v>22</v>
      </c>
      <c r="G31" t="s">
        <v>37</v>
      </c>
      <c r="H31" s="1">
        <v>45296</v>
      </c>
      <c r="I31" t="s">
        <v>24</v>
      </c>
      <c r="J31" t="s">
        <v>25</v>
      </c>
      <c r="K31">
        <v>7</v>
      </c>
      <c r="N31">
        <v>726</v>
      </c>
      <c r="O31">
        <v>10</v>
      </c>
      <c r="P31" s="1">
        <v>45456</v>
      </c>
      <c r="Q31" s="1">
        <v>45371</v>
      </c>
      <c r="R31">
        <f>IF(Table1[[#This Row],[Actual close date]]="","",Table1[[#This Row],[Actual close date]]-Table1[[#This Row],[Expected close date]])</f>
        <v>-85</v>
      </c>
    </row>
    <row r="32" spans="1:18" x14ac:dyDescent="0.25">
      <c r="A32" t="s">
        <v>97</v>
      </c>
      <c r="B32" t="s">
        <v>54</v>
      </c>
      <c r="C32" t="s">
        <v>55</v>
      </c>
      <c r="D32" t="s">
        <v>56</v>
      </c>
      <c r="E32" t="s">
        <v>98</v>
      </c>
      <c r="F32" t="s">
        <v>22</v>
      </c>
      <c r="G32" t="s">
        <v>46</v>
      </c>
      <c r="H32" s="1">
        <v>45334</v>
      </c>
      <c r="I32" t="s">
        <v>24</v>
      </c>
      <c r="J32" t="s">
        <v>25</v>
      </c>
      <c r="K32">
        <v>7</v>
      </c>
      <c r="N32">
        <v>634</v>
      </c>
      <c r="O32">
        <v>60</v>
      </c>
      <c r="P32" s="1">
        <v>45381</v>
      </c>
      <c r="Q32" s="1">
        <v>45349</v>
      </c>
      <c r="R32">
        <f>IF(Table1[[#This Row],[Actual close date]]="","",Table1[[#This Row],[Actual close date]]-Table1[[#This Row],[Expected close date]])</f>
        <v>-32</v>
      </c>
    </row>
    <row r="33" spans="1:18" x14ac:dyDescent="0.25">
      <c r="A33" t="s">
        <v>99</v>
      </c>
      <c r="B33" t="s">
        <v>33</v>
      </c>
      <c r="C33" t="s">
        <v>34</v>
      </c>
      <c r="D33" t="s">
        <v>35</v>
      </c>
      <c r="E33" t="s">
        <v>45</v>
      </c>
      <c r="F33" t="s">
        <v>22</v>
      </c>
      <c r="G33" t="s">
        <v>46</v>
      </c>
      <c r="H33" s="1">
        <v>45341</v>
      </c>
      <c r="I33" t="s">
        <v>47</v>
      </c>
      <c r="J33" t="s">
        <v>25</v>
      </c>
      <c r="K33">
        <v>7</v>
      </c>
      <c r="N33">
        <v>586</v>
      </c>
      <c r="O33">
        <v>60</v>
      </c>
      <c r="P33" s="1">
        <v>45597</v>
      </c>
      <c r="Q33" s="1">
        <v>45456</v>
      </c>
      <c r="R33">
        <f>IF(Table1[[#This Row],[Actual close date]]="","",Table1[[#This Row],[Actual close date]]-Table1[[#This Row],[Expected close date]])</f>
        <v>-141</v>
      </c>
    </row>
    <row r="34" spans="1:18" x14ac:dyDescent="0.25">
      <c r="A34" t="s">
        <v>100</v>
      </c>
      <c r="B34" t="s">
        <v>33</v>
      </c>
      <c r="C34" t="s">
        <v>34</v>
      </c>
      <c r="D34" t="s">
        <v>35</v>
      </c>
      <c r="E34" t="s">
        <v>101</v>
      </c>
      <c r="F34" t="s">
        <v>22</v>
      </c>
      <c r="G34" t="s">
        <v>83</v>
      </c>
      <c r="H34" s="1">
        <v>45425</v>
      </c>
      <c r="I34" t="s">
        <v>64</v>
      </c>
      <c r="J34" t="s">
        <v>25</v>
      </c>
      <c r="K34">
        <v>7</v>
      </c>
      <c r="N34">
        <v>1936</v>
      </c>
      <c r="O34">
        <v>20</v>
      </c>
      <c r="P34" s="1">
        <v>45643</v>
      </c>
      <c r="Q34" s="1">
        <v>45526</v>
      </c>
      <c r="R34">
        <f>IF(Table1[[#This Row],[Actual close date]]="","",Table1[[#This Row],[Actual close date]]-Table1[[#This Row],[Expected close date]])</f>
        <v>-117</v>
      </c>
    </row>
    <row r="35" spans="1:18" x14ac:dyDescent="0.25">
      <c r="A35" t="s">
        <v>102</v>
      </c>
      <c r="B35" t="s">
        <v>39</v>
      </c>
      <c r="C35" t="s">
        <v>40</v>
      </c>
      <c r="D35" t="s">
        <v>41</v>
      </c>
      <c r="E35" t="s">
        <v>42</v>
      </c>
      <c r="F35" t="s">
        <v>22</v>
      </c>
      <c r="G35" t="s">
        <v>37</v>
      </c>
      <c r="H35" s="1">
        <v>45372</v>
      </c>
      <c r="I35" t="s">
        <v>47</v>
      </c>
      <c r="J35" t="s">
        <v>25</v>
      </c>
      <c r="K35">
        <v>7</v>
      </c>
      <c r="N35">
        <v>1620</v>
      </c>
      <c r="O35">
        <v>40</v>
      </c>
      <c r="P35" s="1">
        <v>45528</v>
      </c>
      <c r="Q35" s="1">
        <v>45425</v>
      </c>
      <c r="R35">
        <f>IF(Table1[[#This Row],[Actual close date]]="","",Table1[[#This Row],[Actual close date]]-Table1[[#This Row],[Expected close date]])</f>
        <v>-103</v>
      </c>
    </row>
    <row r="36" spans="1:18" x14ac:dyDescent="0.25">
      <c r="A36" t="s">
        <v>103</v>
      </c>
      <c r="B36" t="s">
        <v>49</v>
      </c>
      <c r="C36" t="s">
        <v>50</v>
      </c>
      <c r="D36" t="s">
        <v>51</v>
      </c>
      <c r="E36" t="s">
        <v>45</v>
      </c>
      <c r="F36" t="s">
        <v>22</v>
      </c>
      <c r="G36" t="s">
        <v>72</v>
      </c>
      <c r="H36" s="1">
        <v>45326</v>
      </c>
      <c r="I36" t="s">
        <v>24</v>
      </c>
      <c r="J36" t="s">
        <v>25</v>
      </c>
      <c r="K36">
        <v>7</v>
      </c>
      <c r="N36">
        <v>287</v>
      </c>
      <c r="O36">
        <v>10</v>
      </c>
      <c r="P36" s="1">
        <v>45631</v>
      </c>
      <c r="Q36" s="1">
        <v>45336</v>
      </c>
      <c r="R36">
        <f>IF(Table1[[#This Row],[Actual close date]]="","",Table1[[#This Row],[Actual close date]]-Table1[[#This Row],[Expected close date]])</f>
        <v>-295</v>
      </c>
    </row>
    <row r="37" spans="1:18" x14ac:dyDescent="0.25">
      <c r="A37" t="s">
        <v>104</v>
      </c>
      <c r="B37" t="s">
        <v>69</v>
      </c>
      <c r="C37" t="s">
        <v>70</v>
      </c>
      <c r="D37" t="s">
        <v>71</v>
      </c>
      <c r="E37" t="s">
        <v>21</v>
      </c>
      <c r="F37" t="s">
        <v>22</v>
      </c>
      <c r="G37" t="s">
        <v>57</v>
      </c>
      <c r="H37" s="1">
        <v>45427</v>
      </c>
      <c r="I37" t="s">
        <v>47</v>
      </c>
      <c r="J37" t="s">
        <v>25</v>
      </c>
      <c r="K37">
        <v>7</v>
      </c>
      <c r="N37">
        <v>1828</v>
      </c>
      <c r="O37">
        <v>50</v>
      </c>
      <c r="P37" s="1">
        <v>45572</v>
      </c>
      <c r="Q37" s="1">
        <v>45533</v>
      </c>
      <c r="R37">
        <f>IF(Table1[[#This Row],[Actual close date]]="","",Table1[[#This Row],[Actual close date]]-Table1[[#This Row],[Expected close date]])</f>
        <v>-39</v>
      </c>
    </row>
    <row r="38" spans="1:18" x14ac:dyDescent="0.25">
      <c r="A38" t="s">
        <v>105</v>
      </c>
      <c r="B38" t="s">
        <v>33</v>
      </c>
      <c r="C38" t="s">
        <v>34</v>
      </c>
      <c r="D38" t="s">
        <v>35</v>
      </c>
      <c r="E38" t="s">
        <v>82</v>
      </c>
      <c r="F38" t="s">
        <v>22</v>
      </c>
      <c r="G38" t="s">
        <v>46</v>
      </c>
      <c r="H38" s="1">
        <v>45337</v>
      </c>
      <c r="I38" t="s">
        <v>24</v>
      </c>
      <c r="J38" t="s">
        <v>25</v>
      </c>
      <c r="K38">
        <v>7</v>
      </c>
      <c r="N38">
        <v>453</v>
      </c>
      <c r="O38">
        <v>40</v>
      </c>
      <c r="P38" s="1">
        <v>45629</v>
      </c>
      <c r="Q38" s="1">
        <v>45408</v>
      </c>
      <c r="R38">
        <f>IF(Table1[[#This Row],[Actual close date]]="","",Table1[[#This Row],[Actual close date]]-Table1[[#This Row],[Expected close date]])</f>
        <v>-221</v>
      </c>
    </row>
    <row r="39" spans="1:18" x14ac:dyDescent="0.25">
      <c r="A39" t="s">
        <v>106</v>
      </c>
      <c r="B39" t="s">
        <v>59</v>
      </c>
      <c r="C39" t="s">
        <v>60</v>
      </c>
      <c r="D39" t="s">
        <v>61</v>
      </c>
      <c r="E39" t="s">
        <v>36</v>
      </c>
      <c r="F39" t="s">
        <v>22</v>
      </c>
      <c r="G39" t="s">
        <v>46</v>
      </c>
      <c r="H39" s="1">
        <v>45381</v>
      </c>
      <c r="I39" t="s">
        <v>64</v>
      </c>
      <c r="J39" t="s">
        <v>25</v>
      </c>
      <c r="K39">
        <v>7</v>
      </c>
      <c r="N39">
        <v>835</v>
      </c>
      <c r="O39">
        <v>70</v>
      </c>
      <c r="P39" s="1">
        <v>45518</v>
      </c>
      <c r="Q39" s="1">
        <v>45435</v>
      </c>
      <c r="R39">
        <f>IF(Table1[[#This Row],[Actual close date]]="","",Table1[[#This Row],[Actual close date]]-Table1[[#This Row],[Expected close date]])</f>
        <v>-83</v>
      </c>
    </row>
    <row r="40" spans="1:18" x14ac:dyDescent="0.25">
      <c r="A40" t="s">
        <v>107</v>
      </c>
      <c r="B40" t="s">
        <v>54</v>
      </c>
      <c r="C40" t="s">
        <v>55</v>
      </c>
      <c r="D40" t="s">
        <v>56</v>
      </c>
      <c r="E40" t="s">
        <v>45</v>
      </c>
      <c r="F40" t="s">
        <v>22</v>
      </c>
      <c r="G40" t="s">
        <v>57</v>
      </c>
      <c r="H40" s="1">
        <v>45349</v>
      </c>
      <c r="I40" t="s">
        <v>24</v>
      </c>
      <c r="J40" t="s">
        <v>25</v>
      </c>
      <c r="K40">
        <v>7</v>
      </c>
      <c r="N40">
        <v>1924</v>
      </c>
      <c r="O40">
        <v>30</v>
      </c>
      <c r="P40" s="1">
        <v>45370</v>
      </c>
      <c r="Q40" s="1">
        <v>45461</v>
      </c>
      <c r="R40">
        <f>IF(Table1[[#This Row],[Actual close date]]="","",Table1[[#This Row],[Actual close date]]-Table1[[#This Row],[Expected close date]])</f>
        <v>91</v>
      </c>
    </row>
    <row r="41" spans="1:18" x14ac:dyDescent="0.25">
      <c r="A41" t="s">
        <v>108</v>
      </c>
      <c r="B41" t="s">
        <v>33</v>
      </c>
      <c r="C41" t="s">
        <v>34</v>
      </c>
      <c r="D41" t="s">
        <v>35</v>
      </c>
      <c r="E41" t="s">
        <v>21</v>
      </c>
      <c r="F41" t="s">
        <v>22</v>
      </c>
      <c r="G41" t="s">
        <v>31</v>
      </c>
      <c r="H41" s="1">
        <v>45308</v>
      </c>
      <c r="I41" t="s">
        <v>24</v>
      </c>
      <c r="J41" t="s">
        <v>25</v>
      </c>
      <c r="K41">
        <v>7</v>
      </c>
      <c r="N41">
        <v>1020</v>
      </c>
      <c r="O41">
        <v>20</v>
      </c>
      <c r="P41" s="1">
        <v>45443</v>
      </c>
      <c r="Q41" s="1">
        <v>45377</v>
      </c>
      <c r="R41">
        <f>IF(Table1[[#This Row],[Actual close date]]="","",Table1[[#This Row],[Actual close date]]-Table1[[#This Row],[Expected close date]])</f>
        <v>-66</v>
      </c>
    </row>
    <row r="42" spans="1:18" x14ac:dyDescent="0.25">
      <c r="A42" t="s">
        <v>109</v>
      </c>
      <c r="B42" t="s">
        <v>69</v>
      </c>
      <c r="C42" t="s">
        <v>70</v>
      </c>
      <c r="D42" t="s">
        <v>71</v>
      </c>
      <c r="E42" t="s">
        <v>30</v>
      </c>
      <c r="F42" t="s">
        <v>22</v>
      </c>
      <c r="G42" t="s">
        <v>85</v>
      </c>
      <c r="H42" s="1">
        <v>45412</v>
      </c>
      <c r="I42" t="s">
        <v>24</v>
      </c>
      <c r="J42" t="s">
        <v>25</v>
      </c>
      <c r="K42">
        <v>7</v>
      </c>
      <c r="N42">
        <v>543</v>
      </c>
      <c r="O42">
        <v>30</v>
      </c>
      <c r="P42" s="1">
        <v>45464</v>
      </c>
      <c r="Q42" s="1">
        <v>45485</v>
      </c>
      <c r="R42">
        <f>IF(Table1[[#This Row],[Actual close date]]="","",Table1[[#This Row],[Actual close date]]-Table1[[#This Row],[Expected close date]])</f>
        <v>21</v>
      </c>
    </row>
    <row r="43" spans="1:18" x14ac:dyDescent="0.25">
      <c r="A43" t="s">
        <v>110</v>
      </c>
      <c r="B43" t="s">
        <v>54</v>
      </c>
      <c r="C43" t="s">
        <v>55</v>
      </c>
      <c r="D43" t="s">
        <v>56</v>
      </c>
      <c r="E43" t="s">
        <v>98</v>
      </c>
      <c r="F43" t="s">
        <v>22</v>
      </c>
      <c r="G43" t="s">
        <v>46</v>
      </c>
      <c r="H43" s="1">
        <v>45379</v>
      </c>
      <c r="I43" t="s">
        <v>24</v>
      </c>
      <c r="J43" t="s">
        <v>25</v>
      </c>
      <c r="K43">
        <v>7</v>
      </c>
      <c r="N43">
        <v>1984</v>
      </c>
      <c r="O43">
        <v>20</v>
      </c>
      <c r="P43" s="1">
        <v>45657</v>
      </c>
      <c r="Q43" s="1">
        <v>45441</v>
      </c>
      <c r="R43">
        <f>IF(Table1[[#This Row],[Actual close date]]="","",Table1[[#This Row],[Actual close date]]-Table1[[#This Row],[Expected close date]])</f>
        <v>-216</v>
      </c>
    </row>
    <row r="44" spans="1:18" x14ac:dyDescent="0.25">
      <c r="A44" t="s">
        <v>111</v>
      </c>
      <c r="B44" t="s">
        <v>76</v>
      </c>
      <c r="C44" t="s">
        <v>77</v>
      </c>
      <c r="D44" t="s">
        <v>78</v>
      </c>
      <c r="E44" t="s">
        <v>21</v>
      </c>
      <c r="F44" t="s">
        <v>22</v>
      </c>
      <c r="G44" t="s">
        <v>31</v>
      </c>
      <c r="H44" s="1">
        <v>45310</v>
      </c>
      <c r="I44" t="s">
        <v>24</v>
      </c>
      <c r="J44" t="s">
        <v>25</v>
      </c>
      <c r="K44">
        <v>7</v>
      </c>
      <c r="N44">
        <v>349</v>
      </c>
      <c r="O44">
        <v>50</v>
      </c>
      <c r="P44" s="1">
        <v>45404</v>
      </c>
      <c r="Q44" s="1">
        <v>45329</v>
      </c>
      <c r="R44">
        <f>IF(Table1[[#This Row],[Actual close date]]="","",Table1[[#This Row],[Actual close date]]-Table1[[#This Row],[Expected close date]])</f>
        <v>-75</v>
      </c>
    </row>
    <row r="45" spans="1:18" x14ac:dyDescent="0.25">
      <c r="A45" t="s">
        <v>112</v>
      </c>
      <c r="B45" t="s">
        <v>54</v>
      </c>
      <c r="C45" t="s">
        <v>55</v>
      </c>
      <c r="D45" t="s">
        <v>56</v>
      </c>
      <c r="E45" t="s">
        <v>101</v>
      </c>
      <c r="F45" t="s">
        <v>22</v>
      </c>
      <c r="G45" t="s">
        <v>37</v>
      </c>
      <c r="H45" s="1">
        <v>45298</v>
      </c>
      <c r="I45" t="s">
        <v>24</v>
      </c>
      <c r="J45" t="s">
        <v>25</v>
      </c>
      <c r="K45">
        <v>7</v>
      </c>
      <c r="N45">
        <v>1790</v>
      </c>
      <c r="O45">
        <v>90</v>
      </c>
      <c r="P45" s="1">
        <v>45640</v>
      </c>
      <c r="Q45" s="1">
        <v>45335</v>
      </c>
      <c r="R45">
        <f>IF(Table1[[#This Row],[Actual close date]]="","",Table1[[#This Row],[Actual close date]]-Table1[[#This Row],[Expected close date]])</f>
        <v>-305</v>
      </c>
    </row>
    <row r="46" spans="1:18" x14ac:dyDescent="0.25">
      <c r="A46" t="s">
        <v>113</v>
      </c>
      <c r="B46" t="s">
        <v>39</v>
      </c>
      <c r="C46" t="s">
        <v>40</v>
      </c>
      <c r="D46" t="s">
        <v>41</v>
      </c>
      <c r="E46" t="s">
        <v>45</v>
      </c>
      <c r="F46" t="s">
        <v>22</v>
      </c>
      <c r="G46" t="s">
        <v>37</v>
      </c>
      <c r="H46" s="1">
        <v>45335</v>
      </c>
      <c r="I46" t="s">
        <v>24</v>
      </c>
      <c r="J46" t="s">
        <v>25</v>
      </c>
      <c r="K46">
        <v>7</v>
      </c>
      <c r="N46">
        <v>1606</v>
      </c>
      <c r="O46">
        <v>40</v>
      </c>
      <c r="P46" s="1">
        <v>45597</v>
      </c>
      <c r="Q46" s="1">
        <v>45421</v>
      </c>
      <c r="R46">
        <f>IF(Table1[[#This Row],[Actual close date]]="","",Table1[[#This Row],[Actual close date]]-Table1[[#This Row],[Expected close date]])</f>
        <v>-176</v>
      </c>
    </row>
    <row r="47" spans="1:18" x14ac:dyDescent="0.25">
      <c r="A47" t="s">
        <v>114</v>
      </c>
      <c r="B47" t="s">
        <v>54</v>
      </c>
      <c r="C47" t="s">
        <v>55</v>
      </c>
      <c r="D47" t="s">
        <v>56</v>
      </c>
      <c r="E47" t="s">
        <v>62</v>
      </c>
      <c r="F47" t="s">
        <v>22</v>
      </c>
      <c r="G47" t="s">
        <v>46</v>
      </c>
      <c r="H47" s="1">
        <v>45390</v>
      </c>
      <c r="I47" t="s">
        <v>24</v>
      </c>
      <c r="J47" t="s">
        <v>25</v>
      </c>
      <c r="K47">
        <v>7</v>
      </c>
      <c r="N47">
        <v>716</v>
      </c>
      <c r="O47">
        <v>40</v>
      </c>
      <c r="P47" s="1">
        <v>45727</v>
      </c>
      <c r="Q47" s="1">
        <v>45486</v>
      </c>
      <c r="R47">
        <f>IF(Table1[[#This Row],[Actual close date]]="","",Table1[[#This Row],[Actual close date]]-Table1[[#This Row],[Expected close date]])</f>
        <v>-241</v>
      </c>
    </row>
    <row r="48" spans="1:18" x14ac:dyDescent="0.25">
      <c r="A48" t="s">
        <v>115</v>
      </c>
      <c r="B48" t="s">
        <v>39</v>
      </c>
      <c r="C48" t="s">
        <v>40</v>
      </c>
      <c r="D48" t="s">
        <v>41</v>
      </c>
      <c r="E48" t="s">
        <v>45</v>
      </c>
      <c r="F48" t="s">
        <v>22</v>
      </c>
      <c r="G48" t="s">
        <v>85</v>
      </c>
      <c r="H48" s="1">
        <v>45316</v>
      </c>
      <c r="I48" t="s">
        <v>24</v>
      </c>
      <c r="J48" t="s">
        <v>25</v>
      </c>
      <c r="K48">
        <v>7</v>
      </c>
      <c r="N48">
        <v>1883</v>
      </c>
      <c r="O48">
        <v>20</v>
      </c>
      <c r="P48" s="1">
        <v>45578</v>
      </c>
      <c r="Q48" s="1">
        <v>45399</v>
      </c>
      <c r="R48">
        <f>IF(Table1[[#This Row],[Actual close date]]="","",Table1[[#This Row],[Actual close date]]-Table1[[#This Row],[Expected close date]])</f>
        <v>-179</v>
      </c>
    </row>
    <row r="49" spans="1:18" x14ac:dyDescent="0.25">
      <c r="A49" t="s">
        <v>116</v>
      </c>
      <c r="B49" t="s">
        <v>33</v>
      </c>
      <c r="C49" t="s">
        <v>34</v>
      </c>
      <c r="D49" t="s">
        <v>35</v>
      </c>
      <c r="E49" t="s">
        <v>21</v>
      </c>
      <c r="F49" t="s">
        <v>22</v>
      </c>
      <c r="G49" t="s">
        <v>46</v>
      </c>
      <c r="H49" s="1">
        <v>45297</v>
      </c>
      <c r="I49" t="s">
        <v>64</v>
      </c>
      <c r="J49" t="s">
        <v>25</v>
      </c>
      <c r="K49">
        <v>7</v>
      </c>
      <c r="N49">
        <v>233</v>
      </c>
      <c r="O49">
        <v>10</v>
      </c>
      <c r="P49" s="1">
        <v>45608</v>
      </c>
      <c r="Q49" s="1">
        <v>45332</v>
      </c>
      <c r="R49">
        <f>IF(Table1[[#This Row],[Actual close date]]="","",Table1[[#This Row],[Actual close date]]-Table1[[#This Row],[Expected close date]])</f>
        <v>-276</v>
      </c>
    </row>
    <row r="50" spans="1:18" x14ac:dyDescent="0.25">
      <c r="A50" t="s">
        <v>117</v>
      </c>
      <c r="B50" t="s">
        <v>33</v>
      </c>
      <c r="C50" t="s">
        <v>34</v>
      </c>
      <c r="D50" t="s">
        <v>35</v>
      </c>
      <c r="E50" t="s">
        <v>118</v>
      </c>
      <c r="F50" t="s">
        <v>22</v>
      </c>
      <c r="G50" t="s">
        <v>46</v>
      </c>
      <c r="H50" s="1">
        <v>45418</v>
      </c>
      <c r="I50" t="s">
        <v>24</v>
      </c>
      <c r="J50" t="s">
        <v>25</v>
      </c>
      <c r="K50">
        <v>7</v>
      </c>
      <c r="N50">
        <v>854</v>
      </c>
      <c r="O50">
        <v>60</v>
      </c>
      <c r="P50" s="1">
        <v>45654</v>
      </c>
      <c r="Q50" s="1">
        <v>45514</v>
      </c>
      <c r="R50">
        <f>IF(Table1[[#This Row],[Actual close date]]="","",Table1[[#This Row],[Actual close date]]-Table1[[#This Row],[Expected close date]])</f>
        <v>-140</v>
      </c>
    </row>
    <row r="51" spans="1:18" x14ac:dyDescent="0.25">
      <c r="A51" t="s">
        <v>119</v>
      </c>
      <c r="B51" t="s">
        <v>33</v>
      </c>
      <c r="C51" t="s">
        <v>34</v>
      </c>
      <c r="D51" t="s">
        <v>35</v>
      </c>
      <c r="E51" t="s">
        <v>36</v>
      </c>
      <c r="F51" t="s">
        <v>22</v>
      </c>
      <c r="G51" t="s">
        <v>57</v>
      </c>
      <c r="H51" s="1">
        <v>45433</v>
      </c>
      <c r="I51" t="s">
        <v>64</v>
      </c>
      <c r="J51" t="s">
        <v>25</v>
      </c>
      <c r="K51">
        <v>7</v>
      </c>
      <c r="N51">
        <v>1249</v>
      </c>
      <c r="O51">
        <v>80</v>
      </c>
      <c r="P51" s="1">
        <v>45733</v>
      </c>
      <c r="Q51" s="1">
        <v>45472</v>
      </c>
      <c r="R51">
        <f>IF(Table1[[#This Row],[Actual close date]]="","",Table1[[#This Row],[Actual close date]]-Table1[[#This Row],[Expected close date]])</f>
        <v>-261</v>
      </c>
    </row>
    <row r="52" spans="1:18" x14ac:dyDescent="0.25">
      <c r="A52" t="s">
        <v>120</v>
      </c>
      <c r="B52" t="s">
        <v>54</v>
      </c>
      <c r="C52" t="s">
        <v>55</v>
      </c>
      <c r="D52" t="s">
        <v>56</v>
      </c>
      <c r="E52" t="s">
        <v>98</v>
      </c>
      <c r="F52" t="s">
        <v>22</v>
      </c>
      <c r="G52" t="s">
        <v>46</v>
      </c>
      <c r="H52" s="1">
        <v>45372</v>
      </c>
      <c r="I52" t="s">
        <v>24</v>
      </c>
      <c r="J52" t="s">
        <v>25</v>
      </c>
      <c r="K52">
        <v>7</v>
      </c>
      <c r="N52">
        <v>1125</v>
      </c>
      <c r="O52">
        <v>30</v>
      </c>
      <c r="P52" s="1">
        <v>45394</v>
      </c>
      <c r="Q52" s="1">
        <v>45445</v>
      </c>
      <c r="R52">
        <f>IF(Table1[[#This Row],[Actual close date]]="","",Table1[[#This Row],[Actual close date]]-Table1[[#This Row],[Expected close date]])</f>
        <v>51</v>
      </c>
    </row>
    <row r="53" spans="1:18" x14ac:dyDescent="0.25">
      <c r="A53" t="s">
        <v>121</v>
      </c>
      <c r="B53" t="s">
        <v>54</v>
      </c>
      <c r="C53" t="s">
        <v>55</v>
      </c>
      <c r="D53" t="s">
        <v>56</v>
      </c>
      <c r="E53" t="s">
        <v>122</v>
      </c>
      <c r="F53" t="s">
        <v>22</v>
      </c>
      <c r="G53" t="s">
        <v>23</v>
      </c>
      <c r="H53" s="1">
        <v>45439</v>
      </c>
      <c r="I53" t="s">
        <v>24</v>
      </c>
      <c r="J53" t="s">
        <v>25</v>
      </c>
      <c r="K53">
        <v>7</v>
      </c>
      <c r="N53">
        <v>1411</v>
      </c>
      <c r="O53">
        <v>40</v>
      </c>
      <c r="P53" s="1">
        <v>45739</v>
      </c>
      <c r="Q53" s="1">
        <v>45533</v>
      </c>
      <c r="R53">
        <f>IF(Table1[[#This Row],[Actual close date]]="","",Table1[[#This Row],[Actual close date]]-Table1[[#This Row],[Expected close date]])</f>
        <v>-206</v>
      </c>
    </row>
    <row r="54" spans="1:18" x14ac:dyDescent="0.25">
      <c r="A54" t="s">
        <v>123</v>
      </c>
      <c r="B54" t="s">
        <v>59</v>
      </c>
      <c r="C54" t="s">
        <v>60</v>
      </c>
      <c r="D54" t="s">
        <v>61</v>
      </c>
      <c r="E54" t="s">
        <v>42</v>
      </c>
      <c r="F54" t="s">
        <v>22</v>
      </c>
      <c r="G54" t="s">
        <v>72</v>
      </c>
      <c r="H54" s="1">
        <v>45325</v>
      </c>
      <c r="I54" t="s">
        <v>24</v>
      </c>
      <c r="J54" t="s">
        <v>25</v>
      </c>
      <c r="K54">
        <v>7</v>
      </c>
      <c r="N54">
        <v>1503</v>
      </c>
      <c r="O54">
        <v>30</v>
      </c>
      <c r="P54" s="1">
        <v>45660</v>
      </c>
      <c r="Q54" s="1">
        <v>45401</v>
      </c>
      <c r="R54">
        <f>IF(Table1[[#This Row],[Actual close date]]="","",Table1[[#This Row],[Actual close date]]-Table1[[#This Row],[Expected close date]])</f>
        <v>-259</v>
      </c>
    </row>
    <row r="55" spans="1:18" x14ac:dyDescent="0.25">
      <c r="A55" t="s">
        <v>124</v>
      </c>
      <c r="B55" t="s">
        <v>39</v>
      </c>
      <c r="C55" t="s">
        <v>40</v>
      </c>
      <c r="D55" t="s">
        <v>41</v>
      </c>
      <c r="E55" t="s">
        <v>21</v>
      </c>
      <c r="F55" t="s">
        <v>125</v>
      </c>
      <c r="G55" t="s">
        <v>72</v>
      </c>
      <c r="H55" s="1">
        <v>45443</v>
      </c>
      <c r="I55" t="s">
        <v>47</v>
      </c>
      <c r="J55" t="s">
        <v>25</v>
      </c>
      <c r="K55">
        <v>7</v>
      </c>
      <c r="N55">
        <v>206</v>
      </c>
      <c r="O55">
        <v>80</v>
      </c>
      <c r="P55" s="1">
        <v>45575</v>
      </c>
      <c r="Q55" s="1">
        <v>45460</v>
      </c>
      <c r="R55">
        <f>IF(Table1[[#This Row],[Actual close date]]="","",Table1[[#This Row],[Actual close date]]-Table1[[#This Row],[Expected close date]])</f>
        <v>-115</v>
      </c>
    </row>
    <row r="56" spans="1:18" x14ac:dyDescent="0.25">
      <c r="A56" t="s">
        <v>126</v>
      </c>
      <c r="B56" t="s">
        <v>39</v>
      </c>
      <c r="C56" t="s">
        <v>40</v>
      </c>
      <c r="D56" t="s">
        <v>41</v>
      </c>
      <c r="E56" t="s">
        <v>52</v>
      </c>
      <c r="F56" t="s">
        <v>125</v>
      </c>
      <c r="G56" t="s">
        <v>72</v>
      </c>
      <c r="H56" s="1">
        <v>45302</v>
      </c>
      <c r="I56" t="s">
        <v>24</v>
      </c>
      <c r="J56" t="s">
        <v>25</v>
      </c>
      <c r="K56">
        <v>7</v>
      </c>
      <c r="N56">
        <v>956</v>
      </c>
      <c r="O56">
        <v>100</v>
      </c>
      <c r="P56" s="1">
        <v>45408</v>
      </c>
      <c r="Q56" s="1">
        <v>45358</v>
      </c>
      <c r="R56">
        <f>IF(Table1[[#This Row],[Actual close date]]="","",Table1[[#This Row],[Actual close date]]-Table1[[#This Row],[Expected close date]])</f>
        <v>-50</v>
      </c>
    </row>
    <row r="57" spans="1:18" x14ac:dyDescent="0.25">
      <c r="A57" t="s">
        <v>127</v>
      </c>
      <c r="B57" t="s">
        <v>18</v>
      </c>
      <c r="C57" t="s">
        <v>19</v>
      </c>
      <c r="D57" t="s">
        <v>20</v>
      </c>
      <c r="E57" t="s">
        <v>45</v>
      </c>
      <c r="F57" t="s">
        <v>125</v>
      </c>
      <c r="G57" t="s">
        <v>37</v>
      </c>
      <c r="H57" s="1">
        <v>45391</v>
      </c>
      <c r="I57" t="s">
        <v>24</v>
      </c>
      <c r="J57" t="s">
        <v>25</v>
      </c>
      <c r="K57">
        <v>7</v>
      </c>
      <c r="N57">
        <v>668</v>
      </c>
      <c r="O57">
        <v>40</v>
      </c>
      <c r="P57" s="1">
        <v>45540</v>
      </c>
      <c r="Q57" s="1">
        <v>45409</v>
      </c>
      <c r="R57">
        <f>IF(Table1[[#This Row],[Actual close date]]="","",Table1[[#This Row],[Actual close date]]-Table1[[#This Row],[Expected close date]])</f>
        <v>-131</v>
      </c>
    </row>
    <row r="58" spans="1:18" x14ac:dyDescent="0.25">
      <c r="A58" t="s">
        <v>128</v>
      </c>
      <c r="B58" t="s">
        <v>69</v>
      </c>
      <c r="C58" t="s">
        <v>70</v>
      </c>
      <c r="D58" t="s">
        <v>71</v>
      </c>
      <c r="E58" t="s">
        <v>62</v>
      </c>
      <c r="F58" t="s">
        <v>125</v>
      </c>
      <c r="G58" t="s">
        <v>72</v>
      </c>
      <c r="H58" s="1">
        <v>45420</v>
      </c>
      <c r="I58" t="s">
        <v>64</v>
      </c>
      <c r="J58" t="s">
        <v>25</v>
      </c>
      <c r="K58">
        <v>7</v>
      </c>
      <c r="N58">
        <v>721</v>
      </c>
      <c r="O58">
        <v>30</v>
      </c>
      <c r="P58" s="1">
        <v>45710</v>
      </c>
      <c r="Q58" s="1">
        <v>45493</v>
      </c>
      <c r="R58">
        <f>IF(Table1[[#This Row],[Actual close date]]="","",Table1[[#This Row],[Actual close date]]-Table1[[#This Row],[Expected close date]])</f>
        <v>-217</v>
      </c>
    </row>
    <row r="59" spans="1:18" x14ac:dyDescent="0.25">
      <c r="A59" t="s">
        <v>129</v>
      </c>
      <c r="B59" t="s">
        <v>39</v>
      </c>
      <c r="C59" t="s">
        <v>40</v>
      </c>
      <c r="D59" t="s">
        <v>41</v>
      </c>
      <c r="E59" t="s">
        <v>45</v>
      </c>
      <c r="F59" t="s">
        <v>125</v>
      </c>
      <c r="G59" t="s">
        <v>46</v>
      </c>
      <c r="H59" s="1">
        <v>45354</v>
      </c>
      <c r="I59" t="s">
        <v>64</v>
      </c>
      <c r="J59" t="s">
        <v>25</v>
      </c>
      <c r="K59">
        <v>7</v>
      </c>
      <c r="N59">
        <v>320</v>
      </c>
      <c r="O59">
        <v>20</v>
      </c>
      <c r="P59" s="1">
        <v>45586</v>
      </c>
      <c r="Q59" s="1">
        <v>45374</v>
      </c>
      <c r="R59">
        <f>IF(Table1[[#This Row],[Actual close date]]="","",Table1[[#This Row],[Actual close date]]-Table1[[#This Row],[Expected close date]])</f>
        <v>-212</v>
      </c>
    </row>
    <row r="60" spans="1:18" x14ac:dyDescent="0.25">
      <c r="A60" t="s">
        <v>130</v>
      </c>
      <c r="B60" t="s">
        <v>33</v>
      </c>
      <c r="C60" t="s">
        <v>34</v>
      </c>
      <c r="D60" t="s">
        <v>35</v>
      </c>
      <c r="E60" t="s">
        <v>21</v>
      </c>
      <c r="F60" t="s">
        <v>125</v>
      </c>
      <c r="G60" t="s">
        <v>85</v>
      </c>
      <c r="H60" s="1">
        <v>45429</v>
      </c>
      <c r="I60" t="s">
        <v>47</v>
      </c>
      <c r="J60" t="s">
        <v>25</v>
      </c>
      <c r="K60">
        <v>7</v>
      </c>
      <c r="N60">
        <v>1074</v>
      </c>
      <c r="O60">
        <v>90</v>
      </c>
      <c r="P60" s="1">
        <v>45647</v>
      </c>
      <c r="Q60" s="1">
        <v>45519</v>
      </c>
      <c r="R60">
        <f>IF(Table1[[#This Row],[Actual close date]]="","",Table1[[#This Row],[Actual close date]]-Table1[[#This Row],[Expected close date]])</f>
        <v>-128</v>
      </c>
    </row>
    <row r="61" spans="1:18" x14ac:dyDescent="0.25">
      <c r="A61" t="s">
        <v>131</v>
      </c>
      <c r="B61" t="s">
        <v>33</v>
      </c>
      <c r="C61" t="s">
        <v>34</v>
      </c>
      <c r="D61" t="s">
        <v>35</v>
      </c>
      <c r="E61" t="s">
        <v>98</v>
      </c>
      <c r="F61" t="s">
        <v>125</v>
      </c>
      <c r="G61" t="s">
        <v>23</v>
      </c>
      <c r="H61" s="1">
        <v>45337</v>
      </c>
      <c r="I61" t="s">
        <v>24</v>
      </c>
      <c r="J61" t="s">
        <v>25</v>
      </c>
      <c r="K61">
        <v>7</v>
      </c>
      <c r="N61">
        <v>480</v>
      </c>
      <c r="O61">
        <v>70</v>
      </c>
      <c r="P61" s="1">
        <v>45695</v>
      </c>
      <c r="Q61" s="1">
        <v>45425</v>
      </c>
      <c r="R61">
        <f>IF(Table1[[#This Row],[Actual close date]]="","",Table1[[#This Row],[Actual close date]]-Table1[[#This Row],[Expected close date]])</f>
        <v>-270</v>
      </c>
    </row>
    <row r="62" spans="1:18" x14ac:dyDescent="0.25">
      <c r="A62" t="s">
        <v>132</v>
      </c>
      <c r="B62" t="s">
        <v>27</v>
      </c>
      <c r="C62" t="s">
        <v>28</v>
      </c>
      <c r="D62" t="s">
        <v>29</v>
      </c>
      <c r="E62" t="s">
        <v>74</v>
      </c>
      <c r="F62" t="s">
        <v>125</v>
      </c>
      <c r="G62" t="s">
        <v>46</v>
      </c>
      <c r="H62" s="1">
        <v>45296</v>
      </c>
      <c r="I62" t="s">
        <v>64</v>
      </c>
      <c r="J62" t="s">
        <v>25</v>
      </c>
      <c r="K62">
        <v>7</v>
      </c>
      <c r="N62">
        <v>392</v>
      </c>
      <c r="O62">
        <v>20</v>
      </c>
      <c r="P62" s="1">
        <v>45317</v>
      </c>
      <c r="Q62" s="1">
        <v>45364</v>
      </c>
      <c r="R62">
        <f>IF(Table1[[#This Row],[Actual close date]]="","",Table1[[#This Row],[Actual close date]]-Table1[[#This Row],[Expected close date]])</f>
        <v>47</v>
      </c>
    </row>
    <row r="63" spans="1:18" x14ac:dyDescent="0.25">
      <c r="A63" t="s">
        <v>133</v>
      </c>
      <c r="B63" t="s">
        <v>33</v>
      </c>
      <c r="C63" t="s">
        <v>34</v>
      </c>
      <c r="D63" t="s">
        <v>35</v>
      </c>
      <c r="E63" t="s">
        <v>21</v>
      </c>
      <c r="F63" t="s">
        <v>125</v>
      </c>
      <c r="G63" t="s">
        <v>37</v>
      </c>
      <c r="H63" s="1">
        <v>45376</v>
      </c>
      <c r="I63" t="s">
        <v>64</v>
      </c>
      <c r="J63" t="s">
        <v>25</v>
      </c>
      <c r="K63">
        <v>7</v>
      </c>
      <c r="N63">
        <v>846</v>
      </c>
      <c r="O63">
        <v>40</v>
      </c>
      <c r="P63" s="1">
        <v>45531</v>
      </c>
      <c r="Q63" s="1">
        <v>45445</v>
      </c>
      <c r="R63">
        <f>IF(Table1[[#This Row],[Actual close date]]="","",Table1[[#This Row],[Actual close date]]-Table1[[#This Row],[Expected close date]])</f>
        <v>-86</v>
      </c>
    </row>
    <row r="64" spans="1:18" x14ac:dyDescent="0.25">
      <c r="A64" t="s">
        <v>134</v>
      </c>
      <c r="B64" t="s">
        <v>54</v>
      </c>
      <c r="C64" t="s">
        <v>55</v>
      </c>
      <c r="D64" t="s">
        <v>56</v>
      </c>
      <c r="E64" t="s">
        <v>52</v>
      </c>
      <c r="F64" t="s">
        <v>125</v>
      </c>
      <c r="G64" t="s">
        <v>31</v>
      </c>
      <c r="H64" s="1">
        <v>45412</v>
      </c>
      <c r="I64" t="s">
        <v>24</v>
      </c>
      <c r="J64" t="s">
        <v>25</v>
      </c>
      <c r="K64">
        <v>7</v>
      </c>
      <c r="N64">
        <v>968</v>
      </c>
      <c r="O64">
        <v>50</v>
      </c>
      <c r="P64" s="1">
        <v>45681</v>
      </c>
      <c r="Q64" s="1">
        <v>45507</v>
      </c>
      <c r="R64">
        <f>IF(Table1[[#This Row],[Actual close date]]="","",Table1[[#This Row],[Actual close date]]-Table1[[#This Row],[Expected close date]])</f>
        <v>-174</v>
      </c>
    </row>
    <row r="65" spans="1:18" x14ac:dyDescent="0.25">
      <c r="A65" t="s">
        <v>135</v>
      </c>
      <c r="B65" t="s">
        <v>27</v>
      </c>
      <c r="C65" t="s">
        <v>28</v>
      </c>
      <c r="D65" t="s">
        <v>29</v>
      </c>
      <c r="E65" t="s">
        <v>66</v>
      </c>
      <c r="F65" t="s">
        <v>125</v>
      </c>
      <c r="G65" t="s">
        <v>46</v>
      </c>
      <c r="H65" s="1">
        <v>45295</v>
      </c>
      <c r="I65" t="s">
        <v>64</v>
      </c>
      <c r="J65" t="s">
        <v>25</v>
      </c>
      <c r="K65">
        <v>7</v>
      </c>
      <c r="N65">
        <v>1068</v>
      </c>
      <c r="O65">
        <v>40</v>
      </c>
      <c r="P65" s="1">
        <v>45608</v>
      </c>
      <c r="Q65" s="1">
        <v>45369</v>
      </c>
      <c r="R65">
        <f>IF(Table1[[#This Row],[Actual close date]]="","",Table1[[#This Row],[Actual close date]]-Table1[[#This Row],[Expected close date]])</f>
        <v>-239</v>
      </c>
    </row>
    <row r="66" spans="1:18" x14ac:dyDescent="0.25">
      <c r="A66" t="s">
        <v>136</v>
      </c>
      <c r="B66" t="s">
        <v>59</v>
      </c>
      <c r="C66" t="s">
        <v>60</v>
      </c>
      <c r="D66" t="s">
        <v>61</v>
      </c>
      <c r="E66" t="s">
        <v>66</v>
      </c>
      <c r="F66" t="s">
        <v>125</v>
      </c>
      <c r="G66" t="s">
        <v>46</v>
      </c>
      <c r="H66" s="1">
        <v>45378</v>
      </c>
      <c r="I66" t="s">
        <v>64</v>
      </c>
      <c r="J66" t="s">
        <v>25</v>
      </c>
      <c r="K66">
        <v>7</v>
      </c>
      <c r="N66">
        <v>617</v>
      </c>
      <c r="O66">
        <v>30</v>
      </c>
      <c r="P66" s="1">
        <v>45628</v>
      </c>
      <c r="Q66" s="1">
        <v>45383</v>
      </c>
      <c r="R66">
        <f>IF(Table1[[#This Row],[Actual close date]]="","",Table1[[#This Row],[Actual close date]]-Table1[[#This Row],[Expected close date]])</f>
        <v>-245</v>
      </c>
    </row>
    <row r="67" spans="1:18" x14ac:dyDescent="0.25">
      <c r="A67" t="s">
        <v>137</v>
      </c>
      <c r="B67" t="s">
        <v>39</v>
      </c>
      <c r="C67" t="s">
        <v>40</v>
      </c>
      <c r="D67" t="s">
        <v>41</v>
      </c>
      <c r="E67" t="s">
        <v>21</v>
      </c>
      <c r="F67" t="s">
        <v>125</v>
      </c>
      <c r="G67" t="s">
        <v>72</v>
      </c>
      <c r="H67" s="1">
        <v>45295</v>
      </c>
      <c r="I67" t="s">
        <v>64</v>
      </c>
      <c r="J67" t="s">
        <v>25</v>
      </c>
      <c r="K67">
        <v>7</v>
      </c>
      <c r="N67">
        <v>888</v>
      </c>
      <c r="O67">
        <v>30</v>
      </c>
      <c r="P67" s="1">
        <v>45420</v>
      </c>
      <c r="Q67" s="1">
        <v>45326</v>
      </c>
      <c r="R67">
        <f>IF(Table1[[#This Row],[Actual close date]]="","",Table1[[#This Row],[Actual close date]]-Table1[[#This Row],[Expected close date]])</f>
        <v>-94</v>
      </c>
    </row>
    <row r="68" spans="1:18" x14ac:dyDescent="0.25">
      <c r="A68" t="s">
        <v>138</v>
      </c>
      <c r="B68" t="s">
        <v>27</v>
      </c>
      <c r="C68" t="s">
        <v>28</v>
      </c>
      <c r="D68" t="s">
        <v>29</v>
      </c>
      <c r="E68" t="s">
        <v>52</v>
      </c>
      <c r="F68" t="s">
        <v>125</v>
      </c>
      <c r="G68" t="s">
        <v>37</v>
      </c>
      <c r="H68" s="1">
        <v>45397</v>
      </c>
      <c r="I68" t="s">
        <v>47</v>
      </c>
      <c r="J68" t="s">
        <v>25</v>
      </c>
      <c r="K68">
        <v>7</v>
      </c>
      <c r="N68">
        <v>364</v>
      </c>
      <c r="O68">
        <v>30</v>
      </c>
      <c r="P68" s="1">
        <v>45441</v>
      </c>
      <c r="Q68" s="1">
        <v>45516</v>
      </c>
      <c r="R68">
        <f>IF(Table1[[#This Row],[Actual close date]]="","",Table1[[#This Row],[Actual close date]]-Table1[[#This Row],[Expected close date]])</f>
        <v>75</v>
      </c>
    </row>
    <row r="69" spans="1:18" x14ac:dyDescent="0.25">
      <c r="A69" t="s">
        <v>139</v>
      </c>
      <c r="B69" t="s">
        <v>39</v>
      </c>
      <c r="C69" t="s">
        <v>40</v>
      </c>
      <c r="D69" t="s">
        <v>41</v>
      </c>
      <c r="E69" t="s">
        <v>21</v>
      </c>
      <c r="F69" t="s">
        <v>125</v>
      </c>
      <c r="G69" t="s">
        <v>57</v>
      </c>
      <c r="H69" s="1">
        <v>45397</v>
      </c>
      <c r="I69" t="s">
        <v>64</v>
      </c>
      <c r="J69" t="s">
        <v>25</v>
      </c>
      <c r="K69">
        <v>7</v>
      </c>
      <c r="N69">
        <v>856</v>
      </c>
      <c r="O69">
        <v>60</v>
      </c>
      <c r="P69" s="1">
        <v>45564</v>
      </c>
      <c r="Q69" s="1">
        <v>45484</v>
      </c>
      <c r="R69">
        <f>IF(Table1[[#This Row],[Actual close date]]="","",Table1[[#This Row],[Actual close date]]-Table1[[#This Row],[Expected close date]])</f>
        <v>-80</v>
      </c>
    </row>
    <row r="70" spans="1:18" x14ac:dyDescent="0.25">
      <c r="A70" t="s">
        <v>140</v>
      </c>
      <c r="B70" t="s">
        <v>49</v>
      </c>
      <c r="C70" t="s">
        <v>50</v>
      </c>
      <c r="D70" t="s">
        <v>51</v>
      </c>
      <c r="E70" t="s">
        <v>21</v>
      </c>
      <c r="F70" t="s">
        <v>125</v>
      </c>
      <c r="G70" t="s">
        <v>83</v>
      </c>
      <c r="H70" s="1">
        <v>45332</v>
      </c>
      <c r="I70" t="s">
        <v>24</v>
      </c>
      <c r="J70" t="s">
        <v>25</v>
      </c>
      <c r="K70">
        <v>7</v>
      </c>
      <c r="N70">
        <v>555</v>
      </c>
      <c r="O70">
        <v>40</v>
      </c>
      <c r="P70" s="1">
        <v>45500</v>
      </c>
      <c r="Q70" s="1">
        <v>45369</v>
      </c>
      <c r="R70">
        <f>IF(Table1[[#This Row],[Actual close date]]="","",Table1[[#This Row],[Actual close date]]-Table1[[#This Row],[Expected close date]])</f>
        <v>-131</v>
      </c>
    </row>
    <row r="71" spans="1:18" x14ac:dyDescent="0.25">
      <c r="A71" t="s">
        <v>141</v>
      </c>
      <c r="B71" t="s">
        <v>76</v>
      </c>
      <c r="C71" t="s">
        <v>77</v>
      </c>
      <c r="D71" t="s">
        <v>78</v>
      </c>
      <c r="E71" t="s">
        <v>45</v>
      </c>
      <c r="F71" t="s">
        <v>125</v>
      </c>
      <c r="G71" t="s">
        <v>57</v>
      </c>
      <c r="H71" s="1">
        <v>45386</v>
      </c>
      <c r="I71" t="s">
        <v>64</v>
      </c>
      <c r="J71" t="s">
        <v>25</v>
      </c>
      <c r="K71">
        <v>7</v>
      </c>
      <c r="N71">
        <v>1035</v>
      </c>
      <c r="O71">
        <v>70</v>
      </c>
      <c r="P71" s="1">
        <v>45524</v>
      </c>
      <c r="Q71" s="1">
        <v>45498</v>
      </c>
      <c r="R71">
        <f>IF(Table1[[#This Row],[Actual close date]]="","",Table1[[#This Row],[Actual close date]]-Table1[[#This Row],[Expected close date]])</f>
        <v>-26</v>
      </c>
    </row>
    <row r="72" spans="1:18" x14ac:dyDescent="0.25">
      <c r="A72" t="s">
        <v>142</v>
      </c>
      <c r="B72" t="s">
        <v>76</v>
      </c>
      <c r="C72" t="s">
        <v>77</v>
      </c>
      <c r="D72" t="s">
        <v>78</v>
      </c>
      <c r="E72" t="s">
        <v>122</v>
      </c>
      <c r="F72" t="s">
        <v>125</v>
      </c>
      <c r="G72" t="s">
        <v>57</v>
      </c>
      <c r="H72" s="1">
        <v>45347</v>
      </c>
      <c r="I72" t="s">
        <v>24</v>
      </c>
      <c r="J72" t="s">
        <v>25</v>
      </c>
      <c r="K72">
        <v>7</v>
      </c>
      <c r="N72">
        <v>566</v>
      </c>
      <c r="O72">
        <v>30</v>
      </c>
      <c r="P72" s="1">
        <v>45635</v>
      </c>
      <c r="Q72" s="1">
        <v>45444</v>
      </c>
      <c r="R72">
        <f>IF(Table1[[#This Row],[Actual close date]]="","",Table1[[#This Row],[Actual close date]]-Table1[[#This Row],[Expected close date]])</f>
        <v>-191</v>
      </c>
    </row>
    <row r="73" spans="1:18" x14ac:dyDescent="0.25">
      <c r="A73" t="s">
        <v>143</v>
      </c>
      <c r="B73" t="s">
        <v>18</v>
      </c>
      <c r="C73" t="s">
        <v>19</v>
      </c>
      <c r="D73" t="s">
        <v>20</v>
      </c>
      <c r="E73" t="s">
        <v>101</v>
      </c>
      <c r="F73" t="s">
        <v>125</v>
      </c>
      <c r="G73" t="s">
        <v>57</v>
      </c>
      <c r="H73" s="1">
        <v>45309</v>
      </c>
      <c r="I73" t="s">
        <v>64</v>
      </c>
      <c r="J73" t="s">
        <v>25</v>
      </c>
      <c r="K73">
        <v>7</v>
      </c>
      <c r="N73">
        <v>722</v>
      </c>
      <c r="O73">
        <v>90</v>
      </c>
      <c r="P73" s="1">
        <v>45600</v>
      </c>
      <c r="Q73" s="1">
        <v>45415</v>
      </c>
      <c r="R73">
        <f>IF(Table1[[#This Row],[Actual close date]]="","",Table1[[#This Row],[Actual close date]]-Table1[[#This Row],[Expected close date]])</f>
        <v>-185</v>
      </c>
    </row>
    <row r="74" spans="1:18" x14ac:dyDescent="0.25">
      <c r="A74" t="s">
        <v>144</v>
      </c>
      <c r="B74" t="s">
        <v>59</v>
      </c>
      <c r="C74" t="s">
        <v>60</v>
      </c>
      <c r="D74" t="s">
        <v>61</v>
      </c>
      <c r="E74" t="s">
        <v>101</v>
      </c>
      <c r="F74" t="s">
        <v>125</v>
      </c>
      <c r="G74" t="s">
        <v>46</v>
      </c>
      <c r="H74" s="1">
        <v>45307</v>
      </c>
      <c r="I74" t="s">
        <v>64</v>
      </c>
      <c r="J74" t="s">
        <v>25</v>
      </c>
      <c r="K74">
        <v>7</v>
      </c>
      <c r="N74">
        <v>1000</v>
      </c>
      <c r="O74">
        <v>80</v>
      </c>
      <c r="P74" s="1">
        <v>45397</v>
      </c>
      <c r="Q74" s="1">
        <v>45325</v>
      </c>
      <c r="R74">
        <f>IF(Table1[[#This Row],[Actual close date]]="","",Table1[[#This Row],[Actual close date]]-Table1[[#This Row],[Expected close date]])</f>
        <v>-72</v>
      </c>
    </row>
    <row r="75" spans="1:18" x14ac:dyDescent="0.25">
      <c r="A75" t="s">
        <v>145</v>
      </c>
      <c r="B75" t="s">
        <v>33</v>
      </c>
      <c r="C75" t="s">
        <v>34</v>
      </c>
      <c r="D75" t="s">
        <v>35</v>
      </c>
      <c r="E75" t="s">
        <v>66</v>
      </c>
      <c r="F75" t="s">
        <v>125</v>
      </c>
      <c r="G75" t="s">
        <v>37</v>
      </c>
      <c r="H75" s="1">
        <v>45340</v>
      </c>
      <c r="I75" t="s">
        <v>47</v>
      </c>
      <c r="J75" t="s">
        <v>25</v>
      </c>
      <c r="K75">
        <v>7</v>
      </c>
      <c r="N75">
        <v>898</v>
      </c>
      <c r="O75">
        <v>60</v>
      </c>
      <c r="P75" s="1">
        <v>45378</v>
      </c>
      <c r="Q75" s="1">
        <v>45395</v>
      </c>
      <c r="R75">
        <f>IF(Table1[[#This Row],[Actual close date]]="","",Table1[[#This Row],[Actual close date]]-Table1[[#This Row],[Expected close date]])</f>
        <v>17</v>
      </c>
    </row>
    <row r="76" spans="1:18" x14ac:dyDescent="0.25">
      <c r="A76" t="s">
        <v>146</v>
      </c>
      <c r="B76" t="s">
        <v>18</v>
      </c>
      <c r="C76" t="s">
        <v>19</v>
      </c>
      <c r="D76" t="s">
        <v>20</v>
      </c>
      <c r="E76" t="s">
        <v>101</v>
      </c>
      <c r="F76" t="s">
        <v>125</v>
      </c>
      <c r="G76" t="s">
        <v>46</v>
      </c>
      <c r="H76" s="1">
        <v>45435</v>
      </c>
      <c r="I76" t="s">
        <v>64</v>
      </c>
      <c r="J76" t="s">
        <v>25</v>
      </c>
      <c r="K76">
        <v>7</v>
      </c>
      <c r="N76">
        <v>786</v>
      </c>
      <c r="O76">
        <v>30</v>
      </c>
      <c r="P76" s="1">
        <v>45629</v>
      </c>
      <c r="Q76" s="1">
        <v>45545</v>
      </c>
      <c r="R76">
        <f>IF(Table1[[#This Row],[Actual close date]]="","",Table1[[#This Row],[Actual close date]]-Table1[[#This Row],[Expected close date]])</f>
        <v>-84</v>
      </c>
    </row>
    <row r="77" spans="1:18" x14ac:dyDescent="0.25">
      <c r="A77" t="s">
        <v>147</v>
      </c>
      <c r="B77" t="s">
        <v>54</v>
      </c>
      <c r="C77" t="s">
        <v>55</v>
      </c>
      <c r="D77" t="s">
        <v>56</v>
      </c>
      <c r="E77" t="s">
        <v>45</v>
      </c>
      <c r="F77" t="s">
        <v>125</v>
      </c>
      <c r="G77" t="s">
        <v>31</v>
      </c>
      <c r="H77" s="1">
        <v>45345</v>
      </c>
      <c r="I77" t="s">
        <v>24</v>
      </c>
      <c r="J77" t="s">
        <v>25</v>
      </c>
      <c r="K77">
        <v>7</v>
      </c>
      <c r="N77">
        <v>843</v>
      </c>
      <c r="O77">
        <v>40</v>
      </c>
      <c r="P77" s="1">
        <v>45472</v>
      </c>
      <c r="Q77" s="1">
        <v>45459</v>
      </c>
      <c r="R77">
        <f>IF(Table1[[#This Row],[Actual close date]]="","",Table1[[#This Row],[Actual close date]]-Table1[[#This Row],[Expected close date]])</f>
        <v>-13</v>
      </c>
    </row>
    <row r="78" spans="1:18" x14ac:dyDescent="0.25">
      <c r="A78" t="s">
        <v>148</v>
      </c>
      <c r="B78" t="s">
        <v>27</v>
      </c>
      <c r="C78" t="s">
        <v>28</v>
      </c>
      <c r="D78" t="s">
        <v>29</v>
      </c>
      <c r="E78" t="s">
        <v>52</v>
      </c>
      <c r="F78" t="s">
        <v>125</v>
      </c>
      <c r="G78" t="s">
        <v>72</v>
      </c>
      <c r="H78" s="1">
        <v>45413</v>
      </c>
      <c r="I78" t="s">
        <v>24</v>
      </c>
      <c r="J78" t="s">
        <v>25</v>
      </c>
      <c r="K78">
        <v>7</v>
      </c>
      <c r="N78">
        <v>608</v>
      </c>
      <c r="O78">
        <v>20</v>
      </c>
      <c r="P78" s="1">
        <v>45732</v>
      </c>
      <c r="Q78" s="1">
        <v>45524</v>
      </c>
      <c r="R78">
        <f>IF(Table1[[#This Row],[Actual close date]]="","",Table1[[#This Row],[Actual close date]]-Table1[[#This Row],[Expected close date]])</f>
        <v>-208</v>
      </c>
    </row>
    <row r="79" spans="1:18" x14ac:dyDescent="0.25">
      <c r="A79" t="s">
        <v>149</v>
      </c>
      <c r="B79" t="s">
        <v>33</v>
      </c>
      <c r="C79" t="s">
        <v>34</v>
      </c>
      <c r="D79" t="s">
        <v>35</v>
      </c>
      <c r="E79" t="s">
        <v>52</v>
      </c>
      <c r="F79" t="s">
        <v>125</v>
      </c>
      <c r="G79" t="s">
        <v>46</v>
      </c>
      <c r="H79" s="1">
        <v>45296</v>
      </c>
      <c r="I79" t="s">
        <v>64</v>
      </c>
      <c r="J79" t="s">
        <v>25</v>
      </c>
      <c r="K79">
        <v>7</v>
      </c>
      <c r="N79">
        <v>285</v>
      </c>
      <c r="O79">
        <v>20</v>
      </c>
      <c r="P79" s="1">
        <v>45489</v>
      </c>
      <c r="Q79" s="1">
        <v>45313</v>
      </c>
      <c r="R79">
        <f>IF(Table1[[#This Row],[Actual close date]]="","",Table1[[#This Row],[Actual close date]]-Table1[[#This Row],[Expected close date]])</f>
        <v>-176</v>
      </c>
    </row>
    <row r="80" spans="1:18" x14ac:dyDescent="0.25">
      <c r="A80" t="s">
        <v>150</v>
      </c>
      <c r="B80" t="s">
        <v>76</v>
      </c>
      <c r="C80" t="s">
        <v>77</v>
      </c>
      <c r="D80" t="s">
        <v>78</v>
      </c>
      <c r="E80" t="s">
        <v>62</v>
      </c>
      <c r="F80" t="s">
        <v>125</v>
      </c>
      <c r="G80" t="s">
        <v>57</v>
      </c>
      <c r="H80" s="1">
        <v>45366</v>
      </c>
      <c r="I80" t="s">
        <v>47</v>
      </c>
      <c r="J80" t="s">
        <v>25</v>
      </c>
      <c r="K80">
        <v>7</v>
      </c>
      <c r="N80">
        <v>950</v>
      </c>
      <c r="O80">
        <v>20</v>
      </c>
      <c r="P80" s="1">
        <v>45651</v>
      </c>
      <c r="Q80" s="1">
        <v>45479</v>
      </c>
      <c r="R80">
        <f>IF(Table1[[#This Row],[Actual close date]]="","",Table1[[#This Row],[Actual close date]]-Table1[[#This Row],[Expected close date]])</f>
        <v>-172</v>
      </c>
    </row>
    <row r="81" spans="1:18" x14ac:dyDescent="0.25">
      <c r="A81" t="s">
        <v>151</v>
      </c>
      <c r="B81" t="s">
        <v>39</v>
      </c>
      <c r="C81" t="s">
        <v>40</v>
      </c>
      <c r="D81" t="s">
        <v>41</v>
      </c>
      <c r="E81" t="s">
        <v>45</v>
      </c>
      <c r="F81" t="s">
        <v>125</v>
      </c>
      <c r="G81" t="s">
        <v>57</v>
      </c>
      <c r="H81" s="1">
        <v>45388</v>
      </c>
      <c r="I81" t="s">
        <v>24</v>
      </c>
      <c r="J81" t="s">
        <v>25</v>
      </c>
      <c r="K81">
        <v>7</v>
      </c>
      <c r="N81">
        <v>1095</v>
      </c>
      <c r="O81">
        <v>40</v>
      </c>
      <c r="P81" s="1">
        <v>45555</v>
      </c>
      <c r="Q81" s="1">
        <v>45388</v>
      </c>
      <c r="R81">
        <f>IF(Table1[[#This Row],[Actual close date]]="","",Table1[[#This Row],[Actual close date]]-Table1[[#This Row],[Expected close date]])</f>
        <v>-167</v>
      </c>
    </row>
    <row r="82" spans="1:18" x14ac:dyDescent="0.25">
      <c r="A82" t="s">
        <v>152</v>
      </c>
      <c r="B82" t="s">
        <v>59</v>
      </c>
      <c r="C82" t="s">
        <v>60</v>
      </c>
      <c r="D82" t="s">
        <v>61</v>
      </c>
      <c r="E82" t="s">
        <v>42</v>
      </c>
      <c r="F82" t="s">
        <v>125</v>
      </c>
      <c r="G82" t="s">
        <v>46</v>
      </c>
      <c r="H82" s="1">
        <v>45433</v>
      </c>
      <c r="I82" t="s">
        <v>64</v>
      </c>
      <c r="J82" t="s">
        <v>25</v>
      </c>
      <c r="K82">
        <v>7</v>
      </c>
      <c r="N82">
        <v>668</v>
      </c>
      <c r="O82">
        <v>90</v>
      </c>
      <c r="P82" s="1">
        <v>45524</v>
      </c>
      <c r="Q82" s="1">
        <v>45511</v>
      </c>
      <c r="R82">
        <f>IF(Table1[[#This Row],[Actual close date]]="","",Table1[[#This Row],[Actual close date]]-Table1[[#This Row],[Expected close date]])</f>
        <v>-13</v>
      </c>
    </row>
    <row r="83" spans="1:18" x14ac:dyDescent="0.25">
      <c r="A83" t="s">
        <v>153</v>
      </c>
      <c r="B83" t="s">
        <v>49</v>
      </c>
      <c r="C83" t="s">
        <v>50</v>
      </c>
      <c r="D83" t="s">
        <v>51</v>
      </c>
      <c r="E83" t="s">
        <v>21</v>
      </c>
      <c r="F83" t="s">
        <v>125</v>
      </c>
      <c r="G83" t="s">
        <v>46</v>
      </c>
      <c r="H83" s="1">
        <v>45317</v>
      </c>
      <c r="I83" t="s">
        <v>64</v>
      </c>
      <c r="J83" t="s">
        <v>25</v>
      </c>
      <c r="K83">
        <v>7</v>
      </c>
      <c r="N83">
        <v>993</v>
      </c>
      <c r="O83">
        <v>50</v>
      </c>
      <c r="P83" s="1">
        <v>45564</v>
      </c>
      <c r="Q83" s="1">
        <v>45336</v>
      </c>
      <c r="R83">
        <f>IF(Table1[[#This Row],[Actual close date]]="","",Table1[[#This Row],[Actual close date]]-Table1[[#This Row],[Expected close date]])</f>
        <v>-228</v>
      </c>
    </row>
    <row r="84" spans="1:18" x14ac:dyDescent="0.25">
      <c r="A84" t="s">
        <v>154</v>
      </c>
      <c r="B84" t="s">
        <v>39</v>
      </c>
      <c r="C84" t="s">
        <v>40</v>
      </c>
      <c r="D84" t="s">
        <v>41</v>
      </c>
      <c r="E84" t="s">
        <v>21</v>
      </c>
      <c r="F84" t="s">
        <v>125</v>
      </c>
      <c r="G84" t="s">
        <v>23</v>
      </c>
      <c r="H84" s="1">
        <v>45329</v>
      </c>
      <c r="I84" t="s">
        <v>24</v>
      </c>
      <c r="J84" t="s">
        <v>25</v>
      </c>
      <c r="K84">
        <v>7</v>
      </c>
      <c r="N84">
        <v>670</v>
      </c>
      <c r="O84">
        <v>50</v>
      </c>
      <c r="P84" s="1">
        <v>45391</v>
      </c>
      <c r="Q84" s="1">
        <v>45383</v>
      </c>
      <c r="R84">
        <f>IF(Table1[[#This Row],[Actual close date]]="","",Table1[[#This Row],[Actual close date]]-Table1[[#This Row],[Expected close date]])</f>
        <v>-8</v>
      </c>
    </row>
    <row r="85" spans="1:18" x14ac:dyDescent="0.25">
      <c r="A85" t="s">
        <v>155</v>
      </c>
      <c r="B85" t="s">
        <v>59</v>
      </c>
      <c r="C85" t="s">
        <v>60</v>
      </c>
      <c r="D85" t="s">
        <v>61</v>
      </c>
      <c r="E85" t="s">
        <v>21</v>
      </c>
      <c r="F85" t="s">
        <v>125</v>
      </c>
      <c r="G85" t="s">
        <v>57</v>
      </c>
      <c r="H85" s="1">
        <v>45335</v>
      </c>
      <c r="I85" t="s">
        <v>24</v>
      </c>
      <c r="J85" t="s">
        <v>25</v>
      </c>
      <c r="K85">
        <v>7</v>
      </c>
      <c r="N85">
        <v>442</v>
      </c>
      <c r="O85">
        <v>20</v>
      </c>
      <c r="P85" s="1">
        <v>45543</v>
      </c>
      <c r="Q85" s="1">
        <v>45436</v>
      </c>
      <c r="R85">
        <f>IF(Table1[[#This Row],[Actual close date]]="","",Table1[[#This Row],[Actual close date]]-Table1[[#This Row],[Expected close date]])</f>
        <v>-107</v>
      </c>
    </row>
    <row r="86" spans="1:18" x14ac:dyDescent="0.25">
      <c r="A86" t="s">
        <v>156</v>
      </c>
      <c r="B86" t="s">
        <v>39</v>
      </c>
      <c r="C86" t="s">
        <v>40</v>
      </c>
      <c r="D86" t="s">
        <v>41</v>
      </c>
      <c r="E86" t="s">
        <v>45</v>
      </c>
      <c r="F86" t="s">
        <v>125</v>
      </c>
      <c r="G86" t="s">
        <v>46</v>
      </c>
      <c r="H86" s="1">
        <v>45322</v>
      </c>
      <c r="I86" t="s">
        <v>47</v>
      </c>
      <c r="J86" t="s">
        <v>25</v>
      </c>
      <c r="K86">
        <v>7</v>
      </c>
      <c r="N86">
        <v>375</v>
      </c>
      <c r="O86">
        <v>70</v>
      </c>
      <c r="P86" s="1">
        <v>45489</v>
      </c>
      <c r="Q86" s="1">
        <v>45364</v>
      </c>
      <c r="R86">
        <f>IF(Table1[[#This Row],[Actual close date]]="","",Table1[[#This Row],[Actual close date]]-Table1[[#This Row],[Expected close date]])</f>
        <v>-125</v>
      </c>
    </row>
    <row r="87" spans="1:18" x14ac:dyDescent="0.25">
      <c r="A87" t="s">
        <v>157</v>
      </c>
      <c r="B87" t="s">
        <v>33</v>
      </c>
      <c r="C87" t="s">
        <v>34</v>
      </c>
      <c r="D87" t="s">
        <v>35</v>
      </c>
      <c r="E87" t="s">
        <v>30</v>
      </c>
      <c r="F87" t="s">
        <v>125</v>
      </c>
      <c r="G87" t="s">
        <v>72</v>
      </c>
      <c r="H87" s="1">
        <v>45350</v>
      </c>
      <c r="I87" t="s">
        <v>24</v>
      </c>
      <c r="J87" t="s">
        <v>25</v>
      </c>
      <c r="K87">
        <v>7</v>
      </c>
      <c r="N87">
        <v>258</v>
      </c>
      <c r="O87">
        <v>40</v>
      </c>
      <c r="P87" s="1">
        <v>45669</v>
      </c>
      <c r="Q87" s="1">
        <v>45401</v>
      </c>
      <c r="R87">
        <f>IF(Table1[[#This Row],[Actual close date]]="","",Table1[[#This Row],[Actual close date]]-Table1[[#This Row],[Expected close date]])</f>
        <v>-268</v>
      </c>
    </row>
    <row r="88" spans="1:18" x14ac:dyDescent="0.25">
      <c r="A88" t="s">
        <v>158</v>
      </c>
      <c r="B88" t="s">
        <v>76</v>
      </c>
      <c r="C88" t="s">
        <v>77</v>
      </c>
      <c r="D88" t="s">
        <v>78</v>
      </c>
      <c r="E88" t="s">
        <v>36</v>
      </c>
      <c r="F88" t="s">
        <v>125</v>
      </c>
      <c r="G88" t="s">
        <v>37</v>
      </c>
      <c r="H88" s="1">
        <v>45408</v>
      </c>
      <c r="I88" t="s">
        <v>24</v>
      </c>
      <c r="J88" t="s">
        <v>25</v>
      </c>
      <c r="K88">
        <v>7</v>
      </c>
      <c r="N88">
        <v>663</v>
      </c>
      <c r="O88">
        <v>40</v>
      </c>
      <c r="P88" s="1">
        <v>45705</v>
      </c>
      <c r="Q88" s="1">
        <v>45441</v>
      </c>
      <c r="R88">
        <f>IF(Table1[[#This Row],[Actual close date]]="","",Table1[[#This Row],[Actual close date]]-Table1[[#This Row],[Expected close date]])</f>
        <v>-264</v>
      </c>
    </row>
    <row r="89" spans="1:18" x14ac:dyDescent="0.25">
      <c r="A89" t="s">
        <v>159</v>
      </c>
      <c r="B89" t="s">
        <v>54</v>
      </c>
      <c r="C89" t="s">
        <v>55</v>
      </c>
      <c r="D89" t="s">
        <v>56</v>
      </c>
      <c r="E89" t="s">
        <v>45</v>
      </c>
      <c r="F89" t="s">
        <v>125</v>
      </c>
      <c r="G89" t="s">
        <v>23</v>
      </c>
      <c r="H89" s="1">
        <v>45362</v>
      </c>
      <c r="I89" t="s">
        <v>64</v>
      </c>
      <c r="J89" t="s">
        <v>25</v>
      </c>
      <c r="K89">
        <v>7</v>
      </c>
      <c r="N89">
        <v>1039</v>
      </c>
      <c r="O89">
        <v>70</v>
      </c>
      <c r="P89" s="1">
        <v>45639</v>
      </c>
      <c r="Q89" s="1">
        <v>45457</v>
      </c>
      <c r="R89">
        <f>IF(Table1[[#This Row],[Actual close date]]="","",Table1[[#This Row],[Actual close date]]-Table1[[#This Row],[Expected close date]])</f>
        <v>-182</v>
      </c>
    </row>
    <row r="90" spans="1:18" x14ac:dyDescent="0.25">
      <c r="A90" t="s">
        <v>160</v>
      </c>
      <c r="B90" t="s">
        <v>69</v>
      </c>
      <c r="C90" t="s">
        <v>70</v>
      </c>
      <c r="D90" t="s">
        <v>71</v>
      </c>
      <c r="E90" t="s">
        <v>21</v>
      </c>
      <c r="F90" t="s">
        <v>125</v>
      </c>
      <c r="G90" t="s">
        <v>57</v>
      </c>
      <c r="H90" s="1">
        <v>45304</v>
      </c>
      <c r="I90" t="s">
        <v>24</v>
      </c>
      <c r="J90" t="s">
        <v>25</v>
      </c>
      <c r="K90">
        <v>7</v>
      </c>
      <c r="N90">
        <v>991</v>
      </c>
      <c r="O90">
        <v>40</v>
      </c>
      <c r="P90" s="1">
        <v>45412</v>
      </c>
      <c r="Q90" s="1">
        <v>45377</v>
      </c>
      <c r="R90">
        <f>IF(Table1[[#This Row],[Actual close date]]="","",Table1[[#This Row],[Actual close date]]-Table1[[#This Row],[Expected close date]])</f>
        <v>-35</v>
      </c>
    </row>
    <row r="91" spans="1:18" x14ac:dyDescent="0.25">
      <c r="A91" t="s">
        <v>161</v>
      </c>
      <c r="B91" t="s">
        <v>54</v>
      </c>
      <c r="C91" t="s">
        <v>55</v>
      </c>
      <c r="D91" t="s">
        <v>56</v>
      </c>
      <c r="E91" t="s">
        <v>45</v>
      </c>
      <c r="F91" t="s">
        <v>125</v>
      </c>
      <c r="G91" t="s">
        <v>57</v>
      </c>
      <c r="H91" s="1">
        <v>45297</v>
      </c>
      <c r="I91" t="s">
        <v>24</v>
      </c>
      <c r="J91" t="s">
        <v>25</v>
      </c>
      <c r="K91">
        <v>7</v>
      </c>
      <c r="N91">
        <v>820</v>
      </c>
      <c r="O91">
        <v>20</v>
      </c>
      <c r="P91" s="1">
        <v>45589</v>
      </c>
      <c r="Q91" s="1">
        <v>45331</v>
      </c>
      <c r="R91">
        <f>IF(Table1[[#This Row],[Actual close date]]="","",Table1[[#This Row],[Actual close date]]-Table1[[#This Row],[Expected close date]])</f>
        <v>-258</v>
      </c>
    </row>
    <row r="92" spans="1:18" x14ac:dyDescent="0.25">
      <c r="A92" t="s">
        <v>162</v>
      </c>
      <c r="B92" t="s">
        <v>76</v>
      </c>
      <c r="C92" t="s">
        <v>77</v>
      </c>
      <c r="D92" t="s">
        <v>78</v>
      </c>
      <c r="E92" t="s">
        <v>45</v>
      </c>
      <c r="F92" t="s">
        <v>125</v>
      </c>
      <c r="G92" t="s">
        <v>46</v>
      </c>
      <c r="H92" s="1">
        <v>45342</v>
      </c>
      <c r="I92" t="s">
        <v>24</v>
      </c>
      <c r="J92" t="s">
        <v>25</v>
      </c>
      <c r="K92">
        <v>7</v>
      </c>
      <c r="N92">
        <v>884</v>
      </c>
      <c r="O92">
        <v>100</v>
      </c>
      <c r="P92" s="1">
        <v>45667</v>
      </c>
      <c r="Q92" s="1">
        <v>45385</v>
      </c>
      <c r="R92">
        <f>IF(Table1[[#This Row],[Actual close date]]="","",Table1[[#This Row],[Actual close date]]-Table1[[#This Row],[Expected close date]])</f>
        <v>-282</v>
      </c>
    </row>
    <row r="93" spans="1:18" x14ac:dyDescent="0.25">
      <c r="A93" t="s">
        <v>163</v>
      </c>
      <c r="B93" t="s">
        <v>18</v>
      </c>
      <c r="C93" t="s">
        <v>19</v>
      </c>
      <c r="D93" t="s">
        <v>20</v>
      </c>
      <c r="E93" t="s">
        <v>30</v>
      </c>
      <c r="F93" t="s">
        <v>125</v>
      </c>
      <c r="G93" t="s">
        <v>83</v>
      </c>
      <c r="H93" s="1">
        <v>45344</v>
      </c>
      <c r="I93" t="s">
        <v>47</v>
      </c>
      <c r="J93" t="s">
        <v>25</v>
      </c>
      <c r="K93">
        <v>7</v>
      </c>
      <c r="N93">
        <v>1057</v>
      </c>
      <c r="O93">
        <v>60</v>
      </c>
      <c r="P93" s="1">
        <v>45695</v>
      </c>
      <c r="Q93" s="1">
        <v>45457</v>
      </c>
      <c r="R93">
        <f>IF(Table1[[#This Row],[Actual close date]]="","",Table1[[#This Row],[Actual close date]]-Table1[[#This Row],[Expected close date]])</f>
        <v>-238</v>
      </c>
    </row>
    <row r="94" spans="1:18" x14ac:dyDescent="0.25">
      <c r="A94" t="s">
        <v>164</v>
      </c>
      <c r="B94" t="s">
        <v>59</v>
      </c>
      <c r="C94" t="s">
        <v>60</v>
      </c>
      <c r="D94" t="s">
        <v>61</v>
      </c>
      <c r="E94" t="s">
        <v>45</v>
      </c>
      <c r="F94" t="s">
        <v>125</v>
      </c>
      <c r="G94" t="s">
        <v>57</v>
      </c>
      <c r="H94" s="1">
        <v>45442</v>
      </c>
      <c r="I94" t="s">
        <v>64</v>
      </c>
      <c r="J94" t="s">
        <v>25</v>
      </c>
      <c r="K94">
        <v>7</v>
      </c>
      <c r="N94">
        <v>654</v>
      </c>
      <c r="O94">
        <v>20</v>
      </c>
      <c r="P94" s="1">
        <v>45598</v>
      </c>
      <c r="Q94" s="1">
        <v>45527</v>
      </c>
      <c r="R94">
        <f>IF(Table1[[#This Row],[Actual close date]]="","",Table1[[#This Row],[Actual close date]]-Table1[[#This Row],[Expected close date]])</f>
        <v>-71</v>
      </c>
    </row>
    <row r="95" spans="1:18" x14ac:dyDescent="0.25">
      <c r="A95" t="s">
        <v>165</v>
      </c>
      <c r="B95" t="s">
        <v>33</v>
      </c>
      <c r="C95" t="s">
        <v>34</v>
      </c>
      <c r="D95" t="s">
        <v>35</v>
      </c>
      <c r="E95" t="s">
        <v>98</v>
      </c>
      <c r="F95" t="s">
        <v>125</v>
      </c>
      <c r="G95" t="s">
        <v>57</v>
      </c>
      <c r="H95" s="1">
        <v>45308</v>
      </c>
      <c r="I95" t="s">
        <v>24</v>
      </c>
      <c r="J95" t="s">
        <v>25</v>
      </c>
      <c r="K95">
        <v>7</v>
      </c>
      <c r="N95">
        <v>913</v>
      </c>
      <c r="O95">
        <v>50</v>
      </c>
      <c r="P95" s="1">
        <v>45364</v>
      </c>
      <c r="Q95" s="1">
        <v>45341</v>
      </c>
      <c r="R95">
        <f>IF(Table1[[#This Row],[Actual close date]]="","",Table1[[#This Row],[Actual close date]]-Table1[[#This Row],[Expected close date]])</f>
        <v>-23</v>
      </c>
    </row>
    <row r="96" spans="1:18" x14ac:dyDescent="0.25">
      <c r="A96" t="s">
        <v>166</v>
      </c>
      <c r="B96" t="s">
        <v>27</v>
      </c>
      <c r="C96" t="s">
        <v>28</v>
      </c>
      <c r="D96" t="s">
        <v>29</v>
      </c>
      <c r="E96" t="s">
        <v>101</v>
      </c>
      <c r="F96" t="s">
        <v>167</v>
      </c>
      <c r="G96" t="s">
        <v>23</v>
      </c>
      <c r="H96" s="1">
        <v>45407</v>
      </c>
      <c r="I96" t="s">
        <v>24</v>
      </c>
      <c r="J96" t="s">
        <v>25</v>
      </c>
      <c r="K96">
        <v>7</v>
      </c>
      <c r="N96">
        <v>5555</v>
      </c>
      <c r="O96">
        <v>50</v>
      </c>
      <c r="P96" s="1">
        <v>45716</v>
      </c>
      <c r="Q96" s="1">
        <v>45412</v>
      </c>
      <c r="R96">
        <f>IF(Table1[[#This Row],[Actual close date]]="","",Table1[[#This Row],[Actual close date]]-Table1[[#This Row],[Expected close date]])</f>
        <v>-304</v>
      </c>
    </row>
    <row r="97" spans="1:18" x14ac:dyDescent="0.25">
      <c r="A97" t="s">
        <v>168</v>
      </c>
      <c r="B97" t="s">
        <v>33</v>
      </c>
      <c r="C97" t="s">
        <v>34</v>
      </c>
      <c r="D97" t="s">
        <v>35</v>
      </c>
      <c r="E97" t="s">
        <v>45</v>
      </c>
      <c r="F97" t="s">
        <v>167</v>
      </c>
      <c r="G97" t="s">
        <v>31</v>
      </c>
      <c r="H97" s="1">
        <v>45403</v>
      </c>
      <c r="I97" t="s">
        <v>47</v>
      </c>
      <c r="J97" t="s">
        <v>25</v>
      </c>
      <c r="K97">
        <v>7</v>
      </c>
      <c r="N97">
        <v>5916</v>
      </c>
      <c r="O97">
        <v>10</v>
      </c>
      <c r="P97" s="1">
        <v>45578</v>
      </c>
      <c r="Q97" s="1">
        <v>45452</v>
      </c>
      <c r="R97">
        <f>IF(Table1[[#This Row],[Actual close date]]="","",Table1[[#This Row],[Actual close date]]-Table1[[#This Row],[Expected close date]])</f>
        <v>-126</v>
      </c>
    </row>
    <row r="98" spans="1:18" x14ac:dyDescent="0.25">
      <c r="A98" t="s">
        <v>169</v>
      </c>
      <c r="B98" t="s">
        <v>33</v>
      </c>
      <c r="C98" t="s">
        <v>34</v>
      </c>
      <c r="D98" t="s">
        <v>35</v>
      </c>
      <c r="E98" t="s">
        <v>42</v>
      </c>
      <c r="F98" t="s">
        <v>167</v>
      </c>
      <c r="G98" t="s">
        <v>37</v>
      </c>
      <c r="H98" s="1">
        <v>45348</v>
      </c>
      <c r="I98" t="s">
        <v>64</v>
      </c>
      <c r="J98" t="s">
        <v>25</v>
      </c>
      <c r="K98">
        <v>7</v>
      </c>
      <c r="N98">
        <v>1352</v>
      </c>
      <c r="O98">
        <v>20</v>
      </c>
      <c r="P98" s="1">
        <v>45459</v>
      </c>
      <c r="Q98" s="1">
        <v>45407</v>
      </c>
      <c r="R98">
        <f>IF(Table1[[#This Row],[Actual close date]]="","",Table1[[#This Row],[Actual close date]]-Table1[[#This Row],[Expected close date]])</f>
        <v>-52</v>
      </c>
    </row>
    <row r="99" spans="1:18" x14ac:dyDescent="0.25">
      <c r="A99" t="s">
        <v>170</v>
      </c>
      <c r="B99" t="s">
        <v>76</v>
      </c>
      <c r="C99" t="s">
        <v>77</v>
      </c>
      <c r="D99" t="s">
        <v>78</v>
      </c>
      <c r="E99" t="s">
        <v>82</v>
      </c>
      <c r="F99" t="s">
        <v>167</v>
      </c>
      <c r="G99" t="s">
        <v>57</v>
      </c>
      <c r="H99" s="1">
        <v>45416</v>
      </c>
      <c r="I99" t="s">
        <v>47</v>
      </c>
      <c r="J99" t="s">
        <v>25</v>
      </c>
      <c r="K99">
        <v>7</v>
      </c>
      <c r="N99">
        <v>7313</v>
      </c>
      <c r="O99">
        <v>90</v>
      </c>
      <c r="P99" s="1">
        <v>45443</v>
      </c>
      <c r="Q99" s="1">
        <v>45525</v>
      </c>
      <c r="R99">
        <f>IF(Table1[[#This Row],[Actual close date]]="","",Table1[[#This Row],[Actual close date]]-Table1[[#This Row],[Expected close date]])</f>
        <v>82</v>
      </c>
    </row>
    <row r="100" spans="1:18" x14ac:dyDescent="0.25">
      <c r="A100" t="s">
        <v>171</v>
      </c>
      <c r="B100" t="s">
        <v>27</v>
      </c>
      <c r="C100" t="s">
        <v>28</v>
      </c>
      <c r="D100" t="s">
        <v>29</v>
      </c>
      <c r="E100" t="s">
        <v>98</v>
      </c>
      <c r="F100" t="s">
        <v>167</v>
      </c>
      <c r="G100" t="s">
        <v>57</v>
      </c>
      <c r="H100" s="1">
        <v>45425</v>
      </c>
      <c r="I100" t="s">
        <v>47</v>
      </c>
      <c r="J100" t="s">
        <v>25</v>
      </c>
      <c r="K100">
        <v>7</v>
      </c>
      <c r="N100">
        <v>481</v>
      </c>
      <c r="O100">
        <v>50</v>
      </c>
      <c r="P100" s="1">
        <v>45450</v>
      </c>
      <c r="Q100" s="1">
        <v>45464</v>
      </c>
      <c r="R100">
        <f>IF(Table1[[#This Row],[Actual close date]]="","",Table1[[#This Row],[Actual close date]]-Table1[[#This Row],[Expected close date]])</f>
        <v>14</v>
      </c>
    </row>
    <row r="101" spans="1:18" x14ac:dyDescent="0.25">
      <c r="A101" t="s">
        <v>172</v>
      </c>
      <c r="B101" t="s">
        <v>59</v>
      </c>
      <c r="C101" t="s">
        <v>60</v>
      </c>
      <c r="D101" t="s">
        <v>61</v>
      </c>
      <c r="E101" t="s">
        <v>62</v>
      </c>
      <c r="F101" t="s">
        <v>167</v>
      </c>
      <c r="G101" t="s">
        <v>57</v>
      </c>
      <c r="H101" s="1">
        <v>45345</v>
      </c>
      <c r="I101" t="s">
        <v>64</v>
      </c>
      <c r="J101" t="s">
        <v>25</v>
      </c>
      <c r="K101">
        <v>7</v>
      </c>
      <c r="N101">
        <v>5122</v>
      </c>
      <c r="O101">
        <v>20</v>
      </c>
      <c r="P101" s="1">
        <v>45504</v>
      </c>
      <c r="Q101" s="1">
        <v>45374</v>
      </c>
      <c r="R101">
        <f>IF(Table1[[#This Row],[Actual close date]]="","",Table1[[#This Row],[Actual close date]]-Table1[[#This Row],[Expected close date]])</f>
        <v>-130</v>
      </c>
    </row>
    <row r="102" spans="1:18" x14ac:dyDescent="0.25">
      <c r="A102" t="s">
        <v>173</v>
      </c>
      <c r="B102" t="s">
        <v>69</v>
      </c>
      <c r="C102" t="s">
        <v>70</v>
      </c>
      <c r="D102" t="s">
        <v>71</v>
      </c>
      <c r="E102" t="s">
        <v>36</v>
      </c>
      <c r="F102" t="s">
        <v>167</v>
      </c>
      <c r="G102" t="s">
        <v>46</v>
      </c>
      <c r="H102" s="1">
        <v>45323</v>
      </c>
      <c r="I102" t="s">
        <v>24</v>
      </c>
      <c r="J102" t="s">
        <v>25</v>
      </c>
      <c r="K102">
        <v>7</v>
      </c>
      <c r="N102">
        <v>7898</v>
      </c>
      <c r="O102">
        <v>30</v>
      </c>
      <c r="P102" s="1">
        <v>45540</v>
      </c>
      <c r="Q102" s="1">
        <v>45353</v>
      </c>
      <c r="R102">
        <f>IF(Table1[[#This Row],[Actual close date]]="","",Table1[[#This Row],[Actual close date]]-Table1[[#This Row],[Expected close date]])</f>
        <v>-187</v>
      </c>
    </row>
    <row r="103" spans="1:18" x14ac:dyDescent="0.25">
      <c r="A103" t="s">
        <v>174</v>
      </c>
      <c r="B103" t="s">
        <v>54</v>
      </c>
      <c r="C103" t="s">
        <v>55</v>
      </c>
      <c r="D103" t="s">
        <v>56</v>
      </c>
      <c r="E103" t="s">
        <v>52</v>
      </c>
      <c r="F103" t="s">
        <v>167</v>
      </c>
      <c r="G103" t="s">
        <v>46</v>
      </c>
      <c r="H103" s="1">
        <v>45369</v>
      </c>
      <c r="I103" t="s">
        <v>47</v>
      </c>
      <c r="J103" t="s">
        <v>25</v>
      </c>
      <c r="K103">
        <v>7</v>
      </c>
      <c r="N103">
        <v>5718</v>
      </c>
      <c r="O103">
        <v>30</v>
      </c>
      <c r="P103" s="1">
        <v>45507</v>
      </c>
      <c r="Q103" s="1">
        <v>45451</v>
      </c>
      <c r="R103">
        <f>IF(Table1[[#This Row],[Actual close date]]="","",Table1[[#This Row],[Actual close date]]-Table1[[#This Row],[Expected close date]])</f>
        <v>-56</v>
      </c>
    </row>
    <row r="104" spans="1:18" x14ac:dyDescent="0.25">
      <c r="A104" t="s">
        <v>175</v>
      </c>
      <c r="B104" t="s">
        <v>54</v>
      </c>
      <c r="C104" t="s">
        <v>55</v>
      </c>
      <c r="D104" t="s">
        <v>56</v>
      </c>
      <c r="E104" t="s">
        <v>36</v>
      </c>
      <c r="F104" t="s">
        <v>167</v>
      </c>
      <c r="G104" t="s">
        <v>85</v>
      </c>
      <c r="H104" s="1">
        <v>45332</v>
      </c>
      <c r="I104" t="s">
        <v>64</v>
      </c>
      <c r="J104" t="s">
        <v>25</v>
      </c>
      <c r="K104">
        <v>7</v>
      </c>
      <c r="N104">
        <v>2849</v>
      </c>
      <c r="O104">
        <v>90</v>
      </c>
      <c r="P104" s="1">
        <v>45550</v>
      </c>
      <c r="Q104" s="1">
        <v>45338</v>
      </c>
      <c r="R104">
        <f>IF(Table1[[#This Row],[Actual close date]]="","",Table1[[#This Row],[Actual close date]]-Table1[[#This Row],[Expected close date]])</f>
        <v>-212</v>
      </c>
    </row>
    <row r="105" spans="1:18" x14ac:dyDescent="0.25">
      <c r="A105" t="s">
        <v>176</v>
      </c>
      <c r="B105" t="s">
        <v>27</v>
      </c>
      <c r="C105" t="s">
        <v>28</v>
      </c>
      <c r="D105" t="s">
        <v>29</v>
      </c>
      <c r="E105" t="s">
        <v>74</v>
      </c>
      <c r="F105" t="s">
        <v>167</v>
      </c>
      <c r="G105" t="s">
        <v>57</v>
      </c>
      <c r="H105" s="1">
        <v>45303</v>
      </c>
      <c r="I105" t="s">
        <v>64</v>
      </c>
      <c r="J105" t="s">
        <v>25</v>
      </c>
      <c r="K105">
        <v>7</v>
      </c>
      <c r="N105">
        <v>3612</v>
      </c>
      <c r="O105">
        <v>40</v>
      </c>
      <c r="P105" s="1">
        <v>45497</v>
      </c>
      <c r="Q105" s="1">
        <v>45384</v>
      </c>
      <c r="R105">
        <f>IF(Table1[[#This Row],[Actual close date]]="","",Table1[[#This Row],[Actual close date]]-Table1[[#This Row],[Expected close date]])</f>
        <v>-113</v>
      </c>
    </row>
    <row r="106" spans="1:18" x14ac:dyDescent="0.25">
      <c r="A106" t="s">
        <v>177</v>
      </c>
      <c r="B106" t="s">
        <v>27</v>
      </c>
      <c r="C106" t="s">
        <v>28</v>
      </c>
      <c r="D106" t="s">
        <v>29</v>
      </c>
      <c r="E106" t="s">
        <v>45</v>
      </c>
      <c r="F106" t="s">
        <v>167</v>
      </c>
      <c r="G106" t="s">
        <v>57</v>
      </c>
      <c r="H106" s="1">
        <v>45387</v>
      </c>
      <c r="I106" t="s">
        <v>24</v>
      </c>
      <c r="J106" t="s">
        <v>25</v>
      </c>
      <c r="K106">
        <v>7</v>
      </c>
      <c r="N106">
        <v>1333</v>
      </c>
      <c r="O106">
        <v>20</v>
      </c>
      <c r="P106" s="1">
        <v>45471</v>
      </c>
      <c r="Q106" s="1">
        <v>45444</v>
      </c>
      <c r="R106">
        <f>IF(Table1[[#This Row],[Actual close date]]="","",Table1[[#This Row],[Actual close date]]-Table1[[#This Row],[Expected close date]])</f>
        <v>-27</v>
      </c>
    </row>
    <row r="107" spans="1:18" x14ac:dyDescent="0.25">
      <c r="A107" t="s">
        <v>178</v>
      </c>
      <c r="B107" t="s">
        <v>54</v>
      </c>
      <c r="C107" t="s">
        <v>55</v>
      </c>
      <c r="D107" t="s">
        <v>56</v>
      </c>
      <c r="E107" t="s">
        <v>21</v>
      </c>
      <c r="F107" t="s">
        <v>167</v>
      </c>
      <c r="G107" t="s">
        <v>23</v>
      </c>
      <c r="H107" s="1">
        <v>45309</v>
      </c>
      <c r="I107" t="s">
        <v>64</v>
      </c>
      <c r="J107" t="s">
        <v>25</v>
      </c>
      <c r="K107">
        <v>7</v>
      </c>
      <c r="N107">
        <v>2367</v>
      </c>
      <c r="O107">
        <v>20</v>
      </c>
      <c r="P107" s="1">
        <v>45664</v>
      </c>
      <c r="Q107" s="1">
        <v>45424</v>
      </c>
      <c r="R107">
        <f>IF(Table1[[#This Row],[Actual close date]]="","",Table1[[#This Row],[Actual close date]]-Table1[[#This Row],[Expected close date]])</f>
        <v>-240</v>
      </c>
    </row>
    <row r="108" spans="1:18" x14ac:dyDescent="0.25">
      <c r="A108" t="s">
        <v>179</v>
      </c>
      <c r="B108" t="s">
        <v>39</v>
      </c>
      <c r="C108" t="s">
        <v>40</v>
      </c>
      <c r="D108" t="s">
        <v>41</v>
      </c>
      <c r="E108" t="s">
        <v>74</v>
      </c>
      <c r="F108" t="s">
        <v>167</v>
      </c>
      <c r="G108" t="s">
        <v>85</v>
      </c>
      <c r="H108" s="1">
        <v>45389</v>
      </c>
      <c r="I108" t="s">
        <v>64</v>
      </c>
      <c r="J108" t="s">
        <v>25</v>
      </c>
      <c r="K108">
        <v>7</v>
      </c>
      <c r="N108">
        <v>3651</v>
      </c>
      <c r="O108">
        <v>40</v>
      </c>
      <c r="P108" s="1">
        <v>45501</v>
      </c>
      <c r="Q108" s="1">
        <v>45394</v>
      </c>
      <c r="R108">
        <f>IF(Table1[[#This Row],[Actual close date]]="","",Table1[[#This Row],[Actual close date]]-Table1[[#This Row],[Expected close date]])</f>
        <v>-107</v>
      </c>
    </row>
    <row r="109" spans="1:18" x14ac:dyDescent="0.25">
      <c r="A109" t="s">
        <v>180</v>
      </c>
      <c r="B109" t="s">
        <v>33</v>
      </c>
      <c r="C109" t="s">
        <v>34</v>
      </c>
      <c r="D109" t="s">
        <v>35</v>
      </c>
      <c r="E109" t="s">
        <v>42</v>
      </c>
      <c r="F109" t="s">
        <v>167</v>
      </c>
      <c r="G109" t="s">
        <v>37</v>
      </c>
      <c r="H109" s="1">
        <v>45345</v>
      </c>
      <c r="I109" t="s">
        <v>24</v>
      </c>
      <c r="J109" t="s">
        <v>25</v>
      </c>
      <c r="K109">
        <v>7</v>
      </c>
      <c r="N109">
        <v>1647</v>
      </c>
      <c r="O109">
        <v>10</v>
      </c>
      <c r="P109" s="1">
        <v>45658</v>
      </c>
      <c r="Q109" s="1">
        <v>45436</v>
      </c>
      <c r="R109">
        <f>IF(Table1[[#This Row],[Actual close date]]="","",Table1[[#This Row],[Actual close date]]-Table1[[#This Row],[Expected close date]])</f>
        <v>-222</v>
      </c>
    </row>
    <row r="110" spans="1:18" x14ac:dyDescent="0.25">
      <c r="A110" t="s">
        <v>181</v>
      </c>
      <c r="B110" t="s">
        <v>27</v>
      </c>
      <c r="C110" t="s">
        <v>28</v>
      </c>
      <c r="D110" t="s">
        <v>29</v>
      </c>
      <c r="E110" t="s">
        <v>52</v>
      </c>
      <c r="F110" t="s">
        <v>167</v>
      </c>
      <c r="G110" t="s">
        <v>23</v>
      </c>
      <c r="H110" s="1">
        <v>45340</v>
      </c>
      <c r="I110" t="s">
        <v>24</v>
      </c>
      <c r="J110" t="s">
        <v>25</v>
      </c>
      <c r="K110">
        <v>7</v>
      </c>
      <c r="N110">
        <v>3098</v>
      </c>
      <c r="O110">
        <v>40</v>
      </c>
      <c r="P110" s="1">
        <v>45608</v>
      </c>
      <c r="Q110" s="1">
        <v>45352</v>
      </c>
      <c r="R110">
        <f>IF(Table1[[#This Row],[Actual close date]]="","",Table1[[#This Row],[Actual close date]]-Table1[[#This Row],[Expected close date]])</f>
        <v>-256</v>
      </c>
    </row>
    <row r="111" spans="1:18" x14ac:dyDescent="0.25">
      <c r="A111" t="s">
        <v>182</v>
      </c>
      <c r="B111" t="s">
        <v>59</v>
      </c>
      <c r="C111" t="s">
        <v>60</v>
      </c>
      <c r="D111" t="s">
        <v>61</v>
      </c>
      <c r="E111" t="s">
        <v>66</v>
      </c>
      <c r="F111" t="s">
        <v>167</v>
      </c>
      <c r="G111" t="s">
        <v>72</v>
      </c>
      <c r="H111" s="1">
        <v>45337</v>
      </c>
      <c r="I111" t="s">
        <v>64</v>
      </c>
      <c r="J111" t="s">
        <v>25</v>
      </c>
      <c r="K111">
        <v>7</v>
      </c>
      <c r="N111">
        <v>7604</v>
      </c>
      <c r="O111">
        <v>40</v>
      </c>
      <c r="P111" s="1">
        <v>45610</v>
      </c>
      <c r="Q111" s="1">
        <v>45353</v>
      </c>
      <c r="R111">
        <f>IF(Table1[[#This Row],[Actual close date]]="","",Table1[[#This Row],[Actual close date]]-Table1[[#This Row],[Expected close date]])</f>
        <v>-257</v>
      </c>
    </row>
    <row r="112" spans="1:18" x14ac:dyDescent="0.25">
      <c r="A112" t="s">
        <v>183</v>
      </c>
      <c r="B112" t="s">
        <v>39</v>
      </c>
      <c r="C112" t="s">
        <v>40</v>
      </c>
      <c r="D112" t="s">
        <v>41</v>
      </c>
      <c r="E112" t="s">
        <v>62</v>
      </c>
      <c r="F112" t="s">
        <v>167</v>
      </c>
      <c r="G112" t="s">
        <v>72</v>
      </c>
      <c r="H112" s="1">
        <v>45354</v>
      </c>
      <c r="I112" t="s">
        <v>64</v>
      </c>
      <c r="J112" t="s">
        <v>25</v>
      </c>
      <c r="K112">
        <v>7</v>
      </c>
      <c r="N112">
        <v>3858</v>
      </c>
      <c r="O112">
        <v>50</v>
      </c>
      <c r="P112" s="1">
        <v>45463</v>
      </c>
      <c r="Q112" s="1">
        <v>45383</v>
      </c>
      <c r="R112">
        <f>IF(Table1[[#This Row],[Actual close date]]="","",Table1[[#This Row],[Actual close date]]-Table1[[#This Row],[Expected close date]])</f>
        <v>-80</v>
      </c>
    </row>
    <row r="113" spans="1:18" x14ac:dyDescent="0.25">
      <c r="A113" t="s">
        <v>184</v>
      </c>
      <c r="B113" t="s">
        <v>69</v>
      </c>
      <c r="C113" t="s">
        <v>70</v>
      </c>
      <c r="D113" t="s">
        <v>71</v>
      </c>
      <c r="E113" t="s">
        <v>36</v>
      </c>
      <c r="F113" t="s">
        <v>167</v>
      </c>
      <c r="G113" t="s">
        <v>31</v>
      </c>
      <c r="H113" s="1">
        <v>45303</v>
      </c>
      <c r="I113" t="s">
        <v>24</v>
      </c>
      <c r="J113" t="s">
        <v>25</v>
      </c>
      <c r="K113">
        <v>7</v>
      </c>
      <c r="N113">
        <v>785</v>
      </c>
      <c r="O113">
        <v>70</v>
      </c>
      <c r="P113" s="1">
        <v>45490</v>
      </c>
      <c r="Q113" s="1">
        <v>45396</v>
      </c>
      <c r="R113">
        <f>IF(Table1[[#This Row],[Actual close date]]="","",Table1[[#This Row],[Actual close date]]-Table1[[#This Row],[Expected close date]])</f>
        <v>-94</v>
      </c>
    </row>
    <row r="114" spans="1:18" x14ac:dyDescent="0.25">
      <c r="A114" t="s">
        <v>185</v>
      </c>
      <c r="B114" t="s">
        <v>27</v>
      </c>
      <c r="C114" t="s">
        <v>28</v>
      </c>
      <c r="D114" t="s">
        <v>29</v>
      </c>
      <c r="E114" t="s">
        <v>42</v>
      </c>
      <c r="F114" t="s">
        <v>167</v>
      </c>
      <c r="G114" t="s">
        <v>57</v>
      </c>
      <c r="H114" s="1">
        <v>45311</v>
      </c>
      <c r="I114" t="s">
        <v>24</v>
      </c>
      <c r="J114" t="s">
        <v>25</v>
      </c>
      <c r="K114">
        <v>7</v>
      </c>
      <c r="N114">
        <v>4410</v>
      </c>
      <c r="O114">
        <v>40</v>
      </c>
      <c r="P114" s="1">
        <v>45453</v>
      </c>
      <c r="Q114" s="1">
        <v>45358</v>
      </c>
      <c r="R114">
        <f>IF(Table1[[#This Row],[Actual close date]]="","",Table1[[#This Row],[Actual close date]]-Table1[[#This Row],[Expected close date]])</f>
        <v>-95</v>
      </c>
    </row>
    <row r="115" spans="1:18" x14ac:dyDescent="0.25">
      <c r="A115" t="s">
        <v>186</v>
      </c>
      <c r="B115" t="s">
        <v>59</v>
      </c>
      <c r="C115" t="s">
        <v>60</v>
      </c>
      <c r="D115" t="s">
        <v>61</v>
      </c>
      <c r="E115" t="s">
        <v>74</v>
      </c>
      <c r="F115" t="s">
        <v>167</v>
      </c>
      <c r="G115" t="s">
        <v>46</v>
      </c>
      <c r="H115" s="1">
        <v>45392</v>
      </c>
      <c r="I115" t="s">
        <v>64</v>
      </c>
      <c r="J115" t="s">
        <v>25</v>
      </c>
      <c r="K115">
        <v>7</v>
      </c>
      <c r="N115">
        <v>3455</v>
      </c>
      <c r="O115">
        <v>100</v>
      </c>
      <c r="P115" s="1">
        <v>45637</v>
      </c>
      <c r="Q115" s="1">
        <v>45454</v>
      </c>
      <c r="R115">
        <f>IF(Table1[[#This Row],[Actual close date]]="","",Table1[[#This Row],[Actual close date]]-Table1[[#This Row],[Expected close date]])</f>
        <v>-183</v>
      </c>
    </row>
    <row r="116" spans="1:18" x14ac:dyDescent="0.25">
      <c r="A116" t="s">
        <v>187</v>
      </c>
      <c r="B116" t="s">
        <v>49</v>
      </c>
      <c r="C116" t="s">
        <v>50</v>
      </c>
      <c r="D116" t="s">
        <v>51</v>
      </c>
      <c r="E116" t="s">
        <v>21</v>
      </c>
      <c r="F116" t="s">
        <v>167</v>
      </c>
      <c r="G116" t="s">
        <v>46</v>
      </c>
      <c r="H116" s="1">
        <v>45336</v>
      </c>
      <c r="I116" t="s">
        <v>24</v>
      </c>
      <c r="J116" t="s">
        <v>25</v>
      </c>
      <c r="K116">
        <v>7</v>
      </c>
      <c r="N116">
        <v>7486</v>
      </c>
      <c r="O116">
        <v>40</v>
      </c>
      <c r="P116" s="1">
        <v>45648</v>
      </c>
      <c r="Q116" s="1">
        <v>45423</v>
      </c>
      <c r="R116">
        <f>IF(Table1[[#This Row],[Actual close date]]="","",Table1[[#This Row],[Actual close date]]-Table1[[#This Row],[Expected close date]])</f>
        <v>-225</v>
      </c>
    </row>
    <row r="117" spans="1:18" x14ac:dyDescent="0.25">
      <c r="A117" t="s">
        <v>188</v>
      </c>
      <c r="B117" t="s">
        <v>54</v>
      </c>
      <c r="C117" t="s">
        <v>55</v>
      </c>
      <c r="D117" t="s">
        <v>56</v>
      </c>
      <c r="E117" t="s">
        <v>62</v>
      </c>
      <c r="F117" t="s">
        <v>167</v>
      </c>
      <c r="G117" t="s">
        <v>37</v>
      </c>
      <c r="H117" s="1">
        <v>45354</v>
      </c>
      <c r="I117" t="s">
        <v>64</v>
      </c>
      <c r="J117" t="s">
        <v>25</v>
      </c>
      <c r="K117">
        <v>7</v>
      </c>
      <c r="N117">
        <v>4521</v>
      </c>
      <c r="O117">
        <v>90</v>
      </c>
      <c r="P117" s="1">
        <v>45638</v>
      </c>
      <c r="Q117" s="1">
        <v>45357</v>
      </c>
      <c r="R117">
        <f>IF(Table1[[#This Row],[Actual close date]]="","",Table1[[#This Row],[Actual close date]]-Table1[[#This Row],[Expected close date]])</f>
        <v>-281</v>
      </c>
    </row>
    <row r="118" spans="1:18" x14ac:dyDescent="0.25">
      <c r="A118" t="s">
        <v>189</v>
      </c>
      <c r="B118" t="s">
        <v>33</v>
      </c>
      <c r="C118" t="s">
        <v>34</v>
      </c>
      <c r="D118" t="s">
        <v>35</v>
      </c>
      <c r="E118" t="s">
        <v>42</v>
      </c>
      <c r="F118" t="s">
        <v>167</v>
      </c>
      <c r="G118" t="s">
        <v>85</v>
      </c>
      <c r="H118" s="1">
        <v>45442</v>
      </c>
      <c r="I118" t="s">
        <v>24</v>
      </c>
      <c r="J118" t="s">
        <v>25</v>
      </c>
      <c r="K118">
        <v>7</v>
      </c>
      <c r="N118">
        <v>1641</v>
      </c>
      <c r="O118">
        <v>20</v>
      </c>
      <c r="P118" s="1">
        <v>45482</v>
      </c>
      <c r="Q118" s="1">
        <v>45541</v>
      </c>
      <c r="R118">
        <f>IF(Table1[[#This Row],[Actual close date]]="","",Table1[[#This Row],[Actual close date]]-Table1[[#This Row],[Expected close date]])</f>
        <v>59</v>
      </c>
    </row>
    <row r="119" spans="1:18" x14ac:dyDescent="0.25">
      <c r="A119" t="s">
        <v>190</v>
      </c>
      <c r="B119" t="s">
        <v>33</v>
      </c>
      <c r="C119" t="s">
        <v>34</v>
      </c>
      <c r="D119" t="s">
        <v>35</v>
      </c>
      <c r="E119" t="s">
        <v>36</v>
      </c>
      <c r="F119" t="s">
        <v>167</v>
      </c>
      <c r="G119" t="s">
        <v>37</v>
      </c>
      <c r="H119" s="1">
        <v>45293</v>
      </c>
      <c r="I119" t="s">
        <v>24</v>
      </c>
      <c r="J119" t="s">
        <v>25</v>
      </c>
      <c r="K119">
        <v>7</v>
      </c>
      <c r="N119">
        <v>3545</v>
      </c>
      <c r="O119">
        <v>40</v>
      </c>
      <c r="P119" s="1">
        <v>45486</v>
      </c>
      <c r="Q119" s="1">
        <v>45409</v>
      </c>
      <c r="R119">
        <f>IF(Table1[[#This Row],[Actual close date]]="","",Table1[[#This Row],[Actual close date]]-Table1[[#This Row],[Expected close date]])</f>
        <v>-77</v>
      </c>
    </row>
    <row r="120" spans="1:18" x14ac:dyDescent="0.25">
      <c r="A120" t="s">
        <v>191</v>
      </c>
      <c r="B120" t="s">
        <v>33</v>
      </c>
      <c r="C120" t="s">
        <v>34</v>
      </c>
      <c r="D120" t="s">
        <v>35</v>
      </c>
      <c r="E120" t="s">
        <v>118</v>
      </c>
      <c r="F120" t="s">
        <v>167</v>
      </c>
      <c r="G120" t="s">
        <v>57</v>
      </c>
      <c r="H120" s="1">
        <v>45430</v>
      </c>
      <c r="I120" t="s">
        <v>24</v>
      </c>
      <c r="J120" t="s">
        <v>25</v>
      </c>
      <c r="K120">
        <v>7</v>
      </c>
      <c r="N120">
        <v>5862</v>
      </c>
      <c r="O120">
        <v>60</v>
      </c>
      <c r="P120" s="1">
        <v>45562</v>
      </c>
      <c r="Q120" s="1">
        <v>45479</v>
      </c>
      <c r="R120">
        <f>IF(Table1[[#This Row],[Actual close date]]="","",Table1[[#This Row],[Actual close date]]-Table1[[#This Row],[Expected close date]])</f>
        <v>-83</v>
      </c>
    </row>
    <row r="121" spans="1:18" x14ac:dyDescent="0.25">
      <c r="A121" t="s">
        <v>192</v>
      </c>
      <c r="B121" t="s">
        <v>18</v>
      </c>
      <c r="C121" t="s">
        <v>19</v>
      </c>
      <c r="D121" t="s">
        <v>20</v>
      </c>
      <c r="E121" t="s">
        <v>52</v>
      </c>
      <c r="F121" t="s">
        <v>167</v>
      </c>
      <c r="G121" t="s">
        <v>72</v>
      </c>
      <c r="H121" s="1">
        <v>45368</v>
      </c>
      <c r="I121" t="s">
        <v>64</v>
      </c>
      <c r="J121" t="s">
        <v>25</v>
      </c>
      <c r="K121">
        <v>7</v>
      </c>
      <c r="N121">
        <v>6124</v>
      </c>
      <c r="O121">
        <v>20</v>
      </c>
      <c r="P121" s="1">
        <v>45471</v>
      </c>
      <c r="Q121" s="1">
        <v>45478</v>
      </c>
      <c r="R121">
        <f>IF(Table1[[#This Row],[Actual close date]]="","",Table1[[#This Row],[Actual close date]]-Table1[[#This Row],[Expected close date]])</f>
        <v>7</v>
      </c>
    </row>
    <row r="122" spans="1:18" x14ac:dyDescent="0.25">
      <c r="A122" t="s">
        <v>193</v>
      </c>
      <c r="B122" t="s">
        <v>59</v>
      </c>
      <c r="C122" t="s">
        <v>60</v>
      </c>
      <c r="D122" t="s">
        <v>61</v>
      </c>
      <c r="E122" t="s">
        <v>42</v>
      </c>
      <c r="F122" t="s">
        <v>167</v>
      </c>
      <c r="G122" t="s">
        <v>46</v>
      </c>
      <c r="H122" s="1">
        <v>45327</v>
      </c>
      <c r="I122" t="s">
        <v>64</v>
      </c>
      <c r="J122" t="s">
        <v>25</v>
      </c>
      <c r="K122">
        <v>7</v>
      </c>
      <c r="N122">
        <v>2002</v>
      </c>
      <c r="O122">
        <v>30</v>
      </c>
      <c r="P122" s="1">
        <v>45649</v>
      </c>
      <c r="Q122" s="1">
        <v>45371</v>
      </c>
      <c r="R122">
        <f>IF(Table1[[#This Row],[Actual close date]]="","",Table1[[#This Row],[Actual close date]]-Table1[[#This Row],[Expected close date]])</f>
        <v>-278</v>
      </c>
    </row>
    <row r="123" spans="1:18" x14ac:dyDescent="0.25">
      <c r="A123" t="s">
        <v>194</v>
      </c>
      <c r="B123" t="s">
        <v>76</v>
      </c>
      <c r="C123" t="s">
        <v>77</v>
      </c>
      <c r="D123" t="s">
        <v>78</v>
      </c>
      <c r="E123" t="s">
        <v>42</v>
      </c>
      <c r="F123" t="s">
        <v>167</v>
      </c>
      <c r="G123" t="s">
        <v>57</v>
      </c>
      <c r="H123" s="1">
        <v>45293</v>
      </c>
      <c r="I123" t="s">
        <v>64</v>
      </c>
      <c r="J123" t="s">
        <v>25</v>
      </c>
      <c r="K123">
        <v>7</v>
      </c>
      <c r="N123">
        <v>3182</v>
      </c>
      <c r="O123">
        <v>20</v>
      </c>
      <c r="P123" s="1">
        <v>45417</v>
      </c>
      <c r="Q123" s="1">
        <v>45354</v>
      </c>
      <c r="R123">
        <f>IF(Table1[[#This Row],[Actual close date]]="","",Table1[[#This Row],[Actual close date]]-Table1[[#This Row],[Expected close date]])</f>
        <v>-63</v>
      </c>
    </row>
    <row r="124" spans="1:18" x14ac:dyDescent="0.25">
      <c r="A124" t="s">
        <v>195</v>
      </c>
      <c r="B124" t="s">
        <v>49</v>
      </c>
      <c r="C124" t="s">
        <v>50</v>
      </c>
      <c r="D124" t="s">
        <v>51</v>
      </c>
      <c r="E124" t="s">
        <v>66</v>
      </c>
      <c r="F124" t="s">
        <v>167</v>
      </c>
      <c r="G124" t="s">
        <v>57</v>
      </c>
      <c r="H124" s="1">
        <v>45326</v>
      </c>
      <c r="I124" t="s">
        <v>24</v>
      </c>
      <c r="J124" t="s">
        <v>25</v>
      </c>
      <c r="K124">
        <v>7</v>
      </c>
      <c r="N124">
        <v>7019</v>
      </c>
      <c r="O124">
        <v>30</v>
      </c>
      <c r="P124" s="1">
        <v>45353</v>
      </c>
      <c r="Q124" s="1">
        <v>45424</v>
      </c>
      <c r="R124">
        <f>IF(Table1[[#This Row],[Actual close date]]="","",Table1[[#This Row],[Actual close date]]-Table1[[#This Row],[Expected close date]])</f>
        <v>71</v>
      </c>
    </row>
    <row r="125" spans="1:18" x14ac:dyDescent="0.25">
      <c r="A125" t="s">
        <v>196</v>
      </c>
      <c r="B125" t="s">
        <v>33</v>
      </c>
      <c r="C125" t="s">
        <v>34</v>
      </c>
      <c r="D125" t="s">
        <v>35</v>
      </c>
      <c r="E125" t="s">
        <v>45</v>
      </c>
      <c r="F125" t="s">
        <v>167</v>
      </c>
      <c r="G125" t="s">
        <v>23</v>
      </c>
      <c r="H125" s="1">
        <v>45399</v>
      </c>
      <c r="I125" t="s">
        <v>24</v>
      </c>
      <c r="J125" t="s">
        <v>25</v>
      </c>
      <c r="K125">
        <v>7</v>
      </c>
      <c r="N125">
        <v>2816</v>
      </c>
      <c r="O125">
        <v>70</v>
      </c>
      <c r="P125" s="1">
        <v>45508</v>
      </c>
      <c r="Q125" s="1">
        <v>45430</v>
      </c>
      <c r="R125">
        <f>IF(Table1[[#This Row],[Actual close date]]="","",Table1[[#This Row],[Actual close date]]-Table1[[#This Row],[Expected close date]])</f>
        <v>-78</v>
      </c>
    </row>
    <row r="126" spans="1:18" x14ac:dyDescent="0.25">
      <c r="A126" t="s">
        <v>197</v>
      </c>
      <c r="B126" t="s">
        <v>54</v>
      </c>
      <c r="C126" t="s">
        <v>55</v>
      </c>
      <c r="D126" t="s">
        <v>56</v>
      </c>
      <c r="E126" t="s">
        <v>21</v>
      </c>
      <c r="F126" t="s">
        <v>167</v>
      </c>
      <c r="G126" t="s">
        <v>31</v>
      </c>
      <c r="H126" s="1">
        <v>45436</v>
      </c>
      <c r="I126" t="s">
        <v>24</v>
      </c>
      <c r="J126" t="s">
        <v>25</v>
      </c>
      <c r="K126">
        <v>7</v>
      </c>
      <c r="N126">
        <v>734</v>
      </c>
      <c r="O126">
        <v>40</v>
      </c>
      <c r="P126" s="1">
        <v>45508</v>
      </c>
      <c r="Q126" s="1">
        <v>45531</v>
      </c>
      <c r="R126">
        <f>IF(Table1[[#This Row],[Actual close date]]="","",Table1[[#This Row],[Actual close date]]-Table1[[#This Row],[Expected close date]])</f>
        <v>23</v>
      </c>
    </row>
    <row r="127" spans="1:18" x14ac:dyDescent="0.25">
      <c r="A127" t="s">
        <v>198</v>
      </c>
      <c r="B127" t="s">
        <v>33</v>
      </c>
      <c r="C127" t="s">
        <v>34</v>
      </c>
      <c r="D127" t="s">
        <v>35</v>
      </c>
      <c r="E127" t="s">
        <v>21</v>
      </c>
      <c r="F127" t="s">
        <v>167</v>
      </c>
      <c r="G127" t="s">
        <v>37</v>
      </c>
      <c r="H127" s="1">
        <v>45374</v>
      </c>
      <c r="I127" t="s">
        <v>24</v>
      </c>
      <c r="J127" t="s">
        <v>25</v>
      </c>
      <c r="K127">
        <v>7</v>
      </c>
      <c r="N127">
        <v>7204</v>
      </c>
      <c r="O127">
        <v>20</v>
      </c>
      <c r="P127" s="1">
        <v>45618</v>
      </c>
      <c r="Q127" s="1">
        <v>45467</v>
      </c>
      <c r="R127">
        <f>IF(Table1[[#This Row],[Actual close date]]="","",Table1[[#This Row],[Actual close date]]-Table1[[#This Row],[Expected close date]])</f>
        <v>-151</v>
      </c>
    </row>
    <row r="128" spans="1:18" x14ac:dyDescent="0.25">
      <c r="A128" t="s">
        <v>199</v>
      </c>
      <c r="B128" t="s">
        <v>33</v>
      </c>
      <c r="C128" t="s">
        <v>34</v>
      </c>
      <c r="D128" t="s">
        <v>35</v>
      </c>
      <c r="E128" t="s">
        <v>74</v>
      </c>
      <c r="F128" t="s">
        <v>167</v>
      </c>
      <c r="G128" t="s">
        <v>57</v>
      </c>
      <c r="H128" s="1">
        <v>45383</v>
      </c>
      <c r="I128" t="s">
        <v>24</v>
      </c>
      <c r="J128" t="s">
        <v>25</v>
      </c>
      <c r="K128">
        <v>7</v>
      </c>
      <c r="N128">
        <v>2921</v>
      </c>
      <c r="O128">
        <v>60</v>
      </c>
      <c r="P128" s="1">
        <v>45701</v>
      </c>
      <c r="Q128" s="1">
        <v>45445</v>
      </c>
      <c r="R128">
        <f>IF(Table1[[#This Row],[Actual close date]]="","",Table1[[#This Row],[Actual close date]]-Table1[[#This Row],[Expected close date]])</f>
        <v>-256</v>
      </c>
    </row>
    <row r="129" spans="1:18" x14ac:dyDescent="0.25">
      <c r="A129" t="s">
        <v>200</v>
      </c>
      <c r="B129" t="s">
        <v>76</v>
      </c>
      <c r="C129" t="s">
        <v>77</v>
      </c>
      <c r="D129" t="s">
        <v>78</v>
      </c>
      <c r="E129" t="s">
        <v>42</v>
      </c>
      <c r="F129" t="s">
        <v>167</v>
      </c>
      <c r="G129" t="s">
        <v>31</v>
      </c>
      <c r="H129" s="1">
        <v>45360</v>
      </c>
      <c r="I129" t="s">
        <v>64</v>
      </c>
      <c r="J129" t="s">
        <v>25</v>
      </c>
      <c r="K129">
        <v>7</v>
      </c>
      <c r="N129">
        <v>2653</v>
      </c>
      <c r="O129">
        <v>50</v>
      </c>
      <c r="P129" s="1">
        <v>45688</v>
      </c>
      <c r="Q129" s="1">
        <v>45442</v>
      </c>
      <c r="R129">
        <f>IF(Table1[[#This Row],[Actual close date]]="","",Table1[[#This Row],[Actual close date]]-Table1[[#This Row],[Expected close date]])</f>
        <v>-246</v>
      </c>
    </row>
    <row r="130" spans="1:18" x14ac:dyDescent="0.25">
      <c r="A130" t="s">
        <v>201</v>
      </c>
      <c r="B130" t="s">
        <v>59</v>
      </c>
      <c r="C130" t="s">
        <v>60</v>
      </c>
      <c r="D130" t="s">
        <v>61</v>
      </c>
      <c r="E130" t="s">
        <v>101</v>
      </c>
      <c r="F130" t="s">
        <v>167</v>
      </c>
      <c r="G130" t="s">
        <v>83</v>
      </c>
      <c r="H130" s="1">
        <v>45441</v>
      </c>
      <c r="I130" t="s">
        <v>47</v>
      </c>
      <c r="J130" t="s">
        <v>25</v>
      </c>
      <c r="K130">
        <v>7</v>
      </c>
      <c r="N130">
        <v>4849</v>
      </c>
      <c r="O130">
        <v>30</v>
      </c>
      <c r="P130" s="1">
        <v>45493</v>
      </c>
      <c r="Q130" s="1">
        <v>45496</v>
      </c>
      <c r="R130">
        <f>IF(Table1[[#This Row],[Actual close date]]="","",Table1[[#This Row],[Actual close date]]-Table1[[#This Row],[Expected close date]])</f>
        <v>3</v>
      </c>
    </row>
    <row r="131" spans="1:18" x14ac:dyDescent="0.25">
      <c r="A131" t="s">
        <v>202</v>
      </c>
      <c r="B131" t="s">
        <v>54</v>
      </c>
      <c r="C131" t="s">
        <v>55</v>
      </c>
      <c r="D131" t="s">
        <v>56</v>
      </c>
      <c r="E131" t="s">
        <v>52</v>
      </c>
      <c r="F131" t="s">
        <v>167</v>
      </c>
      <c r="G131" t="s">
        <v>46</v>
      </c>
      <c r="H131" s="1">
        <v>45379</v>
      </c>
      <c r="I131" t="s">
        <v>47</v>
      </c>
      <c r="J131" t="s">
        <v>25</v>
      </c>
      <c r="K131">
        <v>7</v>
      </c>
      <c r="N131">
        <v>1092</v>
      </c>
      <c r="O131">
        <v>40</v>
      </c>
      <c r="P131" s="1">
        <v>45659</v>
      </c>
      <c r="Q131" s="1">
        <v>45486</v>
      </c>
      <c r="R131">
        <f>IF(Table1[[#This Row],[Actual close date]]="","",Table1[[#This Row],[Actual close date]]-Table1[[#This Row],[Expected close date]])</f>
        <v>-173</v>
      </c>
    </row>
    <row r="132" spans="1:18" x14ac:dyDescent="0.25">
      <c r="A132" t="s">
        <v>203</v>
      </c>
      <c r="B132" t="s">
        <v>76</v>
      </c>
      <c r="C132" t="s">
        <v>77</v>
      </c>
      <c r="D132" t="s">
        <v>78</v>
      </c>
      <c r="E132" t="s">
        <v>122</v>
      </c>
      <c r="F132" t="s">
        <v>167</v>
      </c>
      <c r="G132" t="s">
        <v>57</v>
      </c>
      <c r="H132" s="1">
        <v>45422</v>
      </c>
      <c r="I132" t="s">
        <v>47</v>
      </c>
      <c r="J132" t="s">
        <v>25</v>
      </c>
      <c r="K132">
        <v>7</v>
      </c>
      <c r="N132">
        <v>5902</v>
      </c>
      <c r="O132">
        <v>50</v>
      </c>
      <c r="P132" s="1">
        <v>45776</v>
      </c>
      <c r="Q132" s="1">
        <v>45500</v>
      </c>
      <c r="R132">
        <f>IF(Table1[[#This Row],[Actual close date]]="","",Table1[[#This Row],[Actual close date]]-Table1[[#This Row],[Expected close date]])</f>
        <v>-276</v>
      </c>
    </row>
    <row r="133" spans="1:18" x14ac:dyDescent="0.25">
      <c r="A133" t="s">
        <v>204</v>
      </c>
      <c r="B133" t="s">
        <v>33</v>
      </c>
      <c r="C133" t="s">
        <v>34</v>
      </c>
      <c r="D133" t="s">
        <v>35</v>
      </c>
      <c r="E133" t="s">
        <v>101</v>
      </c>
      <c r="F133" t="s">
        <v>167</v>
      </c>
      <c r="G133" t="s">
        <v>37</v>
      </c>
      <c r="H133" s="1">
        <v>45416</v>
      </c>
      <c r="I133" t="s">
        <v>47</v>
      </c>
      <c r="J133" t="s">
        <v>25</v>
      </c>
      <c r="K133">
        <v>7</v>
      </c>
      <c r="N133">
        <v>625</v>
      </c>
      <c r="O133">
        <v>40</v>
      </c>
      <c r="P133" s="1">
        <v>45569</v>
      </c>
      <c r="Q133" s="1">
        <v>45507</v>
      </c>
      <c r="R133">
        <f>IF(Table1[[#This Row],[Actual close date]]="","",Table1[[#This Row],[Actual close date]]-Table1[[#This Row],[Expected close date]])</f>
        <v>-62</v>
      </c>
    </row>
    <row r="134" spans="1:18" x14ac:dyDescent="0.25">
      <c r="A134" t="s">
        <v>205</v>
      </c>
      <c r="B134" t="s">
        <v>33</v>
      </c>
      <c r="C134" t="s">
        <v>34</v>
      </c>
      <c r="D134" t="s">
        <v>35</v>
      </c>
      <c r="E134" t="s">
        <v>45</v>
      </c>
      <c r="F134" t="s">
        <v>167</v>
      </c>
      <c r="G134" t="s">
        <v>31</v>
      </c>
      <c r="H134" s="1">
        <v>45323</v>
      </c>
      <c r="I134" t="s">
        <v>64</v>
      </c>
      <c r="J134" t="s">
        <v>25</v>
      </c>
      <c r="K134">
        <v>7</v>
      </c>
      <c r="N134">
        <v>7655</v>
      </c>
      <c r="O134">
        <v>60</v>
      </c>
      <c r="P134" s="1">
        <v>45382</v>
      </c>
      <c r="Q134" s="1">
        <v>45409</v>
      </c>
      <c r="R134">
        <f>IF(Table1[[#This Row],[Actual close date]]="","",Table1[[#This Row],[Actual close date]]-Table1[[#This Row],[Expected close date]])</f>
        <v>27</v>
      </c>
    </row>
    <row r="135" spans="1:18" x14ac:dyDescent="0.25">
      <c r="A135" t="s">
        <v>206</v>
      </c>
      <c r="B135" t="s">
        <v>33</v>
      </c>
      <c r="C135" t="s">
        <v>34</v>
      </c>
      <c r="D135" t="s">
        <v>35</v>
      </c>
      <c r="E135" t="s">
        <v>52</v>
      </c>
      <c r="F135" t="s">
        <v>167</v>
      </c>
      <c r="G135" t="s">
        <v>37</v>
      </c>
      <c r="H135" s="1">
        <v>45396</v>
      </c>
      <c r="I135" t="s">
        <v>47</v>
      </c>
      <c r="J135" t="s">
        <v>25</v>
      </c>
      <c r="K135">
        <v>7</v>
      </c>
      <c r="N135">
        <v>7270</v>
      </c>
      <c r="O135">
        <v>30</v>
      </c>
      <c r="P135" s="1">
        <v>45568</v>
      </c>
      <c r="Q135" s="1">
        <v>45499</v>
      </c>
      <c r="R135">
        <f>IF(Table1[[#This Row],[Actual close date]]="","",Table1[[#This Row],[Actual close date]]-Table1[[#This Row],[Expected close date]])</f>
        <v>-69</v>
      </c>
    </row>
    <row r="136" spans="1:18" x14ac:dyDescent="0.25">
      <c r="A136" t="s">
        <v>207</v>
      </c>
      <c r="B136" t="s">
        <v>33</v>
      </c>
      <c r="C136" t="s">
        <v>34</v>
      </c>
      <c r="D136" t="s">
        <v>35</v>
      </c>
      <c r="E136" t="s">
        <v>101</v>
      </c>
      <c r="F136" t="s">
        <v>167</v>
      </c>
      <c r="G136" t="s">
        <v>31</v>
      </c>
      <c r="H136" s="1">
        <v>45303</v>
      </c>
      <c r="I136" t="s">
        <v>47</v>
      </c>
      <c r="J136" t="s">
        <v>25</v>
      </c>
      <c r="K136">
        <v>7</v>
      </c>
      <c r="N136">
        <v>6482</v>
      </c>
      <c r="O136">
        <v>90</v>
      </c>
      <c r="P136" s="1">
        <v>45660</v>
      </c>
      <c r="Q136" s="1">
        <v>45375</v>
      </c>
      <c r="R136">
        <f>IF(Table1[[#This Row],[Actual close date]]="","",Table1[[#This Row],[Actual close date]]-Table1[[#This Row],[Expected close date]])</f>
        <v>-285</v>
      </c>
    </row>
    <row r="137" spans="1:18" x14ac:dyDescent="0.25">
      <c r="A137" t="s">
        <v>208</v>
      </c>
      <c r="B137" t="s">
        <v>49</v>
      </c>
      <c r="C137" t="s">
        <v>50</v>
      </c>
      <c r="D137" t="s">
        <v>51</v>
      </c>
      <c r="E137" t="s">
        <v>45</v>
      </c>
      <c r="F137" t="s">
        <v>167</v>
      </c>
      <c r="G137" t="s">
        <v>46</v>
      </c>
      <c r="H137" s="1">
        <v>45301</v>
      </c>
      <c r="I137" t="s">
        <v>64</v>
      </c>
      <c r="J137" t="s">
        <v>25</v>
      </c>
      <c r="K137">
        <v>7</v>
      </c>
      <c r="N137">
        <v>3196</v>
      </c>
      <c r="O137">
        <v>30</v>
      </c>
      <c r="P137" s="1">
        <v>45433</v>
      </c>
      <c r="Q137" s="1">
        <v>45372</v>
      </c>
      <c r="R137">
        <f>IF(Table1[[#This Row],[Actual close date]]="","",Table1[[#This Row],[Actual close date]]-Table1[[#This Row],[Expected close date]])</f>
        <v>-61</v>
      </c>
    </row>
    <row r="138" spans="1:18" x14ac:dyDescent="0.25">
      <c r="A138" t="s">
        <v>209</v>
      </c>
      <c r="B138" t="s">
        <v>33</v>
      </c>
      <c r="C138" t="s">
        <v>34</v>
      </c>
      <c r="D138" t="s">
        <v>35</v>
      </c>
      <c r="E138" t="s">
        <v>118</v>
      </c>
      <c r="F138" t="s">
        <v>167</v>
      </c>
      <c r="G138" t="s">
        <v>37</v>
      </c>
      <c r="H138" s="1">
        <v>45323</v>
      </c>
      <c r="I138" t="s">
        <v>64</v>
      </c>
      <c r="J138" t="s">
        <v>25</v>
      </c>
      <c r="K138">
        <v>7</v>
      </c>
      <c r="N138">
        <v>5812</v>
      </c>
      <c r="O138">
        <v>90</v>
      </c>
      <c r="P138" s="1">
        <v>45651</v>
      </c>
      <c r="Q138" s="1">
        <v>45379</v>
      </c>
      <c r="R138">
        <f>IF(Table1[[#This Row],[Actual close date]]="","",Table1[[#This Row],[Actual close date]]-Table1[[#This Row],[Expected close date]])</f>
        <v>-272</v>
      </c>
    </row>
    <row r="139" spans="1:18" x14ac:dyDescent="0.25">
      <c r="A139" t="s">
        <v>210</v>
      </c>
      <c r="B139" t="s">
        <v>27</v>
      </c>
      <c r="C139" t="s">
        <v>28</v>
      </c>
      <c r="D139" t="s">
        <v>29</v>
      </c>
      <c r="E139" t="s">
        <v>45</v>
      </c>
      <c r="F139" t="s">
        <v>167</v>
      </c>
      <c r="G139" t="s">
        <v>23</v>
      </c>
      <c r="H139" s="1">
        <v>45311</v>
      </c>
      <c r="I139" t="s">
        <v>24</v>
      </c>
      <c r="J139" t="s">
        <v>25</v>
      </c>
      <c r="K139">
        <v>7</v>
      </c>
      <c r="N139">
        <v>2015</v>
      </c>
      <c r="O139">
        <v>100</v>
      </c>
      <c r="P139" s="1">
        <v>45659</v>
      </c>
      <c r="Q139" s="1">
        <v>45327</v>
      </c>
      <c r="R139">
        <f>IF(Table1[[#This Row],[Actual close date]]="","",Table1[[#This Row],[Actual close date]]-Table1[[#This Row],[Expected close date]])</f>
        <v>-332</v>
      </c>
    </row>
    <row r="140" spans="1:18" x14ac:dyDescent="0.25">
      <c r="A140" t="s">
        <v>211</v>
      </c>
      <c r="B140" t="s">
        <v>27</v>
      </c>
      <c r="C140" t="s">
        <v>28</v>
      </c>
      <c r="D140" t="s">
        <v>29</v>
      </c>
      <c r="E140" t="s">
        <v>66</v>
      </c>
      <c r="F140" t="s">
        <v>167</v>
      </c>
      <c r="G140" t="s">
        <v>46</v>
      </c>
      <c r="H140" s="1">
        <v>45303</v>
      </c>
      <c r="I140" t="s">
        <v>64</v>
      </c>
      <c r="J140" t="s">
        <v>25</v>
      </c>
      <c r="K140">
        <v>7</v>
      </c>
      <c r="N140">
        <v>3580</v>
      </c>
      <c r="O140">
        <v>30</v>
      </c>
      <c r="P140" s="1">
        <v>45441</v>
      </c>
      <c r="Q140" s="1">
        <v>45346</v>
      </c>
      <c r="R140">
        <f>IF(Table1[[#This Row],[Actual close date]]="","",Table1[[#This Row],[Actual close date]]-Table1[[#This Row],[Expected close date]])</f>
        <v>-95</v>
      </c>
    </row>
    <row r="141" spans="1:18" x14ac:dyDescent="0.25">
      <c r="A141" t="s">
        <v>212</v>
      </c>
      <c r="B141" t="s">
        <v>69</v>
      </c>
      <c r="C141" t="s">
        <v>70</v>
      </c>
      <c r="D141" t="s">
        <v>71</v>
      </c>
      <c r="E141" t="s">
        <v>42</v>
      </c>
      <c r="F141" t="s">
        <v>167</v>
      </c>
      <c r="G141" t="s">
        <v>23</v>
      </c>
      <c r="H141" s="1">
        <v>45352</v>
      </c>
      <c r="I141" t="s">
        <v>24</v>
      </c>
      <c r="J141" t="s">
        <v>25</v>
      </c>
      <c r="K141">
        <v>7</v>
      </c>
      <c r="N141">
        <v>1985</v>
      </c>
      <c r="O141">
        <v>60</v>
      </c>
      <c r="P141" s="1">
        <v>45683</v>
      </c>
      <c r="Q141" s="1">
        <v>45444</v>
      </c>
      <c r="R141">
        <f>IF(Table1[[#This Row],[Actual close date]]="","",Table1[[#This Row],[Actual close date]]-Table1[[#This Row],[Expected close date]])</f>
        <v>-239</v>
      </c>
    </row>
    <row r="142" spans="1:18" x14ac:dyDescent="0.25">
      <c r="A142" t="s">
        <v>213</v>
      </c>
      <c r="B142" t="s">
        <v>76</v>
      </c>
      <c r="C142" t="s">
        <v>77</v>
      </c>
      <c r="D142" t="s">
        <v>78</v>
      </c>
      <c r="E142" t="s">
        <v>45</v>
      </c>
      <c r="F142" t="s">
        <v>167</v>
      </c>
      <c r="G142" t="s">
        <v>72</v>
      </c>
      <c r="H142" s="1">
        <v>45339</v>
      </c>
      <c r="I142" t="s">
        <v>64</v>
      </c>
      <c r="J142" t="s">
        <v>25</v>
      </c>
      <c r="K142">
        <v>7</v>
      </c>
      <c r="N142">
        <v>7799</v>
      </c>
      <c r="O142">
        <v>60</v>
      </c>
      <c r="P142" s="1">
        <v>45464</v>
      </c>
      <c r="Q142" s="1">
        <v>45347</v>
      </c>
      <c r="R142">
        <f>IF(Table1[[#This Row],[Actual close date]]="","",Table1[[#This Row],[Actual close date]]-Table1[[#This Row],[Expected close date]])</f>
        <v>-117</v>
      </c>
    </row>
    <row r="143" spans="1:18" x14ac:dyDescent="0.25">
      <c r="A143" t="s">
        <v>214</v>
      </c>
      <c r="B143" t="s">
        <v>76</v>
      </c>
      <c r="C143" t="s">
        <v>77</v>
      </c>
      <c r="D143" t="s">
        <v>78</v>
      </c>
      <c r="E143" t="s">
        <v>52</v>
      </c>
      <c r="F143" t="s">
        <v>167</v>
      </c>
      <c r="G143" t="s">
        <v>57</v>
      </c>
      <c r="H143" s="1">
        <v>45413</v>
      </c>
      <c r="I143" t="s">
        <v>64</v>
      </c>
      <c r="J143" t="s">
        <v>25</v>
      </c>
      <c r="K143">
        <v>7</v>
      </c>
      <c r="N143">
        <v>1142</v>
      </c>
      <c r="O143">
        <v>50</v>
      </c>
      <c r="P143" s="1">
        <v>45631</v>
      </c>
      <c r="Q143" s="1">
        <v>45490</v>
      </c>
      <c r="R143">
        <f>IF(Table1[[#This Row],[Actual close date]]="","",Table1[[#This Row],[Actual close date]]-Table1[[#This Row],[Expected close date]])</f>
        <v>-141</v>
      </c>
    </row>
    <row r="144" spans="1:18" x14ac:dyDescent="0.25">
      <c r="A144" t="s">
        <v>215</v>
      </c>
      <c r="B144" t="s">
        <v>49</v>
      </c>
      <c r="C144" t="s">
        <v>50</v>
      </c>
      <c r="D144" t="s">
        <v>51</v>
      </c>
      <c r="E144" t="s">
        <v>42</v>
      </c>
      <c r="F144" t="s">
        <v>167</v>
      </c>
      <c r="G144" t="s">
        <v>46</v>
      </c>
      <c r="H144" s="1">
        <v>45368</v>
      </c>
      <c r="I144" t="s">
        <v>64</v>
      </c>
      <c r="J144" t="s">
        <v>25</v>
      </c>
      <c r="K144">
        <v>7</v>
      </c>
      <c r="N144">
        <v>5858</v>
      </c>
      <c r="O144">
        <v>40</v>
      </c>
      <c r="P144" s="1">
        <v>45431</v>
      </c>
      <c r="Q144" s="1">
        <v>45414</v>
      </c>
      <c r="R144">
        <f>IF(Table1[[#This Row],[Actual close date]]="","",Table1[[#This Row],[Actual close date]]-Table1[[#This Row],[Expected close date]])</f>
        <v>-17</v>
      </c>
    </row>
    <row r="145" spans="1:18" x14ac:dyDescent="0.25">
      <c r="A145" t="s">
        <v>216</v>
      </c>
      <c r="B145" t="s">
        <v>33</v>
      </c>
      <c r="C145" t="s">
        <v>34</v>
      </c>
      <c r="D145" t="s">
        <v>35</v>
      </c>
      <c r="E145" t="s">
        <v>98</v>
      </c>
      <c r="F145" t="s">
        <v>167</v>
      </c>
      <c r="G145" t="s">
        <v>83</v>
      </c>
      <c r="H145" s="1">
        <v>45332</v>
      </c>
      <c r="I145" t="s">
        <v>24</v>
      </c>
      <c r="J145" t="s">
        <v>25</v>
      </c>
      <c r="K145">
        <v>7</v>
      </c>
      <c r="N145">
        <v>2557</v>
      </c>
      <c r="O145">
        <v>50</v>
      </c>
      <c r="P145" s="1">
        <v>45436</v>
      </c>
      <c r="Q145" s="1">
        <v>45346</v>
      </c>
      <c r="R145">
        <f>IF(Table1[[#This Row],[Actual close date]]="","",Table1[[#This Row],[Actual close date]]-Table1[[#This Row],[Expected close date]])</f>
        <v>-90</v>
      </c>
    </row>
    <row r="146" spans="1:18" x14ac:dyDescent="0.25">
      <c r="A146" t="s">
        <v>217</v>
      </c>
      <c r="B146" t="s">
        <v>76</v>
      </c>
      <c r="C146" t="s">
        <v>77</v>
      </c>
      <c r="D146" t="s">
        <v>78</v>
      </c>
      <c r="E146" t="s">
        <v>21</v>
      </c>
      <c r="F146" t="s">
        <v>167</v>
      </c>
      <c r="G146" t="s">
        <v>23</v>
      </c>
      <c r="H146" s="1">
        <v>45330</v>
      </c>
      <c r="I146" t="s">
        <v>64</v>
      </c>
      <c r="J146" t="s">
        <v>25</v>
      </c>
      <c r="K146">
        <v>7</v>
      </c>
      <c r="N146">
        <v>3207</v>
      </c>
      <c r="O146">
        <v>60</v>
      </c>
      <c r="P146" s="1">
        <v>45583</v>
      </c>
      <c r="Q146" s="1">
        <v>45450</v>
      </c>
      <c r="R146">
        <f>IF(Table1[[#This Row],[Actual close date]]="","",Table1[[#This Row],[Actual close date]]-Table1[[#This Row],[Expected close date]])</f>
        <v>-133</v>
      </c>
    </row>
    <row r="147" spans="1:18" x14ac:dyDescent="0.25">
      <c r="A147" t="s">
        <v>218</v>
      </c>
      <c r="B147" t="s">
        <v>33</v>
      </c>
      <c r="C147" t="s">
        <v>34</v>
      </c>
      <c r="D147" t="s">
        <v>35</v>
      </c>
      <c r="E147" t="s">
        <v>66</v>
      </c>
      <c r="F147" t="s">
        <v>167</v>
      </c>
      <c r="G147" t="s">
        <v>37</v>
      </c>
      <c r="H147" s="1">
        <v>45422</v>
      </c>
      <c r="I147" t="s">
        <v>24</v>
      </c>
      <c r="J147" t="s">
        <v>25</v>
      </c>
      <c r="K147">
        <v>7</v>
      </c>
      <c r="N147">
        <v>797</v>
      </c>
      <c r="O147">
        <v>70</v>
      </c>
      <c r="P147" s="1">
        <v>45626</v>
      </c>
      <c r="Q147" s="1">
        <v>45506</v>
      </c>
      <c r="R147">
        <f>IF(Table1[[#This Row],[Actual close date]]="","",Table1[[#This Row],[Actual close date]]-Table1[[#This Row],[Expected close date]])</f>
        <v>-120</v>
      </c>
    </row>
    <row r="148" spans="1:18" x14ac:dyDescent="0.25">
      <c r="A148" t="s">
        <v>219</v>
      </c>
      <c r="B148" t="s">
        <v>39</v>
      </c>
      <c r="C148" t="s">
        <v>40</v>
      </c>
      <c r="D148" t="s">
        <v>41</v>
      </c>
      <c r="E148" t="s">
        <v>21</v>
      </c>
      <c r="F148" t="s">
        <v>167</v>
      </c>
      <c r="G148" t="s">
        <v>37</v>
      </c>
      <c r="H148" s="1">
        <v>45294</v>
      </c>
      <c r="I148" t="s">
        <v>64</v>
      </c>
      <c r="J148" t="s">
        <v>25</v>
      </c>
      <c r="K148">
        <v>7</v>
      </c>
      <c r="N148">
        <v>6018</v>
      </c>
      <c r="O148">
        <v>40</v>
      </c>
      <c r="P148" s="1">
        <v>45481</v>
      </c>
      <c r="Q148" s="1">
        <v>45383</v>
      </c>
      <c r="R148">
        <f>IF(Table1[[#This Row],[Actual close date]]="","",Table1[[#This Row],[Actual close date]]-Table1[[#This Row],[Expected close date]])</f>
        <v>-98</v>
      </c>
    </row>
    <row r="149" spans="1:18" x14ac:dyDescent="0.25">
      <c r="A149" t="s">
        <v>220</v>
      </c>
      <c r="B149" t="s">
        <v>18</v>
      </c>
      <c r="C149" t="s">
        <v>19</v>
      </c>
      <c r="D149" t="s">
        <v>20</v>
      </c>
      <c r="E149" t="s">
        <v>21</v>
      </c>
      <c r="F149" t="s">
        <v>167</v>
      </c>
      <c r="G149" t="s">
        <v>46</v>
      </c>
      <c r="H149" s="1">
        <v>45347</v>
      </c>
      <c r="I149" t="s">
        <v>47</v>
      </c>
      <c r="J149" t="s">
        <v>25</v>
      </c>
      <c r="K149">
        <v>7</v>
      </c>
      <c r="N149">
        <v>3011</v>
      </c>
      <c r="O149">
        <v>90</v>
      </c>
      <c r="P149" s="1">
        <v>45537</v>
      </c>
      <c r="Q149" s="1">
        <v>45443</v>
      </c>
      <c r="R149">
        <f>IF(Table1[[#This Row],[Actual close date]]="","",Table1[[#This Row],[Actual close date]]-Table1[[#This Row],[Expected close date]])</f>
        <v>-94</v>
      </c>
    </row>
    <row r="150" spans="1:18" x14ac:dyDescent="0.25">
      <c r="A150" t="s">
        <v>221</v>
      </c>
      <c r="B150" t="s">
        <v>76</v>
      </c>
      <c r="C150" t="s">
        <v>77</v>
      </c>
      <c r="D150" t="s">
        <v>78</v>
      </c>
      <c r="E150" t="s">
        <v>101</v>
      </c>
      <c r="F150" t="s">
        <v>167</v>
      </c>
      <c r="G150" t="s">
        <v>46</v>
      </c>
      <c r="H150" s="1">
        <v>45322</v>
      </c>
      <c r="I150" t="s">
        <v>64</v>
      </c>
      <c r="J150" t="s">
        <v>25</v>
      </c>
      <c r="K150">
        <v>7</v>
      </c>
      <c r="N150">
        <v>655</v>
      </c>
      <c r="O150">
        <v>80</v>
      </c>
      <c r="P150" s="1">
        <v>45435</v>
      </c>
      <c r="Q150" s="1">
        <v>45334</v>
      </c>
      <c r="R150">
        <f>IF(Table1[[#This Row],[Actual close date]]="","",Table1[[#This Row],[Actual close date]]-Table1[[#This Row],[Expected close date]])</f>
        <v>-101</v>
      </c>
    </row>
    <row r="151" spans="1:18" x14ac:dyDescent="0.25">
      <c r="A151" t="s">
        <v>222</v>
      </c>
      <c r="B151" t="s">
        <v>27</v>
      </c>
      <c r="C151" t="s">
        <v>28</v>
      </c>
      <c r="D151" t="s">
        <v>29</v>
      </c>
      <c r="E151" t="s">
        <v>52</v>
      </c>
      <c r="F151" t="s">
        <v>167</v>
      </c>
      <c r="G151" t="s">
        <v>31</v>
      </c>
      <c r="H151" s="1">
        <v>45329</v>
      </c>
      <c r="I151" t="s">
        <v>47</v>
      </c>
      <c r="J151" t="s">
        <v>25</v>
      </c>
      <c r="K151">
        <v>7</v>
      </c>
      <c r="N151">
        <v>2589</v>
      </c>
      <c r="O151">
        <v>60</v>
      </c>
      <c r="P151" s="1">
        <v>45645</v>
      </c>
      <c r="Q151" s="1">
        <v>45397</v>
      </c>
      <c r="R151">
        <f>IF(Table1[[#This Row],[Actual close date]]="","",Table1[[#This Row],[Actual close date]]-Table1[[#This Row],[Expected close date]])</f>
        <v>-248</v>
      </c>
    </row>
    <row r="152" spans="1:18" x14ac:dyDescent="0.25">
      <c r="A152" t="s">
        <v>223</v>
      </c>
      <c r="B152" t="s">
        <v>76</v>
      </c>
      <c r="C152" t="s">
        <v>77</v>
      </c>
      <c r="D152" t="s">
        <v>78</v>
      </c>
      <c r="E152" t="s">
        <v>21</v>
      </c>
      <c r="F152" t="s">
        <v>167</v>
      </c>
      <c r="G152" t="s">
        <v>46</v>
      </c>
      <c r="H152" s="1">
        <v>45423</v>
      </c>
      <c r="I152" t="s">
        <v>24</v>
      </c>
      <c r="J152" t="s">
        <v>25</v>
      </c>
      <c r="K152">
        <v>7</v>
      </c>
      <c r="N152">
        <v>2378</v>
      </c>
      <c r="O152">
        <v>50</v>
      </c>
      <c r="P152" s="1">
        <v>45552</v>
      </c>
      <c r="Q152" s="1">
        <v>45538</v>
      </c>
      <c r="R152">
        <f>IF(Table1[[#This Row],[Actual close date]]="","",Table1[[#This Row],[Actual close date]]-Table1[[#This Row],[Expected close date]])</f>
        <v>-14</v>
      </c>
    </row>
    <row r="153" spans="1:18" x14ac:dyDescent="0.25">
      <c r="A153" t="s">
        <v>224</v>
      </c>
      <c r="B153" t="s">
        <v>76</v>
      </c>
      <c r="C153" t="s">
        <v>77</v>
      </c>
      <c r="D153" t="s">
        <v>78</v>
      </c>
      <c r="E153" t="s">
        <v>30</v>
      </c>
      <c r="F153" t="s">
        <v>167</v>
      </c>
      <c r="G153" t="s">
        <v>46</v>
      </c>
      <c r="H153" s="1">
        <v>45380</v>
      </c>
      <c r="I153" t="s">
        <v>24</v>
      </c>
      <c r="J153" t="s">
        <v>25</v>
      </c>
      <c r="K153">
        <v>7</v>
      </c>
      <c r="N153">
        <v>4592</v>
      </c>
      <c r="O153">
        <v>40</v>
      </c>
      <c r="P153" s="1">
        <v>45651</v>
      </c>
      <c r="Q153" s="1">
        <v>45482</v>
      </c>
      <c r="R153">
        <f>IF(Table1[[#This Row],[Actual close date]]="","",Table1[[#This Row],[Actual close date]]-Table1[[#This Row],[Expected close date]])</f>
        <v>-169</v>
      </c>
    </row>
    <row r="154" spans="1:18" x14ac:dyDescent="0.25">
      <c r="A154" t="s">
        <v>225</v>
      </c>
      <c r="B154" t="s">
        <v>69</v>
      </c>
      <c r="C154" t="s">
        <v>70</v>
      </c>
      <c r="D154" t="s">
        <v>71</v>
      </c>
      <c r="E154" t="s">
        <v>45</v>
      </c>
      <c r="F154" t="s">
        <v>167</v>
      </c>
      <c r="G154" t="s">
        <v>31</v>
      </c>
      <c r="H154" s="1">
        <v>45360</v>
      </c>
      <c r="I154" t="s">
        <v>24</v>
      </c>
      <c r="J154" t="s">
        <v>25</v>
      </c>
      <c r="K154">
        <v>7</v>
      </c>
      <c r="N154">
        <v>7969</v>
      </c>
      <c r="O154">
        <v>30</v>
      </c>
      <c r="P154" s="1">
        <v>45458</v>
      </c>
      <c r="Q154" s="1">
        <v>45479</v>
      </c>
      <c r="R154">
        <f>IF(Table1[[#This Row],[Actual close date]]="","",Table1[[#This Row],[Actual close date]]-Table1[[#This Row],[Expected close date]])</f>
        <v>21</v>
      </c>
    </row>
    <row r="155" spans="1:18" x14ac:dyDescent="0.25">
      <c r="A155" t="s">
        <v>226</v>
      </c>
      <c r="B155" t="s">
        <v>18</v>
      </c>
      <c r="C155" t="s">
        <v>19</v>
      </c>
      <c r="D155" t="s">
        <v>20</v>
      </c>
      <c r="E155" t="s">
        <v>45</v>
      </c>
      <c r="F155" t="s">
        <v>167</v>
      </c>
      <c r="G155" t="s">
        <v>37</v>
      </c>
      <c r="H155" s="1">
        <v>45410</v>
      </c>
      <c r="I155" t="s">
        <v>24</v>
      </c>
      <c r="J155" t="s">
        <v>25</v>
      </c>
      <c r="K155">
        <v>7</v>
      </c>
      <c r="N155">
        <v>1295</v>
      </c>
      <c r="O155">
        <v>40</v>
      </c>
      <c r="P155" s="1">
        <v>45650</v>
      </c>
      <c r="Q155" s="1">
        <v>45526</v>
      </c>
      <c r="R155">
        <f>IF(Table1[[#This Row],[Actual close date]]="","",Table1[[#This Row],[Actual close date]]-Table1[[#This Row],[Expected close date]])</f>
        <v>-124</v>
      </c>
    </row>
    <row r="156" spans="1:18" x14ac:dyDescent="0.25">
      <c r="A156" t="s">
        <v>227</v>
      </c>
      <c r="B156" t="s">
        <v>18</v>
      </c>
      <c r="C156" t="s">
        <v>19</v>
      </c>
      <c r="D156" t="s">
        <v>20</v>
      </c>
      <c r="E156" t="s">
        <v>66</v>
      </c>
      <c r="F156" t="s">
        <v>167</v>
      </c>
      <c r="G156" t="s">
        <v>46</v>
      </c>
      <c r="H156" s="1">
        <v>45335</v>
      </c>
      <c r="I156" t="s">
        <v>47</v>
      </c>
      <c r="J156" t="s">
        <v>25</v>
      </c>
      <c r="K156">
        <v>7</v>
      </c>
      <c r="N156">
        <v>3184</v>
      </c>
      <c r="O156">
        <v>100</v>
      </c>
      <c r="P156" s="1">
        <v>45464</v>
      </c>
      <c r="Q156" s="1">
        <v>45337</v>
      </c>
      <c r="R156">
        <f>IF(Table1[[#This Row],[Actual close date]]="","",Table1[[#This Row],[Actual close date]]-Table1[[#This Row],[Expected close date]])</f>
        <v>-127</v>
      </c>
    </row>
    <row r="157" spans="1:18" x14ac:dyDescent="0.25">
      <c r="A157" t="s">
        <v>228</v>
      </c>
      <c r="B157" t="s">
        <v>76</v>
      </c>
      <c r="C157" t="s">
        <v>77</v>
      </c>
      <c r="D157" t="s">
        <v>78</v>
      </c>
      <c r="E157" t="s">
        <v>52</v>
      </c>
      <c r="F157" t="s">
        <v>167</v>
      </c>
      <c r="G157" t="s">
        <v>31</v>
      </c>
      <c r="H157" s="1">
        <v>45406</v>
      </c>
      <c r="I157" t="s">
        <v>24</v>
      </c>
      <c r="J157" t="s">
        <v>25</v>
      </c>
      <c r="K157">
        <v>7</v>
      </c>
      <c r="N157">
        <v>2931</v>
      </c>
      <c r="O157">
        <v>80</v>
      </c>
      <c r="P157" s="1">
        <v>45631</v>
      </c>
      <c r="Q157" s="1">
        <v>45419</v>
      </c>
      <c r="R157">
        <f>IF(Table1[[#This Row],[Actual close date]]="","",Table1[[#This Row],[Actual close date]]-Table1[[#This Row],[Expected close date]])</f>
        <v>-212</v>
      </c>
    </row>
    <row r="158" spans="1:18" x14ac:dyDescent="0.25">
      <c r="A158" t="s">
        <v>229</v>
      </c>
      <c r="B158" t="s">
        <v>27</v>
      </c>
      <c r="C158" t="s">
        <v>28</v>
      </c>
      <c r="D158" t="s">
        <v>29</v>
      </c>
      <c r="E158" t="s">
        <v>36</v>
      </c>
      <c r="F158" t="s">
        <v>167</v>
      </c>
      <c r="G158" t="s">
        <v>57</v>
      </c>
      <c r="H158" s="1">
        <v>45321</v>
      </c>
      <c r="I158" t="s">
        <v>24</v>
      </c>
      <c r="J158" t="s">
        <v>25</v>
      </c>
      <c r="K158">
        <v>7</v>
      </c>
      <c r="N158">
        <v>7888</v>
      </c>
      <c r="O158">
        <v>10</v>
      </c>
      <c r="P158" s="1">
        <v>45513</v>
      </c>
      <c r="Q158" s="1">
        <v>45350</v>
      </c>
      <c r="R158">
        <f>IF(Table1[[#This Row],[Actual close date]]="","",Table1[[#This Row],[Actual close date]]-Table1[[#This Row],[Expected close date]])</f>
        <v>-163</v>
      </c>
    </row>
    <row r="159" spans="1:18" x14ac:dyDescent="0.25">
      <c r="A159" t="s">
        <v>230</v>
      </c>
      <c r="B159" t="s">
        <v>39</v>
      </c>
      <c r="C159" t="s">
        <v>40</v>
      </c>
      <c r="D159" t="s">
        <v>41</v>
      </c>
      <c r="E159" t="s">
        <v>62</v>
      </c>
      <c r="F159" t="s">
        <v>167</v>
      </c>
      <c r="G159" t="s">
        <v>31</v>
      </c>
      <c r="H159" s="1">
        <v>45381</v>
      </c>
      <c r="I159" t="s">
        <v>24</v>
      </c>
      <c r="J159" t="s">
        <v>25</v>
      </c>
      <c r="K159">
        <v>7</v>
      </c>
      <c r="N159">
        <v>6007</v>
      </c>
      <c r="O159">
        <v>50</v>
      </c>
      <c r="P159" s="1">
        <v>45618</v>
      </c>
      <c r="Q159" s="1">
        <v>45481</v>
      </c>
      <c r="R159">
        <f>IF(Table1[[#This Row],[Actual close date]]="","",Table1[[#This Row],[Actual close date]]-Table1[[#This Row],[Expected close date]])</f>
        <v>-137</v>
      </c>
    </row>
    <row r="160" spans="1:18" x14ac:dyDescent="0.25">
      <c r="A160" t="s">
        <v>231</v>
      </c>
      <c r="B160" t="s">
        <v>39</v>
      </c>
      <c r="C160" t="s">
        <v>40</v>
      </c>
      <c r="D160" t="s">
        <v>41</v>
      </c>
      <c r="E160" t="s">
        <v>82</v>
      </c>
      <c r="F160" t="s">
        <v>167</v>
      </c>
      <c r="G160" t="s">
        <v>31</v>
      </c>
      <c r="H160" s="1">
        <v>45310</v>
      </c>
      <c r="I160" t="s">
        <v>24</v>
      </c>
      <c r="J160" t="s">
        <v>25</v>
      </c>
      <c r="K160">
        <v>7</v>
      </c>
      <c r="N160">
        <v>6718</v>
      </c>
      <c r="O160">
        <v>60</v>
      </c>
      <c r="P160" s="1">
        <v>45356</v>
      </c>
      <c r="Q160" s="1">
        <v>45345</v>
      </c>
      <c r="R160">
        <f>IF(Table1[[#This Row],[Actual close date]]="","",Table1[[#This Row],[Actual close date]]-Table1[[#This Row],[Expected close date]])</f>
        <v>-11</v>
      </c>
    </row>
    <row r="161" spans="1:18" x14ac:dyDescent="0.25">
      <c r="A161" t="s">
        <v>232</v>
      </c>
      <c r="B161" t="s">
        <v>33</v>
      </c>
      <c r="C161" t="s">
        <v>34</v>
      </c>
      <c r="D161" t="s">
        <v>35</v>
      </c>
      <c r="E161" t="s">
        <v>42</v>
      </c>
      <c r="F161" t="s">
        <v>167</v>
      </c>
      <c r="G161" t="s">
        <v>83</v>
      </c>
      <c r="H161" s="1">
        <v>45322</v>
      </c>
      <c r="I161" t="s">
        <v>24</v>
      </c>
      <c r="J161" t="s">
        <v>25</v>
      </c>
      <c r="K161">
        <v>7</v>
      </c>
      <c r="N161">
        <v>4828</v>
      </c>
      <c r="O161">
        <v>100</v>
      </c>
      <c r="P161" s="1">
        <v>45682</v>
      </c>
      <c r="Q161" s="1">
        <v>45338</v>
      </c>
      <c r="R161">
        <f>IF(Table1[[#This Row],[Actual close date]]="","",Table1[[#This Row],[Actual close date]]-Table1[[#This Row],[Expected close date]])</f>
        <v>-344</v>
      </c>
    </row>
    <row r="162" spans="1:18" x14ac:dyDescent="0.25">
      <c r="A162" t="s">
        <v>233</v>
      </c>
      <c r="B162" t="s">
        <v>76</v>
      </c>
      <c r="C162" t="s">
        <v>77</v>
      </c>
      <c r="D162" t="s">
        <v>78</v>
      </c>
      <c r="E162" t="s">
        <v>36</v>
      </c>
      <c r="F162" t="s">
        <v>167</v>
      </c>
      <c r="G162" t="s">
        <v>31</v>
      </c>
      <c r="H162" s="1">
        <v>45401</v>
      </c>
      <c r="I162" t="s">
        <v>24</v>
      </c>
      <c r="J162" t="s">
        <v>25</v>
      </c>
      <c r="K162">
        <v>7</v>
      </c>
      <c r="N162">
        <v>3672</v>
      </c>
      <c r="O162">
        <v>90</v>
      </c>
      <c r="P162" s="1">
        <v>45528</v>
      </c>
      <c r="Q162" s="1">
        <v>45500</v>
      </c>
      <c r="R162">
        <f>IF(Table1[[#This Row],[Actual close date]]="","",Table1[[#This Row],[Actual close date]]-Table1[[#This Row],[Expected close date]])</f>
        <v>-28</v>
      </c>
    </row>
    <row r="163" spans="1:18" x14ac:dyDescent="0.25">
      <c r="A163" t="s">
        <v>234</v>
      </c>
      <c r="B163" t="s">
        <v>27</v>
      </c>
      <c r="C163" t="s">
        <v>28</v>
      </c>
      <c r="D163" t="s">
        <v>29</v>
      </c>
      <c r="E163" t="s">
        <v>45</v>
      </c>
      <c r="F163" t="s">
        <v>167</v>
      </c>
      <c r="G163" t="s">
        <v>46</v>
      </c>
      <c r="H163" s="1">
        <v>45374</v>
      </c>
      <c r="I163" t="s">
        <v>47</v>
      </c>
      <c r="J163" t="s">
        <v>25</v>
      </c>
      <c r="K163">
        <v>7</v>
      </c>
      <c r="N163">
        <v>4088</v>
      </c>
      <c r="O163">
        <v>20</v>
      </c>
      <c r="P163" s="1">
        <v>45624</v>
      </c>
      <c r="Q163" s="1">
        <v>45452</v>
      </c>
      <c r="R163">
        <f>IF(Table1[[#This Row],[Actual close date]]="","",Table1[[#This Row],[Actual close date]]-Table1[[#This Row],[Expected close date]])</f>
        <v>-172</v>
      </c>
    </row>
    <row r="164" spans="1:18" x14ac:dyDescent="0.25">
      <c r="A164" t="s">
        <v>235</v>
      </c>
      <c r="B164" t="s">
        <v>76</v>
      </c>
      <c r="C164" t="s">
        <v>77</v>
      </c>
      <c r="D164" t="s">
        <v>78</v>
      </c>
      <c r="E164" t="s">
        <v>36</v>
      </c>
      <c r="F164" t="s">
        <v>167</v>
      </c>
      <c r="G164" t="s">
        <v>85</v>
      </c>
      <c r="H164" s="1">
        <v>45326</v>
      </c>
      <c r="I164" t="s">
        <v>64</v>
      </c>
      <c r="J164" t="s">
        <v>25</v>
      </c>
      <c r="K164">
        <v>7</v>
      </c>
      <c r="N164">
        <v>1748</v>
      </c>
      <c r="O164">
        <v>60</v>
      </c>
      <c r="P164" s="1">
        <v>45368</v>
      </c>
      <c r="Q164" s="1">
        <v>45345</v>
      </c>
      <c r="R164">
        <f>IF(Table1[[#This Row],[Actual close date]]="","",Table1[[#This Row],[Actual close date]]-Table1[[#This Row],[Expected close date]])</f>
        <v>-23</v>
      </c>
    </row>
    <row r="165" spans="1:18" x14ac:dyDescent="0.25">
      <c r="A165" t="s">
        <v>236</v>
      </c>
      <c r="B165" t="s">
        <v>59</v>
      </c>
      <c r="C165" t="s">
        <v>60</v>
      </c>
      <c r="D165" t="s">
        <v>61</v>
      </c>
      <c r="E165" t="s">
        <v>118</v>
      </c>
      <c r="F165" t="s">
        <v>167</v>
      </c>
      <c r="G165" t="s">
        <v>83</v>
      </c>
      <c r="H165" s="1">
        <v>45337</v>
      </c>
      <c r="I165" t="s">
        <v>47</v>
      </c>
      <c r="J165" t="s">
        <v>25</v>
      </c>
      <c r="K165">
        <v>7</v>
      </c>
      <c r="N165">
        <v>3420</v>
      </c>
      <c r="O165">
        <v>80</v>
      </c>
      <c r="P165" s="1">
        <v>45569</v>
      </c>
      <c r="Q165" s="1">
        <v>45390</v>
      </c>
      <c r="R165">
        <f>IF(Table1[[#This Row],[Actual close date]]="","",Table1[[#This Row],[Actual close date]]-Table1[[#This Row],[Expected close date]])</f>
        <v>-179</v>
      </c>
    </row>
    <row r="166" spans="1:18" x14ac:dyDescent="0.25">
      <c r="A166" t="s">
        <v>237</v>
      </c>
      <c r="B166" t="s">
        <v>54</v>
      </c>
      <c r="C166" t="s">
        <v>55</v>
      </c>
      <c r="D166" t="s">
        <v>56</v>
      </c>
      <c r="E166" t="s">
        <v>74</v>
      </c>
      <c r="F166" t="s">
        <v>167</v>
      </c>
      <c r="G166" t="s">
        <v>57</v>
      </c>
      <c r="H166" s="1">
        <v>45417</v>
      </c>
      <c r="I166" t="s">
        <v>64</v>
      </c>
      <c r="J166" t="s">
        <v>25</v>
      </c>
      <c r="K166">
        <v>7</v>
      </c>
      <c r="N166">
        <v>3736</v>
      </c>
      <c r="O166">
        <v>90</v>
      </c>
      <c r="P166" s="1">
        <v>45572</v>
      </c>
      <c r="Q166" s="1">
        <v>45477</v>
      </c>
      <c r="R166">
        <f>IF(Table1[[#This Row],[Actual close date]]="","",Table1[[#This Row],[Actual close date]]-Table1[[#This Row],[Expected close date]])</f>
        <v>-95</v>
      </c>
    </row>
    <row r="167" spans="1:18" x14ac:dyDescent="0.25">
      <c r="A167" t="s">
        <v>238</v>
      </c>
      <c r="B167" t="s">
        <v>33</v>
      </c>
      <c r="C167" t="s">
        <v>34</v>
      </c>
      <c r="D167" t="s">
        <v>35</v>
      </c>
      <c r="E167" t="s">
        <v>36</v>
      </c>
      <c r="F167" t="s">
        <v>239</v>
      </c>
      <c r="G167" t="s">
        <v>37</v>
      </c>
      <c r="H167" s="1">
        <v>45385</v>
      </c>
      <c r="I167" t="s">
        <v>24</v>
      </c>
      <c r="J167" t="s">
        <v>25</v>
      </c>
      <c r="K167">
        <v>7</v>
      </c>
      <c r="N167">
        <v>13020</v>
      </c>
      <c r="O167">
        <v>30</v>
      </c>
      <c r="P167" s="1">
        <v>45578</v>
      </c>
      <c r="Q167" s="1">
        <v>45423</v>
      </c>
      <c r="R167">
        <f>IF(Table1[[#This Row],[Actual close date]]="","",Table1[[#This Row],[Actual close date]]-Table1[[#This Row],[Expected close date]])</f>
        <v>-155</v>
      </c>
    </row>
    <row r="168" spans="1:18" x14ac:dyDescent="0.25">
      <c r="A168" t="s">
        <v>240</v>
      </c>
      <c r="B168" t="s">
        <v>54</v>
      </c>
      <c r="C168" t="s">
        <v>55</v>
      </c>
      <c r="D168" t="s">
        <v>56</v>
      </c>
      <c r="E168" t="s">
        <v>42</v>
      </c>
      <c r="F168" t="s">
        <v>239</v>
      </c>
      <c r="G168" t="s">
        <v>83</v>
      </c>
      <c r="H168" s="1">
        <v>45441</v>
      </c>
      <c r="I168" t="s">
        <v>64</v>
      </c>
      <c r="J168" t="s">
        <v>25</v>
      </c>
      <c r="K168">
        <v>7</v>
      </c>
      <c r="N168">
        <v>12088</v>
      </c>
      <c r="O168">
        <v>60</v>
      </c>
      <c r="P168" s="1">
        <v>45758</v>
      </c>
      <c r="Q168" s="1">
        <v>45542</v>
      </c>
      <c r="R168">
        <f>IF(Table1[[#This Row],[Actual close date]]="","",Table1[[#This Row],[Actual close date]]-Table1[[#This Row],[Expected close date]])</f>
        <v>-216</v>
      </c>
    </row>
    <row r="169" spans="1:18" x14ac:dyDescent="0.25">
      <c r="A169" t="s">
        <v>241</v>
      </c>
      <c r="B169" t="s">
        <v>33</v>
      </c>
      <c r="C169" t="s">
        <v>34</v>
      </c>
      <c r="D169" t="s">
        <v>35</v>
      </c>
      <c r="E169" t="s">
        <v>42</v>
      </c>
      <c r="F169" t="s">
        <v>239</v>
      </c>
      <c r="G169" t="s">
        <v>23</v>
      </c>
      <c r="H169" s="1">
        <v>45364</v>
      </c>
      <c r="I169" t="s">
        <v>64</v>
      </c>
      <c r="J169" t="s">
        <v>25</v>
      </c>
      <c r="K169">
        <v>7</v>
      </c>
      <c r="N169">
        <v>8026</v>
      </c>
      <c r="O169">
        <v>100</v>
      </c>
      <c r="P169" s="1">
        <v>45614</v>
      </c>
      <c r="Q169" s="1">
        <v>45367</v>
      </c>
      <c r="R169">
        <f>IF(Table1[[#This Row],[Actual close date]]="","",Table1[[#This Row],[Actual close date]]-Table1[[#This Row],[Expected close date]])</f>
        <v>-247</v>
      </c>
    </row>
    <row r="170" spans="1:18" x14ac:dyDescent="0.25">
      <c r="A170" t="s">
        <v>242</v>
      </c>
      <c r="B170" t="s">
        <v>33</v>
      </c>
      <c r="C170" t="s">
        <v>34</v>
      </c>
      <c r="D170" t="s">
        <v>35</v>
      </c>
      <c r="E170" t="s">
        <v>52</v>
      </c>
      <c r="F170" t="s">
        <v>239</v>
      </c>
      <c r="G170" t="s">
        <v>37</v>
      </c>
      <c r="H170" s="1">
        <v>45309</v>
      </c>
      <c r="I170" t="s">
        <v>64</v>
      </c>
      <c r="J170" t="s">
        <v>25</v>
      </c>
      <c r="K170">
        <v>7</v>
      </c>
      <c r="N170">
        <v>15725</v>
      </c>
      <c r="O170">
        <v>10</v>
      </c>
      <c r="P170" s="1">
        <v>45482</v>
      </c>
      <c r="Q170" s="1">
        <v>45411</v>
      </c>
      <c r="R170">
        <f>IF(Table1[[#This Row],[Actual close date]]="","",Table1[[#This Row],[Actual close date]]-Table1[[#This Row],[Expected close date]])</f>
        <v>-71</v>
      </c>
    </row>
    <row r="171" spans="1:18" x14ac:dyDescent="0.25">
      <c r="A171" t="s">
        <v>243</v>
      </c>
      <c r="B171" t="s">
        <v>54</v>
      </c>
      <c r="C171" t="s">
        <v>55</v>
      </c>
      <c r="D171" t="s">
        <v>56</v>
      </c>
      <c r="E171" t="s">
        <v>52</v>
      </c>
      <c r="F171" t="s">
        <v>239</v>
      </c>
      <c r="G171" t="s">
        <v>57</v>
      </c>
      <c r="H171" s="1">
        <v>45394</v>
      </c>
      <c r="I171" t="s">
        <v>24</v>
      </c>
      <c r="J171" t="s">
        <v>25</v>
      </c>
      <c r="K171">
        <v>7</v>
      </c>
      <c r="N171">
        <v>4292</v>
      </c>
      <c r="O171">
        <v>20</v>
      </c>
      <c r="P171" s="1">
        <v>45491</v>
      </c>
      <c r="Q171" s="1">
        <v>45419</v>
      </c>
      <c r="R171">
        <f>IF(Table1[[#This Row],[Actual close date]]="","",Table1[[#This Row],[Actual close date]]-Table1[[#This Row],[Expected close date]])</f>
        <v>-72</v>
      </c>
    </row>
    <row r="172" spans="1:18" x14ac:dyDescent="0.25">
      <c r="A172" t="s">
        <v>244</v>
      </c>
      <c r="B172" t="s">
        <v>18</v>
      </c>
      <c r="C172" t="s">
        <v>19</v>
      </c>
      <c r="D172" t="s">
        <v>20</v>
      </c>
      <c r="E172" t="s">
        <v>101</v>
      </c>
      <c r="F172" t="s">
        <v>239</v>
      </c>
      <c r="G172" t="s">
        <v>46</v>
      </c>
      <c r="H172" s="1">
        <v>45358</v>
      </c>
      <c r="I172" t="s">
        <v>47</v>
      </c>
      <c r="J172" t="s">
        <v>25</v>
      </c>
      <c r="K172">
        <v>7</v>
      </c>
      <c r="N172">
        <v>15281</v>
      </c>
      <c r="O172">
        <v>30</v>
      </c>
      <c r="P172" s="1">
        <v>45490</v>
      </c>
      <c r="Q172" s="1">
        <v>45369</v>
      </c>
      <c r="R172">
        <f>IF(Table1[[#This Row],[Actual close date]]="","",Table1[[#This Row],[Actual close date]]-Table1[[#This Row],[Expected close date]])</f>
        <v>-121</v>
      </c>
    </row>
    <row r="173" spans="1:18" x14ac:dyDescent="0.25">
      <c r="A173" t="s">
        <v>245</v>
      </c>
      <c r="B173" t="s">
        <v>39</v>
      </c>
      <c r="C173" t="s">
        <v>40</v>
      </c>
      <c r="D173" t="s">
        <v>41</v>
      </c>
      <c r="E173" t="s">
        <v>42</v>
      </c>
      <c r="F173" t="s">
        <v>246</v>
      </c>
      <c r="G173" t="s">
        <v>31</v>
      </c>
      <c r="H173" s="1">
        <v>45358</v>
      </c>
      <c r="I173" t="s">
        <v>24</v>
      </c>
      <c r="J173" t="s">
        <v>25</v>
      </c>
      <c r="K173">
        <v>7</v>
      </c>
      <c r="N173">
        <v>18599</v>
      </c>
      <c r="O173">
        <v>30</v>
      </c>
      <c r="P173" s="1">
        <v>45500</v>
      </c>
      <c r="Q173" s="1">
        <v>45454</v>
      </c>
      <c r="R173">
        <f>IF(Table1[[#This Row],[Actual close date]]="","",Table1[[#This Row],[Actual close date]]-Table1[[#This Row],[Expected close date]])</f>
        <v>-46</v>
      </c>
    </row>
    <row r="174" spans="1:18" x14ac:dyDescent="0.25">
      <c r="A174" t="s">
        <v>247</v>
      </c>
      <c r="B174" t="s">
        <v>59</v>
      </c>
      <c r="C174" t="s">
        <v>60</v>
      </c>
      <c r="D174" t="s">
        <v>61</v>
      </c>
      <c r="E174" t="s">
        <v>45</v>
      </c>
      <c r="F174" t="s">
        <v>246</v>
      </c>
      <c r="G174" t="s">
        <v>46</v>
      </c>
      <c r="H174" s="1">
        <v>45297</v>
      </c>
      <c r="I174" t="s">
        <v>47</v>
      </c>
      <c r="J174" t="s">
        <v>25</v>
      </c>
      <c r="K174">
        <v>7</v>
      </c>
      <c r="N174">
        <v>2916</v>
      </c>
      <c r="O174">
        <v>20</v>
      </c>
      <c r="P174" s="1">
        <v>45545</v>
      </c>
      <c r="Q174" s="1">
        <v>45389</v>
      </c>
      <c r="R174">
        <f>IF(Table1[[#This Row],[Actual close date]]="","",Table1[[#This Row],[Actual close date]]-Table1[[#This Row],[Expected close date]])</f>
        <v>-156</v>
      </c>
    </row>
    <row r="175" spans="1:18" x14ac:dyDescent="0.25">
      <c r="A175" t="s">
        <v>248</v>
      </c>
      <c r="B175" t="s">
        <v>18</v>
      </c>
      <c r="C175" t="s">
        <v>19</v>
      </c>
      <c r="D175" t="s">
        <v>20</v>
      </c>
      <c r="E175" t="s">
        <v>66</v>
      </c>
      <c r="F175" t="s">
        <v>246</v>
      </c>
      <c r="G175" t="s">
        <v>46</v>
      </c>
      <c r="H175" s="1">
        <v>45407</v>
      </c>
      <c r="I175" t="s">
        <v>47</v>
      </c>
      <c r="J175" t="s">
        <v>25</v>
      </c>
      <c r="K175">
        <v>7</v>
      </c>
      <c r="N175">
        <v>13151</v>
      </c>
      <c r="O175">
        <v>100</v>
      </c>
      <c r="P175" s="1">
        <v>45452</v>
      </c>
      <c r="Q175" s="1">
        <v>45505</v>
      </c>
      <c r="R175">
        <f>IF(Table1[[#This Row],[Actual close date]]="","",Table1[[#This Row],[Actual close date]]-Table1[[#This Row],[Expected close date]])</f>
        <v>53</v>
      </c>
    </row>
    <row r="176" spans="1:18" x14ac:dyDescent="0.25">
      <c r="A176" t="s">
        <v>249</v>
      </c>
      <c r="B176" t="s">
        <v>76</v>
      </c>
      <c r="C176" t="s">
        <v>77</v>
      </c>
      <c r="D176" t="s">
        <v>78</v>
      </c>
      <c r="E176" t="s">
        <v>45</v>
      </c>
      <c r="F176" t="s">
        <v>246</v>
      </c>
      <c r="G176" t="s">
        <v>23</v>
      </c>
      <c r="H176" s="1">
        <v>45390</v>
      </c>
      <c r="I176" t="s">
        <v>64</v>
      </c>
      <c r="J176" t="s">
        <v>25</v>
      </c>
      <c r="K176">
        <v>7</v>
      </c>
      <c r="N176">
        <v>13724</v>
      </c>
      <c r="O176">
        <v>40</v>
      </c>
      <c r="P176" s="1">
        <v>45413</v>
      </c>
      <c r="Q176" s="1">
        <v>45443</v>
      </c>
      <c r="R176">
        <f>IF(Table1[[#This Row],[Actual close date]]="","",Table1[[#This Row],[Actual close date]]-Table1[[#This Row],[Expected close date]])</f>
        <v>30</v>
      </c>
    </row>
    <row r="177" spans="1:18" x14ac:dyDescent="0.25">
      <c r="A177" t="s">
        <v>250</v>
      </c>
      <c r="B177" t="s">
        <v>33</v>
      </c>
      <c r="C177" t="s">
        <v>34</v>
      </c>
      <c r="D177" t="s">
        <v>35</v>
      </c>
      <c r="E177" t="s">
        <v>45</v>
      </c>
      <c r="F177" t="s">
        <v>246</v>
      </c>
      <c r="G177" t="s">
        <v>57</v>
      </c>
      <c r="H177" s="1">
        <v>45350</v>
      </c>
      <c r="I177" t="s">
        <v>47</v>
      </c>
      <c r="J177" t="s">
        <v>25</v>
      </c>
      <c r="K177">
        <v>7</v>
      </c>
      <c r="N177">
        <v>2038</v>
      </c>
      <c r="O177">
        <v>30</v>
      </c>
      <c r="P177" s="1">
        <v>45507</v>
      </c>
      <c r="Q177" s="1">
        <v>45459</v>
      </c>
      <c r="R177">
        <f>IF(Table1[[#This Row],[Actual close date]]="","",Table1[[#This Row],[Actual close date]]-Table1[[#This Row],[Expected close date]])</f>
        <v>-48</v>
      </c>
    </row>
    <row r="178" spans="1:18" x14ac:dyDescent="0.25">
      <c r="A178" t="s">
        <v>251</v>
      </c>
      <c r="B178" t="s">
        <v>39</v>
      </c>
      <c r="C178" t="s">
        <v>40</v>
      </c>
      <c r="D178" t="s">
        <v>41</v>
      </c>
      <c r="E178" t="s">
        <v>36</v>
      </c>
      <c r="F178" t="s">
        <v>246</v>
      </c>
      <c r="G178" t="s">
        <v>85</v>
      </c>
      <c r="H178" s="1">
        <v>45426</v>
      </c>
      <c r="I178" t="s">
        <v>64</v>
      </c>
      <c r="J178" t="s">
        <v>25</v>
      </c>
      <c r="K178">
        <v>7</v>
      </c>
      <c r="N178">
        <v>16079</v>
      </c>
      <c r="O178">
        <v>50</v>
      </c>
      <c r="P178" s="1">
        <v>45676</v>
      </c>
      <c r="Q178" s="1">
        <v>45444</v>
      </c>
      <c r="R178">
        <f>IF(Table1[[#This Row],[Actual close date]]="","",Table1[[#This Row],[Actual close date]]-Table1[[#This Row],[Expected close date]])</f>
        <v>-232</v>
      </c>
    </row>
    <row r="179" spans="1:18" x14ac:dyDescent="0.25">
      <c r="A179" t="s">
        <v>252</v>
      </c>
      <c r="B179" t="s">
        <v>59</v>
      </c>
      <c r="C179" t="s">
        <v>60</v>
      </c>
      <c r="D179" t="s">
        <v>61</v>
      </c>
      <c r="E179" t="s">
        <v>21</v>
      </c>
      <c r="F179" t="s">
        <v>22</v>
      </c>
      <c r="G179" t="s">
        <v>83</v>
      </c>
      <c r="H179" s="1">
        <v>45329</v>
      </c>
      <c r="I179" t="s">
        <v>47</v>
      </c>
      <c r="J179" t="s">
        <v>253</v>
      </c>
      <c r="K179">
        <v>6</v>
      </c>
      <c r="N179">
        <v>480</v>
      </c>
      <c r="O179">
        <v>50</v>
      </c>
      <c r="P179" s="1">
        <v>45603</v>
      </c>
      <c r="Q179" s="1">
        <v>45357</v>
      </c>
      <c r="R179">
        <f>IF(Table1[[#This Row],[Actual close date]]="","",Table1[[#This Row],[Actual close date]]-Table1[[#This Row],[Expected close date]])</f>
        <v>-246</v>
      </c>
    </row>
    <row r="180" spans="1:18" x14ac:dyDescent="0.25">
      <c r="A180" t="s">
        <v>254</v>
      </c>
      <c r="B180" t="s">
        <v>76</v>
      </c>
      <c r="C180" t="s">
        <v>77</v>
      </c>
      <c r="D180" t="s">
        <v>78</v>
      </c>
      <c r="E180" t="s">
        <v>21</v>
      </c>
      <c r="F180" t="s">
        <v>22</v>
      </c>
      <c r="G180" t="s">
        <v>57</v>
      </c>
      <c r="H180" s="1">
        <v>45380</v>
      </c>
      <c r="I180" t="s">
        <v>64</v>
      </c>
      <c r="J180" t="s">
        <v>253</v>
      </c>
      <c r="K180">
        <v>6</v>
      </c>
      <c r="N180">
        <v>1055</v>
      </c>
      <c r="O180">
        <v>90</v>
      </c>
      <c r="P180" s="1">
        <v>45658</v>
      </c>
      <c r="Q180" s="1">
        <v>45481</v>
      </c>
      <c r="R180">
        <f>IF(Table1[[#This Row],[Actual close date]]="","",Table1[[#This Row],[Actual close date]]-Table1[[#This Row],[Expected close date]])</f>
        <v>-177</v>
      </c>
    </row>
    <row r="181" spans="1:18" x14ac:dyDescent="0.25">
      <c r="A181" t="s">
        <v>255</v>
      </c>
      <c r="B181" t="s">
        <v>49</v>
      </c>
      <c r="C181" t="s">
        <v>50</v>
      </c>
      <c r="D181" t="s">
        <v>51</v>
      </c>
      <c r="E181" t="s">
        <v>66</v>
      </c>
      <c r="F181" t="s">
        <v>22</v>
      </c>
      <c r="G181" t="s">
        <v>46</v>
      </c>
      <c r="H181" s="1">
        <v>45317</v>
      </c>
      <c r="I181" t="s">
        <v>64</v>
      </c>
      <c r="J181" t="s">
        <v>253</v>
      </c>
      <c r="K181">
        <v>6</v>
      </c>
      <c r="N181">
        <v>919</v>
      </c>
      <c r="O181">
        <v>60</v>
      </c>
      <c r="P181" s="1">
        <v>45402</v>
      </c>
      <c r="Q181" s="1">
        <v>45373</v>
      </c>
      <c r="R181">
        <f>IF(Table1[[#This Row],[Actual close date]]="","",Table1[[#This Row],[Actual close date]]-Table1[[#This Row],[Expected close date]])</f>
        <v>-29</v>
      </c>
    </row>
    <row r="182" spans="1:18" x14ac:dyDescent="0.25">
      <c r="A182" t="s">
        <v>256</v>
      </c>
      <c r="B182" t="s">
        <v>69</v>
      </c>
      <c r="C182" t="s">
        <v>70</v>
      </c>
      <c r="D182" t="s">
        <v>71</v>
      </c>
      <c r="E182" t="s">
        <v>42</v>
      </c>
      <c r="F182" t="s">
        <v>22</v>
      </c>
      <c r="G182" t="s">
        <v>57</v>
      </c>
      <c r="H182" s="1">
        <v>45300</v>
      </c>
      <c r="I182" t="s">
        <v>24</v>
      </c>
      <c r="J182" t="s">
        <v>253</v>
      </c>
      <c r="K182">
        <v>6</v>
      </c>
      <c r="N182">
        <v>1130</v>
      </c>
      <c r="O182">
        <v>50</v>
      </c>
      <c r="P182" s="1">
        <v>45580</v>
      </c>
      <c r="Q182" s="1">
        <v>45363</v>
      </c>
      <c r="R182">
        <f>IF(Table1[[#This Row],[Actual close date]]="","",Table1[[#This Row],[Actual close date]]-Table1[[#This Row],[Expected close date]])</f>
        <v>-217</v>
      </c>
    </row>
    <row r="183" spans="1:18" x14ac:dyDescent="0.25">
      <c r="A183" t="s">
        <v>257</v>
      </c>
      <c r="B183" t="s">
        <v>39</v>
      </c>
      <c r="C183" t="s">
        <v>40</v>
      </c>
      <c r="D183" t="s">
        <v>41</v>
      </c>
      <c r="E183" t="s">
        <v>45</v>
      </c>
      <c r="F183" t="s">
        <v>22</v>
      </c>
      <c r="G183" t="s">
        <v>37</v>
      </c>
      <c r="H183" s="1">
        <v>45402</v>
      </c>
      <c r="I183" t="s">
        <v>24</v>
      </c>
      <c r="J183" t="s">
        <v>253</v>
      </c>
      <c r="K183">
        <v>6</v>
      </c>
      <c r="N183">
        <v>1936</v>
      </c>
      <c r="O183">
        <v>40</v>
      </c>
      <c r="P183" s="1">
        <v>45709</v>
      </c>
      <c r="Q183" s="1">
        <v>45457</v>
      </c>
      <c r="R183">
        <f>IF(Table1[[#This Row],[Actual close date]]="","",Table1[[#This Row],[Actual close date]]-Table1[[#This Row],[Expected close date]])</f>
        <v>-252</v>
      </c>
    </row>
    <row r="184" spans="1:18" x14ac:dyDescent="0.25">
      <c r="A184" t="s">
        <v>258</v>
      </c>
      <c r="B184" t="s">
        <v>33</v>
      </c>
      <c r="C184" t="s">
        <v>34</v>
      </c>
      <c r="D184" t="s">
        <v>35</v>
      </c>
      <c r="E184" t="s">
        <v>21</v>
      </c>
      <c r="F184" t="s">
        <v>22</v>
      </c>
      <c r="G184" t="s">
        <v>46</v>
      </c>
      <c r="H184" s="1">
        <v>45327</v>
      </c>
      <c r="I184" t="s">
        <v>64</v>
      </c>
      <c r="J184" t="s">
        <v>253</v>
      </c>
      <c r="K184">
        <v>6</v>
      </c>
      <c r="N184">
        <v>1643</v>
      </c>
      <c r="O184">
        <v>30</v>
      </c>
      <c r="P184" s="1">
        <v>45516</v>
      </c>
      <c r="Q184" s="1">
        <v>45442</v>
      </c>
      <c r="R184">
        <f>IF(Table1[[#This Row],[Actual close date]]="","",Table1[[#This Row],[Actual close date]]-Table1[[#This Row],[Expected close date]])</f>
        <v>-74</v>
      </c>
    </row>
    <row r="185" spans="1:18" x14ac:dyDescent="0.25">
      <c r="A185" t="s">
        <v>259</v>
      </c>
      <c r="B185" t="s">
        <v>76</v>
      </c>
      <c r="C185" t="s">
        <v>77</v>
      </c>
      <c r="D185" t="s">
        <v>78</v>
      </c>
      <c r="E185" t="s">
        <v>21</v>
      </c>
      <c r="F185" t="s">
        <v>22</v>
      </c>
      <c r="G185" t="s">
        <v>23</v>
      </c>
      <c r="H185" s="1">
        <v>45420</v>
      </c>
      <c r="I185" t="s">
        <v>24</v>
      </c>
      <c r="J185" t="s">
        <v>253</v>
      </c>
      <c r="K185">
        <v>6</v>
      </c>
      <c r="N185">
        <v>1023</v>
      </c>
      <c r="O185">
        <v>20</v>
      </c>
      <c r="P185" s="1">
        <v>45681</v>
      </c>
      <c r="Q185" s="1">
        <v>45442</v>
      </c>
      <c r="R185">
        <f>IF(Table1[[#This Row],[Actual close date]]="","",Table1[[#This Row],[Actual close date]]-Table1[[#This Row],[Expected close date]])</f>
        <v>-239</v>
      </c>
    </row>
    <row r="186" spans="1:18" x14ac:dyDescent="0.25">
      <c r="A186" t="s">
        <v>260</v>
      </c>
      <c r="B186" t="s">
        <v>18</v>
      </c>
      <c r="C186" t="s">
        <v>19</v>
      </c>
      <c r="D186" t="s">
        <v>20</v>
      </c>
      <c r="E186" t="s">
        <v>52</v>
      </c>
      <c r="F186" t="s">
        <v>22</v>
      </c>
      <c r="G186" t="s">
        <v>23</v>
      </c>
      <c r="H186" s="1">
        <v>45409</v>
      </c>
      <c r="I186" t="s">
        <v>24</v>
      </c>
      <c r="J186" t="s">
        <v>253</v>
      </c>
      <c r="K186">
        <v>6</v>
      </c>
      <c r="N186">
        <v>1086</v>
      </c>
      <c r="O186">
        <v>30</v>
      </c>
      <c r="P186" s="1">
        <v>45495</v>
      </c>
      <c r="Q186" s="1">
        <v>45455</v>
      </c>
      <c r="R186">
        <f>IF(Table1[[#This Row],[Actual close date]]="","",Table1[[#This Row],[Actual close date]]-Table1[[#This Row],[Expected close date]])</f>
        <v>-40</v>
      </c>
    </row>
    <row r="187" spans="1:18" x14ac:dyDescent="0.25">
      <c r="A187" t="s">
        <v>261</v>
      </c>
      <c r="B187" t="s">
        <v>33</v>
      </c>
      <c r="C187" t="s">
        <v>34</v>
      </c>
      <c r="D187" t="s">
        <v>35</v>
      </c>
      <c r="E187" t="s">
        <v>45</v>
      </c>
      <c r="F187" t="s">
        <v>22</v>
      </c>
      <c r="G187" t="s">
        <v>46</v>
      </c>
      <c r="H187" s="1">
        <v>45348</v>
      </c>
      <c r="I187" t="s">
        <v>24</v>
      </c>
      <c r="J187" t="s">
        <v>253</v>
      </c>
      <c r="K187">
        <v>6</v>
      </c>
      <c r="N187">
        <v>710</v>
      </c>
      <c r="O187">
        <v>40</v>
      </c>
      <c r="P187" s="1">
        <v>45522</v>
      </c>
      <c r="Q187" s="1">
        <v>45441</v>
      </c>
      <c r="R187">
        <f>IF(Table1[[#This Row],[Actual close date]]="","",Table1[[#This Row],[Actual close date]]-Table1[[#This Row],[Expected close date]])</f>
        <v>-81</v>
      </c>
    </row>
    <row r="188" spans="1:18" x14ac:dyDescent="0.25">
      <c r="A188" t="s">
        <v>262</v>
      </c>
      <c r="B188" t="s">
        <v>76</v>
      </c>
      <c r="C188" t="s">
        <v>77</v>
      </c>
      <c r="D188" t="s">
        <v>78</v>
      </c>
      <c r="E188" t="s">
        <v>62</v>
      </c>
      <c r="F188" t="s">
        <v>22</v>
      </c>
      <c r="G188" t="s">
        <v>31</v>
      </c>
      <c r="H188" s="1">
        <v>45339</v>
      </c>
      <c r="I188" t="s">
        <v>64</v>
      </c>
      <c r="J188" t="s">
        <v>253</v>
      </c>
      <c r="K188">
        <v>6</v>
      </c>
      <c r="N188">
        <v>1986</v>
      </c>
      <c r="O188">
        <v>50</v>
      </c>
      <c r="P188" s="1">
        <v>45490</v>
      </c>
      <c r="Q188" s="1">
        <v>45359</v>
      </c>
      <c r="R188">
        <f>IF(Table1[[#This Row],[Actual close date]]="","",Table1[[#This Row],[Actual close date]]-Table1[[#This Row],[Expected close date]])</f>
        <v>-131</v>
      </c>
    </row>
    <row r="189" spans="1:18" x14ac:dyDescent="0.25">
      <c r="A189" t="s">
        <v>263</v>
      </c>
      <c r="B189" t="s">
        <v>76</v>
      </c>
      <c r="C189" t="s">
        <v>77</v>
      </c>
      <c r="D189" t="s">
        <v>78</v>
      </c>
      <c r="E189" t="s">
        <v>21</v>
      </c>
      <c r="F189" t="s">
        <v>22</v>
      </c>
      <c r="G189" t="s">
        <v>46</v>
      </c>
      <c r="H189" s="1">
        <v>45313</v>
      </c>
      <c r="I189" t="s">
        <v>64</v>
      </c>
      <c r="J189" t="s">
        <v>253</v>
      </c>
      <c r="K189">
        <v>6</v>
      </c>
      <c r="N189">
        <v>765</v>
      </c>
      <c r="O189">
        <v>50</v>
      </c>
      <c r="P189" s="1">
        <v>45485</v>
      </c>
      <c r="Q189" s="1">
        <v>45389</v>
      </c>
      <c r="R189">
        <f>IF(Table1[[#This Row],[Actual close date]]="","",Table1[[#This Row],[Actual close date]]-Table1[[#This Row],[Expected close date]])</f>
        <v>-96</v>
      </c>
    </row>
    <row r="190" spans="1:18" x14ac:dyDescent="0.25">
      <c r="A190" t="s">
        <v>264</v>
      </c>
      <c r="B190" t="s">
        <v>59</v>
      </c>
      <c r="C190" t="s">
        <v>60</v>
      </c>
      <c r="D190" t="s">
        <v>61</v>
      </c>
      <c r="E190" t="s">
        <v>74</v>
      </c>
      <c r="F190" t="s">
        <v>22</v>
      </c>
      <c r="G190" t="s">
        <v>46</v>
      </c>
      <c r="H190" s="1">
        <v>45369</v>
      </c>
      <c r="I190" t="s">
        <v>64</v>
      </c>
      <c r="J190" t="s">
        <v>253</v>
      </c>
      <c r="K190">
        <v>6</v>
      </c>
      <c r="N190">
        <v>1071</v>
      </c>
      <c r="O190">
        <v>30</v>
      </c>
      <c r="P190" s="1">
        <v>45446</v>
      </c>
      <c r="Q190" s="1">
        <v>45437</v>
      </c>
      <c r="R190">
        <f>IF(Table1[[#This Row],[Actual close date]]="","",Table1[[#This Row],[Actual close date]]-Table1[[#This Row],[Expected close date]])</f>
        <v>-9</v>
      </c>
    </row>
    <row r="191" spans="1:18" x14ac:dyDescent="0.25">
      <c r="A191" t="s">
        <v>265</v>
      </c>
      <c r="B191" t="s">
        <v>59</v>
      </c>
      <c r="C191" t="s">
        <v>60</v>
      </c>
      <c r="D191" t="s">
        <v>61</v>
      </c>
      <c r="E191" t="s">
        <v>21</v>
      </c>
      <c r="F191" t="s">
        <v>22</v>
      </c>
      <c r="G191" t="s">
        <v>57</v>
      </c>
      <c r="H191" s="1">
        <v>45342</v>
      </c>
      <c r="I191" t="s">
        <v>24</v>
      </c>
      <c r="J191" t="s">
        <v>253</v>
      </c>
      <c r="K191">
        <v>6</v>
      </c>
      <c r="N191">
        <v>1189</v>
      </c>
      <c r="O191">
        <v>20</v>
      </c>
      <c r="P191" s="1">
        <v>45418</v>
      </c>
      <c r="Q191" s="1">
        <v>45394</v>
      </c>
      <c r="R191">
        <f>IF(Table1[[#This Row],[Actual close date]]="","",Table1[[#This Row],[Actual close date]]-Table1[[#This Row],[Expected close date]])</f>
        <v>-24</v>
      </c>
    </row>
    <row r="192" spans="1:18" x14ac:dyDescent="0.25">
      <c r="A192" t="s">
        <v>266</v>
      </c>
      <c r="B192" t="s">
        <v>59</v>
      </c>
      <c r="C192" t="s">
        <v>60</v>
      </c>
      <c r="D192" t="s">
        <v>61</v>
      </c>
      <c r="E192" t="s">
        <v>101</v>
      </c>
      <c r="F192" t="s">
        <v>22</v>
      </c>
      <c r="G192" t="s">
        <v>46</v>
      </c>
      <c r="H192" s="1">
        <v>45356</v>
      </c>
      <c r="I192" t="s">
        <v>24</v>
      </c>
      <c r="J192" t="s">
        <v>253</v>
      </c>
      <c r="K192">
        <v>6</v>
      </c>
      <c r="N192">
        <v>387</v>
      </c>
      <c r="O192">
        <v>40</v>
      </c>
      <c r="P192" s="1">
        <v>45435</v>
      </c>
      <c r="Q192" s="1">
        <v>45460</v>
      </c>
      <c r="R192">
        <f>IF(Table1[[#This Row],[Actual close date]]="","",Table1[[#This Row],[Actual close date]]-Table1[[#This Row],[Expected close date]])</f>
        <v>25</v>
      </c>
    </row>
    <row r="193" spans="1:18" x14ac:dyDescent="0.25">
      <c r="A193" t="s">
        <v>267</v>
      </c>
      <c r="B193" t="s">
        <v>69</v>
      </c>
      <c r="C193" t="s">
        <v>70</v>
      </c>
      <c r="D193" t="s">
        <v>71</v>
      </c>
      <c r="E193" t="s">
        <v>118</v>
      </c>
      <c r="F193" t="s">
        <v>22</v>
      </c>
      <c r="G193" t="s">
        <v>23</v>
      </c>
      <c r="H193" s="1">
        <v>45380</v>
      </c>
      <c r="I193" t="s">
        <v>64</v>
      </c>
      <c r="J193" t="s">
        <v>253</v>
      </c>
      <c r="K193">
        <v>6</v>
      </c>
      <c r="N193">
        <v>404</v>
      </c>
      <c r="O193">
        <v>70</v>
      </c>
      <c r="P193" s="1">
        <v>45442</v>
      </c>
      <c r="Q193" s="1">
        <v>45453</v>
      </c>
      <c r="R193">
        <f>IF(Table1[[#This Row],[Actual close date]]="","",Table1[[#This Row],[Actual close date]]-Table1[[#This Row],[Expected close date]])</f>
        <v>11</v>
      </c>
    </row>
    <row r="194" spans="1:18" x14ac:dyDescent="0.25">
      <c r="A194" t="s">
        <v>268</v>
      </c>
      <c r="B194" t="s">
        <v>33</v>
      </c>
      <c r="C194" t="s">
        <v>34</v>
      </c>
      <c r="D194" t="s">
        <v>35</v>
      </c>
      <c r="E194" t="s">
        <v>62</v>
      </c>
      <c r="F194" t="s">
        <v>22</v>
      </c>
      <c r="G194" t="s">
        <v>57</v>
      </c>
      <c r="H194" s="1">
        <v>45404</v>
      </c>
      <c r="I194" t="s">
        <v>24</v>
      </c>
      <c r="J194" t="s">
        <v>253</v>
      </c>
      <c r="K194">
        <v>6</v>
      </c>
      <c r="N194">
        <v>789</v>
      </c>
      <c r="O194">
        <v>50</v>
      </c>
      <c r="P194" s="1">
        <v>45538</v>
      </c>
      <c r="Q194" s="1">
        <v>45451</v>
      </c>
      <c r="R194">
        <f>IF(Table1[[#This Row],[Actual close date]]="","",Table1[[#This Row],[Actual close date]]-Table1[[#This Row],[Expected close date]])</f>
        <v>-87</v>
      </c>
    </row>
    <row r="195" spans="1:18" x14ac:dyDescent="0.25">
      <c r="A195" t="s">
        <v>269</v>
      </c>
      <c r="B195" t="s">
        <v>33</v>
      </c>
      <c r="C195" t="s">
        <v>34</v>
      </c>
      <c r="D195" t="s">
        <v>35</v>
      </c>
      <c r="E195" t="s">
        <v>45</v>
      </c>
      <c r="F195" t="s">
        <v>22</v>
      </c>
      <c r="G195" t="s">
        <v>31</v>
      </c>
      <c r="H195" s="1">
        <v>45348</v>
      </c>
      <c r="I195" t="s">
        <v>64</v>
      </c>
      <c r="J195" t="s">
        <v>253</v>
      </c>
      <c r="K195">
        <v>6</v>
      </c>
      <c r="N195">
        <v>371</v>
      </c>
      <c r="O195">
        <v>40</v>
      </c>
      <c r="P195" s="1">
        <v>45514</v>
      </c>
      <c r="Q195" s="1">
        <v>45421</v>
      </c>
      <c r="R195">
        <f>IF(Table1[[#This Row],[Actual close date]]="","",Table1[[#This Row],[Actual close date]]-Table1[[#This Row],[Expected close date]])</f>
        <v>-93</v>
      </c>
    </row>
    <row r="196" spans="1:18" x14ac:dyDescent="0.25">
      <c r="A196" t="s">
        <v>270</v>
      </c>
      <c r="B196" t="s">
        <v>18</v>
      </c>
      <c r="C196" t="s">
        <v>19</v>
      </c>
      <c r="D196" t="s">
        <v>20</v>
      </c>
      <c r="E196" t="s">
        <v>52</v>
      </c>
      <c r="F196" t="s">
        <v>22</v>
      </c>
      <c r="G196" t="s">
        <v>72</v>
      </c>
      <c r="H196" s="1">
        <v>45425</v>
      </c>
      <c r="I196" t="s">
        <v>24</v>
      </c>
      <c r="J196" t="s">
        <v>253</v>
      </c>
      <c r="K196">
        <v>6</v>
      </c>
      <c r="N196">
        <v>202</v>
      </c>
      <c r="O196">
        <v>50</v>
      </c>
      <c r="P196" s="1">
        <v>45575</v>
      </c>
      <c r="Q196" s="1">
        <v>45529</v>
      </c>
      <c r="R196">
        <f>IF(Table1[[#This Row],[Actual close date]]="","",Table1[[#This Row],[Actual close date]]-Table1[[#This Row],[Expected close date]])</f>
        <v>-46</v>
      </c>
    </row>
    <row r="197" spans="1:18" x14ac:dyDescent="0.25">
      <c r="A197" t="s">
        <v>271</v>
      </c>
      <c r="B197" t="s">
        <v>33</v>
      </c>
      <c r="C197" t="s">
        <v>34</v>
      </c>
      <c r="D197" t="s">
        <v>35</v>
      </c>
      <c r="E197" t="s">
        <v>74</v>
      </c>
      <c r="F197" t="s">
        <v>22</v>
      </c>
      <c r="G197" t="s">
        <v>37</v>
      </c>
      <c r="H197" s="1">
        <v>45424</v>
      </c>
      <c r="I197" t="s">
        <v>47</v>
      </c>
      <c r="J197" t="s">
        <v>253</v>
      </c>
      <c r="K197">
        <v>6</v>
      </c>
      <c r="N197">
        <v>951</v>
      </c>
      <c r="O197">
        <v>30</v>
      </c>
      <c r="P197" s="1">
        <v>45548</v>
      </c>
      <c r="Q197" s="1">
        <v>45433</v>
      </c>
      <c r="R197">
        <f>IF(Table1[[#This Row],[Actual close date]]="","",Table1[[#This Row],[Actual close date]]-Table1[[#This Row],[Expected close date]])</f>
        <v>-115</v>
      </c>
    </row>
    <row r="198" spans="1:18" x14ac:dyDescent="0.25">
      <c r="A198" t="s">
        <v>272</v>
      </c>
      <c r="B198" t="s">
        <v>59</v>
      </c>
      <c r="C198" t="s">
        <v>60</v>
      </c>
      <c r="D198" t="s">
        <v>61</v>
      </c>
      <c r="E198" t="s">
        <v>98</v>
      </c>
      <c r="F198" t="s">
        <v>22</v>
      </c>
      <c r="G198" t="s">
        <v>57</v>
      </c>
      <c r="H198" s="1">
        <v>45398</v>
      </c>
      <c r="I198" t="s">
        <v>64</v>
      </c>
      <c r="J198" t="s">
        <v>253</v>
      </c>
      <c r="K198">
        <v>6</v>
      </c>
      <c r="N198">
        <v>633</v>
      </c>
      <c r="O198">
        <v>30</v>
      </c>
      <c r="P198" s="1">
        <v>45501</v>
      </c>
      <c r="Q198" s="1">
        <v>45441</v>
      </c>
      <c r="R198">
        <f>IF(Table1[[#This Row],[Actual close date]]="","",Table1[[#This Row],[Actual close date]]-Table1[[#This Row],[Expected close date]])</f>
        <v>-60</v>
      </c>
    </row>
    <row r="199" spans="1:18" x14ac:dyDescent="0.25">
      <c r="A199" t="s">
        <v>273</v>
      </c>
      <c r="B199" t="s">
        <v>69</v>
      </c>
      <c r="C199" t="s">
        <v>70</v>
      </c>
      <c r="D199" t="s">
        <v>71</v>
      </c>
      <c r="E199" t="s">
        <v>74</v>
      </c>
      <c r="F199" t="s">
        <v>22</v>
      </c>
      <c r="G199" t="s">
        <v>72</v>
      </c>
      <c r="H199" s="1">
        <v>45402</v>
      </c>
      <c r="I199" t="s">
        <v>24</v>
      </c>
      <c r="J199" t="s">
        <v>253</v>
      </c>
      <c r="K199">
        <v>6</v>
      </c>
      <c r="N199">
        <v>971</v>
      </c>
      <c r="O199">
        <v>90</v>
      </c>
      <c r="P199" s="1">
        <v>45486</v>
      </c>
      <c r="Q199" s="1">
        <v>45449</v>
      </c>
      <c r="R199">
        <f>IF(Table1[[#This Row],[Actual close date]]="","",Table1[[#This Row],[Actual close date]]-Table1[[#This Row],[Expected close date]])</f>
        <v>-37</v>
      </c>
    </row>
    <row r="200" spans="1:18" x14ac:dyDescent="0.25">
      <c r="A200" t="s">
        <v>274</v>
      </c>
      <c r="B200" t="s">
        <v>54</v>
      </c>
      <c r="C200" t="s">
        <v>55</v>
      </c>
      <c r="D200" t="s">
        <v>56</v>
      </c>
      <c r="E200" t="s">
        <v>30</v>
      </c>
      <c r="F200" t="s">
        <v>22</v>
      </c>
      <c r="G200" t="s">
        <v>23</v>
      </c>
      <c r="H200" s="1">
        <v>45343</v>
      </c>
      <c r="I200" t="s">
        <v>24</v>
      </c>
      <c r="J200" t="s">
        <v>253</v>
      </c>
      <c r="K200">
        <v>6</v>
      </c>
      <c r="N200">
        <v>1676</v>
      </c>
      <c r="O200">
        <v>10</v>
      </c>
      <c r="P200" s="1">
        <v>45614</v>
      </c>
      <c r="Q200" s="1">
        <v>45445</v>
      </c>
      <c r="R200">
        <f>IF(Table1[[#This Row],[Actual close date]]="","",Table1[[#This Row],[Actual close date]]-Table1[[#This Row],[Expected close date]])</f>
        <v>-169</v>
      </c>
    </row>
    <row r="201" spans="1:18" x14ac:dyDescent="0.25">
      <c r="A201" t="s">
        <v>275</v>
      </c>
      <c r="B201" t="s">
        <v>59</v>
      </c>
      <c r="C201" t="s">
        <v>60</v>
      </c>
      <c r="D201" t="s">
        <v>61</v>
      </c>
      <c r="E201" t="s">
        <v>52</v>
      </c>
      <c r="F201" t="s">
        <v>22</v>
      </c>
      <c r="G201" t="s">
        <v>57</v>
      </c>
      <c r="H201" s="1">
        <v>45398</v>
      </c>
      <c r="I201" t="s">
        <v>24</v>
      </c>
      <c r="J201" t="s">
        <v>253</v>
      </c>
      <c r="K201">
        <v>6</v>
      </c>
      <c r="N201">
        <v>809</v>
      </c>
      <c r="O201">
        <v>30</v>
      </c>
      <c r="P201" s="1">
        <v>45465</v>
      </c>
      <c r="Q201" s="1">
        <v>45501</v>
      </c>
      <c r="R201">
        <f>IF(Table1[[#This Row],[Actual close date]]="","",Table1[[#This Row],[Actual close date]]-Table1[[#This Row],[Expected close date]])</f>
        <v>36</v>
      </c>
    </row>
    <row r="202" spans="1:18" x14ac:dyDescent="0.25">
      <c r="A202" t="s">
        <v>276</v>
      </c>
      <c r="B202" t="s">
        <v>69</v>
      </c>
      <c r="C202" t="s">
        <v>70</v>
      </c>
      <c r="D202" t="s">
        <v>71</v>
      </c>
      <c r="E202" t="s">
        <v>66</v>
      </c>
      <c r="F202" t="s">
        <v>22</v>
      </c>
      <c r="G202" t="s">
        <v>37</v>
      </c>
      <c r="H202" s="1">
        <v>45350</v>
      </c>
      <c r="I202" t="s">
        <v>47</v>
      </c>
      <c r="J202" t="s">
        <v>253</v>
      </c>
      <c r="K202">
        <v>6</v>
      </c>
      <c r="N202">
        <v>304</v>
      </c>
      <c r="O202">
        <v>90</v>
      </c>
      <c r="P202" s="1">
        <v>45467</v>
      </c>
      <c r="Q202" s="1">
        <v>45417</v>
      </c>
      <c r="R202">
        <f>IF(Table1[[#This Row],[Actual close date]]="","",Table1[[#This Row],[Actual close date]]-Table1[[#This Row],[Expected close date]])</f>
        <v>-50</v>
      </c>
    </row>
    <row r="203" spans="1:18" x14ac:dyDescent="0.25">
      <c r="A203" t="s">
        <v>277</v>
      </c>
      <c r="B203" t="s">
        <v>49</v>
      </c>
      <c r="C203" t="s">
        <v>50</v>
      </c>
      <c r="D203" t="s">
        <v>51</v>
      </c>
      <c r="E203" t="s">
        <v>118</v>
      </c>
      <c r="F203" t="s">
        <v>22</v>
      </c>
      <c r="G203" t="s">
        <v>57</v>
      </c>
      <c r="H203" s="1">
        <v>45394</v>
      </c>
      <c r="I203" t="s">
        <v>24</v>
      </c>
      <c r="J203" t="s">
        <v>253</v>
      </c>
      <c r="K203">
        <v>6</v>
      </c>
      <c r="N203">
        <v>1584</v>
      </c>
      <c r="O203">
        <v>40</v>
      </c>
      <c r="P203" s="1">
        <v>45418</v>
      </c>
      <c r="Q203" s="1">
        <v>45465</v>
      </c>
      <c r="R203">
        <f>IF(Table1[[#This Row],[Actual close date]]="","",Table1[[#This Row],[Actual close date]]-Table1[[#This Row],[Expected close date]])</f>
        <v>47</v>
      </c>
    </row>
    <row r="204" spans="1:18" x14ac:dyDescent="0.25">
      <c r="A204" t="s">
        <v>278</v>
      </c>
      <c r="B204" t="s">
        <v>59</v>
      </c>
      <c r="C204" t="s">
        <v>60</v>
      </c>
      <c r="D204" t="s">
        <v>61</v>
      </c>
      <c r="E204" t="s">
        <v>36</v>
      </c>
      <c r="F204" t="s">
        <v>22</v>
      </c>
      <c r="G204" t="s">
        <v>72</v>
      </c>
      <c r="H204" s="1">
        <v>45434</v>
      </c>
      <c r="I204" t="s">
        <v>47</v>
      </c>
      <c r="J204" t="s">
        <v>253</v>
      </c>
      <c r="K204">
        <v>6</v>
      </c>
      <c r="N204">
        <v>894</v>
      </c>
      <c r="O204">
        <v>30</v>
      </c>
      <c r="P204" s="1">
        <v>45707</v>
      </c>
      <c r="Q204" s="1">
        <v>45515</v>
      </c>
      <c r="R204">
        <f>IF(Table1[[#This Row],[Actual close date]]="","",Table1[[#This Row],[Actual close date]]-Table1[[#This Row],[Expected close date]])</f>
        <v>-192</v>
      </c>
    </row>
    <row r="205" spans="1:18" x14ac:dyDescent="0.25">
      <c r="A205" t="s">
        <v>279</v>
      </c>
      <c r="B205" t="s">
        <v>59</v>
      </c>
      <c r="C205" t="s">
        <v>60</v>
      </c>
      <c r="D205" t="s">
        <v>61</v>
      </c>
      <c r="E205" t="s">
        <v>82</v>
      </c>
      <c r="F205" t="s">
        <v>22</v>
      </c>
      <c r="G205" t="s">
        <v>83</v>
      </c>
      <c r="H205" s="1">
        <v>45399</v>
      </c>
      <c r="I205" t="s">
        <v>24</v>
      </c>
      <c r="J205" t="s">
        <v>253</v>
      </c>
      <c r="K205">
        <v>6</v>
      </c>
      <c r="N205">
        <v>1067</v>
      </c>
      <c r="O205">
        <v>30</v>
      </c>
      <c r="P205" s="1">
        <v>45739</v>
      </c>
      <c r="Q205" s="1">
        <v>45404</v>
      </c>
      <c r="R205">
        <f>IF(Table1[[#This Row],[Actual close date]]="","",Table1[[#This Row],[Actual close date]]-Table1[[#This Row],[Expected close date]])</f>
        <v>-335</v>
      </c>
    </row>
    <row r="206" spans="1:18" x14ac:dyDescent="0.25">
      <c r="A206" t="s">
        <v>280</v>
      </c>
      <c r="B206" t="s">
        <v>18</v>
      </c>
      <c r="C206" t="s">
        <v>19</v>
      </c>
      <c r="D206" t="s">
        <v>20</v>
      </c>
      <c r="E206" t="s">
        <v>74</v>
      </c>
      <c r="F206" t="s">
        <v>22</v>
      </c>
      <c r="G206" t="s">
        <v>46</v>
      </c>
      <c r="H206" s="1">
        <v>45322</v>
      </c>
      <c r="I206" t="s">
        <v>64</v>
      </c>
      <c r="J206" t="s">
        <v>253</v>
      </c>
      <c r="K206">
        <v>6</v>
      </c>
      <c r="N206">
        <v>1313</v>
      </c>
      <c r="O206">
        <v>40</v>
      </c>
      <c r="P206" s="1">
        <v>45473</v>
      </c>
      <c r="Q206" s="1">
        <v>45343</v>
      </c>
      <c r="R206">
        <f>IF(Table1[[#This Row],[Actual close date]]="","",Table1[[#This Row],[Actual close date]]-Table1[[#This Row],[Expected close date]])</f>
        <v>-130</v>
      </c>
    </row>
    <row r="207" spans="1:18" x14ac:dyDescent="0.25">
      <c r="A207" t="s">
        <v>281</v>
      </c>
      <c r="B207" t="s">
        <v>49</v>
      </c>
      <c r="C207" t="s">
        <v>50</v>
      </c>
      <c r="D207" t="s">
        <v>51</v>
      </c>
      <c r="E207" t="s">
        <v>45</v>
      </c>
      <c r="F207" t="s">
        <v>22</v>
      </c>
      <c r="G207" t="s">
        <v>83</v>
      </c>
      <c r="H207" s="1">
        <v>45310</v>
      </c>
      <c r="I207" t="s">
        <v>64</v>
      </c>
      <c r="J207" t="s">
        <v>253</v>
      </c>
      <c r="K207">
        <v>6</v>
      </c>
      <c r="N207">
        <v>1219</v>
      </c>
      <c r="O207">
        <v>30</v>
      </c>
      <c r="P207" s="1">
        <v>45387</v>
      </c>
      <c r="Q207" s="1">
        <v>45349</v>
      </c>
      <c r="R207">
        <f>IF(Table1[[#This Row],[Actual close date]]="","",Table1[[#This Row],[Actual close date]]-Table1[[#This Row],[Expected close date]])</f>
        <v>-38</v>
      </c>
    </row>
    <row r="208" spans="1:18" x14ac:dyDescent="0.25">
      <c r="A208" t="s">
        <v>282</v>
      </c>
      <c r="B208" t="s">
        <v>54</v>
      </c>
      <c r="C208" t="s">
        <v>55</v>
      </c>
      <c r="D208" t="s">
        <v>56</v>
      </c>
      <c r="E208" t="s">
        <v>52</v>
      </c>
      <c r="F208" t="s">
        <v>22</v>
      </c>
      <c r="G208" t="s">
        <v>46</v>
      </c>
      <c r="H208" s="1">
        <v>45357</v>
      </c>
      <c r="I208" t="s">
        <v>64</v>
      </c>
      <c r="J208" t="s">
        <v>253</v>
      </c>
      <c r="K208">
        <v>6</v>
      </c>
      <c r="N208">
        <v>1363</v>
      </c>
      <c r="O208">
        <v>30</v>
      </c>
      <c r="P208" s="1">
        <v>45423</v>
      </c>
      <c r="Q208" s="1">
        <v>45372</v>
      </c>
      <c r="R208">
        <f>IF(Table1[[#This Row],[Actual close date]]="","",Table1[[#This Row],[Actual close date]]-Table1[[#This Row],[Expected close date]])</f>
        <v>-51</v>
      </c>
    </row>
    <row r="209" spans="1:18" x14ac:dyDescent="0.25">
      <c r="A209" t="s">
        <v>283</v>
      </c>
      <c r="B209" t="s">
        <v>18</v>
      </c>
      <c r="C209" t="s">
        <v>19</v>
      </c>
      <c r="D209" t="s">
        <v>20</v>
      </c>
      <c r="E209" t="s">
        <v>52</v>
      </c>
      <c r="F209" t="s">
        <v>22</v>
      </c>
      <c r="G209" t="s">
        <v>85</v>
      </c>
      <c r="H209" s="1">
        <v>45301</v>
      </c>
      <c r="I209" t="s">
        <v>47</v>
      </c>
      <c r="J209" t="s">
        <v>253</v>
      </c>
      <c r="K209">
        <v>6</v>
      </c>
      <c r="N209">
        <v>1693</v>
      </c>
      <c r="O209">
        <v>80</v>
      </c>
      <c r="P209" s="1">
        <v>45596</v>
      </c>
      <c r="Q209" s="1">
        <v>45301</v>
      </c>
      <c r="R209">
        <f>IF(Table1[[#This Row],[Actual close date]]="","",Table1[[#This Row],[Actual close date]]-Table1[[#This Row],[Expected close date]])</f>
        <v>-295</v>
      </c>
    </row>
    <row r="210" spans="1:18" x14ac:dyDescent="0.25">
      <c r="A210" t="s">
        <v>284</v>
      </c>
      <c r="B210" t="s">
        <v>33</v>
      </c>
      <c r="C210" t="s">
        <v>34</v>
      </c>
      <c r="D210" t="s">
        <v>35</v>
      </c>
      <c r="E210" t="s">
        <v>62</v>
      </c>
      <c r="F210" t="s">
        <v>22</v>
      </c>
      <c r="G210" t="s">
        <v>83</v>
      </c>
      <c r="H210" s="1">
        <v>45295</v>
      </c>
      <c r="I210" t="s">
        <v>24</v>
      </c>
      <c r="J210" t="s">
        <v>253</v>
      </c>
      <c r="K210">
        <v>6</v>
      </c>
      <c r="N210">
        <v>844</v>
      </c>
      <c r="O210">
        <v>70</v>
      </c>
      <c r="P210" s="1">
        <v>45644</v>
      </c>
      <c r="Q210" s="1">
        <v>45341</v>
      </c>
      <c r="R210">
        <f>IF(Table1[[#This Row],[Actual close date]]="","",Table1[[#This Row],[Actual close date]]-Table1[[#This Row],[Expected close date]])</f>
        <v>-303</v>
      </c>
    </row>
    <row r="211" spans="1:18" x14ac:dyDescent="0.25">
      <c r="A211" t="s">
        <v>285</v>
      </c>
      <c r="B211" t="s">
        <v>27</v>
      </c>
      <c r="C211" t="s">
        <v>28</v>
      </c>
      <c r="D211" t="s">
        <v>29</v>
      </c>
      <c r="E211" t="s">
        <v>122</v>
      </c>
      <c r="F211" t="s">
        <v>22</v>
      </c>
      <c r="G211" t="s">
        <v>31</v>
      </c>
      <c r="H211" s="1">
        <v>45435</v>
      </c>
      <c r="I211" t="s">
        <v>47</v>
      </c>
      <c r="J211" t="s">
        <v>253</v>
      </c>
      <c r="K211">
        <v>6</v>
      </c>
      <c r="N211">
        <v>1336</v>
      </c>
      <c r="O211">
        <v>80</v>
      </c>
      <c r="P211" s="1">
        <v>45670</v>
      </c>
      <c r="Q211" s="1">
        <v>45516</v>
      </c>
      <c r="R211">
        <f>IF(Table1[[#This Row],[Actual close date]]="","",Table1[[#This Row],[Actual close date]]-Table1[[#This Row],[Expected close date]])</f>
        <v>-154</v>
      </c>
    </row>
    <row r="212" spans="1:18" x14ac:dyDescent="0.25">
      <c r="A212" t="s">
        <v>286</v>
      </c>
      <c r="B212" t="s">
        <v>54</v>
      </c>
      <c r="C212" t="s">
        <v>55</v>
      </c>
      <c r="D212" t="s">
        <v>56</v>
      </c>
      <c r="E212" t="s">
        <v>45</v>
      </c>
      <c r="F212" t="s">
        <v>22</v>
      </c>
      <c r="G212" t="s">
        <v>31</v>
      </c>
      <c r="H212" s="1">
        <v>45362</v>
      </c>
      <c r="I212" t="s">
        <v>64</v>
      </c>
      <c r="J212" t="s">
        <v>253</v>
      </c>
      <c r="K212">
        <v>6</v>
      </c>
      <c r="N212">
        <v>267</v>
      </c>
      <c r="O212">
        <v>90</v>
      </c>
      <c r="P212" s="1">
        <v>45388</v>
      </c>
      <c r="Q212" s="1">
        <v>45381</v>
      </c>
      <c r="R212">
        <f>IF(Table1[[#This Row],[Actual close date]]="","",Table1[[#This Row],[Actual close date]]-Table1[[#This Row],[Expected close date]])</f>
        <v>-7</v>
      </c>
    </row>
    <row r="213" spans="1:18" x14ac:dyDescent="0.25">
      <c r="A213" t="s">
        <v>287</v>
      </c>
      <c r="B213" t="s">
        <v>76</v>
      </c>
      <c r="C213" t="s">
        <v>77</v>
      </c>
      <c r="D213" t="s">
        <v>78</v>
      </c>
      <c r="E213" t="s">
        <v>30</v>
      </c>
      <c r="F213" t="s">
        <v>22</v>
      </c>
      <c r="G213" t="s">
        <v>46</v>
      </c>
      <c r="H213" s="1">
        <v>45302</v>
      </c>
      <c r="I213" t="s">
        <v>47</v>
      </c>
      <c r="J213" t="s">
        <v>253</v>
      </c>
      <c r="K213">
        <v>6</v>
      </c>
      <c r="N213">
        <v>559</v>
      </c>
      <c r="O213">
        <v>40</v>
      </c>
      <c r="P213" s="1">
        <v>45619</v>
      </c>
      <c r="Q213" s="1">
        <v>45413</v>
      </c>
      <c r="R213">
        <f>IF(Table1[[#This Row],[Actual close date]]="","",Table1[[#This Row],[Actual close date]]-Table1[[#This Row],[Expected close date]])</f>
        <v>-206</v>
      </c>
    </row>
    <row r="214" spans="1:18" x14ac:dyDescent="0.25">
      <c r="A214" t="s">
        <v>288</v>
      </c>
      <c r="B214" t="s">
        <v>18</v>
      </c>
      <c r="C214" t="s">
        <v>19</v>
      </c>
      <c r="D214" t="s">
        <v>20</v>
      </c>
      <c r="E214" t="s">
        <v>52</v>
      </c>
      <c r="F214" t="s">
        <v>22</v>
      </c>
      <c r="G214" t="s">
        <v>57</v>
      </c>
      <c r="H214" s="1">
        <v>45377</v>
      </c>
      <c r="I214" t="s">
        <v>47</v>
      </c>
      <c r="J214" t="s">
        <v>253</v>
      </c>
      <c r="K214">
        <v>6</v>
      </c>
      <c r="N214">
        <v>1204</v>
      </c>
      <c r="O214">
        <v>20</v>
      </c>
      <c r="P214" s="1">
        <v>45454</v>
      </c>
      <c r="Q214" s="1">
        <v>45462</v>
      </c>
      <c r="R214">
        <f>IF(Table1[[#This Row],[Actual close date]]="","",Table1[[#This Row],[Actual close date]]-Table1[[#This Row],[Expected close date]])</f>
        <v>8</v>
      </c>
    </row>
    <row r="215" spans="1:18" x14ac:dyDescent="0.25">
      <c r="A215" t="s">
        <v>289</v>
      </c>
      <c r="B215" t="s">
        <v>59</v>
      </c>
      <c r="C215" t="s">
        <v>60</v>
      </c>
      <c r="D215" t="s">
        <v>61</v>
      </c>
      <c r="E215" t="s">
        <v>21</v>
      </c>
      <c r="F215" t="s">
        <v>22</v>
      </c>
      <c r="G215" t="s">
        <v>46</v>
      </c>
      <c r="H215" s="1">
        <v>45343</v>
      </c>
      <c r="I215" t="s">
        <v>64</v>
      </c>
      <c r="J215" t="s">
        <v>253</v>
      </c>
      <c r="K215">
        <v>6</v>
      </c>
      <c r="N215">
        <v>1938</v>
      </c>
      <c r="O215">
        <v>20</v>
      </c>
      <c r="P215" s="1">
        <v>45700</v>
      </c>
      <c r="Q215" s="1">
        <v>45368</v>
      </c>
      <c r="R215">
        <f>IF(Table1[[#This Row],[Actual close date]]="","",Table1[[#This Row],[Actual close date]]-Table1[[#This Row],[Expected close date]])</f>
        <v>-332</v>
      </c>
    </row>
    <row r="216" spans="1:18" x14ac:dyDescent="0.25">
      <c r="A216" t="s">
        <v>290</v>
      </c>
      <c r="B216" t="s">
        <v>33</v>
      </c>
      <c r="C216" t="s">
        <v>34</v>
      </c>
      <c r="D216" t="s">
        <v>35</v>
      </c>
      <c r="E216" t="s">
        <v>45</v>
      </c>
      <c r="F216" t="s">
        <v>22</v>
      </c>
      <c r="G216" t="s">
        <v>37</v>
      </c>
      <c r="H216" s="1">
        <v>45407</v>
      </c>
      <c r="I216" t="s">
        <v>24</v>
      </c>
      <c r="J216" t="s">
        <v>253</v>
      </c>
      <c r="K216">
        <v>6</v>
      </c>
      <c r="N216">
        <v>985</v>
      </c>
      <c r="O216">
        <v>40</v>
      </c>
      <c r="P216" s="1">
        <v>45716</v>
      </c>
      <c r="Q216" s="1">
        <v>45525</v>
      </c>
      <c r="R216">
        <f>IF(Table1[[#This Row],[Actual close date]]="","",Table1[[#This Row],[Actual close date]]-Table1[[#This Row],[Expected close date]])</f>
        <v>-191</v>
      </c>
    </row>
    <row r="217" spans="1:18" x14ac:dyDescent="0.25">
      <c r="A217" t="s">
        <v>291</v>
      </c>
      <c r="B217" t="s">
        <v>59</v>
      </c>
      <c r="C217" t="s">
        <v>60</v>
      </c>
      <c r="D217" t="s">
        <v>61</v>
      </c>
      <c r="E217" t="s">
        <v>101</v>
      </c>
      <c r="F217" t="s">
        <v>22</v>
      </c>
      <c r="G217" t="s">
        <v>37</v>
      </c>
      <c r="H217" s="1">
        <v>45329</v>
      </c>
      <c r="I217" t="s">
        <v>64</v>
      </c>
      <c r="J217" t="s">
        <v>253</v>
      </c>
      <c r="K217">
        <v>6</v>
      </c>
      <c r="N217">
        <v>1787</v>
      </c>
      <c r="O217">
        <v>60</v>
      </c>
      <c r="P217" s="1">
        <v>45522</v>
      </c>
      <c r="Q217" s="1">
        <v>45428</v>
      </c>
      <c r="R217">
        <f>IF(Table1[[#This Row],[Actual close date]]="","",Table1[[#This Row],[Actual close date]]-Table1[[#This Row],[Expected close date]])</f>
        <v>-94</v>
      </c>
    </row>
    <row r="218" spans="1:18" x14ac:dyDescent="0.25">
      <c r="A218" t="s">
        <v>292</v>
      </c>
      <c r="B218" t="s">
        <v>76</v>
      </c>
      <c r="C218" t="s">
        <v>77</v>
      </c>
      <c r="D218" t="s">
        <v>78</v>
      </c>
      <c r="E218" t="s">
        <v>45</v>
      </c>
      <c r="F218" t="s">
        <v>22</v>
      </c>
      <c r="G218" t="s">
        <v>37</v>
      </c>
      <c r="H218" s="1">
        <v>45374</v>
      </c>
      <c r="I218" t="s">
        <v>24</v>
      </c>
      <c r="J218" t="s">
        <v>253</v>
      </c>
      <c r="K218">
        <v>6</v>
      </c>
      <c r="N218">
        <v>1949</v>
      </c>
      <c r="O218">
        <v>50</v>
      </c>
      <c r="P218" s="1">
        <v>45733</v>
      </c>
      <c r="Q218" s="1">
        <v>45421</v>
      </c>
      <c r="R218">
        <f>IF(Table1[[#This Row],[Actual close date]]="","",Table1[[#This Row],[Actual close date]]-Table1[[#This Row],[Expected close date]])</f>
        <v>-312</v>
      </c>
    </row>
    <row r="219" spans="1:18" x14ac:dyDescent="0.25">
      <c r="A219" t="s">
        <v>293</v>
      </c>
      <c r="B219" t="s">
        <v>49</v>
      </c>
      <c r="C219" t="s">
        <v>50</v>
      </c>
      <c r="D219" t="s">
        <v>51</v>
      </c>
      <c r="E219" t="s">
        <v>82</v>
      </c>
      <c r="F219" t="s">
        <v>22</v>
      </c>
      <c r="G219" t="s">
        <v>72</v>
      </c>
      <c r="H219" s="1">
        <v>45310</v>
      </c>
      <c r="I219" t="s">
        <v>64</v>
      </c>
      <c r="J219" t="s">
        <v>253</v>
      </c>
      <c r="K219">
        <v>6</v>
      </c>
      <c r="N219">
        <v>1964</v>
      </c>
      <c r="O219">
        <v>70</v>
      </c>
      <c r="P219" s="1">
        <v>45573</v>
      </c>
      <c r="Q219" s="1">
        <v>45354</v>
      </c>
      <c r="R219">
        <f>IF(Table1[[#This Row],[Actual close date]]="","",Table1[[#This Row],[Actual close date]]-Table1[[#This Row],[Expected close date]])</f>
        <v>-219</v>
      </c>
    </row>
    <row r="220" spans="1:18" x14ac:dyDescent="0.25">
      <c r="A220" t="s">
        <v>294</v>
      </c>
      <c r="B220" t="s">
        <v>33</v>
      </c>
      <c r="C220" t="s">
        <v>34</v>
      </c>
      <c r="D220" t="s">
        <v>35</v>
      </c>
      <c r="E220" t="s">
        <v>98</v>
      </c>
      <c r="F220" t="s">
        <v>22</v>
      </c>
      <c r="G220" t="s">
        <v>46</v>
      </c>
      <c r="H220" s="1">
        <v>45385</v>
      </c>
      <c r="I220" t="s">
        <v>64</v>
      </c>
      <c r="J220" t="s">
        <v>253</v>
      </c>
      <c r="K220">
        <v>6</v>
      </c>
      <c r="N220">
        <v>825</v>
      </c>
      <c r="O220">
        <v>50</v>
      </c>
      <c r="P220" s="1">
        <v>45538</v>
      </c>
      <c r="Q220" s="1">
        <v>45505</v>
      </c>
      <c r="R220">
        <f>IF(Table1[[#This Row],[Actual close date]]="","",Table1[[#This Row],[Actual close date]]-Table1[[#This Row],[Expected close date]])</f>
        <v>-33</v>
      </c>
    </row>
    <row r="221" spans="1:18" x14ac:dyDescent="0.25">
      <c r="A221" t="s">
        <v>295</v>
      </c>
      <c r="B221" t="s">
        <v>59</v>
      </c>
      <c r="C221" t="s">
        <v>60</v>
      </c>
      <c r="D221" t="s">
        <v>61</v>
      </c>
      <c r="E221" t="s">
        <v>21</v>
      </c>
      <c r="F221" t="s">
        <v>22</v>
      </c>
      <c r="G221" t="s">
        <v>46</v>
      </c>
      <c r="H221" s="1">
        <v>45440</v>
      </c>
      <c r="I221" t="s">
        <v>24</v>
      </c>
      <c r="J221" t="s">
        <v>253</v>
      </c>
      <c r="K221">
        <v>6</v>
      </c>
      <c r="N221">
        <v>559</v>
      </c>
      <c r="O221">
        <v>90</v>
      </c>
      <c r="P221" s="1">
        <v>45739</v>
      </c>
      <c r="Q221" s="1">
        <v>45506</v>
      </c>
      <c r="R221">
        <f>IF(Table1[[#This Row],[Actual close date]]="","",Table1[[#This Row],[Actual close date]]-Table1[[#This Row],[Expected close date]])</f>
        <v>-233</v>
      </c>
    </row>
    <row r="222" spans="1:18" x14ac:dyDescent="0.25">
      <c r="A222" t="s">
        <v>296</v>
      </c>
      <c r="B222" t="s">
        <v>39</v>
      </c>
      <c r="C222" t="s">
        <v>40</v>
      </c>
      <c r="D222" t="s">
        <v>41</v>
      </c>
      <c r="E222" t="s">
        <v>101</v>
      </c>
      <c r="F222" t="s">
        <v>22</v>
      </c>
      <c r="G222" t="s">
        <v>37</v>
      </c>
      <c r="H222" s="1">
        <v>45325</v>
      </c>
      <c r="I222" t="s">
        <v>64</v>
      </c>
      <c r="J222" t="s">
        <v>253</v>
      </c>
      <c r="K222">
        <v>6</v>
      </c>
      <c r="N222">
        <v>1905</v>
      </c>
      <c r="O222">
        <v>30</v>
      </c>
      <c r="P222" s="1">
        <v>45502</v>
      </c>
      <c r="Q222" s="1">
        <v>45445</v>
      </c>
      <c r="R222">
        <f>IF(Table1[[#This Row],[Actual close date]]="","",Table1[[#This Row],[Actual close date]]-Table1[[#This Row],[Expected close date]])</f>
        <v>-57</v>
      </c>
    </row>
    <row r="223" spans="1:18" x14ac:dyDescent="0.25">
      <c r="A223" t="s">
        <v>297</v>
      </c>
      <c r="B223" t="s">
        <v>59</v>
      </c>
      <c r="C223" t="s">
        <v>60</v>
      </c>
      <c r="D223" t="s">
        <v>61</v>
      </c>
      <c r="E223" t="s">
        <v>74</v>
      </c>
      <c r="F223" t="s">
        <v>22</v>
      </c>
      <c r="G223" t="s">
        <v>23</v>
      </c>
      <c r="H223" s="1">
        <v>45365</v>
      </c>
      <c r="I223" t="s">
        <v>24</v>
      </c>
      <c r="J223" t="s">
        <v>253</v>
      </c>
      <c r="K223">
        <v>6</v>
      </c>
      <c r="N223">
        <v>1472</v>
      </c>
      <c r="O223">
        <v>30</v>
      </c>
      <c r="P223" s="1">
        <v>45400</v>
      </c>
      <c r="Q223" s="1">
        <v>45474</v>
      </c>
      <c r="R223">
        <f>IF(Table1[[#This Row],[Actual close date]]="","",Table1[[#This Row],[Actual close date]]-Table1[[#This Row],[Expected close date]])</f>
        <v>74</v>
      </c>
    </row>
    <row r="224" spans="1:18" x14ac:dyDescent="0.25">
      <c r="A224" t="s">
        <v>298</v>
      </c>
      <c r="B224" t="s">
        <v>18</v>
      </c>
      <c r="C224" t="s">
        <v>19</v>
      </c>
      <c r="D224" t="s">
        <v>20</v>
      </c>
      <c r="E224" t="s">
        <v>42</v>
      </c>
      <c r="F224" t="s">
        <v>22</v>
      </c>
      <c r="G224" t="s">
        <v>37</v>
      </c>
      <c r="H224" s="1">
        <v>45301</v>
      </c>
      <c r="I224" t="s">
        <v>24</v>
      </c>
      <c r="J224" t="s">
        <v>253</v>
      </c>
      <c r="K224">
        <v>6</v>
      </c>
      <c r="N224">
        <v>623</v>
      </c>
      <c r="O224">
        <v>30</v>
      </c>
      <c r="P224" s="1">
        <v>45590</v>
      </c>
      <c r="Q224" s="1">
        <v>45352</v>
      </c>
      <c r="R224">
        <f>IF(Table1[[#This Row],[Actual close date]]="","",Table1[[#This Row],[Actual close date]]-Table1[[#This Row],[Expected close date]])</f>
        <v>-238</v>
      </c>
    </row>
    <row r="225" spans="1:18" x14ac:dyDescent="0.25">
      <c r="A225" t="s">
        <v>299</v>
      </c>
      <c r="B225" t="s">
        <v>49</v>
      </c>
      <c r="C225" t="s">
        <v>50</v>
      </c>
      <c r="D225" t="s">
        <v>51</v>
      </c>
      <c r="E225" t="s">
        <v>52</v>
      </c>
      <c r="F225" t="s">
        <v>22</v>
      </c>
      <c r="G225" t="s">
        <v>37</v>
      </c>
      <c r="H225" s="1">
        <v>45367</v>
      </c>
      <c r="I225" t="s">
        <v>64</v>
      </c>
      <c r="J225" t="s">
        <v>253</v>
      </c>
      <c r="K225">
        <v>6</v>
      </c>
      <c r="N225">
        <v>555</v>
      </c>
      <c r="O225">
        <v>50</v>
      </c>
      <c r="P225" s="1">
        <v>45708</v>
      </c>
      <c r="Q225" s="1">
        <v>45448</v>
      </c>
      <c r="R225">
        <f>IF(Table1[[#This Row],[Actual close date]]="","",Table1[[#This Row],[Actual close date]]-Table1[[#This Row],[Expected close date]])</f>
        <v>-260</v>
      </c>
    </row>
    <row r="226" spans="1:18" x14ac:dyDescent="0.25">
      <c r="A226" t="s">
        <v>300</v>
      </c>
      <c r="B226" t="s">
        <v>69</v>
      </c>
      <c r="C226" t="s">
        <v>70</v>
      </c>
      <c r="D226" t="s">
        <v>71</v>
      </c>
      <c r="E226" t="s">
        <v>52</v>
      </c>
      <c r="F226" t="s">
        <v>22</v>
      </c>
      <c r="G226" t="s">
        <v>46</v>
      </c>
      <c r="H226" s="1">
        <v>45416</v>
      </c>
      <c r="I226" t="s">
        <v>24</v>
      </c>
      <c r="J226" t="s">
        <v>253</v>
      </c>
      <c r="K226">
        <v>6</v>
      </c>
      <c r="N226">
        <v>1662</v>
      </c>
      <c r="O226">
        <v>40</v>
      </c>
      <c r="P226" s="1">
        <v>45565</v>
      </c>
      <c r="Q226" s="1">
        <v>45484</v>
      </c>
      <c r="R226">
        <f>IF(Table1[[#This Row],[Actual close date]]="","",Table1[[#This Row],[Actual close date]]-Table1[[#This Row],[Expected close date]])</f>
        <v>-81</v>
      </c>
    </row>
    <row r="227" spans="1:18" x14ac:dyDescent="0.25">
      <c r="A227" t="s">
        <v>301</v>
      </c>
      <c r="B227" t="s">
        <v>59</v>
      </c>
      <c r="C227" t="s">
        <v>60</v>
      </c>
      <c r="D227" t="s">
        <v>61</v>
      </c>
      <c r="E227" t="s">
        <v>101</v>
      </c>
      <c r="F227" t="s">
        <v>22</v>
      </c>
      <c r="G227" t="s">
        <v>57</v>
      </c>
      <c r="H227" s="1">
        <v>45391</v>
      </c>
      <c r="I227" t="s">
        <v>64</v>
      </c>
      <c r="J227" t="s">
        <v>253</v>
      </c>
      <c r="K227">
        <v>6</v>
      </c>
      <c r="N227">
        <v>928</v>
      </c>
      <c r="O227">
        <v>20</v>
      </c>
      <c r="P227" s="1">
        <v>45687</v>
      </c>
      <c r="Q227" s="1">
        <v>45487</v>
      </c>
      <c r="R227">
        <f>IF(Table1[[#This Row],[Actual close date]]="","",Table1[[#This Row],[Actual close date]]-Table1[[#This Row],[Expected close date]])</f>
        <v>-200</v>
      </c>
    </row>
    <row r="228" spans="1:18" x14ac:dyDescent="0.25">
      <c r="A228" t="s">
        <v>302</v>
      </c>
      <c r="B228" t="s">
        <v>27</v>
      </c>
      <c r="C228" t="s">
        <v>28</v>
      </c>
      <c r="D228" t="s">
        <v>29</v>
      </c>
      <c r="E228" t="s">
        <v>45</v>
      </c>
      <c r="F228" t="s">
        <v>22</v>
      </c>
      <c r="G228" t="s">
        <v>85</v>
      </c>
      <c r="H228" s="1">
        <v>45393</v>
      </c>
      <c r="I228" t="s">
        <v>64</v>
      </c>
      <c r="J228" t="s">
        <v>253</v>
      </c>
      <c r="K228">
        <v>6</v>
      </c>
      <c r="N228">
        <v>901</v>
      </c>
      <c r="O228">
        <v>10</v>
      </c>
      <c r="P228" s="1">
        <v>45692</v>
      </c>
      <c r="Q228" s="1">
        <v>45451</v>
      </c>
      <c r="R228">
        <f>IF(Table1[[#This Row],[Actual close date]]="","",Table1[[#This Row],[Actual close date]]-Table1[[#This Row],[Expected close date]])</f>
        <v>-241</v>
      </c>
    </row>
    <row r="229" spans="1:18" x14ac:dyDescent="0.25">
      <c r="A229" t="s">
        <v>303</v>
      </c>
      <c r="B229" t="s">
        <v>39</v>
      </c>
      <c r="C229" t="s">
        <v>40</v>
      </c>
      <c r="D229" t="s">
        <v>41</v>
      </c>
      <c r="E229" t="s">
        <v>42</v>
      </c>
      <c r="F229" t="s">
        <v>22</v>
      </c>
      <c r="G229" t="s">
        <v>46</v>
      </c>
      <c r="H229" s="1">
        <v>45371</v>
      </c>
      <c r="I229" t="s">
        <v>24</v>
      </c>
      <c r="J229" t="s">
        <v>253</v>
      </c>
      <c r="K229">
        <v>6</v>
      </c>
      <c r="N229">
        <v>954</v>
      </c>
      <c r="O229">
        <v>70</v>
      </c>
      <c r="P229" s="1">
        <v>45451</v>
      </c>
      <c r="Q229" s="1">
        <v>45482</v>
      </c>
      <c r="R229">
        <f>IF(Table1[[#This Row],[Actual close date]]="","",Table1[[#This Row],[Actual close date]]-Table1[[#This Row],[Expected close date]])</f>
        <v>31</v>
      </c>
    </row>
    <row r="230" spans="1:18" x14ac:dyDescent="0.25">
      <c r="A230" t="s">
        <v>304</v>
      </c>
      <c r="B230" t="s">
        <v>59</v>
      </c>
      <c r="C230" t="s">
        <v>60</v>
      </c>
      <c r="D230" t="s">
        <v>61</v>
      </c>
      <c r="E230" t="s">
        <v>122</v>
      </c>
      <c r="F230" t="s">
        <v>22</v>
      </c>
      <c r="G230" t="s">
        <v>31</v>
      </c>
      <c r="H230" s="1">
        <v>45330</v>
      </c>
      <c r="I230" t="s">
        <v>24</v>
      </c>
      <c r="J230" t="s">
        <v>253</v>
      </c>
      <c r="K230">
        <v>6</v>
      </c>
      <c r="N230">
        <v>1328</v>
      </c>
      <c r="O230">
        <v>40</v>
      </c>
      <c r="P230" s="1">
        <v>45358</v>
      </c>
      <c r="Q230" s="1">
        <v>45383</v>
      </c>
      <c r="R230">
        <f>IF(Table1[[#This Row],[Actual close date]]="","",Table1[[#This Row],[Actual close date]]-Table1[[#This Row],[Expected close date]])</f>
        <v>25</v>
      </c>
    </row>
    <row r="231" spans="1:18" x14ac:dyDescent="0.25">
      <c r="A231" t="s">
        <v>305</v>
      </c>
      <c r="B231" t="s">
        <v>49</v>
      </c>
      <c r="C231" t="s">
        <v>50</v>
      </c>
      <c r="D231" t="s">
        <v>51</v>
      </c>
      <c r="E231" t="s">
        <v>45</v>
      </c>
      <c r="F231" t="s">
        <v>22</v>
      </c>
      <c r="G231" t="s">
        <v>37</v>
      </c>
      <c r="H231" s="1">
        <v>45332</v>
      </c>
      <c r="I231" t="s">
        <v>24</v>
      </c>
      <c r="J231" t="s">
        <v>253</v>
      </c>
      <c r="K231">
        <v>6</v>
      </c>
      <c r="N231">
        <v>1707</v>
      </c>
      <c r="O231">
        <v>100</v>
      </c>
      <c r="P231" s="1">
        <v>45618</v>
      </c>
      <c r="Q231" s="1">
        <v>45408</v>
      </c>
      <c r="R231">
        <f>IF(Table1[[#This Row],[Actual close date]]="","",Table1[[#This Row],[Actual close date]]-Table1[[#This Row],[Expected close date]])</f>
        <v>-210</v>
      </c>
    </row>
    <row r="232" spans="1:18" x14ac:dyDescent="0.25">
      <c r="A232" t="s">
        <v>306</v>
      </c>
      <c r="B232" t="s">
        <v>54</v>
      </c>
      <c r="C232" t="s">
        <v>55</v>
      </c>
      <c r="D232" t="s">
        <v>56</v>
      </c>
      <c r="E232" t="s">
        <v>52</v>
      </c>
      <c r="F232" t="s">
        <v>22</v>
      </c>
      <c r="G232" t="s">
        <v>23</v>
      </c>
      <c r="H232" s="1">
        <v>45298</v>
      </c>
      <c r="I232" t="s">
        <v>24</v>
      </c>
      <c r="J232" t="s">
        <v>253</v>
      </c>
      <c r="K232">
        <v>6</v>
      </c>
      <c r="N232">
        <v>513</v>
      </c>
      <c r="O232">
        <v>90</v>
      </c>
      <c r="P232" s="1">
        <v>45364</v>
      </c>
      <c r="Q232" s="1">
        <v>45374</v>
      </c>
      <c r="R232">
        <f>IF(Table1[[#This Row],[Actual close date]]="","",Table1[[#This Row],[Actual close date]]-Table1[[#This Row],[Expected close date]])</f>
        <v>10</v>
      </c>
    </row>
    <row r="233" spans="1:18" x14ac:dyDescent="0.25">
      <c r="A233" t="s">
        <v>307</v>
      </c>
      <c r="B233" t="s">
        <v>59</v>
      </c>
      <c r="C233" t="s">
        <v>60</v>
      </c>
      <c r="D233" t="s">
        <v>61</v>
      </c>
      <c r="E233" t="s">
        <v>74</v>
      </c>
      <c r="F233" t="s">
        <v>22</v>
      </c>
      <c r="G233" t="s">
        <v>46</v>
      </c>
      <c r="H233" s="1">
        <v>45420</v>
      </c>
      <c r="I233" t="s">
        <v>47</v>
      </c>
      <c r="J233" t="s">
        <v>253</v>
      </c>
      <c r="K233">
        <v>6</v>
      </c>
      <c r="N233">
        <v>1563</v>
      </c>
      <c r="O233">
        <v>20</v>
      </c>
      <c r="P233" s="1">
        <v>45509</v>
      </c>
      <c r="Q233" s="1">
        <v>45448</v>
      </c>
      <c r="R233">
        <f>IF(Table1[[#This Row],[Actual close date]]="","",Table1[[#This Row],[Actual close date]]-Table1[[#This Row],[Expected close date]])</f>
        <v>-61</v>
      </c>
    </row>
    <row r="234" spans="1:18" x14ac:dyDescent="0.25">
      <c r="A234" t="s">
        <v>308</v>
      </c>
      <c r="B234" t="s">
        <v>76</v>
      </c>
      <c r="C234" t="s">
        <v>77</v>
      </c>
      <c r="D234" t="s">
        <v>78</v>
      </c>
      <c r="E234" t="s">
        <v>74</v>
      </c>
      <c r="F234" t="s">
        <v>22</v>
      </c>
      <c r="G234" t="s">
        <v>57</v>
      </c>
      <c r="H234" s="1">
        <v>45351</v>
      </c>
      <c r="I234" t="s">
        <v>24</v>
      </c>
      <c r="J234" t="s">
        <v>253</v>
      </c>
      <c r="K234">
        <v>6</v>
      </c>
      <c r="N234">
        <v>1898</v>
      </c>
      <c r="O234">
        <v>40</v>
      </c>
      <c r="P234" s="1">
        <v>45589</v>
      </c>
      <c r="Q234" s="1">
        <v>45416</v>
      </c>
      <c r="R234">
        <f>IF(Table1[[#This Row],[Actual close date]]="","",Table1[[#This Row],[Actual close date]]-Table1[[#This Row],[Expected close date]])</f>
        <v>-173</v>
      </c>
    </row>
    <row r="235" spans="1:18" x14ac:dyDescent="0.25">
      <c r="A235" t="s">
        <v>309</v>
      </c>
      <c r="B235" t="s">
        <v>39</v>
      </c>
      <c r="C235" t="s">
        <v>40</v>
      </c>
      <c r="D235" t="s">
        <v>41</v>
      </c>
      <c r="E235" t="s">
        <v>45</v>
      </c>
      <c r="F235" t="s">
        <v>22</v>
      </c>
      <c r="G235" t="s">
        <v>37</v>
      </c>
      <c r="H235" s="1">
        <v>45376</v>
      </c>
      <c r="I235" t="s">
        <v>47</v>
      </c>
      <c r="J235" t="s">
        <v>253</v>
      </c>
      <c r="K235">
        <v>6</v>
      </c>
      <c r="N235">
        <v>480</v>
      </c>
      <c r="O235">
        <v>40</v>
      </c>
      <c r="P235" s="1">
        <v>45405</v>
      </c>
      <c r="Q235" s="1">
        <v>45447</v>
      </c>
      <c r="R235">
        <f>IF(Table1[[#This Row],[Actual close date]]="","",Table1[[#This Row],[Actual close date]]-Table1[[#This Row],[Expected close date]])</f>
        <v>42</v>
      </c>
    </row>
    <row r="236" spans="1:18" x14ac:dyDescent="0.25">
      <c r="A236" t="s">
        <v>310</v>
      </c>
      <c r="B236" t="s">
        <v>49</v>
      </c>
      <c r="C236" t="s">
        <v>50</v>
      </c>
      <c r="D236" t="s">
        <v>51</v>
      </c>
      <c r="E236" t="s">
        <v>45</v>
      </c>
      <c r="F236" t="s">
        <v>22</v>
      </c>
      <c r="G236" t="s">
        <v>57</v>
      </c>
      <c r="H236" s="1">
        <v>45344</v>
      </c>
      <c r="I236" t="s">
        <v>24</v>
      </c>
      <c r="J236" t="s">
        <v>253</v>
      </c>
      <c r="K236">
        <v>6</v>
      </c>
      <c r="N236">
        <v>563</v>
      </c>
      <c r="O236">
        <v>40</v>
      </c>
      <c r="P236" s="1">
        <v>45703</v>
      </c>
      <c r="Q236" s="1">
        <v>45423</v>
      </c>
      <c r="R236">
        <f>IF(Table1[[#This Row],[Actual close date]]="","",Table1[[#This Row],[Actual close date]]-Table1[[#This Row],[Expected close date]])</f>
        <v>-280</v>
      </c>
    </row>
    <row r="237" spans="1:18" x14ac:dyDescent="0.25">
      <c r="A237" t="s">
        <v>311</v>
      </c>
      <c r="B237" t="s">
        <v>76</v>
      </c>
      <c r="C237" t="s">
        <v>77</v>
      </c>
      <c r="D237" t="s">
        <v>78</v>
      </c>
      <c r="E237" t="s">
        <v>21</v>
      </c>
      <c r="F237" t="s">
        <v>22</v>
      </c>
      <c r="G237" t="s">
        <v>46</v>
      </c>
      <c r="H237" s="1">
        <v>45298</v>
      </c>
      <c r="I237" t="s">
        <v>47</v>
      </c>
      <c r="J237" t="s">
        <v>253</v>
      </c>
      <c r="K237">
        <v>6</v>
      </c>
      <c r="N237">
        <v>583</v>
      </c>
      <c r="O237">
        <v>60</v>
      </c>
      <c r="P237" s="1">
        <v>45620</v>
      </c>
      <c r="Q237" s="1">
        <v>45371</v>
      </c>
      <c r="R237">
        <f>IF(Table1[[#This Row],[Actual close date]]="","",Table1[[#This Row],[Actual close date]]-Table1[[#This Row],[Expected close date]])</f>
        <v>-249</v>
      </c>
    </row>
    <row r="238" spans="1:18" x14ac:dyDescent="0.25">
      <c r="A238" t="s">
        <v>312</v>
      </c>
      <c r="B238" t="s">
        <v>54</v>
      </c>
      <c r="C238" t="s">
        <v>55</v>
      </c>
      <c r="D238" t="s">
        <v>56</v>
      </c>
      <c r="E238" t="s">
        <v>52</v>
      </c>
      <c r="F238" t="s">
        <v>125</v>
      </c>
      <c r="G238" t="s">
        <v>83</v>
      </c>
      <c r="H238" s="1">
        <v>45336</v>
      </c>
      <c r="I238" t="s">
        <v>64</v>
      </c>
      <c r="J238" t="s">
        <v>253</v>
      </c>
      <c r="K238">
        <v>6</v>
      </c>
      <c r="N238">
        <v>974</v>
      </c>
      <c r="O238">
        <v>100</v>
      </c>
      <c r="P238" s="1">
        <v>45679</v>
      </c>
      <c r="Q238" s="1">
        <v>45432</v>
      </c>
      <c r="R238">
        <f>IF(Table1[[#This Row],[Actual close date]]="","",Table1[[#This Row],[Actual close date]]-Table1[[#This Row],[Expected close date]])</f>
        <v>-247</v>
      </c>
    </row>
    <row r="239" spans="1:18" x14ac:dyDescent="0.25">
      <c r="A239" t="s">
        <v>313</v>
      </c>
      <c r="B239" t="s">
        <v>39</v>
      </c>
      <c r="C239" t="s">
        <v>40</v>
      </c>
      <c r="D239" t="s">
        <v>41</v>
      </c>
      <c r="E239" t="s">
        <v>52</v>
      </c>
      <c r="F239" t="s">
        <v>125</v>
      </c>
      <c r="G239" t="s">
        <v>23</v>
      </c>
      <c r="H239" s="1">
        <v>45400</v>
      </c>
      <c r="I239" t="s">
        <v>24</v>
      </c>
      <c r="J239" t="s">
        <v>253</v>
      </c>
      <c r="K239">
        <v>6</v>
      </c>
      <c r="N239">
        <v>595</v>
      </c>
      <c r="O239">
        <v>20</v>
      </c>
      <c r="P239" s="1">
        <v>45683</v>
      </c>
      <c r="Q239" s="1">
        <v>45431</v>
      </c>
      <c r="R239">
        <f>IF(Table1[[#This Row],[Actual close date]]="","",Table1[[#This Row],[Actual close date]]-Table1[[#This Row],[Expected close date]])</f>
        <v>-252</v>
      </c>
    </row>
    <row r="240" spans="1:18" x14ac:dyDescent="0.25">
      <c r="A240" t="s">
        <v>314</v>
      </c>
      <c r="B240" t="s">
        <v>33</v>
      </c>
      <c r="C240" t="s">
        <v>34</v>
      </c>
      <c r="D240" t="s">
        <v>35</v>
      </c>
      <c r="E240" t="s">
        <v>45</v>
      </c>
      <c r="F240" t="s">
        <v>125</v>
      </c>
      <c r="G240" t="s">
        <v>31</v>
      </c>
      <c r="H240" s="1">
        <v>45311</v>
      </c>
      <c r="I240" t="s">
        <v>24</v>
      </c>
      <c r="J240" t="s">
        <v>253</v>
      </c>
      <c r="K240">
        <v>6</v>
      </c>
      <c r="N240">
        <v>283</v>
      </c>
      <c r="O240">
        <v>20</v>
      </c>
      <c r="P240" s="1">
        <v>45597</v>
      </c>
      <c r="Q240" s="1">
        <v>45402</v>
      </c>
      <c r="R240">
        <f>IF(Table1[[#This Row],[Actual close date]]="","",Table1[[#This Row],[Actual close date]]-Table1[[#This Row],[Expected close date]])</f>
        <v>-195</v>
      </c>
    </row>
    <row r="241" spans="1:18" x14ac:dyDescent="0.25">
      <c r="A241" t="s">
        <v>315</v>
      </c>
      <c r="B241" t="s">
        <v>54</v>
      </c>
      <c r="C241" t="s">
        <v>55</v>
      </c>
      <c r="D241" t="s">
        <v>56</v>
      </c>
      <c r="E241" t="s">
        <v>118</v>
      </c>
      <c r="F241" t="s">
        <v>125</v>
      </c>
      <c r="G241" t="s">
        <v>37</v>
      </c>
      <c r="H241" s="1">
        <v>45361</v>
      </c>
      <c r="I241" t="s">
        <v>24</v>
      </c>
      <c r="J241" t="s">
        <v>253</v>
      </c>
      <c r="K241">
        <v>6</v>
      </c>
      <c r="N241">
        <v>545</v>
      </c>
      <c r="O241">
        <v>30</v>
      </c>
      <c r="P241" s="1">
        <v>45444</v>
      </c>
      <c r="Q241" s="1">
        <v>45442</v>
      </c>
      <c r="R241">
        <f>IF(Table1[[#This Row],[Actual close date]]="","",Table1[[#This Row],[Actual close date]]-Table1[[#This Row],[Expected close date]])</f>
        <v>-2</v>
      </c>
    </row>
    <row r="242" spans="1:18" x14ac:dyDescent="0.25">
      <c r="A242" t="s">
        <v>316</v>
      </c>
      <c r="B242" t="s">
        <v>27</v>
      </c>
      <c r="C242" t="s">
        <v>28</v>
      </c>
      <c r="D242" t="s">
        <v>29</v>
      </c>
      <c r="E242" t="s">
        <v>45</v>
      </c>
      <c r="F242" t="s">
        <v>125</v>
      </c>
      <c r="G242" t="s">
        <v>85</v>
      </c>
      <c r="H242" s="1">
        <v>45346</v>
      </c>
      <c r="I242" t="s">
        <v>64</v>
      </c>
      <c r="J242" t="s">
        <v>253</v>
      </c>
      <c r="K242">
        <v>6</v>
      </c>
      <c r="N242">
        <v>1024</v>
      </c>
      <c r="O242">
        <v>30</v>
      </c>
      <c r="P242" s="1">
        <v>45534</v>
      </c>
      <c r="Q242" s="1">
        <v>45384</v>
      </c>
      <c r="R242">
        <f>IF(Table1[[#This Row],[Actual close date]]="","",Table1[[#This Row],[Actual close date]]-Table1[[#This Row],[Expected close date]])</f>
        <v>-150</v>
      </c>
    </row>
    <row r="243" spans="1:18" x14ac:dyDescent="0.25">
      <c r="A243" t="s">
        <v>317</v>
      </c>
      <c r="B243" t="s">
        <v>76</v>
      </c>
      <c r="C243" t="s">
        <v>77</v>
      </c>
      <c r="D243" t="s">
        <v>78</v>
      </c>
      <c r="E243" t="s">
        <v>42</v>
      </c>
      <c r="F243" t="s">
        <v>125</v>
      </c>
      <c r="G243" t="s">
        <v>57</v>
      </c>
      <c r="H243" s="1">
        <v>45332</v>
      </c>
      <c r="I243" t="s">
        <v>24</v>
      </c>
      <c r="J243" t="s">
        <v>253</v>
      </c>
      <c r="K243">
        <v>6</v>
      </c>
      <c r="N243">
        <v>308</v>
      </c>
      <c r="O243">
        <v>40</v>
      </c>
      <c r="P243" s="1">
        <v>45610</v>
      </c>
      <c r="Q243" s="1">
        <v>45445</v>
      </c>
      <c r="R243">
        <f>IF(Table1[[#This Row],[Actual close date]]="","",Table1[[#This Row],[Actual close date]]-Table1[[#This Row],[Expected close date]])</f>
        <v>-165</v>
      </c>
    </row>
    <row r="244" spans="1:18" x14ac:dyDescent="0.25">
      <c r="A244" t="s">
        <v>318</v>
      </c>
      <c r="B244" t="s">
        <v>49</v>
      </c>
      <c r="C244" t="s">
        <v>50</v>
      </c>
      <c r="D244" t="s">
        <v>51</v>
      </c>
      <c r="E244" t="s">
        <v>21</v>
      </c>
      <c r="F244" t="s">
        <v>125</v>
      </c>
      <c r="G244" t="s">
        <v>46</v>
      </c>
      <c r="H244" s="1">
        <v>45435</v>
      </c>
      <c r="I244" t="s">
        <v>64</v>
      </c>
      <c r="J244" t="s">
        <v>253</v>
      </c>
      <c r="K244">
        <v>6</v>
      </c>
      <c r="N244">
        <v>828</v>
      </c>
      <c r="O244">
        <v>60</v>
      </c>
      <c r="P244" s="1">
        <v>45553</v>
      </c>
      <c r="Q244" s="1">
        <v>45476</v>
      </c>
      <c r="R244">
        <f>IF(Table1[[#This Row],[Actual close date]]="","",Table1[[#This Row],[Actual close date]]-Table1[[#This Row],[Expected close date]])</f>
        <v>-77</v>
      </c>
    </row>
    <row r="245" spans="1:18" x14ac:dyDescent="0.25">
      <c r="A245" t="s">
        <v>319</v>
      </c>
      <c r="B245" t="s">
        <v>33</v>
      </c>
      <c r="C245" t="s">
        <v>34</v>
      </c>
      <c r="D245" t="s">
        <v>35</v>
      </c>
      <c r="E245" t="s">
        <v>74</v>
      </c>
      <c r="F245" t="s">
        <v>125</v>
      </c>
      <c r="G245" t="s">
        <v>23</v>
      </c>
      <c r="H245" s="1">
        <v>45307</v>
      </c>
      <c r="I245" t="s">
        <v>24</v>
      </c>
      <c r="J245" t="s">
        <v>253</v>
      </c>
      <c r="K245">
        <v>6</v>
      </c>
      <c r="N245">
        <v>809</v>
      </c>
      <c r="O245">
        <v>20</v>
      </c>
      <c r="P245" s="1">
        <v>45545</v>
      </c>
      <c r="Q245" s="1">
        <v>45379</v>
      </c>
      <c r="R245">
        <f>IF(Table1[[#This Row],[Actual close date]]="","",Table1[[#This Row],[Actual close date]]-Table1[[#This Row],[Expected close date]])</f>
        <v>-166</v>
      </c>
    </row>
    <row r="246" spans="1:18" x14ac:dyDescent="0.25">
      <c r="A246" t="s">
        <v>320</v>
      </c>
      <c r="B246" t="s">
        <v>33</v>
      </c>
      <c r="C246" t="s">
        <v>34</v>
      </c>
      <c r="D246" t="s">
        <v>35</v>
      </c>
      <c r="E246" t="s">
        <v>45</v>
      </c>
      <c r="F246" t="s">
        <v>125</v>
      </c>
      <c r="G246" t="s">
        <v>46</v>
      </c>
      <c r="H246" s="1">
        <v>45404</v>
      </c>
      <c r="I246" t="s">
        <v>24</v>
      </c>
      <c r="J246" t="s">
        <v>253</v>
      </c>
      <c r="K246">
        <v>6</v>
      </c>
      <c r="N246">
        <v>535</v>
      </c>
      <c r="O246">
        <v>20</v>
      </c>
      <c r="P246" s="1">
        <v>45615</v>
      </c>
      <c r="Q246" s="1">
        <v>45462</v>
      </c>
      <c r="R246">
        <f>IF(Table1[[#This Row],[Actual close date]]="","",Table1[[#This Row],[Actual close date]]-Table1[[#This Row],[Expected close date]])</f>
        <v>-153</v>
      </c>
    </row>
    <row r="247" spans="1:18" x14ac:dyDescent="0.25">
      <c r="A247" t="s">
        <v>321</v>
      </c>
      <c r="B247" t="s">
        <v>76</v>
      </c>
      <c r="C247" t="s">
        <v>77</v>
      </c>
      <c r="D247" t="s">
        <v>78</v>
      </c>
      <c r="E247" t="s">
        <v>45</v>
      </c>
      <c r="F247" t="s">
        <v>125</v>
      </c>
      <c r="G247" t="s">
        <v>72</v>
      </c>
      <c r="H247" s="1">
        <v>45385</v>
      </c>
      <c r="I247" t="s">
        <v>24</v>
      </c>
      <c r="J247" t="s">
        <v>253</v>
      </c>
      <c r="K247">
        <v>6</v>
      </c>
      <c r="N247">
        <v>1129</v>
      </c>
      <c r="O247">
        <v>20</v>
      </c>
      <c r="P247" s="1">
        <v>45406</v>
      </c>
      <c r="Q247" s="1">
        <v>45501</v>
      </c>
      <c r="R247">
        <f>IF(Table1[[#This Row],[Actual close date]]="","",Table1[[#This Row],[Actual close date]]-Table1[[#This Row],[Expected close date]])</f>
        <v>95</v>
      </c>
    </row>
    <row r="248" spans="1:18" x14ac:dyDescent="0.25">
      <c r="A248" t="s">
        <v>322</v>
      </c>
      <c r="B248" t="s">
        <v>27</v>
      </c>
      <c r="C248" t="s">
        <v>28</v>
      </c>
      <c r="D248" t="s">
        <v>29</v>
      </c>
      <c r="E248" t="s">
        <v>74</v>
      </c>
      <c r="F248" t="s">
        <v>125</v>
      </c>
      <c r="G248" t="s">
        <v>37</v>
      </c>
      <c r="H248" s="1">
        <v>45386</v>
      </c>
      <c r="I248" t="s">
        <v>24</v>
      </c>
      <c r="J248" t="s">
        <v>253</v>
      </c>
      <c r="K248">
        <v>6</v>
      </c>
      <c r="N248">
        <v>1116</v>
      </c>
      <c r="O248">
        <v>100</v>
      </c>
      <c r="P248" s="1">
        <v>45431</v>
      </c>
      <c r="Q248" s="1">
        <v>45462</v>
      </c>
      <c r="R248">
        <f>IF(Table1[[#This Row],[Actual close date]]="","",Table1[[#This Row],[Actual close date]]-Table1[[#This Row],[Expected close date]])</f>
        <v>31</v>
      </c>
    </row>
    <row r="249" spans="1:18" x14ac:dyDescent="0.25">
      <c r="A249" t="s">
        <v>323</v>
      </c>
      <c r="B249" t="s">
        <v>69</v>
      </c>
      <c r="C249" t="s">
        <v>70</v>
      </c>
      <c r="D249" t="s">
        <v>71</v>
      </c>
      <c r="E249" t="s">
        <v>45</v>
      </c>
      <c r="F249" t="s">
        <v>125</v>
      </c>
      <c r="G249" t="s">
        <v>37</v>
      </c>
      <c r="H249" s="1">
        <v>45384</v>
      </c>
      <c r="I249" t="s">
        <v>64</v>
      </c>
      <c r="J249" t="s">
        <v>253</v>
      </c>
      <c r="K249">
        <v>6</v>
      </c>
      <c r="N249">
        <v>1039</v>
      </c>
      <c r="O249">
        <v>80</v>
      </c>
      <c r="P249" s="1">
        <v>45583</v>
      </c>
      <c r="Q249" s="1">
        <v>45391</v>
      </c>
      <c r="R249">
        <f>IF(Table1[[#This Row],[Actual close date]]="","",Table1[[#This Row],[Actual close date]]-Table1[[#This Row],[Expected close date]])</f>
        <v>-192</v>
      </c>
    </row>
    <row r="250" spans="1:18" x14ac:dyDescent="0.25">
      <c r="A250" t="s">
        <v>324</v>
      </c>
      <c r="B250" t="s">
        <v>18</v>
      </c>
      <c r="C250" t="s">
        <v>19</v>
      </c>
      <c r="D250" t="s">
        <v>20</v>
      </c>
      <c r="E250" t="s">
        <v>62</v>
      </c>
      <c r="F250" t="s">
        <v>125</v>
      </c>
      <c r="G250" t="s">
        <v>57</v>
      </c>
      <c r="H250" s="1">
        <v>45322</v>
      </c>
      <c r="I250" t="s">
        <v>24</v>
      </c>
      <c r="J250" t="s">
        <v>253</v>
      </c>
      <c r="K250">
        <v>6</v>
      </c>
      <c r="N250">
        <v>674</v>
      </c>
      <c r="O250">
        <v>30</v>
      </c>
      <c r="P250" s="1">
        <v>45395</v>
      </c>
      <c r="Q250" s="1">
        <v>45322</v>
      </c>
      <c r="R250">
        <f>IF(Table1[[#This Row],[Actual close date]]="","",Table1[[#This Row],[Actual close date]]-Table1[[#This Row],[Expected close date]])</f>
        <v>-73</v>
      </c>
    </row>
    <row r="251" spans="1:18" x14ac:dyDescent="0.25">
      <c r="A251" t="s">
        <v>325</v>
      </c>
      <c r="B251" t="s">
        <v>54</v>
      </c>
      <c r="C251" t="s">
        <v>55</v>
      </c>
      <c r="D251" t="s">
        <v>56</v>
      </c>
      <c r="E251" t="s">
        <v>66</v>
      </c>
      <c r="F251" t="s">
        <v>125</v>
      </c>
      <c r="G251" t="s">
        <v>83</v>
      </c>
      <c r="H251" s="1">
        <v>45430</v>
      </c>
      <c r="I251" t="s">
        <v>47</v>
      </c>
      <c r="J251" t="s">
        <v>253</v>
      </c>
      <c r="K251">
        <v>6</v>
      </c>
      <c r="N251">
        <v>1017</v>
      </c>
      <c r="O251">
        <v>20</v>
      </c>
      <c r="P251" s="1">
        <v>45559</v>
      </c>
      <c r="Q251" s="1">
        <v>45476</v>
      </c>
      <c r="R251">
        <f>IF(Table1[[#This Row],[Actual close date]]="","",Table1[[#This Row],[Actual close date]]-Table1[[#This Row],[Expected close date]])</f>
        <v>-83</v>
      </c>
    </row>
    <row r="252" spans="1:18" x14ac:dyDescent="0.25">
      <c r="A252" t="s">
        <v>326</v>
      </c>
      <c r="B252" t="s">
        <v>76</v>
      </c>
      <c r="C252" t="s">
        <v>77</v>
      </c>
      <c r="D252" t="s">
        <v>78</v>
      </c>
      <c r="E252" t="s">
        <v>36</v>
      </c>
      <c r="F252" t="s">
        <v>125</v>
      </c>
      <c r="G252" t="s">
        <v>46</v>
      </c>
      <c r="H252" s="1">
        <v>45390</v>
      </c>
      <c r="I252" t="s">
        <v>24</v>
      </c>
      <c r="J252" t="s">
        <v>253</v>
      </c>
      <c r="K252">
        <v>6</v>
      </c>
      <c r="N252">
        <v>824</v>
      </c>
      <c r="O252">
        <v>20</v>
      </c>
      <c r="P252" s="1">
        <v>45551</v>
      </c>
      <c r="Q252" s="1">
        <v>45427</v>
      </c>
      <c r="R252">
        <f>IF(Table1[[#This Row],[Actual close date]]="","",Table1[[#This Row],[Actual close date]]-Table1[[#This Row],[Expected close date]])</f>
        <v>-124</v>
      </c>
    </row>
    <row r="253" spans="1:18" x14ac:dyDescent="0.25">
      <c r="A253" t="s">
        <v>327</v>
      </c>
      <c r="B253" t="s">
        <v>27</v>
      </c>
      <c r="C253" t="s">
        <v>28</v>
      </c>
      <c r="D253" t="s">
        <v>29</v>
      </c>
      <c r="E253" t="s">
        <v>74</v>
      </c>
      <c r="F253" t="s">
        <v>125</v>
      </c>
      <c r="G253" t="s">
        <v>85</v>
      </c>
      <c r="H253" s="1">
        <v>45346</v>
      </c>
      <c r="I253" t="s">
        <v>64</v>
      </c>
      <c r="J253" t="s">
        <v>253</v>
      </c>
      <c r="K253">
        <v>6</v>
      </c>
      <c r="N253">
        <v>302</v>
      </c>
      <c r="O253">
        <v>40</v>
      </c>
      <c r="P253" s="1">
        <v>45421</v>
      </c>
      <c r="Q253" s="1">
        <v>45397</v>
      </c>
      <c r="R253">
        <f>IF(Table1[[#This Row],[Actual close date]]="","",Table1[[#This Row],[Actual close date]]-Table1[[#This Row],[Expected close date]])</f>
        <v>-24</v>
      </c>
    </row>
    <row r="254" spans="1:18" x14ac:dyDescent="0.25">
      <c r="A254" t="s">
        <v>328</v>
      </c>
      <c r="B254" t="s">
        <v>49</v>
      </c>
      <c r="C254" t="s">
        <v>50</v>
      </c>
      <c r="D254" t="s">
        <v>51</v>
      </c>
      <c r="E254" t="s">
        <v>45</v>
      </c>
      <c r="F254" t="s">
        <v>125</v>
      </c>
      <c r="G254" t="s">
        <v>37</v>
      </c>
      <c r="H254" s="1">
        <v>45414</v>
      </c>
      <c r="I254" t="s">
        <v>24</v>
      </c>
      <c r="J254" t="s">
        <v>253</v>
      </c>
      <c r="K254">
        <v>6</v>
      </c>
      <c r="N254">
        <v>1076</v>
      </c>
      <c r="O254">
        <v>40</v>
      </c>
      <c r="P254" s="1">
        <v>45455</v>
      </c>
      <c r="Q254" s="1">
        <v>45443</v>
      </c>
      <c r="R254">
        <f>IF(Table1[[#This Row],[Actual close date]]="","",Table1[[#This Row],[Actual close date]]-Table1[[#This Row],[Expected close date]])</f>
        <v>-12</v>
      </c>
    </row>
    <row r="255" spans="1:18" x14ac:dyDescent="0.25">
      <c r="A255" t="s">
        <v>329</v>
      </c>
      <c r="B255" t="s">
        <v>69</v>
      </c>
      <c r="C255" t="s">
        <v>70</v>
      </c>
      <c r="D255" t="s">
        <v>71</v>
      </c>
      <c r="E255" t="s">
        <v>74</v>
      </c>
      <c r="F255" t="s">
        <v>125</v>
      </c>
      <c r="G255" t="s">
        <v>46</v>
      </c>
      <c r="H255" s="1">
        <v>45399</v>
      </c>
      <c r="I255" t="s">
        <v>24</v>
      </c>
      <c r="J255" t="s">
        <v>253</v>
      </c>
      <c r="K255">
        <v>6</v>
      </c>
      <c r="N255">
        <v>724</v>
      </c>
      <c r="O255">
        <v>60</v>
      </c>
      <c r="P255" s="1">
        <v>45717</v>
      </c>
      <c r="Q255" s="1">
        <v>45425</v>
      </c>
      <c r="R255">
        <f>IF(Table1[[#This Row],[Actual close date]]="","",Table1[[#This Row],[Actual close date]]-Table1[[#This Row],[Expected close date]])</f>
        <v>-292</v>
      </c>
    </row>
    <row r="256" spans="1:18" x14ac:dyDescent="0.25">
      <c r="A256" t="s">
        <v>330</v>
      </c>
      <c r="B256" t="s">
        <v>33</v>
      </c>
      <c r="C256" t="s">
        <v>34</v>
      </c>
      <c r="D256" t="s">
        <v>35</v>
      </c>
      <c r="E256" t="s">
        <v>118</v>
      </c>
      <c r="F256" t="s">
        <v>125</v>
      </c>
      <c r="G256" t="s">
        <v>46</v>
      </c>
      <c r="H256" s="1">
        <v>45302</v>
      </c>
      <c r="I256" t="s">
        <v>64</v>
      </c>
      <c r="J256" t="s">
        <v>253</v>
      </c>
      <c r="K256">
        <v>6</v>
      </c>
      <c r="N256">
        <v>406</v>
      </c>
      <c r="O256">
        <v>10</v>
      </c>
      <c r="P256" s="1">
        <v>45406</v>
      </c>
      <c r="Q256" s="1">
        <v>45357</v>
      </c>
      <c r="R256">
        <f>IF(Table1[[#This Row],[Actual close date]]="","",Table1[[#This Row],[Actual close date]]-Table1[[#This Row],[Expected close date]])</f>
        <v>-49</v>
      </c>
    </row>
    <row r="257" spans="1:18" x14ac:dyDescent="0.25">
      <c r="A257" t="s">
        <v>331</v>
      </c>
      <c r="B257" t="s">
        <v>33</v>
      </c>
      <c r="C257" t="s">
        <v>34</v>
      </c>
      <c r="D257" t="s">
        <v>35</v>
      </c>
      <c r="E257" t="s">
        <v>52</v>
      </c>
      <c r="F257" t="s">
        <v>125</v>
      </c>
      <c r="G257" t="s">
        <v>83</v>
      </c>
      <c r="H257" s="1">
        <v>45320</v>
      </c>
      <c r="I257" t="s">
        <v>64</v>
      </c>
      <c r="J257" t="s">
        <v>253</v>
      </c>
      <c r="K257">
        <v>6</v>
      </c>
      <c r="N257">
        <v>622</v>
      </c>
      <c r="O257">
        <v>10</v>
      </c>
      <c r="P257" s="1">
        <v>45622</v>
      </c>
      <c r="Q257" s="1">
        <v>45360</v>
      </c>
      <c r="R257">
        <f>IF(Table1[[#This Row],[Actual close date]]="","",Table1[[#This Row],[Actual close date]]-Table1[[#This Row],[Expected close date]])</f>
        <v>-262</v>
      </c>
    </row>
    <row r="258" spans="1:18" x14ac:dyDescent="0.25">
      <c r="A258" t="s">
        <v>332</v>
      </c>
      <c r="B258" t="s">
        <v>54</v>
      </c>
      <c r="C258" t="s">
        <v>55</v>
      </c>
      <c r="D258" t="s">
        <v>56</v>
      </c>
      <c r="E258" t="s">
        <v>66</v>
      </c>
      <c r="F258" t="s">
        <v>125</v>
      </c>
      <c r="G258" t="s">
        <v>37</v>
      </c>
      <c r="H258" s="1">
        <v>45434</v>
      </c>
      <c r="I258" t="s">
        <v>24</v>
      </c>
      <c r="J258" t="s">
        <v>253</v>
      </c>
      <c r="K258">
        <v>6</v>
      </c>
      <c r="N258">
        <v>717</v>
      </c>
      <c r="O258">
        <v>30</v>
      </c>
      <c r="P258" s="1">
        <v>45785</v>
      </c>
      <c r="Q258" s="1">
        <v>45493</v>
      </c>
      <c r="R258">
        <f>IF(Table1[[#This Row],[Actual close date]]="","",Table1[[#This Row],[Actual close date]]-Table1[[#This Row],[Expected close date]])</f>
        <v>-292</v>
      </c>
    </row>
    <row r="259" spans="1:18" x14ac:dyDescent="0.25">
      <c r="A259" t="s">
        <v>333</v>
      </c>
      <c r="B259" t="s">
        <v>18</v>
      </c>
      <c r="C259" t="s">
        <v>19</v>
      </c>
      <c r="D259" t="s">
        <v>20</v>
      </c>
      <c r="E259" t="s">
        <v>45</v>
      </c>
      <c r="F259" t="s">
        <v>125</v>
      </c>
      <c r="G259" t="s">
        <v>46</v>
      </c>
      <c r="H259" s="1">
        <v>45368</v>
      </c>
      <c r="I259" t="s">
        <v>47</v>
      </c>
      <c r="J259" t="s">
        <v>253</v>
      </c>
      <c r="K259">
        <v>6</v>
      </c>
      <c r="N259">
        <v>1081</v>
      </c>
      <c r="O259">
        <v>80</v>
      </c>
      <c r="P259" s="1">
        <v>45411</v>
      </c>
      <c r="Q259" s="1">
        <v>45396</v>
      </c>
      <c r="R259">
        <f>IF(Table1[[#This Row],[Actual close date]]="","",Table1[[#This Row],[Actual close date]]-Table1[[#This Row],[Expected close date]])</f>
        <v>-15</v>
      </c>
    </row>
    <row r="260" spans="1:18" x14ac:dyDescent="0.25">
      <c r="A260" t="s">
        <v>334</v>
      </c>
      <c r="B260" t="s">
        <v>76</v>
      </c>
      <c r="C260" t="s">
        <v>77</v>
      </c>
      <c r="D260" t="s">
        <v>78</v>
      </c>
      <c r="E260" t="s">
        <v>52</v>
      </c>
      <c r="F260" t="s">
        <v>125</v>
      </c>
      <c r="G260" t="s">
        <v>46</v>
      </c>
      <c r="H260" s="1">
        <v>45416</v>
      </c>
      <c r="I260" t="s">
        <v>24</v>
      </c>
      <c r="J260" t="s">
        <v>253</v>
      </c>
      <c r="K260">
        <v>6</v>
      </c>
      <c r="N260">
        <v>1127</v>
      </c>
      <c r="O260">
        <v>80</v>
      </c>
      <c r="P260" s="1">
        <v>45465</v>
      </c>
      <c r="Q260" s="1">
        <v>45468</v>
      </c>
      <c r="R260">
        <f>IF(Table1[[#This Row],[Actual close date]]="","",Table1[[#This Row],[Actual close date]]-Table1[[#This Row],[Expected close date]])</f>
        <v>3</v>
      </c>
    </row>
    <row r="261" spans="1:18" x14ac:dyDescent="0.25">
      <c r="A261" t="s">
        <v>335</v>
      </c>
      <c r="B261" t="s">
        <v>18</v>
      </c>
      <c r="C261" t="s">
        <v>19</v>
      </c>
      <c r="D261" t="s">
        <v>20</v>
      </c>
      <c r="E261" t="s">
        <v>36</v>
      </c>
      <c r="F261" t="s">
        <v>125</v>
      </c>
      <c r="G261" t="s">
        <v>46</v>
      </c>
      <c r="H261" s="1">
        <v>45420</v>
      </c>
      <c r="I261" t="s">
        <v>64</v>
      </c>
      <c r="J261" t="s">
        <v>253</v>
      </c>
      <c r="K261">
        <v>6</v>
      </c>
      <c r="N261">
        <v>667</v>
      </c>
      <c r="O261">
        <v>60</v>
      </c>
      <c r="P261" s="1">
        <v>45691</v>
      </c>
      <c r="Q261" s="1">
        <v>45446</v>
      </c>
      <c r="R261">
        <f>IF(Table1[[#This Row],[Actual close date]]="","",Table1[[#This Row],[Actual close date]]-Table1[[#This Row],[Expected close date]])</f>
        <v>-245</v>
      </c>
    </row>
    <row r="262" spans="1:18" x14ac:dyDescent="0.25">
      <c r="A262" t="s">
        <v>336</v>
      </c>
      <c r="B262" t="s">
        <v>39</v>
      </c>
      <c r="C262" t="s">
        <v>40</v>
      </c>
      <c r="D262" t="s">
        <v>41</v>
      </c>
      <c r="E262" t="s">
        <v>45</v>
      </c>
      <c r="F262" t="s">
        <v>125</v>
      </c>
      <c r="G262" t="s">
        <v>72</v>
      </c>
      <c r="H262" s="1">
        <v>45432</v>
      </c>
      <c r="I262" t="s">
        <v>64</v>
      </c>
      <c r="J262" t="s">
        <v>253</v>
      </c>
      <c r="K262">
        <v>6</v>
      </c>
      <c r="N262">
        <v>541</v>
      </c>
      <c r="O262">
        <v>30</v>
      </c>
      <c r="P262" s="1">
        <v>45671</v>
      </c>
      <c r="Q262" s="1">
        <v>45453</v>
      </c>
      <c r="R262">
        <f>IF(Table1[[#This Row],[Actual close date]]="","",Table1[[#This Row],[Actual close date]]-Table1[[#This Row],[Expected close date]])</f>
        <v>-218</v>
      </c>
    </row>
    <row r="263" spans="1:18" x14ac:dyDescent="0.25">
      <c r="A263" t="s">
        <v>337</v>
      </c>
      <c r="B263" t="s">
        <v>33</v>
      </c>
      <c r="C263" t="s">
        <v>34</v>
      </c>
      <c r="D263" t="s">
        <v>35</v>
      </c>
      <c r="E263" t="s">
        <v>52</v>
      </c>
      <c r="F263" t="s">
        <v>125</v>
      </c>
      <c r="G263" t="s">
        <v>23</v>
      </c>
      <c r="H263" s="1">
        <v>45310</v>
      </c>
      <c r="I263" t="s">
        <v>24</v>
      </c>
      <c r="J263" t="s">
        <v>253</v>
      </c>
      <c r="K263">
        <v>6</v>
      </c>
      <c r="N263">
        <v>988</v>
      </c>
      <c r="O263">
        <v>60</v>
      </c>
      <c r="P263" s="1">
        <v>45458</v>
      </c>
      <c r="Q263" s="1">
        <v>45386</v>
      </c>
      <c r="R263">
        <f>IF(Table1[[#This Row],[Actual close date]]="","",Table1[[#This Row],[Actual close date]]-Table1[[#This Row],[Expected close date]])</f>
        <v>-72</v>
      </c>
    </row>
    <row r="264" spans="1:18" x14ac:dyDescent="0.25">
      <c r="A264" t="s">
        <v>338</v>
      </c>
      <c r="B264" t="s">
        <v>59</v>
      </c>
      <c r="C264" t="s">
        <v>60</v>
      </c>
      <c r="D264" t="s">
        <v>61</v>
      </c>
      <c r="E264" t="s">
        <v>122</v>
      </c>
      <c r="F264" t="s">
        <v>125</v>
      </c>
      <c r="G264" t="s">
        <v>46</v>
      </c>
      <c r="H264" s="1">
        <v>45316</v>
      </c>
      <c r="I264" t="s">
        <v>64</v>
      </c>
      <c r="J264" t="s">
        <v>253</v>
      </c>
      <c r="K264">
        <v>6</v>
      </c>
      <c r="N264">
        <v>659</v>
      </c>
      <c r="O264">
        <v>40</v>
      </c>
      <c r="P264" s="1">
        <v>45607</v>
      </c>
      <c r="Q264" s="1">
        <v>45359</v>
      </c>
      <c r="R264">
        <f>IF(Table1[[#This Row],[Actual close date]]="","",Table1[[#This Row],[Actual close date]]-Table1[[#This Row],[Expected close date]])</f>
        <v>-248</v>
      </c>
    </row>
    <row r="265" spans="1:18" x14ac:dyDescent="0.25">
      <c r="A265" t="s">
        <v>339</v>
      </c>
      <c r="B265" t="s">
        <v>33</v>
      </c>
      <c r="C265" t="s">
        <v>34</v>
      </c>
      <c r="D265" t="s">
        <v>35</v>
      </c>
      <c r="E265" t="s">
        <v>21</v>
      </c>
      <c r="F265" t="s">
        <v>125</v>
      </c>
      <c r="G265" t="s">
        <v>31</v>
      </c>
      <c r="H265" s="1">
        <v>45341</v>
      </c>
      <c r="I265" t="s">
        <v>47</v>
      </c>
      <c r="J265" t="s">
        <v>253</v>
      </c>
      <c r="K265">
        <v>6</v>
      </c>
      <c r="N265">
        <v>214</v>
      </c>
      <c r="O265">
        <v>30</v>
      </c>
      <c r="P265" s="1">
        <v>45570</v>
      </c>
      <c r="Q265" s="1">
        <v>45363</v>
      </c>
      <c r="R265">
        <f>IF(Table1[[#This Row],[Actual close date]]="","",Table1[[#This Row],[Actual close date]]-Table1[[#This Row],[Expected close date]])</f>
        <v>-207</v>
      </c>
    </row>
    <row r="266" spans="1:18" x14ac:dyDescent="0.25">
      <c r="A266" t="s">
        <v>340</v>
      </c>
      <c r="B266" t="s">
        <v>49</v>
      </c>
      <c r="C266" t="s">
        <v>50</v>
      </c>
      <c r="D266" t="s">
        <v>51</v>
      </c>
      <c r="E266" t="s">
        <v>66</v>
      </c>
      <c r="F266" t="s">
        <v>125</v>
      </c>
      <c r="G266" t="s">
        <v>46</v>
      </c>
      <c r="H266" s="1">
        <v>45318</v>
      </c>
      <c r="I266" t="s">
        <v>24</v>
      </c>
      <c r="J266" t="s">
        <v>253</v>
      </c>
      <c r="K266">
        <v>6</v>
      </c>
      <c r="N266">
        <v>248</v>
      </c>
      <c r="O266">
        <v>30</v>
      </c>
      <c r="P266" s="1">
        <v>45670</v>
      </c>
      <c r="Q266" s="1">
        <v>45384</v>
      </c>
      <c r="R266">
        <f>IF(Table1[[#This Row],[Actual close date]]="","",Table1[[#This Row],[Actual close date]]-Table1[[#This Row],[Expected close date]])</f>
        <v>-286</v>
      </c>
    </row>
    <row r="267" spans="1:18" x14ac:dyDescent="0.25">
      <c r="A267" t="s">
        <v>341</v>
      </c>
      <c r="B267" t="s">
        <v>69</v>
      </c>
      <c r="C267" t="s">
        <v>70</v>
      </c>
      <c r="D267" t="s">
        <v>71</v>
      </c>
      <c r="E267" t="s">
        <v>82</v>
      </c>
      <c r="F267" t="s">
        <v>125</v>
      </c>
      <c r="G267" t="s">
        <v>46</v>
      </c>
      <c r="H267" s="1">
        <v>45364</v>
      </c>
      <c r="I267" t="s">
        <v>64</v>
      </c>
      <c r="J267" t="s">
        <v>253</v>
      </c>
      <c r="K267">
        <v>6</v>
      </c>
      <c r="N267">
        <v>609</v>
      </c>
      <c r="O267">
        <v>30</v>
      </c>
      <c r="P267" s="1">
        <v>45436</v>
      </c>
      <c r="Q267" s="1">
        <v>45467</v>
      </c>
      <c r="R267">
        <f>IF(Table1[[#This Row],[Actual close date]]="","",Table1[[#This Row],[Actual close date]]-Table1[[#This Row],[Expected close date]])</f>
        <v>31</v>
      </c>
    </row>
    <row r="268" spans="1:18" x14ac:dyDescent="0.25">
      <c r="A268" t="s">
        <v>342</v>
      </c>
      <c r="B268" t="s">
        <v>33</v>
      </c>
      <c r="C268" t="s">
        <v>34</v>
      </c>
      <c r="D268" t="s">
        <v>35</v>
      </c>
      <c r="E268" t="s">
        <v>45</v>
      </c>
      <c r="F268" t="s">
        <v>125</v>
      </c>
      <c r="G268" t="s">
        <v>23</v>
      </c>
      <c r="H268" s="1">
        <v>45404</v>
      </c>
      <c r="I268" t="s">
        <v>64</v>
      </c>
      <c r="J268" t="s">
        <v>253</v>
      </c>
      <c r="K268">
        <v>6</v>
      </c>
      <c r="N268">
        <v>651</v>
      </c>
      <c r="O268">
        <v>20</v>
      </c>
      <c r="P268" s="1">
        <v>45512</v>
      </c>
      <c r="Q268" s="1">
        <v>45449</v>
      </c>
      <c r="R268">
        <f>IF(Table1[[#This Row],[Actual close date]]="","",Table1[[#This Row],[Actual close date]]-Table1[[#This Row],[Expected close date]])</f>
        <v>-63</v>
      </c>
    </row>
    <row r="269" spans="1:18" x14ac:dyDescent="0.25">
      <c r="A269" t="s">
        <v>343</v>
      </c>
      <c r="B269" t="s">
        <v>33</v>
      </c>
      <c r="C269" t="s">
        <v>34</v>
      </c>
      <c r="D269" t="s">
        <v>35</v>
      </c>
      <c r="E269" t="s">
        <v>45</v>
      </c>
      <c r="F269" t="s">
        <v>125</v>
      </c>
      <c r="G269" t="s">
        <v>46</v>
      </c>
      <c r="H269" s="1">
        <v>45380</v>
      </c>
      <c r="I269" t="s">
        <v>24</v>
      </c>
      <c r="J269" t="s">
        <v>253</v>
      </c>
      <c r="K269">
        <v>6</v>
      </c>
      <c r="N269">
        <v>341</v>
      </c>
      <c r="O269">
        <v>60</v>
      </c>
      <c r="P269" s="1">
        <v>45494</v>
      </c>
      <c r="Q269" s="1">
        <v>45466</v>
      </c>
      <c r="R269">
        <f>IF(Table1[[#This Row],[Actual close date]]="","",Table1[[#This Row],[Actual close date]]-Table1[[#This Row],[Expected close date]])</f>
        <v>-28</v>
      </c>
    </row>
    <row r="270" spans="1:18" x14ac:dyDescent="0.25">
      <c r="A270" t="s">
        <v>344</v>
      </c>
      <c r="B270" t="s">
        <v>49</v>
      </c>
      <c r="C270" t="s">
        <v>50</v>
      </c>
      <c r="D270" t="s">
        <v>51</v>
      </c>
      <c r="E270" t="s">
        <v>74</v>
      </c>
      <c r="F270" t="s">
        <v>125</v>
      </c>
      <c r="G270" t="s">
        <v>46</v>
      </c>
      <c r="H270" s="1">
        <v>45430</v>
      </c>
      <c r="I270" t="s">
        <v>24</v>
      </c>
      <c r="J270" t="s">
        <v>253</v>
      </c>
      <c r="K270">
        <v>6</v>
      </c>
      <c r="N270">
        <v>1140</v>
      </c>
      <c r="O270">
        <v>20</v>
      </c>
      <c r="P270" s="1">
        <v>45782</v>
      </c>
      <c r="Q270" s="1">
        <v>45519</v>
      </c>
      <c r="R270">
        <f>IF(Table1[[#This Row],[Actual close date]]="","",Table1[[#This Row],[Actual close date]]-Table1[[#This Row],[Expected close date]])</f>
        <v>-263</v>
      </c>
    </row>
    <row r="271" spans="1:18" x14ac:dyDescent="0.25">
      <c r="A271" t="s">
        <v>345</v>
      </c>
      <c r="B271" t="s">
        <v>76</v>
      </c>
      <c r="C271" t="s">
        <v>77</v>
      </c>
      <c r="D271" t="s">
        <v>78</v>
      </c>
      <c r="E271" t="s">
        <v>118</v>
      </c>
      <c r="F271" t="s">
        <v>125</v>
      </c>
      <c r="G271" t="s">
        <v>85</v>
      </c>
      <c r="H271" s="1">
        <v>45324</v>
      </c>
      <c r="I271" t="s">
        <v>24</v>
      </c>
      <c r="J271" t="s">
        <v>253</v>
      </c>
      <c r="K271">
        <v>6</v>
      </c>
      <c r="N271">
        <v>801</v>
      </c>
      <c r="O271">
        <v>40</v>
      </c>
      <c r="P271" s="1">
        <v>45419</v>
      </c>
      <c r="Q271" s="1">
        <v>45396</v>
      </c>
      <c r="R271">
        <f>IF(Table1[[#This Row],[Actual close date]]="","",Table1[[#This Row],[Actual close date]]-Table1[[#This Row],[Expected close date]])</f>
        <v>-23</v>
      </c>
    </row>
    <row r="272" spans="1:18" x14ac:dyDescent="0.25">
      <c r="A272" t="s">
        <v>346</v>
      </c>
      <c r="B272" t="s">
        <v>18</v>
      </c>
      <c r="C272" t="s">
        <v>19</v>
      </c>
      <c r="D272" t="s">
        <v>20</v>
      </c>
      <c r="E272" t="s">
        <v>52</v>
      </c>
      <c r="F272" t="s">
        <v>125</v>
      </c>
      <c r="G272" t="s">
        <v>72</v>
      </c>
      <c r="H272" s="1">
        <v>45429</v>
      </c>
      <c r="I272" t="s">
        <v>64</v>
      </c>
      <c r="J272" t="s">
        <v>253</v>
      </c>
      <c r="K272">
        <v>6</v>
      </c>
      <c r="N272">
        <v>200</v>
      </c>
      <c r="O272">
        <v>20</v>
      </c>
      <c r="P272" s="1">
        <v>45485</v>
      </c>
      <c r="Q272" s="1">
        <v>45516</v>
      </c>
      <c r="R272">
        <f>IF(Table1[[#This Row],[Actual close date]]="","",Table1[[#This Row],[Actual close date]]-Table1[[#This Row],[Expected close date]])</f>
        <v>31</v>
      </c>
    </row>
    <row r="273" spans="1:18" x14ac:dyDescent="0.25">
      <c r="A273" t="s">
        <v>347</v>
      </c>
      <c r="B273" t="s">
        <v>33</v>
      </c>
      <c r="C273" t="s">
        <v>34</v>
      </c>
      <c r="D273" t="s">
        <v>35</v>
      </c>
      <c r="E273" t="s">
        <v>42</v>
      </c>
      <c r="F273" t="s">
        <v>125</v>
      </c>
      <c r="G273" t="s">
        <v>83</v>
      </c>
      <c r="H273" s="1">
        <v>45343</v>
      </c>
      <c r="I273" t="s">
        <v>64</v>
      </c>
      <c r="J273" t="s">
        <v>253</v>
      </c>
      <c r="K273">
        <v>6</v>
      </c>
      <c r="N273">
        <v>1048</v>
      </c>
      <c r="O273">
        <v>80</v>
      </c>
      <c r="P273" s="1">
        <v>45577</v>
      </c>
      <c r="Q273" s="1">
        <v>45437</v>
      </c>
      <c r="R273">
        <f>IF(Table1[[#This Row],[Actual close date]]="","",Table1[[#This Row],[Actual close date]]-Table1[[#This Row],[Expected close date]])</f>
        <v>-140</v>
      </c>
    </row>
    <row r="274" spans="1:18" x14ac:dyDescent="0.25">
      <c r="A274" t="s">
        <v>348</v>
      </c>
      <c r="B274" t="s">
        <v>76</v>
      </c>
      <c r="C274" t="s">
        <v>77</v>
      </c>
      <c r="D274" t="s">
        <v>78</v>
      </c>
      <c r="E274" t="s">
        <v>82</v>
      </c>
      <c r="F274" t="s">
        <v>125</v>
      </c>
      <c r="G274" t="s">
        <v>46</v>
      </c>
      <c r="H274" s="1">
        <v>45327</v>
      </c>
      <c r="I274" t="s">
        <v>64</v>
      </c>
      <c r="J274" t="s">
        <v>253</v>
      </c>
      <c r="K274">
        <v>6</v>
      </c>
      <c r="N274">
        <v>1130</v>
      </c>
      <c r="O274">
        <v>40</v>
      </c>
      <c r="P274" s="1">
        <v>45376</v>
      </c>
      <c r="Q274" s="1">
        <v>45344</v>
      </c>
      <c r="R274">
        <f>IF(Table1[[#This Row],[Actual close date]]="","",Table1[[#This Row],[Actual close date]]-Table1[[#This Row],[Expected close date]])</f>
        <v>-32</v>
      </c>
    </row>
    <row r="275" spans="1:18" x14ac:dyDescent="0.25">
      <c r="A275" t="s">
        <v>349</v>
      </c>
      <c r="B275" t="s">
        <v>33</v>
      </c>
      <c r="C275" t="s">
        <v>34</v>
      </c>
      <c r="D275" t="s">
        <v>35</v>
      </c>
      <c r="E275" t="s">
        <v>45</v>
      </c>
      <c r="F275" t="s">
        <v>125</v>
      </c>
      <c r="G275" t="s">
        <v>72</v>
      </c>
      <c r="H275" s="1">
        <v>45384</v>
      </c>
      <c r="I275" t="s">
        <v>24</v>
      </c>
      <c r="J275" t="s">
        <v>253</v>
      </c>
      <c r="K275">
        <v>6</v>
      </c>
      <c r="N275">
        <v>237</v>
      </c>
      <c r="O275">
        <v>50</v>
      </c>
      <c r="P275" s="1">
        <v>45599</v>
      </c>
      <c r="Q275" s="1">
        <v>45433</v>
      </c>
      <c r="R275">
        <f>IF(Table1[[#This Row],[Actual close date]]="","",Table1[[#This Row],[Actual close date]]-Table1[[#This Row],[Expected close date]])</f>
        <v>-166</v>
      </c>
    </row>
    <row r="276" spans="1:18" x14ac:dyDescent="0.25">
      <c r="A276" t="s">
        <v>350</v>
      </c>
      <c r="B276" t="s">
        <v>76</v>
      </c>
      <c r="C276" t="s">
        <v>77</v>
      </c>
      <c r="D276" t="s">
        <v>78</v>
      </c>
      <c r="E276" t="s">
        <v>52</v>
      </c>
      <c r="F276" t="s">
        <v>167</v>
      </c>
      <c r="G276" t="s">
        <v>72</v>
      </c>
      <c r="H276" s="1">
        <v>45347</v>
      </c>
      <c r="I276" t="s">
        <v>24</v>
      </c>
      <c r="J276" t="s">
        <v>253</v>
      </c>
      <c r="K276">
        <v>6</v>
      </c>
      <c r="N276">
        <v>947</v>
      </c>
      <c r="O276">
        <v>30</v>
      </c>
      <c r="P276" s="1">
        <v>45521</v>
      </c>
      <c r="Q276" s="1">
        <v>45352</v>
      </c>
      <c r="R276">
        <f>IF(Table1[[#This Row],[Actual close date]]="","",Table1[[#This Row],[Actual close date]]-Table1[[#This Row],[Expected close date]])</f>
        <v>-169</v>
      </c>
    </row>
    <row r="277" spans="1:18" x14ac:dyDescent="0.25">
      <c r="A277" t="s">
        <v>351</v>
      </c>
      <c r="B277" t="s">
        <v>33</v>
      </c>
      <c r="C277" t="s">
        <v>34</v>
      </c>
      <c r="D277" t="s">
        <v>35</v>
      </c>
      <c r="E277" t="s">
        <v>45</v>
      </c>
      <c r="F277" t="s">
        <v>167</v>
      </c>
      <c r="G277" t="s">
        <v>31</v>
      </c>
      <c r="H277" s="1">
        <v>45338</v>
      </c>
      <c r="I277" t="s">
        <v>24</v>
      </c>
      <c r="J277" t="s">
        <v>253</v>
      </c>
      <c r="K277">
        <v>6</v>
      </c>
      <c r="N277">
        <v>562</v>
      </c>
      <c r="O277">
        <v>40</v>
      </c>
      <c r="P277" s="1">
        <v>45624</v>
      </c>
      <c r="Q277" s="1">
        <v>45382</v>
      </c>
      <c r="R277">
        <f>IF(Table1[[#This Row],[Actual close date]]="","",Table1[[#This Row],[Actual close date]]-Table1[[#This Row],[Expected close date]])</f>
        <v>-242</v>
      </c>
    </row>
    <row r="278" spans="1:18" x14ac:dyDescent="0.25">
      <c r="A278" t="s">
        <v>352</v>
      </c>
      <c r="B278" t="s">
        <v>39</v>
      </c>
      <c r="C278" t="s">
        <v>40</v>
      </c>
      <c r="D278" t="s">
        <v>41</v>
      </c>
      <c r="E278" t="s">
        <v>21</v>
      </c>
      <c r="F278" t="s">
        <v>167</v>
      </c>
      <c r="G278" t="s">
        <v>72</v>
      </c>
      <c r="H278" s="1">
        <v>45311</v>
      </c>
      <c r="I278" t="s">
        <v>64</v>
      </c>
      <c r="J278" t="s">
        <v>253</v>
      </c>
      <c r="K278">
        <v>6</v>
      </c>
      <c r="N278">
        <v>3729</v>
      </c>
      <c r="O278">
        <v>40</v>
      </c>
      <c r="P278" s="1">
        <v>45386</v>
      </c>
      <c r="Q278" s="1">
        <v>45401</v>
      </c>
      <c r="R278">
        <f>IF(Table1[[#This Row],[Actual close date]]="","",Table1[[#This Row],[Actual close date]]-Table1[[#This Row],[Expected close date]])</f>
        <v>15</v>
      </c>
    </row>
    <row r="279" spans="1:18" x14ac:dyDescent="0.25">
      <c r="A279" t="s">
        <v>353</v>
      </c>
      <c r="B279" t="s">
        <v>69</v>
      </c>
      <c r="C279" t="s">
        <v>70</v>
      </c>
      <c r="D279" t="s">
        <v>71</v>
      </c>
      <c r="E279" t="s">
        <v>52</v>
      </c>
      <c r="F279" t="s">
        <v>167</v>
      </c>
      <c r="G279" t="s">
        <v>57</v>
      </c>
      <c r="H279" s="1">
        <v>45357</v>
      </c>
      <c r="I279" t="s">
        <v>64</v>
      </c>
      <c r="J279" t="s">
        <v>253</v>
      </c>
      <c r="K279">
        <v>6</v>
      </c>
      <c r="N279">
        <v>762</v>
      </c>
      <c r="O279">
        <v>20</v>
      </c>
      <c r="P279" s="1">
        <v>45537</v>
      </c>
      <c r="Q279" s="1">
        <v>45444</v>
      </c>
      <c r="R279">
        <f>IF(Table1[[#This Row],[Actual close date]]="","",Table1[[#This Row],[Actual close date]]-Table1[[#This Row],[Expected close date]])</f>
        <v>-93</v>
      </c>
    </row>
    <row r="280" spans="1:18" x14ac:dyDescent="0.25">
      <c r="A280" t="s">
        <v>354</v>
      </c>
      <c r="B280" t="s">
        <v>76</v>
      </c>
      <c r="C280" t="s">
        <v>77</v>
      </c>
      <c r="D280" t="s">
        <v>78</v>
      </c>
      <c r="E280" t="s">
        <v>45</v>
      </c>
      <c r="F280" t="s">
        <v>167</v>
      </c>
      <c r="G280" t="s">
        <v>57</v>
      </c>
      <c r="H280" s="1">
        <v>45301</v>
      </c>
      <c r="I280" t="s">
        <v>47</v>
      </c>
      <c r="J280" t="s">
        <v>253</v>
      </c>
      <c r="K280">
        <v>6</v>
      </c>
      <c r="N280">
        <v>350</v>
      </c>
      <c r="O280">
        <v>30</v>
      </c>
      <c r="P280" s="1">
        <v>45523</v>
      </c>
      <c r="Q280" s="1">
        <v>45415</v>
      </c>
      <c r="R280">
        <f>IF(Table1[[#This Row],[Actual close date]]="","",Table1[[#This Row],[Actual close date]]-Table1[[#This Row],[Expected close date]])</f>
        <v>-108</v>
      </c>
    </row>
    <row r="281" spans="1:18" x14ac:dyDescent="0.25">
      <c r="A281" t="s">
        <v>355</v>
      </c>
      <c r="B281" t="s">
        <v>54</v>
      </c>
      <c r="C281" t="s">
        <v>55</v>
      </c>
      <c r="D281" t="s">
        <v>56</v>
      </c>
      <c r="E281" t="s">
        <v>62</v>
      </c>
      <c r="F281" t="s">
        <v>167</v>
      </c>
      <c r="G281" t="s">
        <v>85</v>
      </c>
      <c r="H281" s="1">
        <v>45350</v>
      </c>
      <c r="I281" t="s">
        <v>24</v>
      </c>
      <c r="J281" t="s">
        <v>253</v>
      </c>
      <c r="K281">
        <v>6</v>
      </c>
      <c r="N281">
        <v>3350</v>
      </c>
      <c r="O281">
        <v>10</v>
      </c>
      <c r="P281" s="1">
        <v>45498</v>
      </c>
      <c r="Q281" s="1">
        <v>45439</v>
      </c>
      <c r="R281">
        <f>IF(Table1[[#This Row],[Actual close date]]="","",Table1[[#This Row],[Actual close date]]-Table1[[#This Row],[Expected close date]])</f>
        <v>-59</v>
      </c>
    </row>
    <row r="282" spans="1:18" x14ac:dyDescent="0.25">
      <c r="A282" t="s">
        <v>356</v>
      </c>
      <c r="B282" t="s">
        <v>33</v>
      </c>
      <c r="C282" t="s">
        <v>34</v>
      </c>
      <c r="D282" t="s">
        <v>35</v>
      </c>
      <c r="E282" t="s">
        <v>30</v>
      </c>
      <c r="F282" t="s">
        <v>167</v>
      </c>
      <c r="G282" t="s">
        <v>57</v>
      </c>
      <c r="H282" s="1">
        <v>45340</v>
      </c>
      <c r="I282" t="s">
        <v>24</v>
      </c>
      <c r="J282" t="s">
        <v>253</v>
      </c>
      <c r="K282">
        <v>6</v>
      </c>
      <c r="N282">
        <v>3290</v>
      </c>
      <c r="O282">
        <v>30</v>
      </c>
      <c r="P282" s="1">
        <v>45673</v>
      </c>
      <c r="Q282" s="1">
        <v>45362</v>
      </c>
      <c r="R282">
        <f>IF(Table1[[#This Row],[Actual close date]]="","",Table1[[#This Row],[Actual close date]]-Table1[[#This Row],[Expected close date]])</f>
        <v>-311</v>
      </c>
    </row>
    <row r="283" spans="1:18" x14ac:dyDescent="0.25">
      <c r="A283" t="s">
        <v>357</v>
      </c>
      <c r="B283" t="s">
        <v>33</v>
      </c>
      <c r="C283" t="s">
        <v>34</v>
      </c>
      <c r="D283" t="s">
        <v>35</v>
      </c>
      <c r="E283" t="s">
        <v>118</v>
      </c>
      <c r="F283" t="s">
        <v>167</v>
      </c>
      <c r="G283" t="s">
        <v>46</v>
      </c>
      <c r="H283" s="1">
        <v>45393</v>
      </c>
      <c r="I283" t="s">
        <v>64</v>
      </c>
      <c r="J283" t="s">
        <v>253</v>
      </c>
      <c r="K283">
        <v>6</v>
      </c>
      <c r="N283">
        <v>4608</v>
      </c>
      <c r="O283">
        <v>50</v>
      </c>
      <c r="P283" s="1">
        <v>45413</v>
      </c>
      <c r="Q283" s="1">
        <v>45459</v>
      </c>
      <c r="R283">
        <f>IF(Table1[[#This Row],[Actual close date]]="","",Table1[[#This Row],[Actual close date]]-Table1[[#This Row],[Expected close date]])</f>
        <v>46</v>
      </c>
    </row>
    <row r="284" spans="1:18" x14ac:dyDescent="0.25">
      <c r="A284" t="s">
        <v>358</v>
      </c>
      <c r="B284" t="s">
        <v>33</v>
      </c>
      <c r="C284" t="s">
        <v>34</v>
      </c>
      <c r="D284" t="s">
        <v>35</v>
      </c>
      <c r="E284" t="s">
        <v>122</v>
      </c>
      <c r="F284" t="s">
        <v>167</v>
      </c>
      <c r="G284" t="s">
        <v>83</v>
      </c>
      <c r="H284" s="1">
        <v>45362</v>
      </c>
      <c r="I284" t="s">
        <v>47</v>
      </c>
      <c r="J284" t="s">
        <v>253</v>
      </c>
      <c r="K284">
        <v>6</v>
      </c>
      <c r="N284">
        <v>6457</v>
      </c>
      <c r="O284">
        <v>20</v>
      </c>
      <c r="P284" s="1">
        <v>45662</v>
      </c>
      <c r="Q284" s="1">
        <v>45473</v>
      </c>
      <c r="R284">
        <f>IF(Table1[[#This Row],[Actual close date]]="","",Table1[[#This Row],[Actual close date]]-Table1[[#This Row],[Expected close date]])</f>
        <v>-189</v>
      </c>
    </row>
    <row r="285" spans="1:18" x14ac:dyDescent="0.25">
      <c r="A285" t="s">
        <v>359</v>
      </c>
      <c r="B285" t="s">
        <v>27</v>
      </c>
      <c r="C285" t="s">
        <v>28</v>
      </c>
      <c r="D285" t="s">
        <v>29</v>
      </c>
      <c r="E285" t="s">
        <v>21</v>
      </c>
      <c r="F285" t="s">
        <v>167</v>
      </c>
      <c r="G285" t="s">
        <v>57</v>
      </c>
      <c r="H285" s="1">
        <v>45429</v>
      </c>
      <c r="I285" t="s">
        <v>64</v>
      </c>
      <c r="J285" t="s">
        <v>253</v>
      </c>
      <c r="K285">
        <v>6</v>
      </c>
      <c r="N285">
        <v>5322</v>
      </c>
      <c r="O285">
        <v>100</v>
      </c>
      <c r="P285" s="1">
        <v>45770</v>
      </c>
      <c r="Q285" s="1">
        <v>45531</v>
      </c>
      <c r="R285">
        <f>IF(Table1[[#This Row],[Actual close date]]="","",Table1[[#This Row],[Actual close date]]-Table1[[#This Row],[Expected close date]])</f>
        <v>-239</v>
      </c>
    </row>
    <row r="286" spans="1:18" x14ac:dyDescent="0.25">
      <c r="A286" t="s">
        <v>360</v>
      </c>
      <c r="B286" t="s">
        <v>33</v>
      </c>
      <c r="C286" t="s">
        <v>34</v>
      </c>
      <c r="D286" t="s">
        <v>35</v>
      </c>
      <c r="E286" t="s">
        <v>45</v>
      </c>
      <c r="F286" t="s">
        <v>167</v>
      </c>
      <c r="G286" t="s">
        <v>72</v>
      </c>
      <c r="H286" s="1">
        <v>45356</v>
      </c>
      <c r="I286" t="s">
        <v>64</v>
      </c>
      <c r="J286" t="s">
        <v>253</v>
      </c>
      <c r="K286">
        <v>6</v>
      </c>
      <c r="N286">
        <v>7996</v>
      </c>
      <c r="O286">
        <v>60</v>
      </c>
      <c r="P286" s="1">
        <v>45587</v>
      </c>
      <c r="Q286" s="1">
        <v>45407</v>
      </c>
      <c r="R286">
        <f>IF(Table1[[#This Row],[Actual close date]]="","",Table1[[#This Row],[Actual close date]]-Table1[[#This Row],[Expected close date]])</f>
        <v>-180</v>
      </c>
    </row>
    <row r="287" spans="1:18" x14ac:dyDescent="0.25">
      <c r="A287" t="s">
        <v>361</v>
      </c>
      <c r="B287" t="s">
        <v>49</v>
      </c>
      <c r="C287" t="s">
        <v>50</v>
      </c>
      <c r="D287" t="s">
        <v>51</v>
      </c>
      <c r="E287" t="s">
        <v>21</v>
      </c>
      <c r="F287" t="s">
        <v>167</v>
      </c>
      <c r="G287" t="s">
        <v>46</v>
      </c>
      <c r="H287" s="1">
        <v>45330</v>
      </c>
      <c r="I287" t="s">
        <v>64</v>
      </c>
      <c r="J287" t="s">
        <v>253</v>
      </c>
      <c r="K287">
        <v>6</v>
      </c>
      <c r="N287">
        <v>4561</v>
      </c>
      <c r="O287">
        <v>10</v>
      </c>
      <c r="P287" s="1">
        <v>45586</v>
      </c>
      <c r="Q287" s="1">
        <v>45433</v>
      </c>
      <c r="R287">
        <f>IF(Table1[[#This Row],[Actual close date]]="","",Table1[[#This Row],[Actual close date]]-Table1[[#This Row],[Expected close date]])</f>
        <v>-153</v>
      </c>
    </row>
    <row r="288" spans="1:18" x14ac:dyDescent="0.25">
      <c r="A288" t="s">
        <v>362</v>
      </c>
      <c r="B288" t="s">
        <v>54</v>
      </c>
      <c r="C288" t="s">
        <v>55</v>
      </c>
      <c r="D288" t="s">
        <v>56</v>
      </c>
      <c r="E288" t="s">
        <v>45</v>
      </c>
      <c r="F288" t="s">
        <v>167</v>
      </c>
      <c r="G288" t="s">
        <v>85</v>
      </c>
      <c r="H288" s="1">
        <v>45367</v>
      </c>
      <c r="I288" t="s">
        <v>47</v>
      </c>
      <c r="J288" t="s">
        <v>253</v>
      </c>
      <c r="K288">
        <v>6</v>
      </c>
      <c r="N288">
        <v>6800</v>
      </c>
      <c r="O288">
        <v>30</v>
      </c>
      <c r="P288" s="1">
        <v>45628</v>
      </c>
      <c r="Q288" s="1">
        <v>45463</v>
      </c>
      <c r="R288">
        <f>IF(Table1[[#This Row],[Actual close date]]="","",Table1[[#This Row],[Actual close date]]-Table1[[#This Row],[Expected close date]])</f>
        <v>-165</v>
      </c>
    </row>
    <row r="289" spans="1:18" x14ac:dyDescent="0.25">
      <c r="A289" t="s">
        <v>363</v>
      </c>
      <c r="B289" t="s">
        <v>59</v>
      </c>
      <c r="C289" t="s">
        <v>60</v>
      </c>
      <c r="D289" t="s">
        <v>61</v>
      </c>
      <c r="E289" t="s">
        <v>101</v>
      </c>
      <c r="F289" t="s">
        <v>167</v>
      </c>
      <c r="G289" t="s">
        <v>37</v>
      </c>
      <c r="H289" s="1">
        <v>45316</v>
      </c>
      <c r="I289" t="s">
        <v>64</v>
      </c>
      <c r="J289" t="s">
        <v>253</v>
      </c>
      <c r="K289">
        <v>6</v>
      </c>
      <c r="N289">
        <v>6490</v>
      </c>
      <c r="O289">
        <v>30</v>
      </c>
      <c r="P289" s="1">
        <v>45592</v>
      </c>
      <c r="Q289" s="1">
        <v>45375</v>
      </c>
      <c r="R289">
        <f>IF(Table1[[#This Row],[Actual close date]]="","",Table1[[#This Row],[Actual close date]]-Table1[[#This Row],[Expected close date]])</f>
        <v>-217</v>
      </c>
    </row>
    <row r="290" spans="1:18" x14ac:dyDescent="0.25">
      <c r="A290" t="s">
        <v>364</v>
      </c>
      <c r="B290" t="s">
        <v>49</v>
      </c>
      <c r="C290" t="s">
        <v>50</v>
      </c>
      <c r="D290" t="s">
        <v>51</v>
      </c>
      <c r="E290" t="s">
        <v>45</v>
      </c>
      <c r="F290" t="s">
        <v>167</v>
      </c>
      <c r="G290" t="s">
        <v>72</v>
      </c>
      <c r="H290" s="1">
        <v>45367</v>
      </c>
      <c r="I290" t="s">
        <v>64</v>
      </c>
      <c r="J290" t="s">
        <v>253</v>
      </c>
      <c r="K290">
        <v>6</v>
      </c>
      <c r="N290">
        <v>6698</v>
      </c>
      <c r="O290">
        <v>60</v>
      </c>
      <c r="P290" s="1">
        <v>45495</v>
      </c>
      <c r="Q290" s="1">
        <v>45386</v>
      </c>
      <c r="R290">
        <f>IF(Table1[[#This Row],[Actual close date]]="","",Table1[[#This Row],[Actual close date]]-Table1[[#This Row],[Expected close date]])</f>
        <v>-109</v>
      </c>
    </row>
    <row r="291" spans="1:18" x14ac:dyDescent="0.25">
      <c r="A291" t="s">
        <v>365</v>
      </c>
      <c r="B291" t="s">
        <v>33</v>
      </c>
      <c r="C291" t="s">
        <v>34</v>
      </c>
      <c r="D291" t="s">
        <v>35</v>
      </c>
      <c r="E291" t="s">
        <v>74</v>
      </c>
      <c r="F291" t="s">
        <v>167</v>
      </c>
      <c r="G291" t="s">
        <v>46</v>
      </c>
      <c r="H291" s="1">
        <v>45349</v>
      </c>
      <c r="I291" t="s">
        <v>24</v>
      </c>
      <c r="J291" t="s">
        <v>253</v>
      </c>
      <c r="K291">
        <v>6</v>
      </c>
      <c r="N291">
        <v>6609</v>
      </c>
      <c r="O291">
        <v>30</v>
      </c>
      <c r="P291" s="1">
        <v>45561</v>
      </c>
      <c r="Q291" s="1">
        <v>45359</v>
      </c>
      <c r="R291">
        <f>IF(Table1[[#This Row],[Actual close date]]="","",Table1[[#This Row],[Actual close date]]-Table1[[#This Row],[Expected close date]])</f>
        <v>-202</v>
      </c>
    </row>
    <row r="292" spans="1:18" x14ac:dyDescent="0.25">
      <c r="A292" t="s">
        <v>366</v>
      </c>
      <c r="B292" t="s">
        <v>33</v>
      </c>
      <c r="C292" t="s">
        <v>34</v>
      </c>
      <c r="D292" t="s">
        <v>35</v>
      </c>
      <c r="E292" t="s">
        <v>118</v>
      </c>
      <c r="F292" t="s">
        <v>167</v>
      </c>
      <c r="G292" t="s">
        <v>46</v>
      </c>
      <c r="H292" s="1">
        <v>45399</v>
      </c>
      <c r="I292" t="s">
        <v>64</v>
      </c>
      <c r="J292" t="s">
        <v>253</v>
      </c>
      <c r="K292">
        <v>6</v>
      </c>
      <c r="N292">
        <v>2507</v>
      </c>
      <c r="O292">
        <v>10</v>
      </c>
      <c r="P292" s="1">
        <v>45577</v>
      </c>
      <c r="Q292" s="1">
        <v>45446</v>
      </c>
      <c r="R292">
        <f>IF(Table1[[#This Row],[Actual close date]]="","",Table1[[#This Row],[Actual close date]]-Table1[[#This Row],[Expected close date]])</f>
        <v>-131</v>
      </c>
    </row>
    <row r="293" spans="1:18" x14ac:dyDescent="0.25">
      <c r="A293" t="s">
        <v>367</v>
      </c>
      <c r="B293" t="s">
        <v>59</v>
      </c>
      <c r="C293" t="s">
        <v>60</v>
      </c>
      <c r="D293" t="s">
        <v>61</v>
      </c>
      <c r="E293" t="s">
        <v>118</v>
      </c>
      <c r="F293" t="s">
        <v>167</v>
      </c>
      <c r="G293" t="s">
        <v>46</v>
      </c>
      <c r="H293" s="1">
        <v>45346</v>
      </c>
      <c r="I293" t="s">
        <v>47</v>
      </c>
      <c r="J293" t="s">
        <v>253</v>
      </c>
      <c r="K293">
        <v>6</v>
      </c>
      <c r="N293">
        <v>6240</v>
      </c>
      <c r="O293">
        <v>20</v>
      </c>
      <c r="P293" s="1">
        <v>45386</v>
      </c>
      <c r="Q293" s="1">
        <v>45393</v>
      </c>
      <c r="R293">
        <f>IF(Table1[[#This Row],[Actual close date]]="","",Table1[[#This Row],[Actual close date]]-Table1[[#This Row],[Expected close date]])</f>
        <v>7</v>
      </c>
    </row>
    <row r="294" spans="1:18" x14ac:dyDescent="0.25">
      <c r="A294" t="s">
        <v>368</v>
      </c>
      <c r="B294" t="s">
        <v>54</v>
      </c>
      <c r="C294" t="s">
        <v>55</v>
      </c>
      <c r="D294" t="s">
        <v>56</v>
      </c>
      <c r="E294" t="s">
        <v>52</v>
      </c>
      <c r="F294" t="s">
        <v>167</v>
      </c>
      <c r="G294" t="s">
        <v>72</v>
      </c>
      <c r="H294" s="1">
        <v>45383</v>
      </c>
      <c r="I294" t="s">
        <v>24</v>
      </c>
      <c r="J294" t="s">
        <v>253</v>
      </c>
      <c r="K294">
        <v>6</v>
      </c>
      <c r="N294">
        <v>6336</v>
      </c>
      <c r="O294">
        <v>20</v>
      </c>
      <c r="P294" s="1">
        <v>45463</v>
      </c>
      <c r="Q294" s="1">
        <v>45451</v>
      </c>
      <c r="R294">
        <f>IF(Table1[[#This Row],[Actual close date]]="","",Table1[[#This Row],[Actual close date]]-Table1[[#This Row],[Expected close date]])</f>
        <v>-12</v>
      </c>
    </row>
    <row r="295" spans="1:18" x14ac:dyDescent="0.25">
      <c r="A295" t="s">
        <v>369</v>
      </c>
      <c r="B295" t="s">
        <v>33</v>
      </c>
      <c r="C295" t="s">
        <v>34</v>
      </c>
      <c r="D295" t="s">
        <v>35</v>
      </c>
      <c r="E295" t="s">
        <v>21</v>
      </c>
      <c r="F295" t="s">
        <v>167</v>
      </c>
      <c r="G295" t="s">
        <v>83</v>
      </c>
      <c r="H295" s="1">
        <v>45328</v>
      </c>
      <c r="I295" t="s">
        <v>47</v>
      </c>
      <c r="J295" t="s">
        <v>253</v>
      </c>
      <c r="K295">
        <v>6</v>
      </c>
      <c r="N295">
        <v>7930</v>
      </c>
      <c r="O295">
        <v>20</v>
      </c>
      <c r="P295" s="1">
        <v>45510</v>
      </c>
      <c r="Q295" s="1">
        <v>45429</v>
      </c>
      <c r="R295">
        <f>IF(Table1[[#This Row],[Actual close date]]="","",Table1[[#This Row],[Actual close date]]-Table1[[#This Row],[Expected close date]])</f>
        <v>-81</v>
      </c>
    </row>
    <row r="296" spans="1:18" x14ac:dyDescent="0.25">
      <c r="A296" t="s">
        <v>370</v>
      </c>
      <c r="B296" t="s">
        <v>54</v>
      </c>
      <c r="C296" t="s">
        <v>55</v>
      </c>
      <c r="D296" t="s">
        <v>56</v>
      </c>
      <c r="E296" t="s">
        <v>21</v>
      </c>
      <c r="F296" t="s">
        <v>167</v>
      </c>
      <c r="G296" t="s">
        <v>31</v>
      </c>
      <c r="H296" s="1">
        <v>45393</v>
      </c>
      <c r="I296" t="s">
        <v>24</v>
      </c>
      <c r="J296" t="s">
        <v>253</v>
      </c>
      <c r="K296">
        <v>6</v>
      </c>
      <c r="N296">
        <v>2707</v>
      </c>
      <c r="O296">
        <v>30</v>
      </c>
      <c r="P296" s="1">
        <v>45734</v>
      </c>
      <c r="Q296" s="1">
        <v>45399</v>
      </c>
      <c r="R296">
        <f>IF(Table1[[#This Row],[Actual close date]]="","",Table1[[#This Row],[Actual close date]]-Table1[[#This Row],[Expected close date]])</f>
        <v>-335</v>
      </c>
    </row>
    <row r="297" spans="1:18" x14ac:dyDescent="0.25">
      <c r="A297" t="s">
        <v>371</v>
      </c>
      <c r="B297" t="s">
        <v>27</v>
      </c>
      <c r="C297" t="s">
        <v>28</v>
      </c>
      <c r="D297" t="s">
        <v>29</v>
      </c>
      <c r="E297" t="s">
        <v>118</v>
      </c>
      <c r="F297" t="s">
        <v>167</v>
      </c>
      <c r="G297" t="s">
        <v>37</v>
      </c>
      <c r="H297" s="1">
        <v>45302</v>
      </c>
      <c r="I297" t="s">
        <v>24</v>
      </c>
      <c r="J297" t="s">
        <v>253</v>
      </c>
      <c r="K297">
        <v>6</v>
      </c>
      <c r="N297">
        <v>1865</v>
      </c>
      <c r="O297">
        <v>40</v>
      </c>
      <c r="P297" s="1">
        <v>45386</v>
      </c>
      <c r="Q297" s="1">
        <v>45385</v>
      </c>
      <c r="R297">
        <f>IF(Table1[[#This Row],[Actual close date]]="","",Table1[[#This Row],[Actual close date]]-Table1[[#This Row],[Expected close date]])</f>
        <v>-1</v>
      </c>
    </row>
    <row r="298" spans="1:18" x14ac:dyDescent="0.25">
      <c r="A298" t="s">
        <v>372</v>
      </c>
      <c r="B298" t="s">
        <v>76</v>
      </c>
      <c r="C298" t="s">
        <v>77</v>
      </c>
      <c r="D298" t="s">
        <v>78</v>
      </c>
      <c r="E298" t="s">
        <v>45</v>
      </c>
      <c r="F298" t="s">
        <v>167</v>
      </c>
      <c r="G298" t="s">
        <v>72</v>
      </c>
      <c r="H298" s="1">
        <v>45302</v>
      </c>
      <c r="I298" t="s">
        <v>64</v>
      </c>
      <c r="J298" t="s">
        <v>253</v>
      </c>
      <c r="K298">
        <v>6</v>
      </c>
      <c r="N298">
        <v>209</v>
      </c>
      <c r="O298">
        <v>50</v>
      </c>
      <c r="P298" s="1">
        <v>45458</v>
      </c>
      <c r="Q298" s="1">
        <v>45421</v>
      </c>
      <c r="R298">
        <f>IF(Table1[[#This Row],[Actual close date]]="","",Table1[[#This Row],[Actual close date]]-Table1[[#This Row],[Expected close date]])</f>
        <v>-37</v>
      </c>
    </row>
    <row r="299" spans="1:18" x14ac:dyDescent="0.25">
      <c r="A299" t="s">
        <v>373</v>
      </c>
      <c r="B299" t="s">
        <v>76</v>
      </c>
      <c r="C299" t="s">
        <v>77</v>
      </c>
      <c r="D299" t="s">
        <v>78</v>
      </c>
      <c r="E299" t="s">
        <v>122</v>
      </c>
      <c r="F299" t="s">
        <v>167</v>
      </c>
      <c r="G299" t="s">
        <v>85</v>
      </c>
      <c r="H299" s="1">
        <v>45354</v>
      </c>
      <c r="I299" t="s">
        <v>24</v>
      </c>
      <c r="J299" t="s">
        <v>253</v>
      </c>
      <c r="K299">
        <v>6</v>
      </c>
      <c r="N299">
        <v>212</v>
      </c>
      <c r="O299">
        <v>20</v>
      </c>
      <c r="P299" s="1">
        <v>45587</v>
      </c>
      <c r="Q299" s="1">
        <v>45374</v>
      </c>
      <c r="R299">
        <f>IF(Table1[[#This Row],[Actual close date]]="","",Table1[[#This Row],[Actual close date]]-Table1[[#This Row],[Expected close date]])</f>
        <v>-213</v>
      </c>
    </row>
    <row r="300" spans="1:18" x14ac:dyDescent="0.25">
      <c r="A300" t="s">
        <v>374</v>
      </c>
      <c r="B300" t="s">
        <v>76</v>
      </c>
      <c r="C300" t="s">
        <v>77</v>
      </c>
      <c r="D300" t="s">
        <v>78</v>
      </c>
      <c r="E300" t="s">
        <v>122</v>
      </c>
      <c r="F300" t="s">
        <v>167</v>
      </c>
      <c r="G300" t="s">
        <v>57</v>
      </c>
      <c r="H300" s="1">
        <v>45393</v>
      </c>
      <c r="I300" t="s">
        <v>24</v>
      </c>
      <c r="J300" t="s">
        <v>253</v>
      </c>
      <c r="K300">
        <v>6</v>
      </c>
      <c r="N300">
        <v>2260</v>
      </c>
      <c r="O300">
        <v>20</v>
      </c>
      <c r="P300" s="1">
        <v>45691</v>
      </c>
      <c r="Q300" s="1">
        <v>45506</v>
      </c>
      <c r="R300">
        <f>IF(Table1[[#This Row],[Actual close date]]="","",Table1[[#This Row],[Actual close date]]-Table1[[#This Row],[Expected close date]])</f>
        <v>-185</v>
      </c>
    </row>
    <row r="301" spans="1:18" x14ac:dyDescent="0.25">
      <c r="A301" t="s">
        <v>375</v>
      </c>
      <c r="B301" t="s">
        <v>27</v>
      </c>
      <c r="C301" t="s">
        <v>28</v>
      </c>
      <c r="D301" t="s">
        <v>29</v>
      </c>
      <c r="E301" t="s">
        <v>98</v>
      </c>
      <c r="F301" t="s">
        <v>167</v>
      </c>
      <c r="G301" t="s">
        <v>57</v>
      </c>
      <c r="H301" s="1">
        <v>45326</v>
      </c>
      <c r="I301" t="s">
        <v>24</v>
      </c>
      <c r="J301" t="s">
        <v>253</v>
      </c>
      <c r="K301">
        <v>6</v>
      </c>
      <c r="N301">
        <v>4224</v>
      </c>
      <c r="O301">
        <v>40</v>
      </c>
      <c r="P301" s="1">
        <v>45680</v>
      </c>
      <c r="Q301" s="1">
        <v>45370</v>
      </c>
      <c r="R301">
        <f>IF(Table1[[#This Row],[Actual close date]]="","",Table1[[#This Row],[Actual close date]]-Table1[[#This Row],[Expected close date]])</f>
        <v>-310</v>
      </c>
    </row>
    <row r="302" spans="1:18" x14ac:dyDescent="0.25">
      <c r="A302" t="s">
        <v>376</v>
      </c>
      <c r="B302" t="s">
        <v>59</v>
      </c>
      <c r="C302" t="s">
        <v>60</v>
      </c>
      <c r="D302" t="s">
        <v>61</v>
      </c>
      <c r="E302" t="s">
        <v>52</v>
      </c>
      <c r="F302" t="s">
        <v>167</v>
      </c>
      <c r="G302" t="s">
        <v>83</v>
      </c>
      <c r="H302" s="1">
        <v>45382</v>
      </c>
      <c r="I302" t="s">
        <v>24</v>
      </c>
      <c r="J302" t="s">
        <v>253</v>
      </c>
      <c r="K302">
        <v>6</v>
      </c>
      <c r="N302">
        <v>2344</v>
      </c>
      <c r="O302">
        <v>100</v>
      </c>
      <c r="P302" s="1">
        <v>45538</v>
      </c>
      <c r="Q302" s="1">
        <v>45479</v>
      </c>
      <c r="R302">
        <f>IF(Table1[[#This Row],[Actual close date]]="","",Table1[[#This Row],[Actual close date]]-Table1[[#This Row],[Expected close date]])</f>
        <v>-59</v>
      </c>
    </row>
    <row r="303" spans="1:18" x14ac:dyDescent="0.25">
      <c r="A303" t="s">
        <v>377</v>
      </c>
      <c r="B303" t="s">
        <v>39</v>
      </c>
      <c r="C303" t="s">
        <v>40</v>
      </c>
      <c r="D303" t="s">
        <v>41</v>
      </c>
      <c r="E303" t="s">
        <v>62</v>
      </c>
      <c r="F303" t="s">
        <v>167</v>
      </c>
      <c r="G303" t="s">
        <v>23</v>
      </c>
      <c r="H303" s="1">
        <v>45326</v>
      </c>
      <c r="I303" t="s">
        <v>47</v>
      </c>
      <c r="J303" t="s">
        <v>253</v>
      </c>
      <c r="K303">
        <v>6</v>
      </c>
      <c r="N303">
        <v>5852</v>
      </c>
      <c r="O303">
        <v>60</v>
      </c>
      <c r="P303" s="1">
        <v>45519</v>
      </c>
      <c r="Q303" s="1">
        <v>45429</v>
      </c>
      <c r="R303">
        <f>IF(Table1[[#This Row],[Actual close date]]="","",Table1[[#This Row],[Actual close date]]-Table1[[#This Row],[Expected close date]])</f>
        <v>-90</v>
      </c>
    </row>
    <row r="304" spans="1:18" x14ac:dyDescent="0.25">
      <c r="A304" t="s">
        <v>378</v>
      </c>
      <c r="B304" t="s">
        <v>33</v>
      </c>
      <c r="C304" t="s">
        <v>34</v>
      </c>
      <c r="D304" t="s">
        <v>35</v>
      </c>
      <c r="E304" t="s">
        <v>62</v>
      </c>
      <c r="F304" t="s">
        <v>167</v>
      </c>
      <c r="G304" t="s">
        <v>46</v>
      </c>
      <c r="H304" s="1">
        <v>45378</v>
      </c>
      <c r="I304" t="s">
        <v>47</v>
      </c>
      <c r="J304" t="s">
        <v>253</v>
      </c>
      <c r="K304">
        <v>6</v>
      </c>
      <c r="N304">
        <v>4156</v>
      </c>
      <c r="O304">
        <v>30</v>
      </c>
      <c r="P304" s="1">
        <v>45675</v>
      </c>
      <c r="Q304" s="1">
        <v>45485</v>
      </c>
      <c r="R304">
        <f>IF(Table1[[#This Row],[Actual close date]]="","",Table1[[#This Row],[Actual close date]]-Table1[[#This Row],[Expected close date]])</f>
        <v>-190</v>
      </c>
    </row>
    <row r="305" spans="1:18" x14ac:dyDescent="0.25">
      <c r="A305" t="s">
        <v>379</v>
      </c>
      <c r="B305" t="s">
        <v>49</v>
      </c>
      <c r="C305" t="s">
        <v>50</v>
      </c>
      <c r="D305" t="s">
        <v>51</v>
      </c>
      <c r="E305" t="s">
        <v>45</v>
      </c>
      <c r="F305" t="s">
        <v>167</v>
      </c>
      <c r="G305" t="s">
        <v>72</v>
      </c>
      <c r="H305" s="1">
        <v>45432</v>
      </c>
      <c r="I305" t="s">
        <v>24</v>
      </c>
      <c r="J305" t="s">
        <v>253</v>
      </c>
      <c r="K305">
        <v>6</v>
      </c>
      <c r="N305">
        <v>422</v>
      </c>
      <c r="O305">
        <v>20</v>
      </c>
      <c r="P305" s="1">
        <v>45738</v>
      </c>
      <c r="Q305" s="1">
        <v>45526</v>
      </c>
      <c r="R305">
        <f>IF(Table1[[#This Row],[Actual close date]]="","",Table1[[#This Row],[Actual close date]]-Table1[[#This Row],[Expected close date]])</f>
        <v>-212</v>
      </c>
    </row>
    <row r="306" spans="1:18" x14ac:dyDescent="0.25">
      <c r="A306" t="s">
        <v>380</v>
      </c>
      <c r="B306" t="s">
        <v>39</v>
      </c>
      <c r="C306" t="s">
        <v>40</v>
      </c>
      <c r="D306" t="s">
        <v>41</v>
      </c>
      <c r="E306" t="s">
        <v>30</v>
      </c>
      <c r="F306" t="s">
        <v>167</v>
      </c>
      <c r="G306" t="s">
        <v>37</v>
      </c>
      <c r="H306" s="1">
        <v>45361</v>
      </c>
      <c r="I306" t="s">
        <v>24</v>
      </c>
      <c r="J306" t="s">
        <v>253</v>
      </c>
      <c r="K306">
        <v>6</v>
      </c>
      <c r="N306">
        <v>2239</v>
      </c>
      <c r="O306">
        <v>80</v>
      </c>
      <c r="P306" s="1">
        <v>45563</v>
      </c>
      <c r="Q306" s="1">
        <v>45386</v>
      </c>
      <c r="R306">
        <f>IF(Table1[[#This Row],[Actual close date]]="","",Table1[[#This Row],[Actual close date]]-Table1[[#This Row],[Expected close date]])</f>
        <v>-177</v>
      </c>
    </row>
    <row r="307" spans="1:18" x14ac:dyDescent="0.25">
      <c r="A307" t="s">
        <v>381</v>
      </c>
      <c r="B307" t="s">
        <v>39</v>
      </c>
      <c r="C307" t="s">
        <v>40</v>
      </c>
      <c r="D307" t="s">
        <v>41</v>
      </c>
      <c r="E307" t="s">
        <v>118</v>
      </c>
      <c r="F307" t="s">
        <v>167</v>
      </c>
      <c r="G307" t="s">
        <v>46</v>
      </c>
      <c r="H307" s="1">
        <v>45310</v>
      </c>
      <c r="I307" t="s">
        <v>47</v>
      </c>
      <c r="J307" t="s">
        <v>253</v>
      </c>
      <c r="K307">
        <v>6</v>
      </c>
      <c r="N307">
        <v>4156</v>
      </c>
      <c r="O307">
        <v>50</v>
      </c>
      <c r="P307" s="1">
        <v>45507</v>
      </c>
      <c r="Q307" s="1">
        <v>45374</v>
      </c>
      <c r="R307">
        <f>IF(Table1[[#This Row],[Actual close date]]="","",Table1[[#This Row],[Actual close date]]-Table1[[#This Row],[Expected close date]])</f>
        <v>-133</v>
      </c>
    </row>
    <row r="308" spans="1:18" x14ac:dyDescent="0.25">
      <c r="A308" t="s">
        <v>382</v>
      </c>
      <c r="B308" t="s">
        <v>39</v>
      </c>
      <c r="C308" t="s">
        <v>40</v>
      </c>
      <c r="D308" t="s">
        <v>41</v>
      </c>
      <c r="E308" t="s">
        <v>52</v>
      </c>
      <c r="F308" t="s">
        <v>167</v>
      </c>
      <c r="G308" t="s">
        <v>46</v>
      </c>
      <c r="H308" s="1">
        <v>45323</v>
      </c>
      <c r="I308" t="s">
        <v>64</v>
      </c>
      <c r="J308" t="s">
        <v>253</v>
      </c>
      <c r="K308">
        <v>6</v>
      </c>
      <c r="N308">
        <v>1753</v>
      </c>
      <c r="O308">
        <v>40</v>
      </c>
      <c r="P308" s="1">
        <v>45597</v>
      </c>
      <c r="Q308" s="1">
        <v>45335</v>
      </c>
      <c r="R308">
        <f>IF(Table1[[#This Row],[Actual close date]]="","",Table1[[#This Row],[Actual close date]]-Table1[[#This Row],[Expected close date]])</f>
        <v>-262</v>
      </c>
    </row>
    <row r="309" spans="1:18" x14ac:dyDescent="0.25">
      <c r="A309" t="s">
        <v>383</v>
      </c>
      <c r="B309" t="s">
        <v>39</v>
      </c>
      <c r="C309" t="s">
        <v>40</v>
      </c>
      <c r="D309" t="s">
        <v>41</v>
      </c>
      <c r="E309" t="s">
        <v>122</v>
      </c>
      <c r="F309" t="s">
        <v>167</v>
      </c>
      <c r="G309" t="s">
        <v>31</v>
      </c>
      <c r="H309" s="1">
        <v>45303</v>
      </c>
      <c r="I309" t="s">
        <v>64</v>
      </c>
      <c r="J309" t="s">
        <v>253</v>
      </c>
      <c r="K309">
        <v>6</v>
      </c>
      <c r="N309">
        <v>4132</v>
      </c>
      <c r="O309">
        <v>40</v>
      </c>
      <c r="P309" s="1">
        <v>45633</v>
      </c>
      <c r="Q309" s="1">
        <v>45318</v>
      </c>
      <c r="R309">
        <f>IF(Table1[[#This Row],[Actual close date]]="","",Table1[[#This Row],[Actual close date]]-Table1[[#This Row],[Expected close date]])</f>
        <v>-315</v>
      </c>
    </row>
    <row r="310" spans="1:18" x14ac:dyDescent="0.25">
      <c r="A310" t="s">
        <v>384</v>
      </c>
      <c r="B310" t="s">
        <v>18</v>
      </c>
      <c r="C310" t="s">
        <v>19</v>
      </c>
      <c r="D310" t="s">
        <v>20</v>
      </c>
      <c r="E310" t="s">
        <v>122</v>
      </c>
      <c r="F310" t="s">
        <v>167</v>
      </c>
      <c r="G310" t="s">
        <v>37</v>
      </c>
      <c r="H310" s="1">
        <v>45438</v>
      </c>
      <c r="I310" t="s">
        <v>64</v>
      </c>
      <c r="J310" t="s">
        <v>253</v>
      </c>
      <c r="K310">
        <v>6</v>
      </c>
      <c r="N310">
        <v>7142</v>
      </c>
      <c r="O310">
        <v>30</v>
      </c>
      <c r="P310" s="1">
        <v>45656</v>
      </c>
      <c r="Q310" s="1">
        <v>45457</v>
      </c>
      <c r="R310">
        <f>IF(Table1[[#This Row],[Actual close date]]="","",Table1[[#This Row],[Actual close date]]-Table1[[#This Row],[Expected close date]])</f>
        <v>-199</v>
      </c>
    </row>
    <row r="311" spans="1:18" x14ac:dyDescent="0.25">
      <c r="A311" t="s">
        <v>385</v>
      </c>
      <c r="B311" t="s">
        <v>18</v>
      </c>
      <c r="C311" t="s">
        <v>19</v>
      </c>
      <c r="D311" t="s">
        <v>20</v>
      </c>
      <c r="E311" t="s">
        <v>66</v>
      </c>
      <c r="F311" t="s">
        <v>167</v>
      </c>
      <c r="G311" t="s">
        <v>57</v>
      </c>
      <c r="H311" s="1">
        <v>45361</v>
      </c>
      <c r="I311" t="s">
        <v>64</v>
      </c>
      <c r="J311" t="s">
        <v>253</v>
      </c>
      <c r="K311">
        <v>6</v>
      </c>
      <c r="N311">
        <v>4343</v>
      </c>
      <c r="O311">
        <v>20</v>
      </c>
      <c r="P311" s="1">
        <v>45467</v>
      </c>
      <c r="Q311" s="1">
        <v>45476</v>
      </c>
      <c r="R311">
        <f>IF(Table1[[#This Row],[Actual close date]]="","",Table1[[#This Row],[Actual close date]]-Table1[[#This Row],[Expected close date]])</f>
        <v>9</v>
      </c>
    </row>
    <row r="312" spans="1:18" x14ac:dyDescent="0.25">
      <c r="A312" t="s">
        <v>386</v>
      </c>
      <c r="B312" t="s">
        <v>76</v>
      </c>
      <c r="C312" t="s">
        <v>77</v>
      </c>
      <c r="D312" t="s">
        <v>78</v>
      </c>
      <c r="E312" t="s">
        <v>122</v>
      </c>
      <c r="F312" t="s">
        <v>167</v>
      </c>
      <c r="G312" t="s">
        <v>46</v>
      </c>
      <c r="H312" s="1">
        <v>45364</v>
      </c>
      <c r="I312" t="s">
        <v>24</v>
      </c>
      <c r="J312" t="s">
        <v>253</v>
      </c>
      <c r="K312">
        <v>6</v>
      </c>
      <c r="N312">
        <v>7463</v>
      </c>
      <c r="O312">
        <v>20</v>
      </c>
      <c r="P312" s="1">
        <v>45592</v>
      </c>
      <c r="Q312" s="1">
        <v>45411</v>
      </c>
      <c r="R312">
        <f>IF(Table1[[#This Row],[Actual close date]]="","",Table1[[#This Row],[Actual close date]]-Table1[[#This Row],[Expected close date]])</f>
        <v>-181</v>
      </c>
    </row>
    <row r="313" spans="1:18" x14ac:dyDescent="0.25">
      <c r="A313" t="s">
        <v>387</v>
      </c>
      <c r="B313" t="s">
        <v>76</v>
      </c>
      <c r="C313" t="s">
        <v>77</v>
      </c>
      <c r="D313" t="s">
        <v>78</v>
      </c>
      <c r="E313" t="s">
        <v>62</v>
      </c>
      <c r="F313" t="s">
        <v>167</v>
      </c>
      <c r="G313" t="s">
        <v>46</v>
      </c>
      <c r="H313" s="1">
        <v>45406</v>
      </c>
      <c r="I313" t="s">
        <v>47</v>
      </c>
      <c r="J313" t="s">
        <v>253</v>
      </c>
      <c r="K313">
        <v>6</v>
      </c>
      <c r="N313">
        <v>1872</v>
      </c>
      <c r="O313">
        <v>40</v>
      </c>
      <c r="P313" s="1">
        <v>45596</v>
      </c>
      <c r="Q313" s="1">
        <v>45424</v>
      </c>
      <c r="R313">
        <f>IF(Table1[[#This Row],[Actual close date]]="","",Table1[[#This Row],[Actual close date]]-Table1[[#This Row],[Expected close date]])</f>
        <v>-172</v>
      </c>
    </row>
    <row r="314" spans="1:18" x14ac:dyDescent="0.25">
      <c r="A314" t="s">
        <v>388</v>
      </c>
      <c r="B314" t="s">
        <v>59</v>
      </c>
      <c r="C314" t="s">
        <v>60</v>
      </c>
      <c r="D314" t="s">
        <v>61</v>
      </c>
      <c r="E314" t="s">
        <v>21</v>
      </c>
      <c r="F314" t="s">
        <v>167</v>
      </c>
      <c r="G314" t="s">
        <v>37</v>
      </c>
      <c r="H314" s="1">
        <v>45370</v>
      </c>
      <c r="I314" t="s">
        <v>24</v>
      </c>
      <c r="J314" t="s">
        <v>253</v>
      </c>
      <c r="K314">
        <v>6</v>
      </c>
      <c r="N314">
        <v>4220</v>
      </c>
      <c r="O314">
        <v>40</v>
      </c>
      <c r="P314" s="1">
        <v>45678</v>
      </c>
      <c r="Q314" s="1">
        <v>45394</v>
      </c>
      <c r="R314">
        <f>IF(Table1[[#This Row],[Actual close date]]="","",Table1[[#This Row],[Actual close date]]-Table1[[#This Row],[Expected close date]])</f>
        <v>-284</v>
      </c>
    </row>
    <row r="315" spans="1:18" x14ac:dyDescent="0.25">
      <c r="A315" t="s">
        <v>389</v>
      </c>
      <c r="B315" t="s">
        <v>76</v>
      </c>
      <c r="C315" t="s">
        <v>77</v>
      </c>
      <c r="D315" t="s">
        <v>78</v>
      </c>
      <c r="E315" t="s">
        <v>45</v>
      </c>
      <c r="F315" t="s">
        <v>167</v>
      </c>
      <c r="G315" t="s">
        <v>46</v>
      </c>
      <c r="H315" s="1">
        <v>45411</v>
      </c>
      <c r="I315" t="s">
        <v>64</v>
      </c>
      <c r="J315" t="s">
        <v>253</v>
      </c>
      <c r="K315">
        <v>6</v>
      </c>
      <c r="N315">
        <v>2668</v>
      </c>
      <c r="O315">
        <v>70</v>
      </c>
      <c r="P315" s="1">
        <v>45631</v>
      </c>
      <c r="Q315" s="1">
        <v>45480</v>
      </c>
      <c r="R315">
        <f>IF(Table1[[#This Row],[Actual close date]]="","",Table1[[#This Row],[Actual close date]]-Table1[[#This Row],[Expected close date]])</f>
        <v>-151</v>
      </c>
    </row>
    <row r="316" spans="1:18" x14ac:dyDescent="0.25">
      <c r="A316" t="s">
        <v>390</v>
      </c>
      <c r="B316" t="s">
        <v>39</v>
      </c>
      <c r="C316" t="s">
        <v>40</v>
      </c>
      <c r="D316" t="s">
        <v>41</v>
      </c>
      <c r="E316" t="s">
        <v>42</v>
      </c>
      <c r="F316" t="s">
        <v>167</v>
      </c>
      <c r="G316" t="s">
        <v>46</v>
      </c>
      <c r="H316" s="1">
        <v>45334</v>
      </c>
      <c r="I316" t="s">
        <v>64</v>
      </c>
      <c r="J316" t="s">
        <v>253</v>
      </c>
      <c r="K316">
        <v>6</v>
      </c>
      <c r="N316">
        <v>7766</v>
      </c>
      <c r="O316">
        <v>60</v>
      </c>
      <c r="P316" s="1">
        <v>45517</v>
      </c>
      <c r="Q316" s="1">
        <v>45391</v>
      </c>
      <c r="R316">
        <f>IF(Table1[[#This Row],[Actual close date]]="","",Table1[[#This Row],[Actual close date]]-Table1[[#This Row],[Expected close date]])</f>
        <v>-126</v>
      </c>
    </row>
    <row r="317" spans="1:18" x14ac:dyDescent="0.25">
      <c r="A317" t="s">
        <v>391</v>
      </c>
      <c r="B317" t="s">
        <v>39</v>
      </c>
      <c r="C317" t="s">
        <v>40</v>
      </c>
      <c r="D317" t="s">
        <v>41</v>
      </c>
      <c r="E317" t="s">
        <v>62</v>
      </c>
      <c r="F317" t="s">
        <v>167</v>
      </c>
      <c r="G317" t="s">
        <v>83</v>
      </c>
      <c r="H317" s="1">
        <v>45396</v>
      </c>
      <c r="I317" t="s">
        <v>47</v>
      </c>
      <c r="J317" t="s">
        <v>253</v>
      </c>
      <c r="K317">
        <v>6</v>
      </c>
      <c r="N317">
        <v>379</v>
      </c>
      <c r="O317">
        <v>50</v>
      </c>
      <c r="P317" s="1">
        <v>45591</v>
      </c>
      <c r="Q317" s="1">
        <v>45441</v>
      </c>
      <c r="R317">
        <f>IF(Table1[[#This Row],[Actual close date]]="","",Table1[[#This Row],[Actual close date]]-Table1[[#This Row],[Expected close date]])</f>
        <v>-150</v>
      </c>
    </row>
    <row r="318" spans="1:18" x14ac:dyDescent="0.25">
      <c r="A318" t="s">
        <v>392</v>
      </c>
      <c r="B318" t="s">
        <v>39</v>
      </c>
      <c r="C318" t="s">
        <v>40</v>
      </c>
      <c r="D318" t="s">
        <v>41</v>
      </c>
      <c r="E318" t="s">
        <v>42</v>
      </c>
      <c r="F318" t="s">
        <v>167</v>
      </c>
      <c r="G318" t="s">
        <v>37</v>
      </c>
      <c r="H318" s="1">
        <v>45305</v>
      </c>
      <c r="I318" t="s">
        <v>64</v>
      </c>
      <c r="J318" t="s">
        <v>253</v>
      </c>
      <c r="K318">
        <v>6</v>
      </c>
      <c r="N318">
        <v>4188</v>
      </c>
      <c r="O318">
        <v>50</v>
      </c>
      <c r="P318" s="1">
        <v>45563</v>
      </c>
      <c r="Q318" s="1">
        <v>45374</v>
      </c>
      <c r="R318">
        <f>IF(Table1[[#This Row],[Actual close date]]="","",Table1[[#This Row],[Actual close date]]-Table1[[#This Row],[Expected close date]])</f>
        <v>-189</v>
      </c>
    </row>
    <row r="319" spans="1:18" x14ac:dyDescent="0.25">
      <c r="A319" t="s">
        <v>393</v>
      </c>
      <c r="B319" t="s">
        <v>33</v>
      </c>
      <c r="C319" t="s">
        <v>34</v>
      </c>
      <c r="D319" t="s">
        <v>35</v>
      </c>
      <c r="E319" t="s">
        <v>74</v>
      </c>
      <c r="F319" t="s">
        <v>167</v>
      </c>
      <c r="G319" t="s">
        <v>37</v>
      </c>
      <c r="H319" s="1">
        <v>45326</v>
      </c>
      <c r="I319" t="s">
        <v>24</v>
      </c>
      <c r="J319" t="s">
        <v>253</v>
      </c>
      <c r="K319">
        <v>6</v>
      </c>
      <c r="N319">
        <v>875</v>
      </c>
      <c r="O319">
        <v>30</v>
      </c>
      <c r="P319" s="1">
        <v>45655</v>
      </c>
      <c r="Q319" s="1">
        <v>45376</v>
      </c>
      <c r="R319">
        <f>IF(Table1[[#This Row],[Actual close date]]="","",Table1[[#This Row],[Actual close date]]-Table1[[#This Row],[Expected close date]])</f>
        <v>-279</v>
      </c>
    </row>
    <row r="320" spans="1:18" x14ac:dyDescent="0.25">
      <c r="A320" t="s">
        <v>394</v>
      </c>
      <c r="B320" t="s">
        <v>59</v>
      </c>
      <c r="C320" t="s">
        <v>60</v>
      </c>
      <c r="D320" t="s">
        <v>61</v>
      </c>
      <c r="E320" t="s">
        <v>66</v>
      </c>
      <c r="F320" t="s">
        <v>167</v>
      </c>
      <c r="G320" t="s">
        <v>72</v>
      </c>
      <c r="H320" s="1">
        <v>45429</v>
      </c>
      <c r="I320" t="s">
        <v>47</v>
      </c>
      <c r="J320" t="s">
        <v>253</v>
      </c>
      <c r="K320">
        <v>6</v>
      </c>
      <c r="N320">
        <v>3220</v>
      </c>
      <c r="O320">
        <v>20</v>
      </c>
      <c r="P320" s="1">
        <v>45691</v>
      </c>
      <c r="Q320" s="1">
        <v>45520</v>
      </c>
      <c r="R320">
        <f>IF(Table1[[#This Row],[Actual close date]]="","",Table1[[#This Row],[Actual close date]]-Table1[[#This Row],[Expected close date]])</f>
        <v>-171</v>
      </c>
    </row>
    <row r="321" spans="1:18" x14ac:dyDescent="0.25">
      <c r="A321" t="s">
        <v>395</v>
      </c>
      <c r="B321" t="s">
        <v>18</v>
      </c>
      <c r="C321" t="s">
        <v>19</v>
      </c>
      <c r="D321" t="s">
        <v>20</v>
      </c>
      <c r="E321" t="s">
        <v>36</v>
      </c>
      <c r="F321" t="s">
        <v>167</v>
      </c>
      <c r="G321" t="s">
        <v>23</v>
      </c>
      <c r="H321" s="1">
        <v>45355</v>
      </c>
      <c r="I321" t="s">
        <v>64</v>
      </c>
      <c r="J321" t="s">
        <v>253</v>
      </c>
      <c r="K321">
        <v>6</v>
      </c>
      <c r="N321">
        <v>6595</v>
      </c>
      <c r="O321">
        <v>40</v>
      </c>
      <c r="P321" s="1">
        <v>45620</v>
      </c>
      <c r="Q321" s="1">
        <v>45458</v>
      </c>
      <c r="R321">
        <f>IF(Table1[[#This Row],[Actual close date]]="","",Table1[[#This Row],[Actual close date]]-Table1[[#This Row],[Expected close date]])</f>
        <v>-162</v>
      </c>
    </row>
    <row r="322" spans="1:18" x14ac:dyDescent="0.25">
      <c r="A322" t="s">
        <v>396</v>
      </c>
      <c r="B322" t="s">
        <v>33</v>
      </c>
      <c r="C322" t="s">
        <v>34</v>
      </c>
      <c r="D322" t="s">
        <v>35</v>
      </c>
      <c r="E322" t="s">
        <v>21</v>
      </c>
      <c r="F322" t="s">
        <v>167</v>
      </c>
      <c r="G322" t="s">
        <v>37</v>
      </c>
      <c r="H322" s="1">
        <v>45322</v>
      </c>
      <c r="I322" t="s">
        <v>24</v>
      </c>
      <c r="J322" t="s">
        <v>253</v>
      </c>
      <c r="K322">
        <v>6</v>
      </c>
      <c r="N322">
        <v>7977</v>
      </c>
      <c r="O322">
        <v>100</v>
      </c>
      <c r="P322" s="1">
        <v>45376</v>
      </c>
      <c r="Q322" s="1">
        <v>45426</v>
      </c>
      <c r="R322">
        <f>IF(Table1[[#This Row],[Actual close date]]="","",Table1[[#This Row],[Actual close date]]-Table1[[#This Row],[Expected close date]])</f>
        <v>50</v>
      </c>
    </row>
    <row r="323" spans="1:18" x14ac:dyDescent="0.25">
      <c r="A323" t="s">
        <v>397</v>
      </c>
      <c r="B323" t="s">
        <v>33</v>
      </c>
      <c r="C323" t="s">
        <v>34</v>
      </c>
      <c r="D323" t="s">
        <v>35</v>
      </c>
      <c r="E323" t="s">
        <v>101</v>
      </c>
      <c r="F323" t="s">
        <v>167</v>
      </c>
      <c r="G323" t="s">
        <v>57</v>
      </c>
      <c r="H323" s="1">
        <v>45415</v>
      </c>
      <c r="I323" t="s">
        <v>64</v>
      </c>
      <c r="J323" t="s">
        <v>253</v>
      </c>
      <c r="K323">
        <v>6</v>
      </c>
      <c r="N323">
        <v>1374</v>
      </c>
      <c r="O323">
        <v>50</v>
      </c>
      <c r="P323" s="1">
        <v>45630</v>
      </c>
      <c r="Q323" s="1">
        <v>45456</v>
      </c>
      <c r="R323">
        <f>IF(Table1[[#This Row],[Actual close date]]="","",Table1[[#This Row],[Actual close date]]-Table1[[#This Row],[Expected close date]])</f>
        <v>-174</v>
      </c>
    </row>
    <row r="324" spans="1:18" x14ac:dyDescent="0.25">
      <c r="A324" t="s">
        <v>398</v>
      </c>
      <c r="B324" t="s">
        <v>76</v>
      </c>
      <c r="C324" t="s">
        <v>77</v>
      </c>
      <c r="D324" t="s">
        <v>78</v>
      </c>
      <c r="E324" t="s">
        <v>118</v>
      </c>
      <c r="F324" t="s">
        <v>167</v>
      </c>
      <c r="G324" t="s">
        <v>57</v>
      </c>
      <c r="H324" s="1">
        <v>45347</v>
      </c>
      <c r="I324" t="s">
        <v>24</v>
      </c>
      <c r="J324" t="s">
        <v>253</v>
      </c>
      <c r="K324">
        <v>6</v>
      </c>
      <c r="N324">
        <v>1932</v>
      </c>
      <c r="O324">
        <v>50</v>
      </c>
      <c r="P324" s="1">
        <v>45452</v>
      </c>
      <c r="Q324" s="1">
        <v>45416</v>
      </c>
      <c r="R324">
        <f>IF(Table1[[#This Row],[Actual close date]]="","",Table1[[#This Row],[Actual close date]]-Table1[[#This Row],[Expected close date]])</f>
        <v>-36</v>
      </c>
    </row>
    <row r="325" spans="1:18" x14ac:dyDescent="0.25">
      <c r="A325" t="s">
        <v>399</v>
      </c>
      <c r="B325" t="s">
        <v>39</v>
      </c>
      <c r="C325" t="s">
        <v>40</v>
      </c>
      <c r="D325" t="s">
        <v>41</v>
      </c>
      <c r="E325" t="s">
        <v>42</v>
      </c>
      <c r="F325" t="s">
        <v>167</v>
      </c>
      <c r="G325" t="s">
        <v>57</v>
      </c>
      <c r="H325" s="1">
        <v>45363</v>
      </c>
      <c r="I325" t="s">
        <v>47</v>
      </c>
      <c r="J325" t="s">
        <v>253</v>
      </c>
      <c r="K325">
        <v>6</v>
      </c>
      <c r="N325">
        <v>4067</v>
      </c>
      <c r="O325">
        <v>90</v>
      </c>
      <c r="P325" s="1">
        <v>45684</v>
      </c>
      <c r="Q325" s="1">
        <v>45440</v>
      </c>
      <c r="R325">
        <f>IF(Table1[[#This Row],[Actual close date]]="","",Table1[[#This Row],[Actual close date]]-Table1[[#This Row],[Expected close date]])</f>
        <v>-244</v>
      </c>
    </row>
    <row r="326" spans="1:18" x14ac:dyDescent="0.25">
      <c r="A326" t="s">
        <v>400</v>
      </c>
      <c r="B326" t="s">
        <v>59</v>
      </c>
      <c r="C326" t="s">
        <v>60</v>
      </c>
      <c r="D326" t="s">
        <v>61</v>
      </c>
      <c r="E326" t="s">
        <v>118</v>
      </c>
      <c r="F326" t="s">
        <v>167</v>
      </c>
      <c r="G326" t="s">
        <v>37</v>
      </c>
      <c r="H326" s="1">
        <v>45343</v>
      </c>
      <c r="I326" t="s">
        <v>64</v>
      </c>
      <c r="J326" t="s">
        <v>253</v>
      </c>
      <c r="K326">
        <v>6</v>
      </c>
      <c r="N326">
        <v>7596</v>
      </c>
      <c r="O326">
        <v>70</v>
      </c>
      <c r="P326" s="1">
        <v>45685</v>
      </c>
      <c r="Q326" s="1">
        <v>45458</v>
      </c>
      <c r="R326">
        <f>IF(Table1[[#This Row],[Actual close date]]="","",Table1[[#This Row],[Actual close date]]-Table1[[#This Row],[Expected close date]])</f>
        <v>-227</v>
      </c>
    </row>
    <row r="327" spans="1:18" x14ac:dyDescent="0.25">
      <c r="A327" t="s">
        <v>401</v>
      </c>
      <c r="B327" t="s">
        <v>59</v>
      </c>
      <c r="C327" t="s">
        <v>60</v>
      </c>
      <c r="D327" t="s">
        <v>61</v>
      </c>
      <c r="E327" t="s">
        <v>52</v>
      </c>
      <c r="F327" t="s">
        <v>167</v>
      </c>
      <c r="G327" t="s">
        <v>57</v>
      </c>
      <c r="H327" s="1">
        <v>45426</v>
      </c>
      <c r="I327" t="s">
        <v>64</v>
      </c>
      <c r="J327" t="s">
        <v>253</v>
      </c>
      <c r="K327">
        <v>6</v>
      </c>
      <c r="N327">
        <v>425</v>
      </c>
      <c r="O327">
        <v>60</v>
      </c>
      <c r="P327" s="1">
        <v>45590</v>
      </c>
      <c r="Q327" s="1">
        <v>45469</v>
      </c>
      <c r="R327">
        <f>IF(Table1[[#This Row],[Actual close date]]="","",Table1[[#This Row],[Actual close date]]-Table1[[#This Row],[Expected close date]])</f>
        <v>-121</v>
      </c>
    </row>
    <row r="328" spans="1:18" x14ac:dyDescent="0.25">
      <c r="A328" t="s">
        <v>402</v>
      </c>
      <c r="B328" t="s">
        <v>59</v>
      </c>
      <c r="C328" t="s">
        <v>60</v>
      </c>
      <c r="D328" t="s">
        <v>61</v>
      </c>
      <c r="E328" t="s">
        <v>36</v>
      </c>
      <c r="F328" t="s">
        <v>167</v>
      </c>
      <c r="G328" t="s">
        <v>37</v>
      </c>
      <c r="H328" s="1">
        <v>45334</v>
      </c>
      <c r="I328" t="s">
        <v>24</v>
      </c>
      <c r="J328" t="s">
        <v>253</v>
      </c>
      <c r="K328">
        <v>6</v>
      </c>
      <c r="N328">
        <v>6071</v>
      </c>
      <c r="O328">
        <v>10</v>
      </c>
      <c r="P328" s="1">
        <v>45623</v>
      </c>
      <c r="Q328" s="1">
        <v>45356</v>
      </c>
      <c r="R328">
        <f>IF(Table1[[#This Row],[Actual close date]]="","",Table1[[#This Row],[Actual close date]]-Table1[[#This Row],[Expected close date]])</f>
        <v>-267</v>
      </c>
    </row>
    <row r="329" spans="1:18" x14ac:dyDescent="0.25">
      <c r="A329" t="s">
        <v>403</v>
      </c>
      <c r="B329" t="s">
        <v>18</v>
      </c>
      <c r="C329" t="s">
        <v>19</v>
      </c>
      <c r="D329" t="s">
        <v>20</v>
      </c>
      <c r="E329" t="s">
        <v>74</v>
      </c>
      <c r="F329" t="s">
        <v>167</v>
      </c>
      <c r="G329" t="s">
        <v>46</v>
      </c>
      <c r="H329" s="1">
        <v>45390</v>
      </c>
      <c r="I329" t="s">
        <v>64</v>
      </c>
      <c r="J329" t="s">
        <v>253</v>
      </c>
      <c r="K329">
        <v>6</v>
      </c>
      <c r="N329">
        <v>2584</v>
      </c>
      <c r="O329">
        <v>30</v>
      </c>
      <c r="P329" s="1">
        <v>45695</v>
      </c>
      <c r="Q329" s="1">
        <v>45394</v>
      </c>
      <c r="R329">
        <f>IF(Table1[[#This Row],[Actual close date]]="","",Table1[[#This Row],[Actual close date]]-Table1[[#This Row],[Expected close date]])</f>
        <v>-301</v>
      </c>
    </row>
    <row r="330" spans="1:18" x14ac:dyDescent="0.25">
      <c r="A330" t="s">
        <v>404</v>
      </c>
      <c r="B330" t="s">
        <v>69</v>
      </c>
      <c r="C330" t="s">
        <v>70</v>
      </c>
      <c r="D330" t="s">
        <v>71</v>
      </c>
      <c r="E330" t="s">
        <v>98</v>
      </c>
      <c r="F330" t="s">
        <v>167</v>
      </c>
      <c r="G330" t="s">
        <v>72</v>
      </c>
      <c r="H330" s="1">
        <v>45392</v>
      </c>
      <c r="I330" t="s">
        <v>64</v>
      </c>
      <c r="J330" t="s">
        <v>253</v>
      </c>
      <c r="K330">
        <v>6</v>
      </c>
      <c r="N330">
        <v>1589</v>
      </c>
      <c r="O330">
        <v>10</v>
      </c>
      <c r="P330" s="1">
        <v>45488</v>
      </c>
      <c r="Q330" s="1">
        <v>45426</v>
      </c>
      <c r="R330">
        <f>IF(Table1[[#This Row],[Actual close date]]="","",Table1[[#This Row],[Actual close date]]-Table1[[#This Row],[Expected close date]])</f>
        <v>-62</v>
      </c>
    </row>
    <row r="331" spans="1:18" x14ac:dyDescent="0.25">
      <c r="A331" t="s">
        <v>405</v>
      </c>
      <c r="B331" t="s">
        <v>76</v>
      </c>
      <c r="C331" t="s">
        <v>77</v>
      </c>
      <c r="D331" t="s">
        <v>78</v>
      </c>
      <c r="E331" t="s">
        <v>45</v>
      </c>
      <c r="F331" t="s">
        <v>167</v>
      </c>
      <c r="G331" t="s">
        <v>37</v>
      </c>
      <c r="H331" s="1">
        <v>45442</v>
      </c>
      <c r="I331" t="s">
        <v>24</v>
      </c>
      <c r="J331" t="s">
        <v>253</v>
      </c>
      <c r="K331">
        <v>6</v>
      </c>
      <c r="N331">
        <v>2197</v>
      </c>
      <c r="O331">
        <v>50</v>
      </c>
      <c r="P331" s="1">
        <v>45694</v>
      </c>
      <c r="Q331" s="1">
        <v>45556</v>
      </c>
      <c r="R331">
        <f>IF(Table1[[#This Row],[Actual close date]]="","",Table1[[#This Row],[Actual close date]]-Table1[[#This Row],[Expected close date]])</f>
        <v>-138</v>
      </c>
    </row>
    <row r="332" spans="1:18" x14ac:dyDescent="0.25">
      <c r="A332" t="s">
        <v>406</v>
      </c>
      <c r="B332" t="s">
        <v>33</v>
      </c>
      <c r="C332" t="s">
        <v>34</v>
      </c>
      <c r="D332" t="s">
        <v>35</v>
      </c>
      <c r="E332" t="s">
        <v>21</v>
      </c>
      <c r="F332" t="s">
        <v>167</v>
      </c>
      <c r="G332" t="s">
        <v>46</v>
      </c>
      <c r="H332" s="1">
        <v>45370</v>
      </c>
      <c r="I332" t="s">
        <v>24</v>
      </c>
      <c r="J332" t="s">
        <v>253</v>
      </c>
      <c r="K332">
        <v>6</v>
      </c>
      <c r="N332">
        <v>3231</v>
      </c>
      <c r="O332">
        <v>70</v>
      </c>
      <c r="P332" s="1">
        <v>45564</v>
      </c>
      <c r="Q332" s="1">
        <v>45402</v>
      </c>
      <c r="R332">
        <f>IF(Table1[[#This Row],[Actual close date]]="","",Table1[[#This Row],[Actual close date]]-Table1[[#This Row],[Expected close date]])</f>
        <v>-162</v>
      </c>
    </row>
    <row r="333" spans="1:18" x14ac:dyDescent="0.25">
      <c r="A333" t="s">
        <v>407</v>
      </c>
      <c r="B333" t="s">
        <v>76</v>
      </c>
      <c r="C333" t="s">
        <v>77</v>
      </c>
      <c r="D333" t="s">
        <v>78</v>
      </c>
      <c r="E333" t="s">
        <v>45</v>
      </c>
      <c r="F333" t="s">
        <v>167</v>
      </c>
      <c r="G333" t="s">
        <v>83</v>
      </c>
      <c r="H333" s="1">
        <v>45338</v>
      </c>
      <c r="I333" t="s">
        <v>64</v>
      </c>
      <c r="J333" t="s">
        <v>253</v>
      </c>
      <c r="K333">
        <v>6</v>
      </c>
      <c r="N333">
        <v>5655</v>
      </c>
      <c r="O333">
        <v>50</v>
      </c>
      <c r="P333" s="1">
        <v>45689</v>
      </c>
      <c r="Q333" s="1">
        <v>45345</v>
      </c>
      <c r="R333">
        <f>IF(Table1[[#This Row],[Actual close date]]="","",Table1[[#This Row],[Actual close date]]-Table1[[#This Row],[Expected close date]])</f>
        <v>-344</v>
      </c>
    </row>
    <row r="334" spans="1:18" x14ac:dyDescent="0.25">
      <c r="A334" t="s">
        <v>408</v>
      </c>
      <c r="B334" t="s">
        <v>33</v>
      </c>
      <c r="C334" t="s">
        <v>34</v>
      </c>
      <c r="D334" t="s">
        <v>35</v>
      </c>
      <c r="E334" t="s">
        <v>45</v>
      </c>
      <c r="F334" t="s">
        <v>167</v>
      </c>
      <c r="G334" t="s">
        <v>46</v>
      </c>
      <c r="H334" s="1">
        <v>45414</v>
      </c>
      <c r="I334" t="s">
        <v>24</v>
      </c>
      <c r="J334" t="s">
        <v>253</v>
      </c>
      <c r="K334">
        <v>6</v>
      </c>
      <c r="N334">
        <v>5044</v>
      </c>
      <c r="O334">
        <v>20</v>
      </c>
      <c r="P334" s="1">
        <v>45704</v>
      </c>
      <c r="Q334" s="1">
        <v>45447</v>
      </c>
      <c r="R334">
        <f>IF(Table1[[#This Row],[Actual close date]]="","",Table1[[#This Row],[Actual close date]]-Table1[[#This Row],[Expected close date]])</f>
        <v>-257</v>
      </c>
    </row>
    <row r="335" spans="1:18" x14ac:dyDescent="0.25">
      <c r="A335" t="s">
        <v>409</v>
      </c>
      <c r="B335" t="s">
        <v>33</v>
      </c>
      <c r="C335" t="s">
        <v>34</v>
      </c>
      <c r="D335" t="s">
        <v>35</v>
      </c>
      <c r="E335" t="s">
        <v>36</v>
      </c>
      <c r="F335" t="s">
        <v>167</v>
      </c>
      <c r="G335" t="s">
        <v>37</v>
      </c>
      <c r="H335" s="1">
        <v>45355</v>
      </c>
      <c r="I335" t="s">
        <v>24</v>
      </c>
      <c r="J335" t="s">
        <v>253</v>
      </c>
      <c r="K335">
        <v>6</v>
      </c>
      <c r="N335">
        <v>2271</v>
      </c>
      <c r="O335">
        <v>20</v>
      </c>
      <c r="P335" s="1">
        <v>45688</v>
      </c>
      <c r="Q335" s="1">
        <v>45410</v>
      </c>
      <c r="R335">
        <f>IF(Table1[[#This Row],[Actual close date]]="","",Table1[[#This Row],[Actual close date]]-Table1[[#This Row],[Expected close date]])</f>
        <v>-278</v>
      </c>
    </row>
    <row r="336" spans="1:18" x14ac:dyDescent="0.25">
      <c r="A336" t="s">
        <v>410</v>
      </c>
      <c r="B336" t="s">
        <v>33</v>
      </c>
      <c r="C336" t="s">
        <v>34</v>
      </c>
      <c r="D336" t="s">
        <v>35</v>
      </c>
      <c r="E336" t="s">
        <v>52</v>
      </c>
      <c r="F336" t="s">
        <v>167</v>
      </c>
      <c r="G336" t="s">
        <v>57</v>
      </c>
      <c r="H336" s="1">
        <v>45375</v>
      </c>
      <c r="I336" t="s">
        <v>47</v>
      </c>
      <c r="J336" t="s">
        <v>253</v>
      </c>
      <c r="K336">
        <v>6</v>
      </c>
      <c r="N336">
        <v>3884</v>
      </c>
      <c r="O336">
        <v>30</v>
      </c>
      <c r="P336" s="1">
        <v>45501</v>
      </c>
      <c r="Q336" s="1">
        <v>45484</v>
      </c>
      <c r="R336">
        <f>IF(Table1[[#This Row],[Actual close date]]="","",Table1[[#This Row],[Actual close date]]-Table1[[#This Row],[Expected close date]])</f>
        <v>-17</v>
      </c>
    </row>
    <row r="337" spans="1:18" x14ac:dyDescent="0.25">
      <c r="A337" t="s">
        <v>411</v>
      </c>
      <c r="B337" t="s">
        <v>76</v>
      </c>
      <c r="C337" t="s">
        <v>77</v>
      </c>
      <c r="D337" t="s">
        <v>78</v>
      </c>
      <c r="E337" t="s">
        <v>45</v>
      </c>
      <c r="F337" t="s">
        <v>167</v>
      </c>
      <c r="G337" t="s">
        <v>83</v>
      </c>
      <c r="H337" s="1">
        <v>45392</v>
      </c>
      <c r="I337" t="s">
        <v>64</v>
      </c>
      <c r="J337" t="s">
        <v>253</v>
      </c>
      <c r="K337">
        <v>6</v>
      </c>
      <c r="N337">
        <v>3216</v>
      </c>
      <c r="O337">
        <v>30</v>
      </c>
      <c r="P337" s="1">
        <v>45567</v>
      </c>
      <c r="Q337" s="1">
        <v>45409</v>
      </c>
      <c r="R337">
        <f>IF(Table1[[#This Row],[Actual close date]]="","",Table1[[#This Row],[Actual close date]]-Table1[[#This Row],[Expected close date]])</f>
        <v>-158</v>
      </c>
    </row>
    <row r="338" spans="1:18" x14ac:dyDescent="0.25">
      <c r="A338" t="s">
        <v>412</v>
      </c>
      <c r="B338" t="s">
        <v>33</v>
      </c>
      <c r="C338" t="s">
        <v>34</v>
      </c>
      <c r="D338" t="s">
        <v>35</v>
      </c>
      <c r="E338" t="s">
        <v>42</v>
      </c>
      <c r="F338" t="s">
        <v>167</v>
      </c>
      <c r="G338" t="s">
        <v>46</v>
      </c>
      <c r="H338" s="1">
        <v>45353</v>
      </c>
      <c r="I338" t="s">
        <v>24</v>
      </c>
      <c r="J338" t="s">
        <v>253</v>
      </c>
      <c r="K338">
        <v>6</v>
      </c>
      <c r="N338">
        <v>4219</v>
      </c>
      <c r="O338">
        <v>50</v>
      </c>
      <c r="P338" s="1">
        <v>45651</v>
      </c>
      <c r="Q338" s="1">
        <v>45435</v>
      </c>
      <c r="R338">
        <f>IF(Table1[[#This Row],[Actual close date]]="","",Table1[[#This Row],[Actual close date]]-Table1[[#This Row],[Expected close date]])</f>
        <v>-216</v>
      </c>
    </row>
    <row r="339" spans="1:18" x14ac:dyDescent="0.25">
      <c r="A339" t="s">
        <v>413</v>
      </c>
      <c r="B339" t="s">
        <v>49</v>
      </c>
      <c r="C339" t="s">
        <v>50</v>
      </c>
      <c r="D339" t="s">
        <v>51</v>
      </c>
      <c r="E339" t="s">
        <v>42</v>
      </c>
      <c r="F339" t="s">
        <v>167</v>
      </c>
      <c r="G339" t="s">
        <v>31</v>
      </c>
      <c r="H339" s="1">
        <v>45299</v>
      </c>
      <c r="I339" t="s">
        <v>64</v>
      </c>
      <c r="J339" t="s">
        <v>253</v>
      </c>
      <c r="K339">
        <v>6</v>
      </c>
      <c r="N339">
        <v>5815</v>
      </c>
      <c r="O339">
        <v>40</v>
      </c>
      <c r="P339" s="1">
        <v>45455</v>
      </c>
      <c r="Q339" s="1">
        <v>45360</v>
      </c>
      <c r="R339">
        <f>IF(Table1[[#This Row],[Actual close date]]="","",Table1[[#This Row],[Actual close date]]-Table1[[#This Row],[Expected close date]])</f>
        <v>-95</v>
      </c>
    </row>
    <row r="340" spans="1:18" x14ac:dyDescent="0.25">
      <c r="A340" t="s">
        <v>414</v>
      </c>
      <c r="B340" t="s">
        <v>33</v>
      </c>
      <c r="C340" t="s">
        <v>34</v>
      </c>
      <c r="D340" t="s">
        <v>35</v>
      </c>
      <c r="E340" t="s">
        <v>42</v>
      </c>
      <c r="F340" t="s">
        <v>167</v>
      </c>
      <c r="G340" t="s">
        <v>72</v>
      </c>
      <c r="H340" s="1">
        <v>45308</v>
      </c>
      <c r="I340" t="s">
        <v>64</v>
      </c>
      <c r="J340" t="s">
        <v>253</v>
      </c>
      <c r="K340">
        <v>6</v>
      </c>
      <c r="N340">
        <v>4191</v>
      </c>
      <c r="O340">
        <v>20</v>
      </c>
      <c r="P340" s="1">
        <v>45382</v>
      </c>
      <c r="Q340" s="1">
        <v>45346</v>
      </c>
      <c r="R340">
        <f>IF(Table1[[#This Row],[Actual close date]]="","",Table1[[#This Row],[Actual close date]]-Table1[[#This Row],[Expected close date]])</f>
        <v>-36</v>
      </c>
    </row>
    <row r="341" spans="1:18" x14ac:dyDescent="0.25">
      <c r="A341" t="s">
        <v>415</v>
      </c>
      <c r="B341" t="s">
        <v>54</v>
      </c>
      <c r="C341" t="s">
        <v>55</v>
      </c>
      <c r="D341" t="s">
        <v>56</v>
      </c>
      <c r="E341" t="s">
        <v>52</v>
      </c>
      <c r="F341" t="s">
        <v>167</v>
      </c>
      <c r="G341" t="s">
        <v>83</v>
      </c>
      <c r="H341" s="1">
        <v>45421</v>
      </c>
      <c r="I341" t="s">
        <v>24</v>
      </c>
      <c r="J341" t="s">
        <v>253</v>
      </c>
      <c r="K341">
        <v>6</v>
      </c>
      <c r="N341">
        <v>3415</v>
      </c>
      <c r="O341">
        <v>20</v>
      </c>
      <c r="P341" s="1">
        <v>45722</v>
      </c>
      <c r="Q341" s="1">
        <v>45438</v>
      </c>
      <c r="R341">
        <f>IF(Table1[[#This Row],[Actual close date]]="","",Table1[[#This Row],[Actual close date]]-Table1[[#This Row],[Expected close date]])</f>
        <v>-284</v>
      </c>
    </row>
    <row r="342" spans="1:18" x14ac:dyDescent="0.25">
      <c r="A342" t="s">
        <v>416</v>
      </c>
      <c r="B342" t="s">
        <v>27</v>
      </c>
      <c r="C342" t="s">
        <v>28</v>
      </c>
      <c r="D342" t="s">
        <v>29</v>
      </c>
      <c r="E342" t="s">
        <v>101</v>
      </c>
      <c r="F342" t="s">
        <v>167</v>
      </c>
      <c r="G342" t="s">
        <v>57</v>
      </c>
      <c r="H342" s="1">
        <v>45329</v>
      </c>
      <c r="I342" t="s">
        <v>64</v>
      </c>
      <c r="J342" t="s">
        <v>253</v>
      </c>
      <c r="K342">
        <v>6</v>
      </c>
      <c r="N342">
        <v>2133</v>
      </c>
      <c r="O342">
        <v>100</v>
      </c>
      <c r="P342" s="1">
        <v>45400</v>
      </c>
      <c r="Q342" s="1">
        <v>45333</v>
      </c>
      <c r="R342">
        <f>IF(Table1[[#This Row],[Actual close date]]="","",Table1[[#This Row],[Actual close date]]-Table1[[#This Row],[Expected close date]])</f>
        <v>-67</v>
      </c>
    </row>
    <row r="343" spans="1:18" x14ac:dyDescent="0.25">
      <c r="A343" t="s">
        <v>417</v>
      </c>
      <c r="B343" t="s">
        <v>76</v>
      </c>
      <c r="C343" t="s">
        <v>77</v>
      </c>
      <c r="D343" t="s">
        <v>78</v>
      </c>
      <c r="E343" t="s">
        <v>45</v>
      </c>
      <c r="F343" t="s">
        <v>239</v>
      </c>
      <c r="G343" t="s">
        <v>57</v>
      </c>
      <c r="H343" s="1">
        <v>45331</v>
      </c>
      <c r="I343" t="s">
        <v>24</v>
      </c>
      <c r="J343" t="s">
        <v>253</v>
      </c>
      <c r="K343">
        <v>6</v>
      </c>
      <c r="N343">
        <v>14918</v>
      </c>
      <c r="O343">
        <v>20</v>
      </c>
      <c r="P343" s="1">
        <v>45449</v>
      </c>
      <c r="Q343" s="1">
        <v>45402</v>
      </c>
      <c r="R343">
        <f>IF(Table1[[#This Row],[Actual close date]]="","",Table1[[#This Row],[Actual close date]]-Table1[[#This Row],[Expected close date]])</f>
        <v>-47</v>
      </c>
    </row>
    <row r="344" spans="1:18" x14ac:dyDescent="0.25">
      <c r="A344" t="s">
        <v>418</v>
      </c>
      <c r="B344" t="s">
        <v>39</v>
      </c>
      <c r="C344" t="s">
        <v>40</v>
      </c>
      <c r="D344" t="s">
        <v>41</v>
      </c>
      <c r="E344" t="s">
        <v>74</v>
      </c>
      <c r="F344" t="s">
        <v>239</v>
      </c>
      <c r="G344" t="s">
        <v>46</v>
      </c>
      <c r="H344" s="1">
        <v>45349</v>
      </c>
      <c r="I344" t="s">
        <v>24</v>
      </c>
      <c r="J344" t="s">
        <v>253</v>
      </c>
      <c r="K344">
        <v>6</v>
      </c>
      <c r="N344">
        <v>7279</v>
      </c>
      <c r="O344">
        <v>60</v>
      </c>
      <c r="P344" s="1">
        <v>45610</v>
      </c>
      <c r="Q344" s="1">
        <v>45350</v>
      </c>
      <c r="R344">
        <f>IF(Table1[[#This Row],[Actual close date]]="","",Table1[[#This Row],[Actual close date]]-Table1[[#This Row],[Expected close date]])</f>
        <v>-260</v>
      </c>
    </row>
    <row r="345" spans="1:18" x14ac:dyDescent="0.25">
      <c r="A345" t="s">
        <v>419</v>
      </c>
      <c r="B345" t="s">
        <v>76</v>
      </c>
      <c r="C345" t="s">
        <v>77</v>
      </c>
      <c r="D345" t="s">
        <v>78</v>
      </c>
      <c r="E345" t="s">
        <v>42</v>
      </c>
      <c r="F345" t="s">
        <v>246</v>
      </c>
      <c r="G345" t="s">
        <v>46</v>
      </c>
      <c r="H345" s="1">
        <v>45398</v>
      </c>
      <c r="I345" t="s">
        <v>64</v>
      </c>
      <c r="J345" t="s">
        <v>253</v>
      </c>
      <c r="K345">
        <v>6</v>
      </c>
      <c r="N345">
        <v>5064</v>
      </c>
      <c r="O345">
        <v>20</v>
      </c>
      <c r="P345" s="1">
        <v>45497</v>
      </c>
      <c r="Q345" s="1">
        <v>45493</v>
      </c>
      <c r="R345">
        <f>IF(Table1[[#This Row],[Actual close date]]="","",Table1[[#This Row],[Actual close date]]-Table1[[#This Row],[Expected close date]])</f>
        <v>-4</v>
      </c>
    </row>
    <row r="346" spans="1:18" x14ac:dyDescent="0.25">
      <c r="A346" t="s">
        <v>420</v>
      </c>
      <c r="B346" t="s">
        <v>54</v>
      </c>
      <c r="C346" t="s">
        <v>55</v>
      </c>
      <c r="D346" t="s">
        <v>56</v>
      </c>
      <c r="E346" t="s">
        <v>21</v>
      </c>
      <c r="F346" t="s">
        <v>246</v>
      </c>
      <c r="G346" t="s">
        <v>72</v>
      </c>
      <c r="H346" s="1">
        <v>45418</v>
      </c>
      <c r="I346" t="s">
        <v>64</v>
      </c>
      <c r="J346" t="s">
        <v>253</v>
      </c>
      <c r="K346">
        <v>6</v>
      </c>
      <c r="N346">
        <v>5325</v>
      </c>
      <c r="O346">
        <v>50</v>
      </c>
      <c r="P346" s="1">
        <v>45577</v>
      </c>
      <c r="Q346" s="1">
        <v>45488</v>
      </c>
      <c r="R346">
        <f>IF(Table1[[#This Row],[Actual close date]]="","",Table1[[#This Row],[Actual close date]]-Table1[[#This Row],[Expected close date]])</f>
        <v>-89</v>
      </c>
    </row>
    <row r="347" spans="1:18" x14ac:dyDescent="0.25">
      <c r="A347" t="s">
        <v>421</v>
      </c>
      <c r="B347" t="s">
        <v>54</v>
      </c>
      <c r="C347" t="s">
        <v>55</v>
      </c>
      <c r="D347" t="s">
        <v>56</v>
      </c>
      <c r="E347" t="s">
        <v>45</v>
      </c>
      <c r="F347" t="s">
        <v>246</v>
      </c>
      <c r="G347" t="s">
        <v>31</v>
      </c>
      <c r="H347" s="1">
        <v>45358</v>
      </c>
      <c r="I347" t="s">
        <v>47</v>
      </c>
      <c r="J347" t="s">
        <v>253</v>
      </c>
      <c r="K347">
        <v>6</v>
      </c>
      <c r="N347">
        <v>17797</v>
      </c>
      <c r="O347">
        <v>60</v>
      </c>
      <c r="P347" s="1">
        <v>45672</v>
      </c>
      <c r="Q347" s="1">
        <v>45471</v>
      </c>
      <c r="R347">
        <f>IF(Table1[[#This Row],[Actual close date]]="","",Table1[[#This Row],[Actual close date]]-Table1[[#This Row],[Expected close date]])</f>
        <v>-201</v>
      </c>
    </row>
    <row r="348" spans="1:18" x14ac:dyDescent="0.25">
      <c r="A348" t="s">
        <v>422</v>
      </c>
      <c r="B348" t="s">
        <v>49</v>
      </c>
      <c r="C348" t="s">
        <v>50</v>
      </c>
      <c r="D348" t="s">
        <v>51</v>
      </c>
      <c r="E348" t="s">
        <v>21</v>
      </c>
      <c r="F348" t="s">
        <v>246</v>
      </c>
      <c r="G348" t="s">
        <v>37</v>
      </c>
      <c r="H348" s="1">
        <v>45361</v>
      </c>
      <c r="I348" t="s">
        <v>47</v>
      </c>
      <c r="J348" t="s">
        <v>253</v>
      </c>
      <c r="K348">
        <v>6</v>
      </c>
      <c r="N348">
        <v>19852</v>
      </c>
      <c r="O348">
        <v>10</v>
      </c>
      <c r="P348" s="1">
        <v>45530</v>
      </c>
      <c r="Q348" s="1">
        <v>45415</v>
      </c>
      <c r="R348">
        <f>IF(Table1[[#This Row],[Actual close date]]="","",Table1[[#This Row],[Actual close date]]-Table1[[#This Row],[Expected close date]])</f>
        <v>-115</v>
      </c>
    </row>
    <row r="349" spans="1:18" x14ac:dyDescent="0.25">
      <c r="A349" t="s">
        <v>423</v>
      </c>
      <c r="B349" t="s">
        <v>69</v>
      </c>
      <c r="C349" t="s">
        <v>70</v>
      </c>
      <c r="D349" t="s">
        <v>71</v>
      </c>
      <c r="E349" t="s">
        <v>42</v>
      </c>
      <c r="F349" t="s">
        <v>246</v>
      </c>
      <c r="G349" t="s">
        <v>23</v>
      </c>
      <c r="H349" s="1">
        <v>45370</v>
      </c>
      <c r="I349" t="s">
        <v>47</v>
      </c>
      <c r="J349" t="s">
        <v>253</v>
      </c>
      <c r="K349">
        <v>6</v>
      </c>
      <c r="N349">
        <v>6762</v>
      </c>
      <c r="O349">
        <v>100</v>
      </c>
      <c r="P349" s="1">
        <v>45485</v>
      </c>
      <c r="Q349" s="1">
        <v>45425</v>
      </c>
      <c r="R349">
        <f>IF(Table1[[#This Row],[Actual close date]]="","",Table1[[#This Row],[Actual close date]]-Table1[[#This Row],[Expected close date]])</f>
        <v>-60</v>
      </c>
    </row>
    <row r="350" spans="1:18" x14ac:dyDescent="0.25">
      <c r="A350" t="s">
        <v>424</v>
      </c>
      <c r="B350" t="s">
        <v>54</v>
      </c>
      <c r="C350" t="s">
        <v>55</v>
      </c>
      <c r="D350" t="s">
        <v>56</v>
      </c>
      <c r="E350" t="s">
        <v>45</v>
      </c>
      <c r="F350" t="s">
        <v>22</v>
      </c>
      <c r="G350" t="s">
        <v>85</v>
      </c>
      <c r="H350" s="1">
        <v>45322</v>
      </c>
      <c r="I350" t="s">
        <v>64</v>
      </c>
      <c r="J350" t="s">
        <v>425</v>
      </c>
      <c r="K350">
        <v>3</v>
      </c>
      <c r="N350">
        <v>1214</v>
      </c>
      <c r="O350">
        <v>60</v>
      </c>
      <c r="P350" s="1">
        <v>45668</v>
      </c>
      <c r="Q350" s="1"/>
      <c r="R350" t="str">
        <f>IF(Table1[[#This Row],[Actual close date]]="","",Table1[[#This Row],[Actual close date]]-Table1[[#This Row],[Expected close date]])</f>
        <v/>
      </c>
    </row>
    <row r="351" spans="1:18" x14ac:dyDescent="0.25">
      <c r="A351" t="s">
        <v>426</v>
      </c>
      <c r="B351" t="s">
        <v>33</v>
      </c>
      <c r="C351" t="s">
        <v>34</v>
      </c>
      <c r="D351" t="s">
        <v>35</v>
      </c>
      <c r="E351" t="s">
        <v>118</v>
      </c>
      <c r="F351" t="s">
        <v>22</v>
      </c>
      <c r="G351" t="s">
        <v>83</v>
      </c>
      <c r="H351" s="1">
        <v>45417</v>
      </c>
      <c r="I351" t="s">
        <v>64</v>
      </c>
      <c r="J351" t="s">
        <v>425</v>
      </c>
      <c r="K351">
        <v>3</v>
      </c>
      <c r="N351">
        <v>1916</v>
      </c>
      <c r="O351">
        <v>20</v>
      </c>
      <c r="P351" s="1">
        <v>45729</v>
      </c>
      <c r="Q351" s="1"/>
      <c r="R351" t="str">
        <f>IF(Table1[[#This Row],[Actual close date]]="","",Table1[[#This Row],[Actual close date]]-Table1[[#This Row],[Expected close date]])</f>
        <v/>
      </c>
    </row>
    <row r="352" spans="1:18" x14ac:dyDescent="0.25">
      <c r="A352" t="s">
        <v>427</v>
      </c>
      <c r="B352" t="s">
        <v>76</v>
      </c>
      <c r="C352" t="s">
        <v>77</v>
      </c>
      <c r="D352" t="s">
        <v>78</v>
      </c>
      <c r="E352" t="s">
        <v>21</v>
      </c>
      <c r="F352" t="s">
        <v>22</v>
      </c>
      <c r="G352" t="s">
        <v>46</v>
      </c>
      <c r="H352" s="1">
        <v>45442</v>
      </c>
      <c r="I352" t="s">
        <v>64</v>
      </c>
      <c r="J352" t="s">
        <v>425</v>
      </c>
      <c r="K352">
        <v>3</v>
      </c>
      <c r="N352">
        <v>1918</v>
      </c>
      <c r="O352">
        <v>20</v>
      </c>
      <c r="P352" s="1">
        <v>45752</v>
      </c>
      <c r="Q352" s="1"/>
      <c r="R352" t="str">
        <f>IF(Table1[[#This Row],[Actual close date]]="","",Table1[[#This Row],[Actual close date]]-Table1[[#This Row],[Expected close date]])</f>
        <v/>
      </c>
    </row>
    <row r="353" spans="1:18" x14ac:dyDescent="0.25">
      <c r="A353" t="s">
        <v>428</v>
      </c>
      <c r="B353" t="s">
        <v>49</v>
      </c>
      <c r="C353" t="s">
        <v>50</v>
      </c>
      <c r="D353" t="s">
        <v>51</v>
      </c>
      <c r="E353" t="s">
        <v>82</v>
      </c>
      <c r="F353" t="s">
        <v>22</v>
      </c>
      <c r="G353" t="s">
        <v>31</v>
      </c>
      <c r="H353" s="1">
        <v>45407</v>
      </c>
      <c r="I353" t="s">
        <v>64</v>
      </c>
      <c r="J353" t="s">
        <v>425</v>
      </c>
      <c r="K353">
        <v>3</v>
      </c>
      <c r="N353">
        <v>685</v>
      </c>
      <c r="O353">
        <v>60</v>
      </c>
      <c r="P353" s="1">
        <v>45743</v>
      </c>
      <c r="Q353" s="1"/>
      <c r="R353" t="str">
        <f>IF(Table1[[#This Row],[Actual close date]]="","",Table1[[#This Row],[Actual close date]]-Table1[[#This Row],[Expected close date]])</f>
        <v/>
      </c>
    </row>
    <row r="354" spans="1:18" x14ac:dyDescent="0.25">
      <c r="A354" t="s">
        <v>429</v>
      </c>
      <c r="B354" t="s">
        <v>54</v>
      </c>
      <c r="C354" t="s">
        <v>55</v>
      </c>
      <c r="D354" t="s">
        <v>56</v>
      </c>
      <c r="E354" t="s">
        <v>21</v>
      </c>
      <c r="F354" t="s">
        <v>22</v>
      </c>
      <c r="G354" t="s">
        <v>23</v>
      </c>
      <c r="H354" s="1">
        <v>45364</v>
      </c>
      <c r="I354" t="s">
        <v>64</v>
      </c>
      <c r="J354" t="s">
        <v>425</v>
      </c>
      <c r="K354">
        <v>3</v>
      </c>
      <c r="N354">
        <v>315</v>
      </c>
      <c r="O354">
        <v>40</v>
      </c>
      <c r="P354" s="1">
        <v>45636</v>
      </c>
      <c r="Q354" s="1"/>
      <c r="R354" t="str">
        <f>IF(Table1[[#This Row],[Actual close date]]="","",Table1[[#This Row],[Actual close date]]-Table1[[#This Row],[Expected close date]])</f>
        <v/>
      </c>
    </row>
    <row r="355" spans="1:18" x14ac:dyDescent="0.25">
      <c r="A355" t="s">
        <v>430</v>
      </c>
      <c r="B355" t="s">
        <v>33</v>
      </c>
      <c r="C355" t="s">
        <v>34</v>
      </c>
      <c r="D355" t="s">
        <v>35</v>
      </c>
      <c r="E355" t="s">
        <v>21</v>
      </c>
      <c r="F355" t="s">
        <v>22</v>
      </c>
      <c r="G355" t="s">
        <v>85</v>
      </c>
      <c r="H355" s="1">
        <v>45294</v>
      </c>
      <c r="I355" t="s">
        <v>47</v>
      </c>
      <c r="J355" t="s">
        <v>425</v>
      </c>
      <c r="K355">
        <v>3</v>
      </c>
      <c r="N355">
        <v>810</v>
      </c>
      <c r="O355">
        <v>50</v>
      </c>
      <c r="P355" s="1">
        <v>45370</v>
      </c>
      <c r="Q355" s="1"/>
      <c r="R355" t="str">
        <f>IF(Table1[[#This Row],[Actual close date]]="","",Table1[[#This Row],[Actual close date]]-Table1[[#This Row],[Expected close date]])</f>
        <v/>
      </c>
    </row>
    <row r="356" spans="1:18" x14ac:dyDescent="0.25">
      <c r="A356" t="s">
        <v>431</v>
      </c>
      <c r="B356" t="s">
        <v>33</v>
      </c>
      <c r="C356" t="s">
        <v>34</v>
      </c>
      <c r="D356" t="s">
        <v>35</v>
      </c>
      <c r="E356" t="s">
        <v>52</v>
      </c>
      <c r="F356" t="s">
        <v>22</v>
      </c>
      <c r="G356" t="s">
        <v>46</v>
      </c>
      <c r="H356" s="1">
        <v>45344</v>
      </c>
      <c r="I356" t="s">
        <v>24</v>
      </c>
      <c r="J356" t="s">
        <v>425</v>
      </c>
      <c r="K356">
        <v>3</v>
      </c>
      <c r="N356">
        <v>717</v>
      </c>
      <c r="O356">
        <v>70</v>
      </c>
      <c r="P356" s="1">
        <v>45402</v>
      </c>
      <c r="Q356" s="1"/>
      <c r="R356" t="str">
        <f>IF(Table1[[#This Row],[Actual close date]]="","",Table1[[#This Row],[Actual close date]]-Table1[[#This Row],[Expected close date]])</f>
        <v/>
      </c>
    </row>
    <row r="357" spans="1:18" x14ac:dyDescent="0.25">
      <c r="A357" t="s">
        <v>432</v>
      </c>
      <c r="B357" t="s">
        <v>18</v>
      </c>
      <c r="C357" t="s">
        <v>19</v>
      </c>
      <c r="D357" t="s">
        <v>20</v>
      </c>
      <c r="E357" t="s">
        <v>30</v>
      </c>
      <c r="F357" t="s">
        <v>22</v>
      </c>
      <c r="G357" t="s">
        <v>83</v>
      </c>
      <c r="H357" s="1">
        <v>45403</v>
      </c>
      <c r="I357" t="s">
        <v>64</v>
      </c>
      <c r="J357" t="s">
        <v>425</v>
      </c>
      <c r="K357">
        <v>3</v>
      </c>
      <c r="N357">
        <v>1789</v>
      </c>
      <c r="O357">
        <v>20</v>
      </c>
      <c r="P357" s="1">
        <v>45467</v>
      </c>
      <c r="Q357" s="1"/>
      <c r="R357" t="str">
        <f>IF(Table1[[#This Row],[Actual close date]]="","",Table1[[#This Row],[Actual close date]]-Table1[[#This Row],[Expected close date]])</f>
        <v/>
      </c>
    </row>
    <row r="358" spans="1:18" x14ac:dyDescent="0.25">
      <c r="A358" t="s">
        <v>433</v>
      </c>
      <c r="B358" t="s">
        <v>59</v>
      </c>
      <c r="C358" t="s">
        <v>60</v>
      </c>
      <c r="D358" t="s">
        <v>61</v>
      </c>
      <c r="E358" t="s">
        <v>98</v>
      </c>
      <c r="F358" t="s">
        <v>22</v>
      </c>
      <c r="G358" t="s">
        <v>37</v>
      </c>
      <c r="H358" s="1">
        <v>45351</v>
      </c>
      <c r="I358" t="s">
        <v>24</v>
      </c>
      <c r="J358" t="s">
        <v>425</v>
      </c>
      <c r="K358">
        <v>3</v>
      </c>
      <c r="N358">
        <v>1311</v>
      </c>
      <c r="O358">
        <v>30</v>
      </c>
      <c r="P358" s="1">
        <v>45578</v>
      </c>
      <c r="Q358" s="1"/>
      <c r="R358" t="str">
        <f>IF(Table1[[#This Row],[Actual close date]]="","",Table1[[#This Row],[Actual close date]]-Table1[[#This Row],[Expected close date]])</f>
        <v/>
      </c>
    </row>
    <row r="359" spans="1:18" x14ac:dyDescent="0.25">
      <c r="A359" t="s">
        <v>434</v>
      </c>
      <c r="B359" t="s">
        <v>76</v>
      </c>
      <c r="C359" t="s">
        <v>77</v>
      </c>
      <c r="D359" t="s">
        <v>78</v>
      </c>
      <c r="E359" t="s">
        <v>82</v>
      </c>
      <c r="F359" t="s">
        <v>22</v>
      </c>
      <c r="G359" t="s">
        <v>46</v>
      </c>
      <c r="H359" s="1">
        <v>45429</v>
      </c>
      <c r="I359" t="s">
        <v>64</v>
      </c>
      <c r="J359" t="s">
        <v>425</v>
      </c>
      <c r="K359">
        <v>3</v>
      </c>
      <c r="N359">
        <v>1025</v>
      </c>
      <c r="O359">
        <v>20</v>
      </c>
      <c r="P359" s="1">
        <v>45463</v>
      </c>
      <c r="Q359" s="1"/>
      <c r="R359" t="str">
        <f>IF(Table1[[#This Row],[Actual close date]]="","",Table1[[#This Row],[Actual close date]]-Table1[[#This Row],[Expected close date]])</f>
        <v/>
      </c>
    </row>
    <row r="360" spans="1:18" x14ac:dyDescent="0.25">
      <c r="A360" t="s">
        <v>435</v>
      </c>
      <c r="B360" t="s">
        <v>39</v>
      </c>
      <c r="C360" t="s">
        <v>40</v>
      </c>
      <c r="D360" t="s">
        <v>41</v>
      </c>
      <c r="E360" t="s">
        <v>52</v>
      </c>
      <c r="F360" t="s">
        <v>22</v>
      </c>
      <c r="G360" t="s">
        <v>57</v>
      </c>
      <c r="H360" s="1">
        <v>45370</v>
      </c>
      <c r="I360" t="s">
        <v>24</v>
      </c>
      <c r="J360" t="s">
        <v>425</v>
      </c>
      <c r="K360">
        <v>3</v>
      </c>
      <c r="N360">
        <v>1330</v>
      </c>
      <c r="O360">
        <v>30</v>
      </c>
      <c r="P360" s="1">
        <v>45549</v>
      </c>
      <c r="Q360" s="1"/>
      <c r="R360" t="str">
        <f>IF(Table1[[#This Row],[Actual close date]]="","",Table1[[#This Row],[Actual close date]]-Table1[[#This Row],[Expected close date]])</f>
        <v/>
      </c>
    </row>
    <row r="361" spans="1:18" x14ac:dyDescent="0.25">
      <c r="A361" t="s">
        <v>436</v>
      </c>
      <c r="B361" t="s">
        <v>33</v>
      </c>
      <c r="C361" t="s">
        <v>34</v>
      </c>
      <c r="D361" t="s">
        <v>35</v>
      </c>
      <c r="E361" t="s">
        <v>82</v>
      </c>
      <c r="F361" t="s">
        <v>22</v>
      </c>
      <c r="G361" t="s">
        <v>37</v>
      </c>
      <c r="H361" s="1">
        <v>45442</v>
      </c>
      <c r="I361" t="s">
        <v>64</v>
      </c>
      <c r="J361" t="s">
        <v>425</v>
      </c>
      <c r="K361">
        <v>3</v>
      </c>
      <c r="N361">
        <v>924</v>
      </c>
      <c r="O361">
        <v>20</v>
      </c>
      <c r="P361" s="1">
        <v>45751</v>
      </c>
      <c r="Q361" s="1"/>
      <c r="R361" t="str">
        <f>IF(Table1[[#This Row],[Actual close date]]="","",Table1[[#This Row],[Actual close date]]-Table1[[#This Row],[Expected close date]])</f>
        <v/>
      </c>
    </row>
    <row r="362" spans="1:18" x14ac:dyDescent="0.25">
      <c r="A362" t="s">
        <v>437</v>
      </c>
      <c r="B362" t="s">
        <v>39</v>
      </c>
      <c r="C362" t="s">
        <v>40</v>
      </c>
      <c r="D362" t="s">
        <v>41</v>
      </c>
      <c r="E362" t="s">
        <v>45</v>
      </c>
      <c r="F362" t="s">
        <v>22</v>
      </c>
      <c r="G362" t="s">
        <v>57</v>
      </c>
      <c r="H362" s="1">
        <v>45403</v>
      </c>
      <c r="I362" t="s">
        <v>64</v>
      </c>
      <c r="J362" t="s">
        <v>425</v>
      </c>
      <c r="K362">
        <v>3</v>
      </c>
      <c r="N362">
        <v>352</v>
      </c>
      <c r="O362">
        <v>20</v>
      </c>
      <c r="P362" s="1">
        <v>45656</v>
      </c>
      <c r="Q362" s="1"/>
      <c r="R362" t="str">
        <f>IF(Table1[[#This Row],[Actual close date]]="","",Table1[[#This Row],[Actual close date]]-Table1[[#This Row],[Expected close date]])</f>
        <v/>
      </c>
    </row>
    <row r="363" spans="1:18" x14ac:dyDescent="0.25">
      <c r="A363" t="s">
        <v>438</v>
      </c>
      <c r="B363" t="s">
        <v>54</v>
      </c>
      <c r="C363" t="s">
        <v>55</v>
      </c>
      <c r="D363" t="s">
        <v>56</v>
      </c>
      <c r="E363" t="s">
        <v>30</v>
      </c>
      <c r="F363" t="s">
        <v>22</v>
      </c>
      <c r="G363" t="s">
        <v>37</v>
      </c>
      <c r="H363" s="1">
        <v>45356</v>
      </c>
      <c r="I363" t="s">
        <v>64</v>
      </c>
      <c r="J363" t="s">
        <v>425</v>
      </c>
      <c r="K363">
        <v>3</v>
      </c>
      <c r="N363">
        <v>779</v>
      </c>
      <c r="O363">
        <v>30</v>
      </c>
      <c r="P363" s="1">
        <v>45674</v>
      </c>
      <c r="Q363" s="1"/>
      <c r="R363" t="str">
        <f>IF(Table1[[#This Row],[Actual close date]]="","",Table1[[#This Row],[Actual close date]]-Table1[[#This Row],[Expected close date]])</f>
        <v/>
      </c>
    </row>
    <row r="364" spans="1:18" x14ac:dyDescent="0.25">
      <c r="A364" t="s">
        <v>439</v>
      </c>
      <c r="B364" t="s">
        <v>76</v>
      </c>
      <c r="C364" t="s">
        <v>77</v>
      </c>
      <c r="D364" t="s">
        <v>78</v>
      </c>
      <c r="E364" t="s">
        <v>21</v>
      </c>
      <c r="F364" t="s">
        <v>22</v>
      </c>
      <c r="G364" t="s">
        <v>83</v>
      </c>
      <c r="H364" s="1">
        <v>45400</v>
      </c>
      <c r="I364" t="s">
        <v>24</v>
      </c>
      <c r="J364" t="s">
        <v>425</v>
      </c>
      <c r="K364">
        <v>3</v>
      </c>
      <c r="N364">
        <v>1369</v>
      </c>
      <c r="O364">
        <v>10</v>
      </c>
      <c r="P364" s="1">
        <v>45439</v>
      </c>
      <c r="Q364" s="1"/>
      <c r="R364" t="str">
        <f>IF(Table1[[#This Row],[Actual close date]]="","",Table1[[#This Row],[Actual close date]]-Table1[[#This Row],[Expected close date]])</f>
        <v/>
      </c>
    </row>
    <row r="365" spans="1:18" x14ac:dyDescent="0.25">
      <c r="A365" t="s">
        <v>440</v>
      </c>
      <c r="B365" t="s">
        <v>59</v>
      </c>
      <c r="C365" t="s">
        <v>60</v>
      </c>
      <c r="D365" t="s">
        <v>61</v>
      </c>
      <c r="E365" t="s">
        <v>98</v>
      </c>
      <c r="F365" t="s">
        <v>22</v>
      </c>
      <c r="G365" t="s">
        <v>46</v>
      </c>
      <c r="H365" s="1">
        <v>45409</v>
      </c>
      <c r="I365" t="s">
        <v>24</v>
      </c>
      <c r="J365" t="s">
        <v>425</v>
      </c>
      <c r="K365">
        <v>3</v>
      </c>
      <c r="N365">
        <v>585</v>
      </c>
      <c r="O365">
        <v>50</v>
      </c>
      <c r="P365" s="1">
        <v>45452</v>
      </c>
      <c r="Q365" s="1"/>
      <c r="R365" t="str">
        <f>IF(Table1[[#This Row],[Actual close date]]="","",Table1[[#This Row],[Actual close date]]-Table1[[#This Row],[Expected close date]])</f>
        <v/>
      </c>
    </row>
    <row r="366" spans="1:18" x14ac:dyDescent="0.25">
      <c r="A366" t="s">
        <v>441</v>
      </c>
      <c r="B366" t="s">
        <v>54</v>
      </c>
      <c r="C366" t="s">
        <v>55</v>
      </c>
      <c r="D366" t="s">
        <v>56</v>
      </c>
      <c r="E366" t="s">
        <v>21</v>
      </c>
      <c r="F366" t="s">
        <v>22</v>
      </c>
      <c r="G366" t="s">
        <v>23</v>
      </c>
      <c r="H366" s="1">
        <v>45421</v>
      </c>
      <c r="I366" t="s">
        <v>64</v>
      </c>
      <c r="J366" t="s">
        <v>425</v>
      </c>
      <c r="K366">
        <v>3</v>
      </c>
      <c r="N366">
        <v>372</v>
      </c>
      <c r="O366">
        <v>100</v>
      </c>
      <c r="P366" s="1">
        <v>45765</v>
      </c>
      <c r="Q366" s="1"/>
      <c r="R366" t="str">
        <f>IF(Table1[[#This Row],[Actual close date]]="","",Table1[[#This Row],[Actual close date]]-Table1[[#This Row],[Expected close date]])</f>
        <v/>
      </c>
    </row>
    <row r="367" spans="1:18" x14ac:dyDescent="0.25">
      <c r="A367" t="s">
        <v>442</v>
      </c>
      <c r="B367" t="s">
        <v>59</v>
      </c>
      <c r="C367" t="s">
        <v>60</v>
      </c>
      <c r="D367" t="s">
        <v>61</v>
      </c>
      <c r="E367" t="s">
        <v>118</v>
      </c>
      <c r="F367" t="s">
        <v>22</v>
      </c>
      <c r="G367" t="s">
        <v>46</v>
      </c>
      <c r="H367" s="1">
        <v>45409</v>
      </c>
      <c r="I367" t="s">
        <v>64</v>
      </c>
      <c r="J367" t="s">
        <v>425</v>
      </c>
      <c r="K367">
        <v>3</v>
      </c>
      <c r="N367">
        <v>1915</v>
      </c>
      <c r="O367">
        <v>30</v>
      </c>
      <c r="P367" s="1">
        <v>45586</v>
      </c>
      <c r="Q367" s="1"/>
      <c r="R367" t="str">
        <f>IF(Table1[[#This Row],[Actual close date]]="","",Table1[[#This Row],[Actual close date]]-Table1[[#This Row],[Expected close date]])</f>
        <v/>
      </c>
    </row>
    <row r="368" spans="1:18" x14ac:dyDescent="0.25">
      <c r="A368" t="s">
        <v>443</v>
      </c>
      <c r="B368" t="s">
        <v>39</v>
      </c>
      <c r="C368" t="s">
        <v>40</v>
      </c>
      <c r="D368" t="s">
        <v>41</v>
      </c>
      <c r="E368" t="s">
        <v>42</v>
      </c>
      <c r="F368" t="s">
        <v>22</v>
      </c>
      <c r="G368" t="s">
        <v>23</v>
      </c>
      <c r="H368" s="1">
        <v>45346</v>
      </c>
      <c r="I368" t="s">
        <v>64</v>
      </c>
      <c r="J368" t="s">
        <v>425</v>
      </c>
      <c r="K368">
        <v>3</v>
      </c>
      <c r="N368">
        <v>1932</v>
      </c>
      <c r="O368">
        <v>90</v>
      </c>
      <c r="P368" s="1">
        <v>45561</v>
      </c>
      <c r="Q368" s="1"/>
      <c r="R368" t="str">
        <f>IF(Table1[[#This Row],[Actual close date]]="","",Table1[[#This Row],[Actual close date]]-Table1[[#This Row],[Expected close date]])</f>
        <v/>
      </c>
    </row>
    <row r="369" spans="1:18" x14ac:dyDescent="0.25">
      <c r="A369" t="s">
        <v>444</v>
      </c>
      <c r="B369" t="s">
        <v>59</v>
      </c>
      <c r="C369" t="s">
        <v>60</v>
      </c>
      <c r="D369" t="s">
        <v>61</v>
      </c>
      <c r="E369" t="s">
        <v>42</v>
      </c>
      <c r="F369" t="s">
        <v>22</v>
      </c>
      <c r="G369" t="s">
        <v>46</v>
      </c>
      <c r="H369" s="1">
        <v>45397</v>
      </c>
      <c r="I369" t="s">
        <v>64</v>
      </c>
      <c r="J369" t="s">
        <v>425</v>
      </c>
      <c r="K369">
        <v>3</v>
      </c>
      <c r="N369">
        <v>1366</v>
      </c>
      <c r="O369">
        <v>40</v>
      </c>
      <c r="P369" s="1">
        <v>45516</v>
      </c>
      <c r="Q369" s="1"/>
      <c r="R369" t="str">
        <f>IF(Table1[[#This Row],[Actual close date]]="","",Table1[[#This Row],[Actual close date]]-Table1[[#This Row],[Expected close date]])</f>
        <v/>
      </c>
    </row>
    <row r="370" spans="1:18" x14ac:dyDescent="0.25">
      <c r="A370" t="s">
        <v>445</v>
      </c>
      <c r="B370" t="s">
        <v>33</v>
      </c>
      <c r="C370" t="s">
        <v>34</v>
      </c>
      <c r="D370" t="s">
        <v>35</v>
      </c>
      <c r="E370" t="s">
        <v>45</v>
      </c>
      <c r="F370" t="s">
        <v>22</v>
      </c>
      <c r="G370" t="s">
        <v>85</v>
      </c>
      <c r="H370" s="1">
        <v>45431</v>
      </c>
      <c r="I370" t="s">
        <v>24</v>
      </c>
      <c r="J370" t="s">
        <v>425</v>
      </c>
      <c r="K370">
        <v>3</v>
      </c>
      <c r="N370">
        <v>1379</v>
      </c>
      <c r="O370">
        <v>60</v>
      </c>
      <c r="P370" s="1">
        <v>45662</v>
      </c>
      <c r="Q370" s="1"/>
      <c r="R370" t="str">
        <f>IF(Table1[[#This Row],[Actual close date]]="","",Table1[[#This Row],[Actual close date]]-Table1[[#This Row],[Expected close date]])</f>
        <v/>
      </c>
    </row>
    <row r="371" spans="1:18" x14ac:dyDescent="0.25">
      <c r="A371" t="s">
        <v>446</v>
      </c>
      <c r="B371" t="s">
        <v>39</v>
      </c>
      <c r="C371" t="s">
        <v>40</v>
      </c>
      <c r="D371" t="s">
        <v>41</v>
      </c>
      <c r="E371" t="s">
        <v>21</v>
      </c>
      <c r="F371" t="s">
        <v>22</v>
      </c>
      <c r="G371" t="s">
        <v>46</v>
      </c>
      <c r="H371" s="1">
        <v>45294</v>
      </c>
      <c r="I371" t="s">
        <v>24</v>
      </c>
      <c r="J371" t="s">
        <v>425</v>
      </c>
      <c r="K371">
        <v>3</v>
      </c>
      <c r="N371">
        <v>689</v>
      </c>
      <c r="O371">
        <v>90</v>
      </c>
      <c r="P371" s="1">
        <v>45610</v>
      </c>
      <c r="Q371" s="1"/>
      <c r="R371" t="str">
        <f>IF(Table1[[#This Row],[Actual close date]]="","",Table1[[#This Row],[Actual close date]]-Table1[[#This Row],[Expected close date]])</f>
        <v/>
      </c>
    </row>
    <row r="372" spans="1:18" x14ac:dyDescent="0.25">
      <c r="A372" t="s">
        <v>447</v>
      </c>
      <c r="B372" t="s">
        <v>69</v>
      </c>
      <c r="C372" t="s">
        <v>70</v>
      </c>
      <c r="D372" t="s">
        <v>71</v>
      </c>
      <c r="E372" t="s">
        <v>52</v>
      </c>
      <c r="F372" t="s">
        <v>22</v>
      </c>
      <c r="G372" t="s">
        <v>85</v>
      </c>
      <c r="H372" s="1">
        <v>45375</v>
      </c>
      <c r="I372" t="s">
        <v>24</v>
      </c>
      <c r="J372" t="s">
        <v>425</v>
      </c>
      <c r="K372">
        <v>3</v>
      </c>
      <c r="N372">
        <v>791</v>
      </c>
      <c r="O372">
        <v>50</v>
      </c>
      <c r="P372" s="1">
        <v>45559</v>
      </c>
      <c r="Q372" s="1"/>
      <c r="R372" t="str">
        <f>IF(Table1[[#This Row],[Actual close date]]="","",Table1[[#This Row],[Actual close date]]-Table1[[#This Row],[Expected close date]])</f>
        <v/>
      </c>
    </row>
    <row r="373" spans="1:18" x14ac:dyDescent="0.25">
      <c r="A373" t="s">
        <v>448</v>
      </c>
      <c r="B373" t="s">
        <v>69</v>
      </c>
      <c r="C373" t="s">
        <v>70</v>
      </c>
      <c r="D373" t="s">
        <v>71</v>
      </c>
      <c r="E373" t="s">
        <v>66</v>
      </c>
      <c r="F373" t="s">
        <v>22</v>
      </c>
      <c r="G373" t="s">
        <v>57</v>
      </c>
      <c r="H373" s="1">
        <v>45316</v>
      </c>
      <c r="I373" t="s">
        <v>64</v>
      </c>
      <c r="J373" t="s">
        <v>425</v>
      </c>
      <c r="K373">
        <v>3</v>
      </c>
      <c r="N373">
        <v>680</v>
      </c>
      <c r="O373">
        <v>20</v>
      </c>
      <c r="P373" s="1">
        <v>45559</v>
      </c>
      <c r="Q373" s="1"/>
      <c r="R373" t="str">
        <f>IF(Table1[[#This Row],[Actual close date]]="","",Table1[[#This Row],[Actual close date]]-Table1[[#This Row],[Expected close date]])</f>
        <v/>
      </c>
    </row>
    <row r="374" spans="1:18" x14ac:dyDescent="0.25">
      <c r="A374" t="s">
        <v>449</v>
      </c>
      <c r="B374" t="s">
        <v>33</v>
      </c>
      <c r="C374" t="s">
        <v>34</v>
      </c>
      <c r="D374" t="s">
        <v>35</v>
      </c>
      <c r="E374" t="s">
        <v>21</v>
      </c>
      <c r="F374" t="s">
        <v>22</v>
      </c>
      <c r="G374" t="s">
        <v>85</v>
      </c>
      <c r="H374" s="1">
        <v>45319</v>
      </c>
      <c r="I374" t="s">
        <v>64</v>
      </c>
      <c r="J374" t="s">
        <v>425</v>
      </c>
      <c r="K374">
        <v>3</v>
      </c>
      <c r="N374">
        <v>655</v>
      </c>
      <c r="O374">
        <v>90</v>
      </c>
      <c r="P374" s="1">
        <v>45637</v>
      </c>
      <c r="Q374" s="1"/>
      <c r="R374" t="str">
        <f>IF(Table1[[#This Row],[Actual close date]]="","",Table1[[#This Row],[Actual close date]]-Table1[[#This Row],[Expected close date]])</f>
        <v/>
      </c>
    </row>
    <row r="375" spans="1:18" x14ac:dyDescent="0.25">
      <c r="A375" t="s">
        <v>450</v>
      </c>
      <c r="B375" t="s">
        <v>69</v>
      </c>
      <c r="C375" t="s">
        <v>70</v>
      </c>
      <c r="D375" t="s">
        <v>71</v>
      </c>
      <c r="E375" t="s">
        <v>42</v>
      </c>
      <c r="F375" t="s">
        <v>22</v>
      </c>
      <c r="G375" t="s">
        <v>72</v>
      </c>
      <c r="H375" s="1">
        <v>45304</v>
      </c>
      <c r="I375" t="s">
        <v>64</v>
      </c>
      <c r="J375" t="s">
        <v>425</v>
      </c>
      <c r="K375">
        <v>3</v>
      </c>
      <c r="N375">
        <v>1273</v>
      </c>
      <c r="O375">
        <v>20</v>
      </c>
      <c r="P375" s="1">
        <v>45359</v>
      </c>
      <c r="Q375" s="1"/>
      <c r="R375" t="str">
        <f>IF(Table1[[#This Row],[Actual close date]]="","",Table1[[#This Row],[Actual close date]]-Table1[[#This Row],[Expected close date]])</f>
        <v/>
      </c>
    </row>
    <row r="376" spans="1:18" x14ac:dyDescent="0.25">
      <c r="A376" t="s">
        <v>451</v>
      </c>
      <c r="B376" t="s">
        <v>76</v>
      </c>
      <c r="C376" t="s">
        <v>77</v>
      </c>
      <c r="D376" t="s">
        <v>78</v>
      </c>
      <c r="E376" t="s">
        <v>45</v>
      </c>
      <c r="F376" t="s">
        <v>22</v>
      </c>
      <c r="G376" t="s">
        <v>57</v>
      </c>
      <c r="H376" s="1">
        <v>45431</v>
      </c>
      <c r="I376" t="s">
        <v>64</v>
      </c>
      <c r="J376" t="s">
        <v>425</v>
      </c>
      <c r="K376">
        <v>3</v>
      </c>
      <c r="N376">
        <v>556</v>
      </c>
      <c r="O376">
        <v>20</v>
      </c>
      <c r="P376" s="1">
        <v>45737</v>
      </c>
      <c r="Q376" s="1"/>
      <c r="R376" t="str">
        <f>IF(Table1[[#This Row],[Actual close date]]="","",Table1[[#This Row],[Actual close date]]-Table1[[#This Row],[Expected close date]])</f>
        <v/>
      </c>
    </row>
    <row r="377" spans="1:18" x14ac:dyDescent="0.25">
      <c r="A377" t="s">
        <v>452</v>
      </c>
      <c r="B377" t="s">
        <v>33</v>
      </c>
      <c r="C377" t="s">
        <v>34</v>
      </c>
      <c r="D377" t="s">
        <v>35</v>
      </c>
      <c r="E377" t="s">
        <v>36</v>
      </c>
      <c r="F377" t="s">
        <v>22</v>
      </c>
      <c r="G377" t="s">
        <v>46</v>
      </c>
      <c r="H377" s="1">
        <v>45340</v>
      </c>
      <c r="I377" t="s">
        <v>64</v>
      </c>
      <c r="J377" t="s">
        <v>425</v>
      </c>
      <c r="K377">
        <v>3</v>
      </c>
      <c r="N377">
        <v>281</v>
      </c>
      <c r="O377">
        <v>20</v>
      </c>
      <c r="P377" s="1">
        <v>45551</v>
      </c>
      <c r="Q377" s="1"/>
      <c r="R377" t="str">
        <f>IF(Table1[[#This Row],[Actual close date]]="","",Table1[[#This Row],[Actual close date]]-Table1[[#This Row],[Expected close date]])</f>
        <v/>
      </c>
    </row>
    <row r="378" spans="1:18" x14ac:dyDescent="0.25">
      <c r="A378" t="s">
        <v>453</v>
      </c>
      <c r="B378" t="s">
        <v>54</v>
      </c>
      <c r="C378" t="s">
        <v>55</v>
      </c>
      <c r="D378" t="s">
        <v>56</v>
      </c>
      <c r="E378" t="s">
        <v>122</v>
      </c>
      <c r="F378" t="s">
        <v>22</v>
      </c>
      <c r="G378" t="s">
        <v>23</v>
      </c>
      <c r="H378" s="1">
        <v>45422</v>
      </c>
      <c r="I378" t="s">
        <v>24</v>
      </c>
      <c r="J378" t="s">
        <v>425</v>
      </c>
      <c r="K378">
        <v>3</v>
      </c>
      <c r="N378">
        <v>598</v>
      </c>
      <c r="O378">
        <v>40</v>
      </c>
      <c r="P378" s="1">
        <v>45637</v>
      </c>
      <c r="Q378" s="1"/>
      <c r="R378" t="str">
        <f>IF(Table1[[#This Row],[Actual close date]]="","",Table1[[#This Row],[Actual close date]]-Table1[[#This Row],[Expected close date]])</f>
        <v/>
      </c>
    </row>
    <row r="379" spans="1:18" x14ac:dyDescent="0.25">
      <c r="A379" t="s">
        <v>454</v>
      </c>
      <c r="B379" t="s">
        <v>54</v>
      </c>
      <c r="C379" t="s">
        <v>55</v>
      </c>
      <c r="D379" t="s">
        <v>56</v>
      </c>
      <c r="E379" t="s">
        <v>21</v>
      </c>
      <c r="F379" t="s">
        <v>22</v>
      </c>
      <c r="G379" t="s">
        <v>31</v>
      </c>
      <c r="H379" s="1">
        <v>45386</v>
      </c>
      <c r="I379" t="s">
        <v>64</v>
      </c>
      <c r="J379" t="s">
        <v>425</v>
      </c>
      <c r="K379">
        <v>3</v>
      </c>
      <c r="N379">
        <v>1896</v>
      </c>
      <c r="O379">
        <v>100</v>
      </c>
      <c r="P379" s="1">
        <v>45654</v>
      </c>
      <c r="Q379" s="1"/>
      <c r="R379" t="str">
        <f>IF(Table1[[#This Row],[Actual close date]]="","",Table1[[#This Row],[Actual close date]]-Table1[[#This Row],[Expected close date]])</f>
        <v/>
      </c>
    </row>
    <row r="380" spans="1:18" x14ac:dyDescent="0.25">
      <c r="A380" t="s">
        <v>455</v>
      </c>
      <c r="B380" t="s">
        <v>27</v>
      </c>
      <c r="C380" t="s">
        <v>28</v>
      </c>
      <c r="D380" t="s">
        <v>29</v>
      </c>
      <c r="E380" t="s">
        <v>74</v>
      </c>
      <c r="F380" t="s">
        <v>22</v>
      </c>
      <c r="G380" t="s">
        <v>31</v>
      </c>
      <c r="H380" s="1">
        <v>45351</v>
      </c>
      <c r="I380" t="s">
        <v>24</v>
      </c>
      <c r="J380" t="s">
        <v>425</v>
      </c>
      <c r="K380">
        <v>3</v>
      </c>
      <c r="N380">
        <v>1206</v>
      </c>
      <c r="O380">
        <v>70</v>
      </c>
      <c r="P380" s="1">
        <v>45681</v>
      </c>
      <c r="Q380" s="1"/>
      <c r="R380" t="str">
        <f>IF(Table1[[#This Row],[Actual close date]]="","",Table1[[#This Row],[Actual close date]]-Table1[[#This Row],[Expected close date]])</f>
        <v/>
      </c>
    </row>
    <row r="381" spans="1:18" x14ac:dyDescent="0.25">
      <c r="A381" t="s">
        <v>456</v>
      </c>
      <c r="B381" t="s">
        <v>27</v>
      </c>
      <c r="C381" t="s">
        <v>28</v>
      </c>
      <c r="D381" t="s">
        <v>29</v>
      </c>
      <c r="E381" t="s">
        <v>42</v>
      </c>
      <c r="F381" t="s">
        <v>22</v>
      </c>
      <c r="G381" t="s">
        <v>46</v>
      </c>
      <c r="H381" s="1">
        <v>45367</v>
      </c>
      <c r="I381" t="s">
        <v>64</v>
      </c>
      <c r="J381" t="s">
        <v>425</v>
      </c>
      <c r="K381">
        <v>3</v>
      </c>
      <c r="N381">
        <v>1915</v>
      </c>
      <c r="O381">
        <v>10</v>
      </c>
      <c r="P381" s="1">
        <v>45697</v>
      </c>
      <c r="Q381" s="1"/>
      <c r="R381" t="str">
        <f>IF(Table1[[#This Row],[Actual close date]]="","",Table1[[#This Row],[Actual close date]]-Table1[[#This Row],[Expected close date]])</f>
        <v/>
      </c>
    </row>
    <row r="382" spans="1:18" x14ac:dyDescent="0.25">
      <c r="A382" t="s">
        <v>457</v>
      </c>
      <c r="B382" t="s">
        <v>54</v>
      </c>
      <c r="C382" t="s">
        <v>55</v>
      </c>
      <c r="D382" t="s">
        <v>56</v>
      </c>
      <c r="E382" t="s">
        <v>122</v>
      </c>
      <c r="F382" t="s">
        <v>22</v>
      </c>
      <c r="G382" t="s">
        <v>46</v>
      </c>
      <c r="H382" s="1">
        <v>45333</v>
      </c>
      <c r="I382" t="s">
        <v>64</v>
      </c>
      <c r="J382" t="s">
        <v>425</v>
      </c>
      <c r="K382">
        <v>3</v>
      </c>
      <c r="N382">
        <v>766</v>
      </c>
      <c r="O382">
        <v>30</v>
      </c>
      <c r="P382" s="1">
        <v>45441</v>
      </c>
      <c r="Q382" s="1"/>
      <c r="R382" t="str">
        <f>IF(Table1[[#This Row],[Actual close date]]="","",Table1[[#This Row],[Actual close date]]-Table1[[#This Row],[Expected close date]])</f>
        <v/>
      </c>
    </row>
    <row r="383" spans="1:18" x14ac:dyDescent="0.25">
      <c r="A383" t="s">
        <v>458</v>
      </c>
      <c r="B383" t="s">
        <v>27</v>
      </c>
      <c r="C383" t="s">
        <v>28</v>
      </c>
      <c r="D383" t="s">
        <v>29</v>
      </c>
      <c r="E383" t="s">
        <v>21</v>
      </c>
      <c r="F383" t="s">
        <v>22</v>
      </c>
      <c r="G383" t="s">
        <v>37</v>
      </c>
      <c r="H383" s="1">
        <v>45400</v>
      </c>
      <c r="I383" t="s">
        <v>24</v>
      </c>
      <c r="J383" t="s">
        <v>425</v>
      </c>
      <c r="K383">
        <v>3</v>
      </c>
      <c r="N383">
        <v>1609</v>
      </c>
      <c r="O383">
        <v>80</v>
      </c>
      <c r="P383" s="1">
        <v>45506</v>
      </c>
      <c r="Q383" s="1"/>
      <c r="R383" t="str">
        <f>IF(Table1[[#This Row],[Actual close date]]="","",Table1[[#This Row],[Actual close date]]-Table1[[#This Row],[Expected close date]])</f>
        <v/>
      </c>
    </row>
    <row r="384" spans="1:18" x14ac:dyDescent="0.25">
      <c r="A384" t="s">
        <v>459</v>
      </c>
      <c r="B384" t="s">
        <v>69</v>
      </c>
      <c r="C384" t="s">
        <v>70</v>
      </c>
      <c r="D384" t="s">
        <v>71</v>
      </c>
      <c r="E384" t="s">
        <v>30</v>
      </c>
      <c r="F384" t="s">
        <v>22</v>
      </c>
      <c r="G384" t="s">
        <v>57</v>
      </c>
      <c r="H384" s="1">
        <v>45374</v>
      </c>
      <c r="I384" t="s">
        <v>24</v>
      </c>
      <c r="J384" t="s">
        <v>425</v>
      </c>
      <c r="K384">
        <v>3</v>
      </c>
      <c r="N384">
        <v>560</v>
      </c>
      <c r="O384">
        <v>60</v>
      </c>
      <c r="P384" s="1">
        <v>45413</v>
      </c>
      <c r="Q384" s="1"/>
      <c r="R384" t="str">
        <f>IF(Table1[[#This Row],[Actual close date]]="","",Table1[[#This Row],[Actual close date]]-Table1[[#This Row],[Expected close date]])</f>
        <v/>
      </c>
    </row>
    <row r="385" spans="1:18" x14ac:dyDescent="0.25">
      <c r="A385" t="s">
        <v>460</v>
      </c>
      <c r="B385" t="s">
        <v>59</v>
      </c>
      <c r="C385" t="s">
        <v>60</v>
      </c>
      <c r="D385" t="s">
        <v>61</v>
      </c>
      <c r="E385" t="s">
        <v>30</v>
      </c>
      <c r="F385" t="s">
        <v>22</v>
      </c>
      <c r="G385" t="s">
        <v>37</v>
      </c>
      <c r="H385" s="1">
        <v>45293</v>
      </c>
      <c r="I385" t="s">
        <v>64</v>
      </c>
      <c r="J385" t="s">
        <v>425</v>
      </c>
      <c r="K385">
        <v>3</v>
      </c>
      <c r="N385">
        <v>432</v>
      </c>
      <c r="O385">
        <v>20</v>
      </c>
      <c r="P385" s="1">
        <v>45561</v>
      </c>
      <c r="Q385" s="1"/>
      <c r="R385" t="str">
        <f>IF(Table1[[#This Row],[Actual close date]]="","",Table1[[#This Row],[Actual close date]]-Table1[[#This Row],[Expected close date]])</f>
        <v/>
      </c>
    </row>
    <row r="386" spans="1:18" x14ac:dyDescent="0.25">
      <c r="A386" t="s">
        <v>461</v>
      </c>
      <c r="B386" t="s">
        <v>54</v>
      </c>
      <c r="C386" t="s">
        <v>55</v>
      </c>
      <c r="D386" t="s">
        <v>56</v>
      </c>
      <c r="E386" t="s">
        <v>21</v>
      </c>
      <c r="F386" t="s">
        <v>22</v>
      </c>
      <c r="G386" t="s">
        <v>31</v>
      </c>
      <c r="H386" s="1">
        <v>45432</v>
      </c>
      <c r="I386" t="s">
        <v>24</v>
      </c>
      <c r="J386" t="s">
        <v>425</v>
      </c>
      <c r="K386">
        <v>3</v>
      </c>
      <c r="N386">
        <v>625</v>
      </c>
      <c r="O386">
        <v>90</v>
      </c>
      <c r="P386" s="1">
        <v>45467</v>
      </c>
      <c r="Q386" s="1"/>
      <c r="R386" t="str">
        <f>IF(Table1[[#This Row],[Actual close date]]="","",Table1[[#This Row],[Actual close date]]-Table1[[#This Row],[Expected close date]])</f>
        <v/>
      </c>
    </row>
    <row r="387" spans="1:18" x14ac:dyDescent="0.25">
      <c r="A387" t="s">
        <v>462</v>
      </c>
      <c r="B387" t="s">
        <v>49</v>
      </c>
      <c r="C387" t="s">
        <v>50</v>
      </c>
      <c r="D387" t="s">
        <v>51</v>
      </c>
      <c r="E387" t="s">
        <v>101</v>
      </c>
      <c r="F387" t="s">
        <v>22</v>
      </c>
      <c r="G387" t="s">
        <v>37</v>
      </c>
      <c r="H387" s="1">
        <v>45386</v>
      </c>
      <c r="I387" t="s">
        <v>64</v>
      </c>
      <c r="J387" t="s">
        <v>425</v>
      </c>
      <c r="K387">
        <v>3</v>
      </c>
      <c r="N387">
        <v>980</v>
      </c>
      <c r="O387">
        <v>30</v>
      </c>
      <c r="P387" s="1">
        <v>45468</v>
      </c>
      <c r="Q387" s="1"/>
      <c r="R387" t="str">
        <f>IF(Table1[[#This Row],[Actual close date]]="","",Table1[[#This Row],[Actual close date]]-Table1[[#This Row],[Expected close date]])</f>
        <v/>
      </c>
    </row>
    <row r="388" spans="1:18" x14ac:dyDescent="0.25">
      <c r="A388" t="s">
        <v>463</v>
      </c>
      <c r="B388" t="s">
        <v>33</v>
      </c>
      <c r="C388" t="s">
        <v>34</v>
      </c>
      <c r="D388" t="s">
        <v>35</v>
      </c>
      <c r="E388" t="s">
        <v>45</v>
      </c>
      <c r="F388" t="s">
        <v>22</v>
      </c>
      <c r="G388" t="s">
        <v>83</v>
      </c>
      <c r="H388" s="1">
        <v>45384</v>
      </c>
      <c r="I388" t="s">
        <v>24</v>
      </c>
      <c r="J388" t="s">
        <v>425</v>
      </c>
      <c r="K388">
        <v>3</v>
      </c>
      <c r="N388">
        <v>1471</v>
      </c>
      <c r="O388">
        <v>40</v>
      </c>
      <c r="P388" s="1">
        <v>45711</v>
      </c>
      <c r="Q388" s="1"/>
      <c r="R388" t="str">
        <f>IF(Table1[[#This Row],[Actual close date]]="","",Table1[[#This Row],[Actual close date]]-Table1[[#This Row],[Expected close date]])</f>
        <v/>
      </c>
    </row>
    <row r="389" spans="1:18" x14ac:dyDescent="0.25">
      <c r="A389" t="s">
        <v>464</v>
      </c>
      <c r="B389" t="s">
        <v>27</v>
      </c>
      <c r="C389" t="s">
        <v>28</v>
      </c>
      <c r="D389" t="s">
        <v>29</v>
      </c>
      <c r="E389" t="s">
        <v>101</v>
      </c>
      <c r="F389" t="s">
        <v>22</v>
      </c>
      <c r="G389" t="s">
        <v>37</v>
      </c>
      <c r="H389" s="1">
        <v>45402</v>
      </c>
      <c r="I389" t="s">
        <v>24</v>
      </c>
      <c r="J389" t="s">
        <v>425</v>
      </c>
      <c r="K389">
        <v>3</v>
      </c>
      <c r="N389">
        <v>900</v>
      </c>
      <c r="O389">
        <v>40</v>
      </c>
      <c r="P389" s="1">
        <v>45474</v>
      </c>
      <c r="Q389" s="1"/>
      <c r="R389" t="str">
        <f>IF(Table1[[#This Row],[Actual close date]]="","",Table1[[#This Row],[Actual close date]]-Table1[[#This Row],[Expected close date]])</f>
        <v/>
      </c>
    </row>
    <row r="390" spans="1:18" x14ac:dyDescent="0.25">
      <c r="A390" t="s">
        <v>465</v>
      </c>
      <c r="B390" t="s">
        <v>39</v>
      </c>
      <c r="C390" t="s">
        <v>40</v>
      </c>
      <c r="D390" t="s">
        <v>41</v>
      </c>
      <c r="E390" t="s">
        <v>74</v>
      </c>
      <c r="F390" t="s">
        <v>22</v>
      </c>
      <c r="G390" t="s">
        <v>83</v>
      </c>
      <c r="H390" s="1">
        <v>45319</v>
      </c>
      <c r="I390" t="s">
        <v>24</v>
      </c>
      <c r="J390" t="s">
        <v>425</v>
      </c>
      <c r="K390">
        <v>3</v>
      </c>
      <c r="N390">
        <v>1289</v>
      </c>
      <c r="O390">
        <v>60</v>
      </c>
      <c r="P390" s="1">
        <v>45498</v>
      </c>
      <c r="Q390" s="1"/>
      <c r="R390" t="str">
        <f>IF(Table1[[#This Row],[Actual close date]]="","",Table1[[#This Row],[Actual close date]]-Table1[[#This Row],[Expected close date]])</f>
        <v/>
      </c>
    </row>
    <row r="391" spans="1:18" x14ac:dyDescent="0.25">
      <c r="A391" t="s">
        <v>466</v>
      </c>
      <c r="B391" t="s">
        <v>59</v>
      </c>
      <c r="C391" t="s">
        <v>60</v>
      </c>
      <c r="D391" t="s">
        <v>61</v>
      </c>
      <c r="E391" t="s">
        <v>98</v>
      </c>
      <c r="F391" t="s">
        <v>22</v>
      </c>
      <c r="G391" t="s">
        <v>23</v>
      </c>
      <c r="H391" s="1">
        <v>45443</v>
      </c>
      <c r="I391" t="s">
        <v>47</v>
      </c>
      <c r="J391" t="s">
        <v>425</v>
      </c>
      <c r="K391">
        <v>3</v>
      </c>
      <c r="N391">
        <v>250</v>
      </c>
      <c r="O391">
        <v>20</v>
      </c>
      <c r="P391" s="1">
        <v>45659</v>
      </c>
      <c r="Q391" s="1"/>
      <c r="R391" t="str">
        <f>IF(Table1[[#This Row],[Actual close date]]="","",Table1[[#This Row],[Actual close date]]-Table1[[#This Row],[Expected close date]])</f>
        <v/>
      </c>
    </row>
    <row r="392" spans="1:18" x14ac:dyDescent="0.25">
      <c r="A392" t="s">
        <v>467</v>
      </c>
      <c r="B392" t="s">
        <v>59</v>
      </c>
      <c r="C392" t="s">
        <v>60</v>
      </c>
      <c r="D392" t="s">
        <v>61</v>
      </c>
      <c r="E392" t="s">
        <v>52</v>
      </c>
      <c r="F392" t="s">
        <v>22</v>
      </c>
      <c r="G392" t="s">
        <v>85</v>
      </c>
      <c r="H392" s="1">
        <v>45327</v>
      </c>
      <c r="I392" t="s">
        <v>64</v>
      </c>
      <c r="J392" t="s">
        <v>425</v>
      </c>
      <c r="K392">
        <v>3</v>
      </c>
      <c r="N392">
        <v>657</v>
      </c>
      <c r="O392">
        <v>40</v>
      </c>
      <c r="P392" s="1">
        <v>45405</v>
      </c>
      <c r="Q392" s="1"/>
      <c r="R392" t="str">
        <f>IF(Table1[[#This Row],[Actual close date]]="","",Table1[[#This Row],[Actual close date]]-Table1[[#This Row],[Expected close date]])</f>
        <v/>
      </c>
    </row>
    <row r="393" spans="1:18" x14ac:dyDescent="0.25">
      <c r="A393" t="s">
        <v>468</v>
      </c>
      <c r="B393" t="s">
        <v>39</v>
      </c>
      <c r="C393" t="s">
        <v>40</v>
      </c>
      <c r="D393" t="s">
        <v>41</v>
      </c>
      <c r="E393" t="s">
        <v>74</v>
      </c>
      <c r="F393" t="s">
        <v>22</v>
      </c>
      <c r="G393" t="s">
        <v>83</v>
      </c>
      <c r="H393" s="1">
        <v>45309</v>
      </c>
      <c r="I393" t="s">
        <v>64</v>
      </c>
      <c r="J393" t="s">
        <v>425</v>
      </c>
      <c r="K393">
        <v>3</v>
      </c>
      <c r="N393">
        <v>1258</v>
      </c>
      <c r="O393">
        <v>60</v>
      </c>
      <c r="P393" s="1">
        <v>45444</v>
      </c>
      <c r="Q393" s="1"/>
      <c r="R393" t="str">
        <f>IF(Table1[[#This Row],[Actual close date]]="","",Table1[[#This Row],[Actual close date]]-Table1[[#This Row],[Expected close date]])</f>
        <v/>
      </c>
    </row>
    <row r="394" spans="1:18" x14ac:dyDescent="0.25">
      <c r="A394" t="s">
        <v>469</v>
      </c>
      <c r="B394" t="s">
        <v>76</v>
      </c>
      <c r="C394" t="s">
        <v>77</v>
      </c>
      <c r="D394" t="s">
        <v>78</v>
      </c>
      <c r="E394" t="s">
        <v>36</v>
      </c>
      <c r="F394" t="s">
        <v>22</v>
      </c>
      <c r="G394" t="s">
        <v>57</v>
      </c>
      <c r="H394" s="1">
        <v>45415</v>
      </c>
      <c r="I394" t="s">
        <v>64</v>
      </c>
      <c r="J394" t="s">
        <v>425</v>
      </c>
      <c r="K394">
        <v>3</v>
      </c>
      <c r="N394">
        <v>360</v>
      </c>
      <c r="O394">
        <v>30</v>
      </c>
      <c r="P394" s="1">
        <v>45465</v>
      </c>
      <c r="Q394" s="1"/>
      <c r="R394" t="str">
        <f>IF(Table1[[#This Row],[Actual close date]]="","",Table1[[#This Row],[Actual close date]]-Table1[[#This Row],[Expected close date]])</f>
        <v/>
      </c>
    </row>
    <row r="395" spans="1:18" x14ac:dyDescent="0.25">
      <c r="A395" t="s">
        <v>470</v>
      </c>
      <c r="B395" t="s">
        <v>59</v>
      </c>
      <c r="C395" t="s">
        <v>60</v>
      </c>
      <c r="D395" t="s">
        <v>61</v>
      </c>
      <c r="E395" t="s">
        <v>122</v>
      </c>
      <c r="F395" t="s">
        <v>22</v>
      </c>
      <c r="G395" t="s">
        <v>37</v>
      </c>
      <c r="H395" s="1">
        <v>45400</v>
      </c>
      <c r="I395" t="s">
        <v>24</v>
      </c>
      <c r="J395" t="s">
        <v>425</v>
      </c>
      <c r="K395">
        <v>3</v>
      </c>
      <c r="N395">
        <v>1626</v>
      </c>
      <c r="O395">
        <v>50</v>
      </c>
      <c r="P395" s="1">
        <v>45518</v>
      </c>
      <c r="Q395" s="1"/>
      <c r="R395" t="str">
        <f>IF(Table1[[#This Row],[Actual close date]]="","",Table1[[#This Row],[Actual close date]]-Table1[[#This Row],[Expected close date]])</f>
        <v/>
      </c>
    </row>
    <row r="396" spans="1:18" x14ac:dyDescent="0.25">
      <c r="A396" t="s">
        <v>471</v>
      </c>
      <c r="B396" t="s">
        <v>33</v>
      </c>
      <c r="C396" t="s">
        <v>34</v>
      </c>
      <c r="D396" t="s">
        <v>35</v>
      </c>
      <c r="E396" t="s">
        <v>82</v>
      </c>
      <c r="F396" t="s">
        <v>22</v>
      </c>
      <c r="G396" t="s">
        <v>57</v>
      </c>
      <c r="H396" s="1">
        <v>45337</v>
      </c>
      <c r="I396" t="s">
        <v>24</v>
      </c>
      <c r="J396" t="s">
        <v>425</v>
      </c>
      <c r="K396">
        <v>3</v>
      </c>
      <c r="N396">
        <v>472</v>
      </c>
      <c r="O396">
        <v>50</v>
      </c>
      <c r="P396" s="1">
        <v>45571</v>
      </c>
      <c r="Q396" s="1"/>
      <c r="R396" t="str">
        <f>IF(Table1[[#This Row],[Actual close date]]="","",Table1[[#This Row],[Actual close date]]-Table1[[#This Row],[Expected close date]])</f>
        <v/>
      </c>
    </row>
    <row r="397" spans="1:18" x14ac:dyDescent="0.25">
      <c r="A397" t="s">
        <v>472</v>
      </c>
      <c r="B397" t="s">
        <v>69</v>
      </c>
      <c r="C397" t="s">
        <v>70</v>
      </c>
      <c r="D397" t="s">
        <v>71</v>
      </c>
      <c r="E397" t="s">
        <v>45</v>
      </c>
      <c r="F397" t="s">
        <v>22</v>
      </c>
      <c r="G397" t="s">
        <v>31</v>
      </c>
      <c r="H397" s="1">
        <v>45420</v>
      </c>
      <c r="I397" t="s">
        <v>64</v>
      </c>
      <c r="J397" t="s">
        <v>425</v>
      </c>
      <c r="K397">
        <v>3</v>
      </c>
      <c r="N397">
        <v>727</v>
      </c>
      <c r="O397">
        <v>40</v>
      </c>
      <c r="P397" s="1">
        <v>45585</v>
      </c>
      <c r="Q397" s="1"/>
      <c r="R397" t="str">
        <f>IF(Table1[[#This Row],[Actual close date]]="","",Table1[[#This Row],[Actual close date]]-Table1[[#This Row],[Expected close date]])</f>
        <v/>
      </c>
    </row>
    <row r="398" spans="1:18" x14ac:dyDescent="0.25">
      <c r="A398" t="s">
        <v>473</v>
      </c>
      <c r="B398" t="s">
        <v>54</v>
      </c>
      <c r="C398" t="s">
        <v>55</v>
      </c>
      <c r="D398" t="s">
        <v>56</v>
      </c>
      <c r="E398" t="s">
        <v>42</v>
      </c>
      <c r="F398" t="s">
        <v>22</v>
      </c>
      <c r="G398" t="s">
        <v>57</v>
      </c>
      <c r="H398" s="1">
        <v>45320</v>
      </c>
      <c r="I398" t="s">
        <v>47</v>
      </c>
      <c r="J398" t="s">
        <v>425</v>
      </c>
      <c r="K398">
        <v>3</v>
      </c>
      <c r="N398">
        <v>1801</v>
      </c>
      <c r="O398">
        <v>90</v>
      </c>
      <c r="P398" s="1">
        <v>45476</v>
      </c>
      <c r="Q398" s="1"/>
      <c r="R398" t="str">
        <f>IF(Table1[[#This Row],[Actual close date]]="","",Table1[[#This Row],[Actual close date]]-Table1[[#This Row],[Expected close date]])</f>
        <v/>
      </c>
    </row>
    <row r="399" spans="1:18" x14ac:dyDescent="0.25">
      <c r="A399" t="s">
        <v>474</v>
      </c>
      <c r="B399" t="s">
        <v>54</v>
      </c>
      <c r="C399" t="s">
        <v>55</v>
      </c>
      <c r="D399" t="s">
        <v>56</v>
      </c>
      <c r="E399" t="s">
        <v>118</v>
      </c>
      <c r="F399" t="s">
        <v>125</v>
      </c>
      <c r="G399" t="s">
        <v>46</v>
      </c>
      <c r="H399" s="1">
        <v>45370</v>
      </c>
      <c r="I399" t="s">
        <v>24</v>
      </c>
      <c r="J399" t="s">
        <v>425</v>
      </c>
      <c r="K399">
        <v>3</v>
      </c>
      <c r="N399">
        <v>926</v>
      </c>
      <c r="O399">
        <v>30</v>
      </c>
      <c r="P399" s="1">
        <v>45713</v>
      </c>
      <c r="Q399" s="1"/>
      <c r="R399" t="str">
        <f>IF(Table1[[#This Row],[Actual close date]]="","",Table1[[#This Row],[Actual close date]]-Table1[[#This Row],[Expected close date]])</f>
        <v/>
      </c>
    </row>
    <row r="400" spans="1:18" x14ac:dyDescent="0.25">
      <c r="A400" t="s">
        <v>475</v>
      </c>
      <c r="B400" t="s">
        <v>33</v>
      </c>
      <c r="C400" t="s">
        <v>34</v>
      </c>
      <c r="D400" t="s">
        <v>35</v>
      </c>
      <c r="E400" t="s">
        <v>101</v>
      </c>
      <c r="F400" t="s">
        <v>125</v>
      </c>
      <c r="G400" t="s">
        <v>46</v>
      </c>
      <c r="H400" s="1">
        <v>45355</v>
      </c>
      <c r="I400" t="s">
        <v>64</v>
      </c>
      <c r="J400" t="s">
        <v>425</v>
      </c>
      <c r="K400">
        <v>3</v>
      </c>
      <c r="N400">
        <v>438</v>
      </c>
      <c r="O400">
        <v>30</v>
      </c>
      <c r="P400" s="1">
        <v>45505</v>
      </c>
      <c r="Q400" s="1"/>
      <c r="R400" t="str">
        <f>IF(Table1[[#This Row],[Actual close date]]="","",Table1[[#This Row],[Actual close date]]-Table1[[#This Row],[Expected close date]])</f>
        <v/>
      </c>
    </row>
    <row r="401" spans="1:18" x14ac:dyDescent="0.25">
      <c r="A401" t="s">
        <v>476</v>
      </c>
      <c r="B401" t="s">
        <v>33</v>
      </c>
      <c r="C401" t="s">
        <v>34</v>
      </c>
      <c r="D401" t="s">
        <v>35</v>
      </c>
      <c r="E401" t="s">
        <v>82</v>
      </c>
      <c r="F401" t="s">
        <v>125</v>
      </c>
      <c r="G401" t="s">
        <v>57</v>
      </c>
      <c r="H401" s="1">
        <v>45296</v>
      </c>
      <c r="I401" t="s">
        <v>64</v>
      </c>
      <c r="J401" t="s">
        <v>425</v>
      </c>
      <c r="K401">
        <v>3</v>
      </c>
      <c r="N401">
        <v>577</v>
      </c>
      <c r="O401">
        <v>30</v>
      </c>
      <c r="P401" s="1">
        <v>45472</v>
      </c>
      <c r="Q401" s="1"/>
      <c r="R401" t="str">
        <f>IF(Table1[[#This Row],[Actual close date]]="","",Table1[[#This Row],[Actual close date]]-Table1[[#This Row],[Expected close date]])</f>
        <v/>
      </c>
    </row>
    <row r="402" spans="1:18" x14ac:dyDescent="0.25">
      <c r="A402" t="s">
        <v>477</v>
      </c>
      <c r="B402" t="s">
        <v>39</v>
      </c>
      <c r="C402" t="s">
        <v>40</v>
      </c>
      <c r="D402" t="s">
        <v>41</v>
      </c>
      <c r="E402" t="s">
        <v>74</v>
      </c>
      <c r="F402" t="s">
        <v>125</v>
      </c>
      <c r="G402" t="s">
        <v>37</v>
      </c>
      <c r="H402" s="1">
        <v>45369</v>
      </c>
      <c r="I402" t="s">
        <v>64</v>
      </c>
      <c r="J402" t="s">
        <v>425</v>
      </c>
      <c r="K402">
        <v>3</v>
      </c>
      <c r="N402">
        <v>530</v>
      </c>
      <c r="O402">
        <v>40</v>
      </c>
      <c r="P402" s="1">
        <v>45684</v>
      </c>
      <c r="Q402" s="1"/>
      <c r="R402" t="str">
        <f>IF(Table1[[#This Row],[Actual close date]]="","",Table1[[#This Row],[Actual close date]]-Table1[[#This Row],[Expected close date]])</f>
        <v/>
      </c>
    </row>
    <row r="403" spans="1:18" x14ac:dyDescent="0.25">
      <c r="A403" t="s">
        <v>478</v>
      </c>
      <c r="B403" t="s">
        <v>69</v>
      </c>
      <c r="C403" t="s">
        <v>70</v>
      </c>
      <c r="D403" t="s">
        <v>71</v>
      </c>
      <c r="E403" t="s">
        <v>101</v>
      </c>
      <c r="F403" t="s">
        <v>125</v>
      </c>
      <c r="G403" t="s">
        <v>37</v>
      </c>
      <c r="H403" s="1">
        <v>45293</v>
      </c>
      <c r="I403" t="s">
        <v>24</v>
      </c>
      <c r="J403" t="s">
        <v>425</v>
      </c>
      <c r="K403">
        <v>3</v>
      </c>
      <c r="N403">
        <v>696</v>
      </c>
      <c r="O403">
        <v>60</v>
      </c>
      <c r="P403" s="1">
        <v>45644</v>
      </c>
      <c r="Q403" s="1"/>
      <c r="R403" t="str">
        <f>IF(Table1[[#This Row],[Actual close date]]="","",Table1[[#This Row],[Actual close date]]-Table1[[#This Row],[Expected close date]])</f>
        <v/>
      </c>
    </row>
    <row r="404" spans="1:18" x14ac:dyDescent="0.25">
      <c r="A404" t="s">
        <v>479</v>
      </c>
      <c r="B404" t="s">
        <v>49</v>
      </c>
      <c r="C404" t="s">
        <v>50</v>
      </c>
      <c r="D404" t="s">
        <v>51</v>
      </c>
      <c r="E404" t="s">
        <v>21</v>
      </c>
      <c r="F404" t="s">
        <v>125</v>
      </c>
      <c r="G404" t="s">
        <v>46</v>
      </c>
      <c r="H404" s="1">
        <v>45411</v>
      </c>
      <c r="I404" t="s">
        <v>24</v>
      </c>
      <c r="J404" t="s">
        <v>425</v>
      </c>
      <c r="K404">
        <v>3</v>
      </c>
      <c r="N404">
        <v>214</v>
      </c>
      <c r="O404">
        <v>20</v>
      </c>
      <c r="P404" s="1">
        <v>45433</v>
      </c>
      <c r="Q404" s="1"/>
      <c r="R404" t="str">
        <f>IF(Table1[[#This Row],[Actual close date]]="","",Table1[[#This Row],[Actual close date]]-Table1[[#This Row],[Expected close date]])</f>
        <v/>
      </c>
    </row>
    <row r="405" spans="1:18" x14ac:dyDescent="0.25">
      <c r="A405" t="s">
        <v>480</v>
      </c>
      <c r="B405" t="s">
        <v>33</v>
      </c>
      <c r="C405" t="s">
        <v>34</v>
      </c>
      <c r="D405" t="s">
        <v>35</v>
      </c>
      <c r="E405" t="s">
        <v>66</v>
      </c>
      <c r="F405" t="s">
        <v>125</v>
      </c>
      <c r="G405" t="s">
        <v>83</v>
      </c>
      <c r="H405" s="1">
        <v>45398</v>
      </c>
      <c r="I405" t="s">
        <v>24</v>
      </c>
      <c r="J405" t="s">
        <v>425</v>
      </c>
      <c r="K405">
        <v>3</v>
      </c>
      <c r="N405">
        <v>744</v>
      </c>
      <c r="O405">
        <v>30</v>
      </c>
      <c r="P405" s="1">
        <v>45648</v>
      </c>
      <c r="Q405" s="1"/>
      <c r="R405" t="str">
        <f>IF(Table1[[#This Row],[Actual close date]]="","",Table1[[#This Row],[Actual close date]]-Table1[[#This Row],[Expected close date]])</f>
        <v/>
      </c>
    </row>
    <row r="406" spans="1:18" x14ac:dyDescent="0.25">
      <c r="A406" t="s">
        <v>481</v>
      </c>
      <c r="B406" t="s">
        <v>49</v>
      </c>
      <c r="C406" t="s">
        <v>50</v>
      </c>
      <c r="D406" t="s">
        <v>51</v>
      </c>
      <c r="E406" t="s">
        <v>30</v>
      </c>
      <c r="F406" t="s">
        <v>125</v>
      </c>
      <c r="G406" t="s">
        <v>57</v>
      </c>
      <c r="H406" s="1">
        <v>45336</v>
      </c>
      <c r="I406" t="s">
        <v>64</v>
      </c>
      <c r="J406" t="s">
        <v>425</v>
      </c>
      <c r="K406">
        <v>3</v>
      </c>
      <c r="N406">
        <v>368</v>
      </c>
      <c r="O406">
        <v>50</v>
      </c>
      <c r="P406" s="1">
        <v>45496</v>
      </c>
      <c r="Q406" s="1"/>
      <c r="R406" t="str">
        <f>IF(Table1[[#This Row],[Actual close date]]="","",Table1[[#This Row],[Actual close date]]-Table1[[#This Row],[Expected close date]])</f>
        <v/>
      </c>
    </row>
    <row r="407" spans="1:18" x14ac:dyDescent="0.25">
      <c r="A407" t="s">
        <v>482</v>
      </c>
      <c r="B407" t="s">
        <v>18</v>
      </c>
      <c r="C407" t="s">
        <v>19</v>
      </c>
      <c r="D407" t="s">
        <v>20</v>
      </c>
      <c r="E407" t="s">
        <v>21</v>
      </c>
      <c r="F407" t="s">
        <v>125</v>
      </c>
      <c r="G407" t="s">
        <v>72</v>
      </c>
      <c r="H407" s="1">
        <v>45397</v>
      </c>
      <c r="I407" t="s">
        <v>64</v>
      </c>
      <c r="J407" t="s">
        <v>425</v>
      </c>
      <c r="K407">
        <v>3</v>
      </c>
      <c r="N407">
        <v>963</v>
      </c>
      <c r="O407">
        <v>30</v>
      </c>
      <c r="P407" s="1">
        <v>45616</v>
      </c>
      <c r="Q407" s="1"/>
      <c r="R407" t="str">
        <f>IF(Table1[[#This Row],[Actual close date]]="","",Table1[[#This Row],[Actual close date]]-Table1[[#This Row],[Expected close date]])</f>
        <v/>
      </c>
    </row>
    <row r="408" spans="1:18" x14ac:dyDescent="0.25">
      <c r="A408" t="s">
        <v>483</v>
      </c>
      <c r="B408" t="s">
        <v>39</v>
      </c>
      <c r="C408" t="s">
        <v>40</v>
      </c>
      <c r="D408" t="s">
        <v>41</v>
      </c>
      <c r="E408" t="s">
        <v>45</v>
      </c>
      <c r="F408" t="s">
        <v>125</v>
      </c>
      <c r="G408" t="s">
        <v>46</v>
      </c>
      <c r="H408" s="1">
        <v>45420</v>
      </c>
      <c r="I408" t="s">
        <v>64</v>
      </c>
      <c r="J408" t="s">
        <v>425</v>
      </c>
      <c r="K408">
        <v>3</v>
      </c>
      <c r="N408">
        <v>960</v>
      </c>
      <c r="O408">
        <v>50</v>
      </c>
      <c r="P408" s="1">
        <v>45700</v>
      </c>
      <c r="Q408" s="1"/>
      <c r="R408" t="str">
        <f>IF(Table1[[#This Row],[Actual close date]]="","",Table1[[#This Row],[Actual close date]]-Table1[[#This Row],[Expected close date]])</f>
        <v/>
      </c>
    </row>
    <row r="409" spans="1:18" x14ac:dyDescent="0.25">
      <c r="A409" t="s">
        <v>484</v>
      </c>
      <c r="B409" t="s">
        <v>59</v>
      </c>
      <c r="C409" t="s">
        <v>60</v>
      </c>
      <c r="D409" t="s">
        <v>61</v>
      </c>
      <c r="E409" t="s">
        <v>122</v>
      </c>
      <c r="F409" t="s">
        <v>125</v>
      </c>
      <c r="G409" t="s">
        <v>37</v>
      </c>
      <c r="H409" s="1">
        <v>45402</v>
      </c>
      <c r="I409" t="s">
        <v>24</v>
      </c>
      <c r="J409" t="s">
        <v>425</v>
      </c>
      <c r="K409">
        <v>3</v>
      </c>
      <c r="N409">
        <v>1053</v>
      </c>
      <c r="O409">
        <v>10</v>
      </c>
      <c r="P409" s="1">
        <v>45533</v>
      </c>
      <c r="Q409" s="1"/>
      <c r="R409" t="str">
        <f>IF(Table1[[#This Row],[Actual close date]]="","",Table1[[#This Row],[Actual close date]]-Table1[[#This Row],[Expected close date]])</f>
        <v/>
      </c>
    </row>
    <row r="410" spans="1:18" x14ac:dyDescent="0.25">
      <c r="A410" t="s">
        <v>485</v>
      </c>
      <c r="B410" t="s">
        <v>54</v>
      </c>
      <c r="C410" t="s">
        <v>55</v>
      </c>
      <c r="D410" t="s">
        <v>56</v>
      </c>
      <c r="E410" t="s">
        <v>118</v>
      </c>
      <c r="F410" t="s">
        <v>125</v>
      </c>
      <c r="G410" t="s">
        <v>83</v>
      </c>
      <c r="H410" s="1">
        <v>45425</v>
      </c>
      <c r="I410" t="s">
        <v>24</v>
      </c>
      <c r="J410" t="s">
        <v>425</v>
      </c>
      <c r="K410">
        <v>3</v>
      </c>
      <c r="N410">
        <v>1035</v>
      </c>
      <c r="O410">
        <v>50</v>
      </c>
      <c r="P410" s="1">
        <v>45662</v>
      </c>
      <c r="Q410" s="1"/>
      <c r="R410" t="str">
        <f>IF(Table1[[#This Row],[Actual close date]]="","",Table1[[#This Row],[Actual close date]]-Table1[[#This Row],[Expected close date]])</f>
        <v/>
      </c>
    </row>
    <row r="411" spans="1:18" x14ac:dyDescent="0.25">
      <c r="A411" t="s">
        <v>486</v>
      </c>
      <c r="B411" t="s">
        <v>59</v>
      </c>
      <c r="C411" t="s">
        <v>60</v>
      </c>
      <c r="D411" t="s">
        <v>61</v>
      </c>
      <c r="E411" t="s">
        <v>82</v>
      </c>
      <c r="F411" t="s">
        <v>125</v>
      </c>
      <c r="G411" t="s">
        <v>85</v>
      </c>
      <c r="H411" s="1">
        <v>45385</v>
      </c>
      <c r="I411" t="s">
        <v>24</v>
      </c>
      <c r="J411" t="s">
        <v>425</v>
      </c>
      <c r="K411">
        <v>3</v>
      </c>
      <c r="N411">
        <v>951</v>
      </c>
      <c r="O411">
        <v>50</v>
      </c>
      <c r="P411" s="1">
        <v>45718</v>
      </c>
      <c r="Q411" s="1"/>
      <c r="R411" t="str">
        <f>IF(Table1[[#This Row],[Actual close date]]="","",Table1[[#This Row],[Actual close date]]-Table1[[#This Row],[Expected close date]])</f>
        <v/>
      </c>
    </row>
    <row r="412" spans="1:18" x14ac:dyDescent="0.25">
      <c r="A412" t="s">
        <v>487</v>
      </c>
      <c r="B412" t="s">
        <v>54</v>
      </c>
      <c r="C412" t="s">
        <v>55</v>
      </c>
      <c r="D412" t="s">
        <v>56</v>
      </c>
      <c r="E412" t="s">
        <v>42</v>
      </c>
      <c r="F412" t="s">
        <v>125</v>
      </c>
      <c r="G412" t="s">
        <v>46</v>
      </c>
      <c r="H412" s="1">
        <v>45417</v>
      </c>
      <c r="I412" t="s">
        <v>24</v>
      </c>
      <c r="J412" t="s">
        <v>425</v>
      </c>
      <c r="K412">
        <v>3</v>
      </c>
      <c r="N412">
        <v>788</v>
      </c>
      <c r="O412">
        <v>20</v>
      </c>
      <c r="P412" s="1">
        <v>45718</v>
      </c>
      <c r="Q412" s="1"/>
      <c r="R412" t="str">
        <f>IF(Table1[[#This Row],[Actual close date]]="","",Table1[[#This Row],[Actual close date]]-Table1[[#This Row],[Expected close date]])</f>
        <v/>
      </c>
    </row>
    <row r="413" spans="1:18" x14ac:dyDescent="0.25">
      <c r="A413" t="s">
        <v>488</v>
      </c>
      <c r="B413" t="s">
        <v>59</v>
      </c>
      <c r="C413" t="s">
        <v>60</v>
      </c>
      <c r="D413" t="s">
        <v>61</v>
      </c>
      <c r="E413" t="s">
        <v>21</v>
      </c>
      <c r="F413" t="s">
        <v>125</v>
      </c>
      <c r="G413" t="s">
        <v>46</v>
      </c>
      <c r="H413" s="1">
        <v>45314</v>
      </c>
      <c r="I413" t="s">
        <v>47</v>
      </c>
      <c r="J413" t="s">
        <v>425</v>
      </c>
      <c r="K413">
        <v>3</v>
      </c>
      <c r="N413">
        <v>674</v>
      </c>
      <c r="O413">
        <v>50</v>
      </c>
      <c r="P413" s="1">
        <v>45448</v>
      </c>
      <c r="Q413" s="1"/>
      <c r="R413" t="str">
        <f>IF(Table1[[#This Row],[Actual close date]]="","",Table1[[#This Row],[Actual close date]]-Table1[[#This Row],[Expected close date]])</f>
        <v/>
      </c>
    </row>
    <row r="414" spans="1:18" x14ac:dyDescent="0.25">
      <c r="A414" t="s">
        <v>489</v>
      </c>
      <c r="B414" t="s">
        <v>59</v>
      </c>
      <c r="C414" t="s">
        <v>60</v>
      </c>
      <c r="D414" t="s">
        <v>61</v>
      </c>
      <c r="E414" t="s">
        <v>98</v>
      </c>
      <c r="F414" t="s">
        <v>125</v>
      </c>
      <c r="G414" t="s">
        <v>23</v>
      </c>
      <c r="H414" s="1">
        <v>45319</v>
      </c>
      <c r="I414" t="s">
        <v>64</v>
      </c>
      <c r="J414" t="s">
        <v>425</v>
      </c>
      <c r="K414">
        <v>3</v>
      </c>
      <c r="N414">
        <v>1140</v>
      </c>
      <c r="O414">
        <v>20</v>
      </c>
      <c r="P414" s="1">
        <v>45358</v>
      </c>
      <c r="Q414" s="1"/>
      <c r="R414" t="str">
        <f>IF(Table1[[#This Row],[Actual close date]]="","",Table1[[#This Row],[Actual close date]]-Table1[[#This Row],[Expected close date]])</f>
        <v/>
      </c>
    </row>
    <row r="415" spans="1:18" x14ac:dyDescent="0.25">
      <c r="A415" t="s">
        <v>490</v>
      </c>
      <c r="B415" t="s">
        <v>54</v>
      </c>
      <c r="C415" t="s">
        <v>55</v>
      </c>
      <c r="D415" t="s">
        <v>56</v>
      </c>
      <c r="E415" t="s">
        <v>101</v>
      </c>
      <c r="F415" t="s">
        <v>125</v>
      </c>
      <c r="G415" t="s">
        <v>72</v>
      </c>
      <c r="H415" s="1">
        <v>45404</v>
      </c>
      <c r="I415" t="s">
        <v>64</v>
      </c>
      <c r="J415" t="s">
        <v>425</v>
      </c>
      <c r="K415">
        <v>3</v>
      </c>
      <c r="N415">
        <v>1087</v>
      </c>
      <c r="O415">
        <v>90</v>
      </c>
      <c r="P415" s="1">
        <v>45598</v>
      </c>
      <c r="Q415" s="1"/>
      <c r="R415" t="str">
        <f>IF(Table1[[#This Row],[Actual close date]]="","",Table1[[#This Row],[Actual close date]]-Table1[[#This Row],[Expected close date]])</f>
        <v/>
      </c>
    </row>
    <row r="416" spans="1:18" x14ac:dyDescent="0.25">
      <c r="A416" t="s">
        <v>491</v>
      </c>
      <c r="B416" t="s">
        <v>33</v>
      </c>
      <c r="C416" t="s">
        <v>34</v>
      </c>
      <c r="D416" t="s">
        <v>35</v>
      </c>
      <c r="E416" t="s">
        <v>36</v>
      </c>
      <c r="F416" t="s">
        <v>125</v>
      </c>
      <c r="G416" t="s">
        <v>37</v>
      </c>
      <c r="H416" s="1">
        <v>45415</v>
      </c>
      <c r="I416" t="s">
        <v>64</v>
      </c>
      <c r="J416" t="s">
        <v>425</v>
      </c>
      <c r="K416">
        <v>3</v>
      </c>
      <c r="N416">
        <v>1110</v>
      </c>
      <c r="O416">
        <v>30</v>
      </c>
      <c r="P416" s="1">
        <v>45656</v>
      </c>
      <c r="Q416" s="1"/>
      <c r="R416" t="str">
        <f>IF(Table1[[#This Row],[Actual close date]]="","",Table1[[#This Row],[Actual close date]]-Table1[[#This Row],[Expected close date]])</f>
        <v/>
      </c>
    </row>
    <row r="417" spans="1:18" x14ac:dyDescent="0.25">
      <c r="A417" t="s">
        <v>492</v>
      </c>
      <c r="B417" t="s">
        <v>59</v>
      </c>
      <c r="C417" t="s">
        <v>60</v>
      </c>
      <c r="D417" t="s">
        <v>61</v>
      </c>
      <c r="E417" t="s">
        <v>45</v>
      </c>
      <c r="F417" t="s">
        <v>125</v>
      </c>
      <c r="G417" t="s">
        <v>72</v>
      </c>
      <c r="H417" s="1">
        <v>45329</v>
      </c>
      <c r="I417" t="s">
        <v>24</v>
      </c>
      <c r="J417" t="s">
        <v>425</v>
      </c>
      <c r="K417">
        <v>3</v>
      </c>
      <c r="N417">
        <v>885</v>
      </c>
      <c r="O417">
        <v>70</v>
      </c>
      <c r="P417" s="1">
        <v>45406</v>
      </c>
      <c r="Q417" s="1"/>
      <c r="R417" t="str">
        <f>IF(Table1[[#This Row],[Actual close date]]="","",Table1[[#This Row],[Actual close date]]-Table1[[#This Row],[Expected close date]])</f>
        <v/>
      </c>
    </row>
    <row r="418" spans="1:18" x14ac:dyDescent="0.25">
      <c r="A418" t="s">
        <v>493</v>
      </c>
      <c r="B418" t="s">
        <v>59</v>
      </c>
      <c r="C418" t="s">
        <v>60</v>
      </c>
      <c r="D418" t="s">
        <v>61</v>
      </c>
      <c r="E418" t="s">
        <v>45</v>
      </c>
      <c r="F418" t="s">
        <v>125</v>
      </c>
      <c r="G418" t="s">
        <v>37</v>
      </c>
      <c r="H418" s="1">
        <v>45314</v>
      </c>
      <c r="I418" t="s">
        <v>24</v>
      </c>
      <c r="J418" t="s">
        <v>425</v>
      </c>
      <c r="K418">
        <v>3</v>
      </c>
      <c r="N418">
        <v>1174</v>
      </c>
      <c r="O418">
        <v>60</v>
      </c>
      <c r="P418" s="1">
        <v>45660</v>
      </c>
      <c r="Q418" s="1"/>
      <c r="R418" t="str">
        <f>IF(Table1[[#This Row],[Actual close date]]="","",Table1[[#This Row],[Actual close date]]-Table1[[#This Row],[Expected close date]])</f>
        <v/>
      </c>
    </row>
    <row r="419" spans="1:18" x14ac:dyDescent="0.25">
      <c r="A419" t="s">
        <v>494</v>
      </c>
      <c r="B419" t="s">
        <v>59</v>
      </c>
      <c r="C419" t="s">
        <v>60</v>
      </c>
      <c r="D419" t="s">
        <v>61</v>
      </c>
      <c r="E419" t="s">
        <v>52</v>
      </c>
      <c r="F419" t="s">
        <v>125</v>
      </c>
      <c r="G419" t="s">
        <v>85</v>
      </c>
      <c r="H419" s="1">
        <v>45330</v>
      </c>
      <c r="I419" t="s">
        <v>24</v>
      </c>
      <c r="J419" t="s">
        <v>425</v>
      </c>
      <c r="K419">
        <v>3</v>
      </c>
      <c r="N419">
        <v>350</v>
      </c>
      <c r="O419">
        <v>50</v>
      </c>
      <c r="P419" s="1">
        <v>45437</v>
      </c>
      <c r="Q419" s="1"/>
      <c r="R419" t="str">
        <f>IF(Table1[[#This Row],[Actual close date]]="","",Table1[[#This Row],[Actual close date]]-Table1[[#This Row],[Expected close date]])</f>
        <v/>
      </c>
    </row>
    <row r="420" spans="1:18" x14ac:dyDescent="0.25">
      <c r="A420" t="s">
        <v>495</v>
      </c>
      <c r="B420" t="s">
        <v>33</v>
      </c>
      <c r="C420" t="s">
        <v>34</v>
      </c>
      <c r="D420" t="s">
        <v>35</v>
      </c>
      <c r="E420" t="s">
        <v>98</v>
      </c>
      <c r="F420" t="s">
        <v>125</v>
      </c>
      <c r="G420" t="s">
        <v>57</v>
      </c>
      <c r="H420" s="1">
        <v>45385</v>
      </c>
      <c r="I420" t="s">
        <v>64</v>
      </c>
      <c r="J420" t="s">
        <v>425</v>
      </c>
      <c r="K420">
        <v>3</v>
      </c>
      <c r="N420">
        <v>552</v>
      </c>
      <c r="O420">
        <v>30</v>
      </c>
      <c r="P420" s="1">
        <v>45667</v>
      </c>
      <c r="Q420" s="1"/>
      <c r="R420" t="str">
        <f>IF(Table1[[#This Row],[Actual close date]]="","",Table1[[#This Row],[Actual close date]]-Table1[[#This Row],[Expected close date]])</f>
        <v/>
      </c>
    </row>
    <row r="421" spans="1:18" x14ac:dyDescent="0.25">
      <c r="A421" t="s">
        <v>496</v>
      </c>
      <c r="B421" t="s">
        <v>76</v>
      </c>
      <c r="C421" t="s">
        <v>77</v>
      </c>
      <c r="D421" t="s">
        <v>78</v>
      </c>
      <c r="E421" t="s">
        <v>74</v>
      </c>
      <c r="F421" t="s">
        <v>125</v>
      </c>
      <c r="G421" t="s">
        <v>85</v>
      </c>
      <c r="H421" s="1">
        <v>45431</v>
      </c>
      <c r="I421" t="s">
        <v>47</v>
      </c>
      <c r="J421" t="s">
        <v>425</v>
      </c>
      <c r="K421">
        <v>3</v>
      </c>
      <c r="N421">
        <v>595</v>
      </c>
      <c r="O421">
        <v>40</v>
      </c>
      <c r="P421" s="1">
        <v>45649</v>
      </c>
      <c r="Q421" s="1"/>
      <c r="R421" t="str">
        <f>IF(Table1[[#This Row],[Actual close date]]="","",Table1[[#This Row],[Actual close date]]-Table1[[#This Row],[Expected close date]])</f>
        <v/>
      </c>
    </row>
    <row r="422" spans="1:18" x14ac:dyDescent="0.25">
      <c r="A422" t="s">
        <v>497</v>
      </c>
      <c r="B422" t="s">
        <v>33</v>
      </c>
      <c r="C422" t="s">
        <v>34</v>
      </c>
      <c r="D422" t="s">
        <v>35</v>
      </c>
      <c r="E422" t="s">
        <v>45</v>
      </c>
      <c r="F422" t="s">
        <v>125</v>
      </c>
      <c r="G422" t="s">
        <v>37</v>
      </c>
      <c r="H422" s="1">
        <v>45426</v>
      </c>
      <c r="I422" t="s">
        <v>24</v>
      </c>
      <c r="J422" t="s">
        <v>425</v>
      </c>
      <c r="K422">
        <v>3</v>
      </c>
      <c r="N422">
        <v>341</v>
      </c>
      <c r="O422">
        <v>90</v>
      </c>
      <c r="P422" s="1">
        <v>45740</v>
      </c>
      <c r="Q422" s="1"/>
      <c r="R422" t="str">
        <f>IF(Table1[[#This Row],[Actual close date]]="","",Table1[[#This Row],[Actual close date]]-Table1[[#This Row],[Expected close date]])</f>
        <v/>
      </c>
    </row>
    <row r="423" spans="1:18" x14ac:dyDescent="0.25">
      <c r="A423" t="s">
        <v>498</v>
      </c>
      <c r="B423" t="s">
        <v>54</v>
      </c>
      <c r="C423" t="s">
        <v>55</v>
      </c>
      <c r="D423" t="s">
        <v>56</v>
      </c>
      <c r="E423" t="s">
        <v>36</v>
      </c>
      <c r="F423" t="s">
        <v>125</v>
      </c>
      <c r="G423" t="s">
        <v>83</v>
      </c>
      <c r="H423" s="1">
        <v>45357</v>
      </c>
      <c r="I423" t="s">
        <v>24</v>
      </c>
      <c r="J423" t="s">
        <v>425</v>
      </c>
      <c r="K423">
        <v>3</v>
      </c>
      <c r="N423">
        <v>586</v>
      </c>
      <c r="O423">
        <v>100</v>
      </c>
      <c r="P423" s="1">
        <v>45719</v>
      </c>
      <c r="Q423" s="1"/>
      <c r="R423" t="str">
        <f>IF(Table1[[#This Row],[Actual close date]]="","",Table1[[#This Row],[Actual close date]]-Table1[[#This Row],[Expected close date]])</f>
        <v/>
      </c>
    </row>
    <row r="424" spans="1:18" x14ac:dyDescent="0.25">
      <c r="A424" t="s">
        <v>499</v>
      </c>
      <c r="B424" t="s">
        <v>33</v>
      </c>
      <c r="C424" t="s">
        <v>34</v>
      </c>
      <c r="D424" t="s">
        <v>35</v>
      </c>
      <c r="E424" t="s">
        <v>118</v>
      </c>
      <c r="F424" t="s">
        <v>125</v>
      </c>
      <c r="G424" t="s">
        <v>83</v>
      </c>
      <c r="H424" s="1">
        <v>45309</v>
      </c>
      <c r="I424" t="s">
        <v>64</v>
      </c>
      <c r="J424" t="s">
        <v>425</v>
      </c>
      <c r="K424">
        <v>3</v>
      </c>
      <c r="N424">
        <v>798</v>
      </c>
      <c r="O424">
        <v>20</v>
      </c>
      <c r="P424" s="1">
        <v>45652</v>
      </c>
      <c r="Q424" s="1"/>
      <c r="R424" t="str">
        <f>IF(Table1[[#This Row],[Actual close date]]="","",Table1[[#This Row],[Actual close date]]-Table1[[#This Row],[Expected close date]])</f>
        <v/>
      </c>
    </row>
    <row r="425" spans="1:18" x14ac:dyDescent="0.25">
      <c r="A425" t="s">
        <v>500</v>
      </c>
      <c r="B425" t="s">
        <v>54</v>
      </c>
      <c r="C425" t="s">
        <v>55</v>
      </c>
      <c r="D425" t="s">
        <v>56</v>
      </c>
      <c r="E425" t="s">
        <v>98</v>
      </c>
      <c r="F425" t="s">
        <v>125</v>
      </c>
      <c r="G425" t="s">
        <v>83</v>
      </c>
      <c r="H425" s="1">
        <v>45397</v>
      </c>
      <c r="I425" t="s">
        <v>24</v>
      </c>
      <c r="J425" t="s">
        <v>425</v>
      </c>
      <c r="K425">
        <v>3</v>
      </c>
      <c r="N425">
        <v>1038</v>
      </c>
      <c r="O425">
        <v>50</v>
      </c>
      <c r="P425" s="1">
        <v>45719</v>
      </c>
      <c r="Q425" s="1"/>
      <c r="R425" t="str">
        <f>IF(Table1[[#This Row],[Actual close date]]="","",Table1[[#This Row],[Actual close date]]-Table1[[#This Row],[Expected close date]])</f>
        <v/>
      </c>
    </row>
    <row r="426" spans="1:18" x14ac:dyDescent="0.25">
      <c r="A426" t="s">
        <v>501</v>
      </c>
      <c r="B426" t="s">
        <v>59</v>
      </c>
      <c r="C426" t="s">
        <v>60</v>
      </c>
      <c r="D426" t="s">
        <v>61</v>
      </c>
      <c r="E426" t="s">
        <v>82</v>
      </c>
      <c r="F426" t="s">
        <v>125</v>
      </c>
      <c r="G426" t="s">
        <v>46</v>
      </c>
      <c r="H426" s="1">
        <v>45336</v>
      </c>
      <c r="I426" t="s">
        <v>47</v>
      </c>
      <c r="J426" t="s">
        <v>425</v>
      </c>
      <c r="K426">
        <v>3</v>
      </c>
      <c r="N426">
        <v>461</v>
      </c>
      <c r="O426">
        <v>40</v>
      </c>
      <c r="P426" s="1">
        <v>45520</v>
      </c>
      <c r="Q426" s="1"/>
      <c r="R426" t="str">
        <f>IF(Table1[[#This Row],[Actual close date]]="","",Table1[[#This Row],[Actual close date]]-Table1[[#This Row],[Expected close date]])</f>
        <v/>
      </c>
    </row>
    <row r="427" spans="1:18" x14ac:dyDescent="0.25">
      <c r="A427" t="s">
        <v>502</v>
      </c>
      <c r="B427" t="s">
        <v>69</v>
      </c>
      <c r="C427" t="s">
        <v>70</v>
      </c>
      <c r="D427" t="s">
        <v>71</v>
      </c>
      <c r="E427" t="s">
        <v>82</v>
      </c>
      <c r="F427" t="s">
        <v>125</v>
      </c>
      <c r="G427" t="s">
        <v>57</v>
      </c>
      <c r="H427" s="1">
        <v>45410</v>
      </c>
      <c r="I427" t="s">
        <v>24</v>
      </c>
      <c r="J427" t="s">
        <v>425</v>
      </c>
      <c r="K427">
        <v>3</v>
      </c>
      <c r="N427">
        <v>726</v>
      </c>
      <c r="O427">
        <v>40</v>
      </c>
      <c r="P427" s="1">
        <v>45461</v>
      </c>
      <c r="Q427" s="1"/>
      <c r="R427" t="str">
        <f>IF(Table1[[#This Row],[Actual close date]]="","",Table1[[#This Row],[Actual close date]]-Table1[[#This Row],[Expected close date]])</f>
        <v/>
      </c>
    </row>
    <row r="428" spans="1:18" x14ac:dyDescent="0.25">
      <c r="A428" t="s">
        <v>503</v>
      </c>
      <c r="B428" t="s">
        <v>33</v>
      </c>
      <c r="C428" t="s">
        <v>34</v>
      </c>
      <c r="D428" t="s">
        <v>35</v>
      </c>
      <c r="E428" t="s">
        <v>52</v>
      </c>
      <c r="F428" t="s">
        <v>125</v>
      </c>
      <c r="G428" t="s">
        <v>37</v>
      </c>
      <c r="H428" s="1">
        <v>45368</v>
      </c>
      <c r="I428" t="s">
        <v>24</v>
      </c>
      <c r="J428" t="s">
        <v>425</v>
      </c>
      <c r="K428">
        <v>3</v>
      </c>
      <c r="N428">
        <v>830</v>
      </c>
      <c r="O428">
        <v>60</v>
      </c>
      <c r="P428" s="1">
        <v>45537</v>
      </c>
      <c r="Q428" s="1"/>
      <c r="R428" t="str">
        <f>IF(Table1[[#This Row],[Actual close date]]="","",Table1[[#This Row],[Actual close date]]-Table1[[#This Row],[Expected close date]])</f>
        <v/>
      </c>
    </row>
    <row r="429" spans="1:18" x14ac:dyDescent="0.25">
      <c r="A429" t="s">
        <v>504</v>
      </c>
      <c r="B429" t="s">
        <v>39</v>
      </c>
      <c r="C429" t="s">
        <v>40</v>
      </c>
      <c r="D429" t="s">
        <v>41</v>
      </c>
      <c r="E429" t="s">
        <v>101</v>
      </c>
      <c r="F429" t="s">
        <v>125</v>
      </c>
      <c r="G429" t="s">
        <v>37</v>
      </c>
      <c r="H429" s="1">
        <v>45304</v>
      </c>
      <c r="I429" t="s">
        <v>24</v>
      </c>
      <c r="J429" t="s">
        <v>425</v>
      </c>
      <c r="K429">
        <v>3</v>
      </c>
      <c r="N429">
        <v>278</v>
      </c>
      <c r="O429">
        <v>50</v>
      </c>
      <c r="P429" s="1">
        <v>45635</v>
      </c>
      <c r="Q429" s="1"/>
      <c r="R429" t="str">
        <f>IF(Table1[[#This Row],[Actual close date]]="","",Table1[[#This Row],[Actual close date]]-Table1[[#This Row],[Expected close date]])</f>
        <v/>
      </c>
    </row>
    <row r="430" spans="1:18" x14ac:dyDescent="0.25">
      <c r="A430" t="s">
        <v>505</v>
      </c>
      <c r="B430" t="s">
        <v>39</v>
      </c>
      <c r="C430" t="s">
        <v>40</v>
      </c>
      <c r="D430" t="s">
        <v>41</v>
      </c>
      <c r="E430" t="s">
        <v>122</v>
      </c>
      <c r="F430" t="s">
        <v>125</v>
      </c>
      <c r="G430" t="s">
        <v>46</v>
      </c>
      <c r="H430" s="1">
        <v>45403</v>
      </c>
      <c r="I430" t="s">
        <v>64</v>
      </c>
      <c r="J430" t="s">
        <v>425</v>
      </c>
      <c r="K430">
        <v>3</v>
      </c>
      <c r="N430">
        <v>958</v>
      </c>
      <c r="O430">
        <v>70</v>
      </c>
      <c r="P430" s="1">
        <v>45685</v>
      </c>
      <c r="Q430" s="1"/>
      <c r="R430" t="str">
        <f>IF(Table1[[#This Row],[Actual close date]]="","",Table1[[#This Row],[Actual close date]]-Table1[[#This Row],[Expected close date]])</f>
        <v/>
      </c>
    </row>
    <row r="431" spans="1:18" x14ac:dyDescent="0.25">
      <c r="A431" t="s">
        <v>506</v>
      </c>
      <c r="B431" t="s">
        <v>76</v>
      </c>
      <c r="C431" t="s">
        <v>77</v>
      </c>
      <c r="D431" t="s">
        <v>78</v>
      </c>
      <c r="E431" t="s">
        <v>101</v>
      </c>
      <c r="F431" t="s">
        <v>125</v>
      </c>
      <c r="G431" t="s">
        <v>57</v>
      </c>
      <c r="H431" s="1">
        <v>45376</v>
      </c>
      <c r="I431" t="s">
        <v>24</v>
      </c>
      <c r="J431" t="s">
        <v>425</v>
      </c>
      <c r="K431">
        <v>3</v>
      </c>
      <c r="N431">
        <v>926</v>
      </c>
      <c r="O431">
        <v>20</v>
      </c>
      <c r="P431" s="1">
        <v>45666</v>
      </c>
      <c r="Q431" s="1"/>
      <c r="R431" t="str">
        <f>IF(Table1[[#This Row],[Actual close date]]="","",Table1[[#This Row],[Actual close date]]-Table1[[#This Row],[Expected close date]])</f>
        <v/>
      </c>
    </row>
    <row r="432" spans="1:18" x14ac:dyDescent="0.25">
      <c r="A432" t="s">
        <v>507</v>
      </c>
      <c r="B432" t="s">
        <v>76</v>
      </c>
      <c r="C432" t="s">
        <v>77</v>
      </c>
      <c r="D432" t="s">
        <v>78</v>
      </c>
      <c r="E432" t="s">
        <v>36</v>
      </c>
      <c r="F432" t="s">
        <v>125</v>
      </c>
      <c r="G432" t="s">
        <v>85</v>
      </c>
      <c r="H432" s="1">
        <v>45298</v>
      </c>
      <c r="I432" t="s">
        <v>24</v>
      </c>
      <c r="J432" t="s">
        <v>425</v>
      </c>
      <c r="K432">
        <v>3</v>
      </c>
      <c r="N432">
        <v>620</v>
      </c>
      <c r="O432">
        <v>70</v>
      </c>
      <c r="P432" s="1">
        <v>45508</v>
      </c>
      <c r="Q432" s="1"/>
      <c r="R432" t="str">
        <f>IF(Table1[[#This Row],[Actual close date]]="","",Table1[[#This Row],[Actual close date]]-Table1[[#This Row],[Expected close date]])</f>
        <v/>
      </c>
    </row>
    <row r="433" spans="1:18" x14ac:dyDescent="0.25">
      <c r="A433" t="s">
        <v>508</v>
      </c>
      <c r="B433" t="s">
        <v>69</v>
      </c>
      <c r="C433" t="s">
        <v>70</v>
      </c>
      <c r="D433" t="s">
        <v>71</v>
      </c>
      <c r="E433" t="s">
        <v>74</v>
      </c>
      <c r="F433" t="s">
        <v>125</v>
      </c>
      <c r="G433" t="s">
        <v>46</v>
      </c>
      <c r="H433" s="1">
        <v>45392</v>
      </c>
      <c r="I433" t="s">
        <v>24</v>
      </c>
      <c r="J433" t="s">
        <v>425</v>
      </c>
      <c r="K433">
        <v>3</v>
      </c>
      <c r="N433">
        <v>636</v>
      </c>
      <c r="O433">
        <v>60</v>
      </c>
      <c r="P433" s="1">
        <v>45750</v>
      </c>
      <c r="Q433" s="1"/>
      <c r="R433" t="str">
        <f>IF(Table1[[#This Row],[Actual close date]]="","",Table1[[#This Row],[Actual close date]]-Table1[[#This Row],[Expected close date]])</f>
        <v/>
      </c>
    </row>
    <row r="434" spans="1:18" x14ac:dyDescent="0.25">
      <c r="A434" t="s">
        <v>509</v>
      </c>
      <c r="B434" t="s">
        <v>69</v>
      </c>
      <c r="C434" t="s">
        <v>70</v>
      </c>
      <c r="D434" t="s">
        <v>71</v>
      </c>
      <c r="E434" t="s">
        <v>74</v>
      </c>
      <c r="F434" t="s">
        <v>125</v>
      </c>
      <c r="G434" t="s">
        <v>37</v>
      </c>
      <c r="H434" s="1">
        <v>45313</v>
      </c>
      <c r="I434" t="s">
        <v>64</v>
      </c>
      <c r="J434" t="s">
        <v>425</v>
      </c>
      <c r="K434">
        <v>3</v>
      </c>
      <c r="N434">
        <v>982</v>
      </c>
      <c r="O434">
        <v>50</v>
      </c>
      <c r="P434" s="1">
        <v>45577</v>
      </c>
      <c r="Q434" s="1"/>
      <c r="R434" t="str">
        <f>IF(Table1[[#This Row],[Actual close date]]="","",Table1[[#This Row],[Actual close date]]-Table1[[#This Row],[Expected close date]])</f>
        <v/>
      </c>
    </row>
    <row r="435" spans="1:18" x14ac:dyDescent="0.25">
      <c r="A435" t="s">
        <v>510</v>
      </c>
      <c r="B435" t="s">
        <v>69</v>
      </c>
      <c r="C435" t="s">
        <v>70</v>
      </c>
      <c r="D435" t="s">
        <v>71</v>
      </c>
      <c r="E435" t="s">
        <v>21</v>
      </c>
      <c r="F435" t="s">
        <v>125</v>
      </c>
      <c r="G435" t="s">
        <v>46</v>
      </c>
      <c r="H435" s="1">
        <v>45315</v>
      </c>
      <c r="I435" t="s">
        <v>64</v>
      </c>
      <c r="J435" t="s">
        <v>425</v>
      </c>
      <c r="K435">
        <v>3</v>
      </c>
      <c r="N435">
        <v>982</v>
      </c>
      <c r="O435">
        <v>60</v>
      </c>
      <c r="P435" s="1">
        <v>45518</v>
      </c>
      <c r="Q435" s="1"/>
      <c r="R435" t="str">
        <f>IF(Table1[[#This Row],[Actual close date]]="","",Table1[[#This Row],[Actual close date]]-Table1[[#This Row],[Expected close date]])</f>
        <v/>
      </c>
    </row>
    <row r="436" spans="1:18" x14ac:dyDescent="0.25">
      <c r="A436" t="s">
        <v>511</v>
      </c>
      <c r="B436" t="s">
        <v>39</v>
      </c>
      <c r="C436" t="s">
        <v>40</v>
      </c>
      <c r="D436" t="s">
        <v>41</v>
      </c>
      <c r="E436" t="s">
        <v>122</v>
      </c>
      <c r="F436" t="s">
        <v>125</v>
      </c>
      <c r="G436" t="s">
        <v>23</v>
      </c>
      <c r="H436" s="1">
        <v>45359</v>
      </c>
      <c r="I436" t="s">
        <v>64</v>
      </c>
      <c r="J436" t="s">
        <v>425</v>
      </c>
      <c r="K436">
        <v>3</v>
      </c>
      <c r="N436">
        <v>367</v>
      </c>
      <c r="O436">
        <v>100</v>
      </c>
      <c r="P436" s="1">
        <v>45654</v>
      </c>
      <c r="Q436" s="1"/>
      <c r="R436" t="str">
        <f>IF(Table1[[#This Row],[Actual close date]]="","",Table1[[#This Row],[Actual close date]]-Table1[[#This Row],[Expected close date]])</f>
        <v/>
      </c>
    </row>
    <row r="437" spans="1:18" x14ac:dyDescent="0.25">
      <c r="A437" t="s">
        <v>512</v>
      </c>
      <c r="B437" t="s">
        <v>33</v>
      </c>
      <c r="C437" t="s">
        <v>34</v>
      </c>
      <c r="D437" t="s">
        <v>35</v>
      </c>
      <c r="E437" t="s">
        <v>21</v>
      </c>
      <c r="F437" t="s">
        <v>125</v>
      </c>
      <c r="G437" t="s">
        <v>46</v>
      </c>
      <c r="H437" s="1">
        <v>45297</v>
      </c>
      <c r="I437" t="s">
        <v>24</v>
      </c>
      <c r="J437" t="s">
        <v>425</v>
      </c>
      <c r="K437">
        <v>3</v>
      </c>
      <c r="N437">
        <v>1098</v>
      </c>
      <c r="O437">
        <v>40</v>
      </c>
      <c r="P437" s="1">
        <v>45406</v>
      </c>
      <c r="Q437" s="1"/>
      <c r="R437" t="str">
        <f>IF(Table1[[#This Row],[Actual close date]]="","",Table1[[#This Row],[Actual close date]]-Table1[[#This Row],[Expected close date]])</f>
        <v/>
      </c>
    </row>
    <row r="438" spans="1:18" x14ac:dyDescent="0.25">
      <c r="A438" t="s">
        <v>513</v>
      </c>
      <c r="B438" t="s">
        <v>39</v>
      </c>
      <c r="C438" t="s">
        <v>40</v>
      </c>
      <c r="D438" t="s">
        <v>41</v>
      </c>
      <c r="E438" t="s">
        <v>45</v>
      </c>
      <c r="F438" t="s">
        <v>125</v>
      </c>
      <c r="G438" t="s">
        <v>85</v>
      </c>
      <c r="H438" s="1">
        <v>45404</v>
      </c>
      <c r="I438" t="s">
        <v>47</v>
      </c>
      <c r="J438" t="s">
        <v>425</v>
      </c>
      <c r="K438">
        <v>3</v>
      </c>
      <c r="N438">
        <v>664</v>
      </c>
      <c r="O438">
        <v>20</v>
      </c>
      <c r="P438" s="1">
        <v>45655</v>
      </c>
      <c r="Q438" s="1"/>
      <c r="R438" t="str">
        <f>IF(Table1[[#This Row],[Actual close date]]="","",Table1[[#This Row],[Actual close date]]-Table1[[#This Row],[Expected close date]])</f>
        <v/>
      </c>
    </row>
    <row r="439" spans="1:18" x14ac:dyDescent="0.25">
      <c r="A439" t="s">
        <v>514</v>
      </c>
      <c r="B439" t="s">
        <v>76</v>
      </c>
      <c r="C439" t="s">
        <v>77</v>
      </c>
      <c r="D439" t="s">
        <v>78</v>
      </c>
      <c r="E439" t="s">
        <v>30</v>
      </c>
      <c r="F439" t="s">
        <v>125</v>
      </c>
      <c r="G439" t="s">
        <v>85</v>
      </c>
      <c r="H439" s="1">
        <v>45434</v>
      </c>
      <c r="I439" t="s">
        <v>64</v>
      </c>
      <c r="J439" t="s">
        <v>425</v>
      </c>
      <c r="K439">
        <v>3</v>
      </c>
      <c r="N439">
        <v>990</v>
      </c>
      <c r="O439">
        <v>70</v>
      </c>
      <c r="P439" s="1">
        <v>45660</v>
      </c>
      <c r="Q439" s="1"/>
      <c r="R439" t="str">
        <f>IF(Table1[[#This Row],[Actual close date]]="","",Table1[[#This Row],[Actual close date]]-Table1[[#This Row],[Expected close date]])</f>
        <v/>
      </c>
    </row>
    <row r="440" spans="1:18" x14ac:dyDescent="0.25">
      <c r="A440" t="s">
        <v>515</v>
      </c>
      <c r="B440" t="s">
        <v>59</v>
      </c>
      <c r="C440" t="s">
        <v>60</v>
      </c>
      <c r="D440" t="s">
        <v>61</v>
      </c>
      <c r="E440" t="s">
        <v>45</v>
      </c>
      <c r="F440" t="s">
        <v>125</v>
      </c>
      <c r="G440" t="s">
        <v>37</v>
      </c>
      <c r="H440" s="1">
        <v>45312</v>
      </c>
      <c r="I440" t="s">
        <v>47</v>
      </c>
      <c r="J440" t="s">
        <v>425</v>
      </c>
      <c r="K440">
        <v>3</v>
      </c>
      <c r="N440">
        <v>1162</v>
      </c>
      <c r="O440">
        <v>40</v>
      </c>
      <c r="P440" s="1">
        <v>45400</v>
      </c>
      <c r="Q440" s="1"/>
      <c r="R440" t="str">
        <f>IF(Table1[[#This Row],[Actual close date]]="","",Table1[[#This Row],[Actual close date]]-Table1[[#This Row],[Expected close date]])</f>
        <v/>
      </c>
    </row>
    <row r="441" spans="1:18" x14ac:dyDescent="0.25">
      <c r="A441" t="s">
        <v>516</v>
      </c>
      <c r="B441" t="s">
        <v>54</v>
      </c>
      <c r="C441" t="s">
        <v>55</v>
      </c>
      <c r="D441" t="s">
        <v>56</v>
      </c>
      <c r="E441" t="s">
        <v>74</v>
      </c>
      <c r="F441" t="s">
        <v>167</v>
      </c>
      <c r="G441" t="s">
        <v>46</v>
      </c>
      <c r="H441" s="1">
        <v>45343</v>
      </c>
      <c r="I441" t="s">
        <v>24</v>
      </c>
      <c r="J441" t="s">
        <v>425</v>
      </c>
      <c r="K441">
        <v>3</v>
      </c>
      <c r="N441">
        <v>3506</v>
      </c>
      <c r="O441">
        <v>40</v>
      </c>
      <c r="P441" s="1">
        <v>45704</v>
      </c>
      <c r="Q441" s="1"/>
      <c r="R441" t="str">
        <f>IF(Table1[[#This Row],[Actual close date]]="","",Table1[[#This Row],[Actual close date]]-Table1[[#This Row],[Expected close date]])</f>
        <v/>
      </c>
    </row>
    <row r="442" spans="1:18" x14ac:dyDescent="0.25">
      <c r="A442" t="s">
        <v>517</v>
      </c>
      <c r="B442" t="s">
        <v>33</v>
      </c>
      <c r="C442" t="s">
        <v>34</v>
      </c>
      <c r="D442" t="s">
        <v>35</v>
      </c>
      <c r="E442" t="s">
        <v>74</v>
      </c>
      <c r="F442" t="s">
        <v>167</v>
      </c>
      <c r="G442" t="s">
        <v>23</v>
      </c>
      <c r="H442" s="1">
        <v>45420</v>
      </c>
      <c r="I442" t="s">
        <v>24</v>
      </c>
      <c r="J442" t="s">
        <v>425</v>
      </c>
      <c r="K442">
        <v>3</v>
      </c>
      <c r="N442">
        <v>289</v>
      </c>
      <c r="O442">
        <v>40</v>
      </c>
      <c r="P442" s="1">
        <v>45517</v>
      </c>
      <c r="Q442" s="1"/>
      <c r="R442" t="str">
        <f>IF(Table1[[#This Row],[Actual close date]]="","",Table1[[#This Row],[Actual close date]]-Table1[[#This Row],[Expected close date]])</f>
        <v/>
      </c>
    </row>
    <row r="443" spans="1:18" x14ac:dyDescent="0.25">
      <c r="A443" t="s">
        <v>518</v>
      </c>
      <c r="B443" t="s">
        <v>54</v>
      </c>
      <c r="C443" t="s">
        <v>55</v>
      </c>
      <c r="D443" t="s">
        <v>56</v>
      </c>
      <c r="E443" t="s">
        <v>66</v>
      </c>
      <c r="F443" t="s">
        <v>167</v>
      </c>
      <c r="G443" t="s">
        <v>46</v>
      </c>
      <c r="H443" s="1">
        <v>45426</v>
      </c>
      <c r="I443" t="s">
        <v>64</v>
      </c>
      <c r="J443" t="s">
        <v>425</v>
      </c>
      <c r="K443">
        <v>3</v>
      </c>
      <c r="N443">
        <v>6754</v>
      </c>
      <c r="O443">
        <v>30</v>
      </c>
      <c r="P443" s="1">
        <v>45448</v>
      </c>
      <c r="Q443" s="1"/>
      <c r="R443" t="str">
        <f>IF(Table1[[#This Row],[Actual close date]]="","",Table1[[#This Row],[Actual close date]]-Table1[[#This Row],[Expected close date]])</f>
        <v/>
      </c>
    </row>
    <row r="444" spans="1:18" x14ac:dyDescent="0.25">
      <c r="A444" t="s">
        <v>519</v>
      </c>
      <c r="B444" t="s">
        <v>33</v>
      </c>
      <c r="C444" t="s">
        <v>34</v>
      </c>
      <c r="D444" t="s">
        <v>35</v>
      </c>
      <c r="E444" t="s">
        <v>36</v>
      </c>
      <c r="F444" t="s">
        <v>167</v>
      </c>
      <c r="G444" t="s">
        <v>83</v>
      </c>
      <c r="H444" s="1">
        <v>45363</v>
      </c>
      <c r="I444" t="s">
        <v>64</v>
      </c>
      <c r="J444" t="s">
        <v>425</v>
      </c>
      <c r="K444">
        <v>3</v>
      </c>
      <c r="N444">
        <v>6897</v>
      </c>
      <c r="O444">
        <v>40</v>
      </c>
      <c r="P444" s="1">
        <v>45670</v>
      </c>
      <c r="Q444" s="1"/>
      <c r="R444" t="str">
        <f>IF(Table1[[#This Row],[Actual close date]]="","",Table1[[#This Row],[Actual close date]]-Table1[[#This Row],[Expected close date]])</f>
        <v/>
      </c>
    </row>
    <row r="445" spans="1:18" x14ac:dyDescent="0.25">
      <c r="A445" t="s">
        <v>520</v>
      </c>
      <c r="B445" t="s">
        <v>76</v>
      </c>
      <c r="C445" t="s">
        <v>77</v>
      </c>
      <c r="D445" t="s">
        <v>78</v>
      </c>
      <c r="E445" t="s">
        <v>66</v>
      </c>
      <c r="F445" t="s">
        <v>167</v>
      </c>
      <c r="G445" t="s">
        <v>85</v>
      </c>
      <c r="H445" s="1">
        <v>45415</v>
      </c>
      <c r="I445" t="s">
        <v>24</v>
      </c>
      <c r="J445" t="s">
        <v>425</v>
      </c>
      <c r="K445">
        <v>3</v>
      </c>
      <c r="N445">
        <v>1437</v>
      </c>
      <c r="O445">
        <v>50</v>
      </c>
      <c r="P445" s="1">
        <v>45736</v>
      </c>
      <c r="Q445" s="1"/>
      <c r="R445" t="str">
        <f>IF(Table1[[#This Row],[Actual close date]]="","",Table1[[#This Row],[Actual close date]]-Table1[[#This Row],[Expected close date]])</f>
        <v/>
      </c>
    </row>
    <row r="446" spans="1:18" x14ac:dyDescent="0.25">
      <c r="A446" t="s">
        <v>521</v>
      </c>
      <c r="B446" t="s">
        <v>27</v>
      </c>
      <c r="C446" t="s">
        <v>28</v>
      </c>
      <c r="D446" t="s">
        <v>29</v>
      </c>
      <c r="E446" t="s">
        <v>82</v>
      </c>
      <c r="F446" t="s">
        <v>167</v>
      </c>
      <c r="G446" t="s">
        <v>85</v>
      </c>
      <c r="H446" s="1">
        <v>45406</v>
      </c>
      <c r="I446" t="s">
        <v>64</v>
      </c>
      <c r="J446" t="s">
        <v>425</v>
      </c>
      <c r="K446">
        <v>3</v>
      </c>
      <c r="N446">
        <v>3994</v>
      </c>
      <c r="O446">
        <v>30</v>
      </c>
      <c r="P446" s="1">
        <v>45701</v>
      </c>
      <c r="Q446" s="1"/>
      <c r="R446" t="str">
        <f>IF(Table1[[#This Row],[Actual close date]]="","",Table1[[#This Row],[Actual close date]]-Table1[[#This Row],[Expected close date]])</f>
        <v/>
      </c>
    </row>
    <row r="447" spans="1:18" x14ac:dyDescent="0.25">
      <c r="A447" t="s">
        <v>522</v>
      </c>
      <c r="B447" t="s">
        <v>33</v>
      </c>
      <c r="C447" t="s">
        <v>34</v>
      </c>
      <c r="D447" t="s">
        <v>35</v>
      </c>
      <c r="E447" t="s">
        <v>62</v>
      </c>
      <c r="F447" t="s">
        <v>167</v>
      </c>
      <c r="G447" t="s">
        <v>31</v>
      </c>
      <c r="H447" s="1">
        <v>45315</v>
      </c>
      <c r="I447" t="s">
        <v>47</v>
      </c>
      <c r="J447" t="s">
        <v>425</v>
      </c>
      <c r="K447">
        <v>3</v>
      </c>
      <c r="N447">
        <v>5221</v>
      </c>
      <c r="O447">
        <v>40</v>
      </c>
      <c r="P447" s="1">
        <v>45571</v>
      </c>
      <c r="Q447" s="1"/>
      <c r="R447" t="str">
        <f>IF(Table1[[#This Row],[Actual close date]]="","",Table1[[#This Row],[Actual close date]]-Table1[[#This Row],[Expected close date]])</f>
        <v/>
      </c>
    </row>
    <row r="448" spans="1:18" x14ac:dyDescent="0.25">
      <c r="A448" t="s">
        <v>523</v>
      </c>
      <c r="B448" t="s">
        <v>27</v>
      </c>
      <c r="C448" t="s">
        <v>28</v>
      </c>
      <c r="D448" t="s">
        <v>29</v>
      </c>
      <c r="E448" t="s">
        <v>74</v>
      </c>
      <c r="F448" t="s">
        <v>167</v>
      </c>
      <c r="G448" t="s">
        <v>85</v>
      </c>
      <c r="H448" s="1">
        <v>45428</v>
      </c>
      <c r="I448" t="s">
        <v>64</v>
      </c>
      <c r="J448" t="s">
        <v>425</v>
      </c>
      <c r="K448">
        <v>3</v>
      </c>
      <c r="N448">
        <v>3292</v>
      </c>
      <c r="O448">
        <v>60</v>
      </c>
      <c r="P448" s="1">
        <v>45748</v>
      </c>
      <c r="Q448" s="1"/>
      <c r="R448" t="str">
        <f>IF(Table1[[#This Row],[Actual close date]]="","",Table1[[#This Row],[Actual close date]]-Table1[[#This Row],[Expected close date]])</f>
        <v/>
      </c>
    </row>
    <row r="449" spans="1:18" x14ac:dyDescent="0.25">
      <c r="A449" t="s">
        <v>524</v>
      </c>
      <c r="B449" t="s">
        <v>69</v>
      </c>
      <c r="C449" t="s">
        <v>70</v>
      </c>
      <c r="D449" t="s">
        <v>71</v>
      </c>
      <c r="E449" t="s">
        <v>21</v>
      </c>
      <c r="F449" t="s">
        <v>167</v>
      </c>
      <c r="G449" t="s">
        <v>23</v>
      </c>
      <c r="H449" s="1">
        <v>45370</v>
      </c>
      <c r="I449" t="s">
        <v>24</v>
      </c>
      <c r="J449" t="s">
        <v>425</v>
      </c>
      <c r="K449">
        <v>3</v>
      </c>
      <c r="N449">
        <v>5877</v>
      </c>
      <c r="O449">
        <v>50</v>
      </c>
      <c r="P449" s="1">
        <v>45631</v>
      </c>
      <c r="Q449" s="1"/>
      <c r="R449" t="str">
        <f>IF(Table1[[#This Row],[Actual close date]]="","",Table1[[#This Row],[Actual close date]]-Table1[[#This Row],[Expected close date]])</f>
        <v/>
      </c>
    </row>
    <row r="450" spans="1:18" x14ac:dyDescent="0.25">
      <c r="A450" t="s">
        <v>525</v>
      </c>
      <c r="B450" t="s">
        <v>76</v>
      </c>
      <c r="C450" t="s">
        <v>77</v>
      </c>
      <c r="D450" t="s">
        <v>78</v>
      </c>
      <c r="E450" t="s">
        <v>52</v>
      </c>
      <c r="F450" t="s">
        <v>167</v>
      </c>
      <c r="G450" t="s">
        <v>57</v>
      </c>
      <c r="H450" s="1">
        <v>45400</v>
      </c>
      <c r="I450" t="s">
        <v>64</v>
      </c>
      <c r="J450" t="s">
        <v>425</v>
      </c>
      <c r="K450">
        <v>3</v>
      </c>
      <c r="N450">
        <v>7026</v>
      </c>
      <c r="O450">
        <v>40</v>
      </c>
      <c r="P450" s="1">
        <v>45603</v>
      </c>
      <c r="Q450" s="1"/>
      <c r="R450" t="str">
        <f>IF(Table1[[#This Row],[Actual close date]]="","",Table1[[#This Row],[Actual close date]]-Table1[[#This Row],[Expected close date]])</f>
        <v/>
      </c>
    </row>
    <row r="451" spans="1:18" x14ac:dyDescent="0.25">
      <c r="A451" t="s">
        <v>526</v>
      </c>
      <c r="B451" t="s">
        <v>49</v>
      </c>
      <c r="C451" t="s">
        <v>50</v>
      </c>
      <c r="D451" t="s">
        <v>51</v>
      </c>
      <c r="E451" t="s">
        <v>21</v>
      </c>
      <c r="F451" t="s">
        <v>167</v>
      </c>
      <c r="G451" t="s">
        <v>31</v>
      </c>
      <c r="H451" s="1">
        <v>45328</v>
      </c>
      <c r="I451" t="s">
        <v>64</v>
      </c>
      <c r="J451" t="s">
        <v>425</v>
      </c>
      <c r="K451">
        <v>3</v>
      </c>
      <c r="N451">
        <v>692</v>
      </c>
      <c r="O451">
        <v>20</v>
      </c>
      <c r="P451" s="1">
        <v>45406</v>
      </c>
      <c r="Q451" s="1"/>
      <c r="R451" t="str">
        <f>IF(Table1[[#This Row],[Actual close date]]="","",Table1[[#This Row],[Actual close date]]-Table1[[#This Row],[Expected close date]])</f>
        <v/>
      </c>
    </row>
    <row r="452" spans="1:18" x14ac:dyDescent="0.25">
      <c r="A452" t="s">
        <v>527</v>
      </c>
      <c r="B452" t="s">
        <v>49</v>
      </c>
      <c r="C452" t="s">
        <v>50</v>
      </c>
      <c r="D452" t="s">
        <v>51</v>
      </c>
      <c r="E452" t="s">
        <v>42</v>
      </c>
      <c r="F452" t="s">
        <v>167</v>
      </c>
      <c r="G452" t="s">
        <v>37</v>
      </c>
      <c r="H452" s="1">
        <v>45428</v>
      </c>
      <c r="I452" t="s">
        <v>24</v>
      </c>
      <c r="J452" t="s">
        <v>425</v>
      </c>
      <c r="K452">
        <v>3</v>
      </c>
      <c r="N452">
        <v>5158</v>
      </c>
      <c r="O452">
        <v>40</v>
      </c>
      <c r="P452" s="1">
        <v>45513</v>
      </c>
      <c r="Q452" s="1"/>
      <c r="R452" t="str">
        <f>IF(Table1[[#This Row],[Actual close date]]="","",Table1[[#This Row],[Actual close date]]-Table1[[#This Row],[Expected close date]])</f>
        <v/>
      </c>
    </row>
    <row r="453" spans="1:18" x14ac:dyDescent="0.25">
      <c r="A453" t="s">
        <v>528</v>
      </c>
      <c r="B453" t="s">
        <v>49</v>
      </c>
      <c r="C453" t="s">
        <v>50</v>
      </c>
      <c r="D453" t="s">
        <v>51</v>
      </c>
      <c r="E453" t="s">
        <v>30</v>
      </c>
      <c r="F453" t="s">
        <v>167</v>
      </c>
      <c r="G453" t="s">
        <v>85</v>
      </c>
      <c r="H453" s="1">
        <v>45420</v>
      </c>
      <c r="I453" t="s">
        <v>24</v>
      </c>
      <c r="J453" t="s">
        <v>425</v>
      </c>
      <c r="K453">
        <v>3</v>
      </c>
      <c r="N453">
        <v>1485</v>
      </c>
      <c r="O453">
        <v>60</v>
      </c>
      <c r="P453" s="1">
        <v>45599</v>
      </c>
      <c r="Q453" s="1"/>
      <c r="R453" t="str">
        <f>IF(Table1[[#This Row],[Actual close date]]="","",Table1[[#This Row],[Actual close date]]-Table1[[#This Row],[Expected close date]])</f>
        <v/>
      </c>
    </row>
    <row r="454" spans="1:18" x14ac:dyDescent="0.25">
      <c r="A454" t="s">
        <v>529</v>
      </c>
      <c r="B454" t="s">
        <v>54</v>
      </c>
      <c r="C454" t="s">
        <v>55</v>
      </c>
      <c r="D454" t="s">
        <v>56</v>
      </c>
      <c r="E454" t="s">
        <v>42</v>
      </c>
      <c r="F454" t="s">
        <v>167</v>
      </c>
      <c r="G454" t="s">
        <v>37</v>
      </c>
      <c r="H454" s="1">
        <v>45359</v>
      </c>
      <c r="I454" t="s">
        <v>24</v>
      </c>
      <c r="J454" t="s">
        <v>425</v>
      </c>
      <c r="K454">
        <v>3</v>
      </c>
      <c r="N454">
        <v>3139</v>
      </c>
      <c r="O454">
        <v>90</v>
      </c>
      <c r="P454" s="1">
        <v>45609</v>
      </c>
      <c r="Q454" s="1"/>
      <c r="R454" t="str">
        <f>IF(Table1[[#This Row],[Actual close date]]="","",Table1[[#This Row],[Actual close date]]-Table1[[#This Row],[Expected close date]])</f>
        <v/>
      </c>
    </row>
    <row r="455" spans="1:18" x14ac:dyDescent="0.25">
      <c r="A455" t="s">
        <v>530</v>
      </c>
      <c r="B455" t="s">
        <v>76</v>
      </c>
      <c r="C455" t="s">
        <v>77</v>
      </c>
      <c r="D455" t="s">
        <v>78</v>
      </c>
      <c r="E455" t="s">
        <v>45</v>
      </c>
      <c r="F455" t="s">
        <v>167</v>
      </c>
      <c r="G455" t="s">
        <v>57</v>
      </c>
      <c r="H455" s="1">
        <v>45400</v>
      </c>
      <c r="I455" t="s">
        <v>47</v>
      </c>
      <c r="J455" t="s">
        <v>425</v>
      </c>
      <c r="K455">
        <v>3</v>
      </c>
      <c r="N455">
        <v>7646</v>
      </c>
      <c r="O455">
        <v>10</v>
      </c>
      <c r="P455" s="1">
        <v>45618</v>
      </c>
      <c r="Q455" s="1"/>
      <c r="R455" t="str">
        <f>IF(Table1[[#This Row],[Actual close date]]="","",Table1[[#This Row],[Actual close date]]-Table1[[#This Row],[Expected close date]])</f>
        <v/>
      </c>
    </row>
    <row r="456" spans="1:18" x14ac:dyDescent="0.25">
      <c r="A456" t="s">
        <v>531</v>
      </c>
      <c r="B456" t="s">
        <v>49</v>
      </c>
      <c r="C456" t="s">
        <v>50</v>
      </c>
      <c r="D456" t="s">
        <v>51</v>
      </c>
      <c r="E456" t="s">
        <v>45</v>
      </c>
      <c r="F456" t="s">
        <v>167</v>
      </c>
      <c r="G456" t="s">
        <v>83</v>
      </c>
      <c r="H456" s="1">
        <v>45327</v>
      </c>
      <c r="I456" t="s">
        <v>64</v>
      </c>
      <c r="J456" t="s">
        <v>425</v>
      </c>
      <c r="K456">
        <v>3</v>
      </c>
      <c r="N456">
        <v>7893</v>
      </c>
      <c r="O456">
        <v>30</v>
      </c>
      <c r="P456" s="1">
        <v>45412</v>
      </c>
      <c r="Q456" s="1"/>
      <c r="R456" t="str">
        <f>IF(Table1[[#This Row],[Actual close date]]="","",Table1[[#This Row],[Actual close date]]-Table1[[#This Row],[Expected close date]])</f>
        <v/>
      </c>
    </row>
    <row r="457" spans="1:18" x14ac:dyDescent="0.25">
      <c r="A457" t="s">
        <v>532</v>
      </c>
      <c r="B457" t="s">
        <v>33</v>
      </c>
      <c r="C457" t="s">
        <v>34</v>
      </c>
      <c r="D457" t="s">
        <v>35</v>
      </c>
      <c r="E457" t="s">
        <v>52</v>
      </c>
      <c r="F457" t="s">
        <v>167</v>
      </c>
      <c r="G457" t="s">
        <v>57</v>
      </c>
      <c r="H457" s="1">
        <v>45310</v>
      </c>
      <c r="I457" t="s">
        <v>64</v>
      </c>
      <c r="J457" t="s">
        <v>425</v>
      </c>
      <c r="K457">
        <v>3</v>
      </c>
      <c r="N457">
        <v>2490</v>
      </c>
      <c r="O457">
        <v>30</v>
      </c>
      <c r="P457" s="1">
        <v>45354</v>
      </c>
      <c r="Q457" s="1"/>
      <c r="R457" t="str">
        <f>IF(Table1[[#This Row],[Actual close date]]="","",Table1[[#This Row],[Actual close date]]-Table1[[#This Row],[Expected close date]])</f>
        <v/>
      </c>
    </row>
    <row r="458" spans="1:18" x14ac:dyDescent="0.25">
      <c r="A458" t="s">
        <v>533</v>
      </c>
      <c r="B458" t="s">
        <v>76</v>
      </c>
      <c r="C458" t="s">
        <v>77</v>
      </c>
      <c r="D458" t="s">
        <v>78</v>
      </c>
      <c r="E458" t="s">
        <v>36</v>
      </c>
      <c r="F458" t="s">
        <v>167</v>
      </c>
      <c r="G458" t="s">
        <v>37</v>
      </c>
      <c r="H458" s="1">
        <v>45436</v>
      </c>
      <c r="I458" t="s">
        <v>24</v>
      </c>
      <c r="J458" t="s">
        <v>425</v>
      </c>
      <c r="K458">
        <v>3</v>
      </c>
      <c r="N458">
        <v>6309</v>
      </c>
      <c r="O458">
        <v>40</v>
      </c>
      <c r="P458" s="1">
        <v>45540</v>
      </c>
      <c r="Q458" s="1"/>
      <c r="R458" t="str">
        <f>IF(Table1[[#This Row],[Actual close date]]="","",Table1[[#This Row],[Actual close date]]-Table1[[#This Row],[Expected close date]])</f>
        <v/>
      </c>
    </row>
    <row r="459" spans="1:18" x14ac:dyDescent="0.25">
      <c r="A459" t="s">
        <v>534</v>
      </c>
      <c r="B459" t="s">
        <v>33</v>
      </c>
      <c r="C459" t="s">
        <v>34</v>
      </c>
      <c r="D459" t="s">
        <v>35</v>
      </c>
      <c r="E459" t="s">
        <v>101</v>
      </c>
      <c r="F459" t="s">
        <v>167</v>
      </c>
      <c r="G459" t="s">
        <v>37</v>
      </c>
      <c r="H459" s="1">
        <v>45440</v>
      </c>
      <c r="I459" t="s">
        <v>64</v>
      </c>
      <c r="J459" t="s">
        <v>425</v>
      </c>
      <c r="K459">
        <v>3</v>
      </c>
      <c r="N459">
        <v>7162</v>
      </c>
      <c r="O459">
        <v>40</v>
      </c>
      <c r="P459" s="1">
        <v>45494</v>
      </c>
      <c r="Q459" s="1"/>
      <c r="R459" t="str">
        <f>IF(Table1[[#This Row],[Actual close date]]="","",Table1[[#This Row],[Actual close date]]-Table1[[#This Row],[Expected close date]])</f>
        <v/>
      </c>
    </row>
    <row r="460" spans="1:18" x14ac:dyDescent="0.25">
      <c r="A460" t="s">
        <v>535</v>
      </c>
      <c r="B460" t="s">
        <v>54</v>
      </c>
      <c r="C460" t="s">
        <v>55</v>
      </c>
      <c r="D460" t="s">
        <v>56</v>
      </c>
      <c r="E460" t="s">
        <v>62</v>
      </c>
      <c r="F460" t="s">
        <v>167</v>
      </c>
      <c r="G460" t="s">
        <v>31</v>
      </c>
      <c r="H460" s="1">
        <v>45426</v>
      </c>
      <c r="I460" t="s">
        <v>64</v>
      </c>
      <c r="J460" t="s">
        <v>425</v>
      </c>
      <c r="K460">
        <v>3</v>
      </c>
      <c r="N460">
        <v>6188</v>
      </c>
      <c r="O460">
        <v>80</v>
      </c>
      <c r="P460" s="1">
        <v>45662</v>
      </c>
      <c r="Q460" s="1"/>
      <c r="R460" t="str">
        <f>IF(Table1[[#This Row],[Actual close date]]="","",Table1[[#This Row],[Actual close date]]-Table1[[#This Row],[Expected close date]])</f>
        <v/>
      </c>
    </row>
    <row r="461" spans="1:18" x14ac:dyDescent="0.25">
      <c r="A461" t="s">
        <v>536</v>
      </c>
      <c r="B461" t="s">
        <v>33</v>
      </c>
      <c r="C461" t="s">
        <v>34</v>
      </c>
      <c r="D461" t="s">
        <v>35</v>
      </c>
      <c r="E461" t="s">
        <v>122</v>
      </c>
      <c r="F461" t="s">
        <v>167</v>
      </c>
      <c r="G461" t="s">
        <v>85</v>
      </c>
      <c r="H461" s="1">
        <v>45359</v>
      </c>
      <c r="I461" t="s">
        <v>64</v>
      </c>
      <c r="J461" t="s">
        <v>425</v>
      </c>
      <c r="K461">
        <v>3</v>
      </c>
      <c r="N461">
        <v>3823</v>
      </c>
      <c r="O461">
        <v>70</v>
      </c>
      <c r="P461" s="1">
        <v>45387</v>
      </c>
      <c r="Q461" s="1"/>
      <c r="R461" t="str">
        <f>IF(Table1[[#This Row],[Actual close date]]="","",Table1[[#This Row],[Actual close date]]-Table1[[#This Row],[Expected close date]])</f>
        <v/>
      </c>
    </row>
    <row r="462" spans="1:18" x14ac:dyDescent="0.25">
      <c r="A462" t="s">
        <v>537</v>
      </c>
      <c r="B462" t="s">
        <v>33</v>
      </c>
      <c r="C462" t="s">
        <v>34</v>
      </c>
      <c r="D462" t="s">
        <v>35</v>
      </c>
      <c r="E462" t="s">
        <v>52</v>
      </c>
      <c r="F462" t="s">
        <v>167</v>
      </c>
      <c r="G462" t="s">
        <v>57</v>
      </c>
      <c r="H462" s="1">
        <v>45378</v>
      </c>
      <c r="I462" t="s">
        <v>47</v>
      </c>
      <c r="J462" t="s">
        <v>425</v>
      </c>
      <c r="K462">
        <v>3</v>
      </c>
      <c r="N462">
        <v>6203</v>
      </c>
      <c r="O462">
        <v>90</v>
      </c>
      <c r="P462" s="1">
        <v>45551</v>
      </c>
      <c r="Q462" s="1"/>
      <c r="R462" t="str">
        <f>IF(Table1[[#This Row],[Actual close date]]="","",Table1[[#This Row],[Actual close date]]-Table1[[#This Row],[Expected close date]])</f>
        <v/>
      </c>
    </row>
    <row r="463" spans="1:18" x14ac:dyDescent="0.25">
      <c r="A463" t="s">
        <v>538</v>
      </c>
      <c r="B463" t="s">
        <v>27</v>
      </c>
      <c r="C463" t="s">
        <v>28</v>
      </c>
      <c r="D463" t="s">
        <v>29</v>
      </c>
      <c r="E463" t="s">
        <v>52</v>
      </c>
      <c r="F463" t="s">
        <v>167</v>
      </c>
      <c r="G463" t="s">
        <v>31</v>
      </c>
      <c r="H463" s="1">
        <v>45361</v>
      </c>
      <c r="I463" t="s">
        <v>47</v>
      </c>
      <c r="J463" t="s">
        <v>425</v>
      </c>
      <c r="K463">
        <v>3</v>
      </c>
      <c r="N463">
        <v>7516</v>
      </c>
      <c r="O463">
        <v>40</v>
      </c>
      <c r="P463" s="1">
        <v>45501</v>
      </c>
      <c r="Q463" s="1"/>
      <c r="R463" t="str">
        <f>IF(Table1[[#This Row],[Actual close date]]="","",Table1[[#This Row],[Actual close date]]-Table1[[#This Row],[Expected close date]])</f>
        <v/>
      </c>
    </row>
    <row r="464" spans="1:18" x14ac:dyDescent="0.25">
      <c r="A464" t="s">
        <v>539</v>
      </c>
      <c r="B464" t="s">
        <v>76</v>
      </c>
      <c r="C464" t="s">
        <v>77</v>
      </c>
      <c r="D464" t="s">
        <v>78</v>
      </c>
      <c r="E464" t="s">
        <v>66</v>
      </c>
      <c r="F464" t="s">
        <v>167</v>
      </c>
      <c r="G464" t="s">
        <v>83</v>
      </c>
      <c r="H464" s="1">
        <v>45301</v>
      </c>
      <c r="I464" t="s">
        <v>47</v>
      </c>
      <c r="J464" t="s">
        <v>425</v>
      </c>
      <c r="K464">
        <v>3</v>
      </c>
      <c r="N464">
        <v>7850</v>
      </c>
      <c r="O464">
        <v>50</v>
      </c>
      <c r="P464" s="1">
        <v>45430</v>
      </c>
      <c r="Q464" s="1"/>
      <c r="R464" t="str">
        <f>IF(Table1[[#This Row],[Actual close date]]="","",Table1[[#This Row],[Actual close date]]-Table1[[#This Row],[Expected close date]])</f>
        <v/>
      </c>
    </row>
    <row r="465" spans="1:18" x14ac:dyDescent="0.25">
      <c r="A465" t="s">
        <v>540</v>
      </c>
      <c r="B465" t="s">
        <v>59</v>
      </c>
      <c r="C465" t="s">
        <v>60</v>
      </c>
      <c r="D465" t="s">
        <v>61</v>
      </c>
      <c r="E465" t="s">
        <v>52</v>
      </c>
      <c r="F465" t="s">
        <v>167</v>
      </c>
      <c r="G465" t="s">
        <v>72</v>
      </c>
      <c r="H465" s="1">
        <v>45406</v>
      </c>
      <c r="I465" t="s">
        <v>64</v>
      </c>
      <c r="J465" t="s">
        <v>425</v>
      </c>
      <c r="K465">
        <v>3</v>
      </c>
      <c r="N465">
        <v>7065</v>
      </c>
      <c r="O465">
        <v>80</v>
      </c>
      <c r="P465" s="1">
        <v>45763</v>
      </c>
      <c r="Q465" s="1"/>
      <c r="R465" t="str">
        <f>IF(Table1[[#This Row],[Actual close date]]="","",Table1[[#This Row],[Actual close date]]-Table1[[#This Row],[Expected close date]])</f>
        <v/>
      </c>
    </row>
    <row r="466" spans="1:18" x14ac:dyDescent="0.25">
      <c r="A466" t="s">
        <v>541</v>
      </c>
      <c r="B466" t="s">
        <v>76</v>
      </c>
      <c r="C466" t="s">
        <v>77</v>
      </c>
      <c r="D466" t="s">
        <v>78</v>
      </c>
      <c r="E466" t="s">
        <v>82</v>
      </c>
      <c r="F466" t="s">
        <v>167</v>
      </c>
      <c r="G466" t="s">
        <v>83</v>
      </c>
      <c r="H466" s="1">
        <v>45431</v>
      </c>
      <c r="I466" t="s">
        <v>64</v>
      </c>
      <c r="J466" t="s">
        <v>425</v>
      </c>
      <c r="K466">
        <v>3</v>
      </c>
      <c r="N466">
        <v>2090</v>
      </c>
      <c r="O466">
        <v>40</v>
      </c>
      <c r="P466" s="1">
        <v>45791</v>
      </c>
      <c r="Q466" s="1"/>
      <c r="R466" t="str">
        <f>IF(Table1[[#This Row],[Actual close date]]="","",Table1[[#This Row],[Actual close date]]-Table1[[#This Row],[Expected close date]])</f>
        <v/>
      </c>
    </row>
    <row r="467" spans="1:18" x14ac:dyDescent="0.25">
      <c r="A467" t="s">
        <v>542</v>
      </c>
      <c r="B467" t="s">
        <v>33</v>
      </c>
      <c r="C467" t="s">
        <v>34</v>
      </c>
      <c r="D467" t="s">
        <v>35</v>
      </c>
      <c r="E467" t="s">
        <v>101</v>
      </c>
      <c r="F467" t="s">
        <v>167</v>
      </c>
      <c r="G467" t="s">
        <v>37</v>
      </c>
      <c r="H467" s="1">
        <v>45394</v>
      </c>
      <c r="I467" t="s">
        <v>24</v>
      </c>
      <c r="J467" t="s">
        <v>425</v>
      </c>
      <c r="K467">
        <v>3</v>
      </c>
      <c r="N467">
        <v>7110</v>
      </c>
      <c r="O467">
        <v>50</v>
      </c>
      <c r="P467" s="1">
        <v>45710</v>
      </c>
      <c r="Q467" s="1"/>
      <c r="R467" t="str">
        <f>IF(Table1[[#This Row],[Actual close date]]="","",Table1[[#This Row],[Actual close date]]-Table1[[#This Row],[Expected close date]])</f>
        <v/>
      </c>
    </row>
    <row r="468" spans="1:18" x14ac:dyDescent="0.25">
      <c r="A468" t="s">
        <v>543</v>
      </c>
      <c r="B468" t="s">
        <v>54</v>
      </c>
      <c r="C468" t="s">
        <v>55</v>
      </c>
      <c r="D468" t="s">
        <v>56</v>
      </c>
      <c r="E468" t="s">
        <v>62</v>
      </c>
      <c r="F468" t="s">
        <v>167</v>
      </c>
      <c r="G468" t="s">
        <v>85</v>
      </c>
      <c r="H468" s="1">
        <v>45370</v>
      </c>
      <c r="I468" t="s">
        <v>64</v>
      </c>
      <c r="J468" t="s">
        <v>425</v>
      </c>
      <c r="K468">
        <v>3</v>
      </c>
      <c r="N468">
        <v>7626</v>
      </c>
      <c r="O468">
        <v>30</v>
      </c>
      <c r="P468" s="1">
        <v>45714</v>
      </c>
      <c r="Q468" s="1"/>
      <c r="R468" t="str">
        <f>IF(Table1[[#This Row],[Actual close date]]="","",Table1[[#This Row],[Actual close date]]-Table1[[#This Row],[Expected close date]])</f>
        <v/>
      </c>
    </row>
    <row r="469" spans="1:18" x14ac:dyDescent="0.25">
      <c r="A469" t="s">
        <v>544</v>
      </c>
      <c r="B469" t="s">
        <v>18</v>
      </c>
      <c r="C469" t="s">
        <v>19</v>
      </c>
      <c r="D469" t="s">
        <v>20</v>
      </c>
      <c r="E469" t="s">
        <v>74</v>
      </c>
      <c r="F469" t="s">
        <v>167</v>
      </c>
      <c r="G469" t="s">
        <v>37</v>
      </c>
      <c r="H469" s="1">
        <v>45385</v>
      </c>
      <c r="I469" t="s">
        <v>47</v>
      </c>
      <c r="J469" t="s">
        <v>425</v>
      </c>
      <c r="K469">
        <v>3</v>
      </c>
      <c r="N469">
        <v>6993</v>
      </c>
      <c r="O469">
        <v>20</v>
      </c>
      <c r="P469" s="1">
        <v>45603</v>
      </c>
      <c r="Q469" s="1"/>
      <c r="R469" t="str">
        <f>IF(Table1[[#This Row],[Actual close date]]="","",Table1[[#This Row],[Actual close date]]-Table1[[#This Row],[Expected close date]])</f>
        <v/>
      </c>
    </row>
    <row r="470" spans="1:18" x14ac:dyDescent="0.25">
      <c r="A470" t="s">
        <v>545</v>
      </c>
      <c r="B470" t="s">
        <v>76</v>
      </c>
      <c r="C470" t="s">
        <v>77</v>
      </c>
      <c r="D470" t="s">
        <v>78</v>
      </c>
      <c r="E470" t="s">
        <v>30</v>
      </c>
      <c r="F470" t="s">
        <v>167</v>
      </c>
      <c r="G470" t="s">
        <v>46</v>
      </c>
      <c r="H470" s="1">
        <v>45397</v>
      </c>
      <c r="I470" t="s">
        <v>64</v>
      </c>
      <c r="J470" t="s">
        <v>425</v>
      </c>
      <c r="K470">
        <v>3</v>
      </c>
      <c r="N470">
        <v>423</v>
      </c>
      <c r="O470">
        <v>60</v>
      </c>
      <c r="P470" s="1">
        <v>45756</v>
      </c>
      <c r="Q470" s="1"/>
      <c r="R470" t="str">
        <f>IF(Table1[[#This Row],[Actual close date]]="","",Table1[[#This Row],[Actual close date]]-Table1[[#This Row],[Expected close date]])</f>
        <v/>
      </c>
    </row>
    <row r="471" spans="1:18" x14ac:dyDescent="0.25">
      <c r="A471" t="s">
        <v>546</v>
      </c>
      <c r="B471" t="s">
        <v>39</v>
      </c>
      <c r="C471" t="s">
        <v>40</v>
      </c>
      <c r="D471" t="s">
        <v>41</v>
      </c>
      <c r="E471" t="s">
        <v>21</v>
      </c>
      <c r="F471" t="s">
        <v>167</v>
      </c>
      <c r="G471" t="s">
        <v>37</v>
      </c>
      <c r="H471" s="1">
        <v>45318</v>
      </c>
      <c r="I471" t="s">
        <v>47</v>
      </c>
      <c r="J471" t="s">
        <v>425</v>
      </c>
      <c r="K471">
        <v>3</v>
      </c>
      <c r="N471">
        <v>4590</v>
      </c>
      <c r="O471">
        <v>40</v>
      </c>
      <c r="P471" s="1">
        <v>45493</v>
      </c>
      <c r="Q471" s="1"/>
      <c r="R471" t="str">
        <f>IF(Table1[[#This Row],[Actual close date]]="","",Table1[[#This Row],[Actual close date]]-Table1[[#This Row],[Expected close date]])</f>
        <v/>
      </c>
    </row>
    <row r="472" spans="1:18" x14ac:dyDescent="0.25">
      <c r="A472" t="s">
        <v>547</v>
      </c>
      <c r="B472" t="s">
        <v>49</v>
      </c>
      <c r="C472" t="s">
        <v>50</v>
      </c>
      <c r="D472" t="s">
        <v>51</v>
      </c>
      <c r="E472" t="s">
        <v>122</v>
      </c>
      <c r="F472" t="s">
        <v>167</v>
      </c>
      <c r="G472" t="s">
        <v>23</v>
      </c>
      <c r="H472" s="1">
        <v>45345</v>
      </c>
      <c r="I472" t="s">
        <v>64</v>
      </c>
      <c r="J472" t="s">
        <v>425</v>
      </c>
      <c r="K472">
        <v>3</v>
      </c>
      <c r="N472">
        <v>3253</v>
      </c>
      <c r="O472">
        <v>20</v>
      </c>
      <c r="P472" s="1">
        <v>45528</v>
      </c>
      <c r="Q472" s="1"/>
      <c r="R472" t="str">
        <f>IF(Table1[[#This Row],[Actual close date]]="","",Table1[[#This Row],[Actual close date]]-Table1[[#This Row],[Expected close date]])</f>
        <v/>
      </c>
    </row>
    <row r="473" spans="1:18" x14ac:dyDescent="0.25">
      <c r="A473" t="s">
        <v>548</v>
      </c>
      <c r="B473" t="s">
        <v>59</v>
      </c>
      <c r="C473" t="s">
        <v>60</v>
      </c>
      <c r="D473" t="s">
        <v>61</v>
      </c>
      <c r="E473" t="s">
        <v>21</v>
      </c>
      <c r="F473" t="s">
        <v>167</v>
      </c>
      <c r="G473" t="s">
        <v>37</v>
      </c>
      <c r="H473" s="1">
        <v>45367</v>
      </c>
      <c r="I473" t="s">
        <v>24</v>
      </c>
      <c r="J473" t="s">
        <v>425</v>
      </c>
      <c r="K473">
        <v>3</v>
      </c>
      <c r="N473">
        <v>7482</v>
      </c>
      <c r="O473">
        <v>40</v>
      </c>
      <c r="P473" s="1">
        <v>45468</v>
      </c>
      <c r="Q473" s="1"/>
      <c r="R473" t="str">
        <f>IF(Table1[[#This Row],[Actual close date]]="","",Table1[[#This Row],[Actual close date]]-Table1[[#This Row],[Expected close date]])</f>
        <v/>
      </c>
    </row>
    <row r="474" spans="1:18" x14ac:dyDescent="0.25">
      <c r="A474" t="s">
        <v>549</v>
      </c>
      <c r="B474" t="s">
        <v>59</v>
      </c>
      <c r="C474" t="s">
        <v>60</v>
      </c>
      <c r="D474" t="s">
        <v>61</v>
      </c>
      <c r="E474" t="s">
        <v>52</v>
      </c>
      <c r="F474" t="s">
        <v>167</v>
      </c>
      <c r="G474" t="s">
        <v>23</v>
      </c>
      <c r="H474" s="1">
        <v>45308</v>
      </c>
      <c r="I474" t="s">
        <v>24</v>
      </c>
      <c r="J474" t="s">
        <v>425</v>
      </c>
      <c r="K474">
        <v>3</v>
      </c>
      <c r="N474">
        <v>4776</v>
      </c>
      <c r="O474">
        <v>30</v>
      </c>
      <c r="P474" s="1">
        <v>45434</v>
      </c>
      <c r="Q474" s="1"/>
      <c r="R474" t="str">
        <f>IF(Table1[[#This Row],[Actual close date]]="","",Table1[[#This Row],[Actual close date]]-Table1[[#This Row],[Expected close date]])</f>
        <v/>
      </c>
    </row>
    <row r="475" spans="1:18" x14ac:dyDescent="0.25">
      <c r="A475" t="s">
        <v>550</v>
      </c>
      <c r="B475" t="s">
        <v>69</v>
      </c>
      <c r="C475" t="s">
        <v>70</v>
      </c>
      <c r="D475" t="s">
        <v>71</v>
      </c>
      <c r="E475" t="s">
        <v>21</v>
      </c>
      <c r="F475" t="s">
        <v>167</v>
      </c>
      <c r="G475" t="s">
        <v>23</v>
      </c>
      <c r="H475" s="1">
        <v>45350</v>
      </c>
      <c r="I475" t="s">
        <v>47</v>
      </c>
      <c r="J475" t="s">
        <v>425</v>
      </c>
      <c r="K475">
        <v>3</v>
      </c>
      <c r="N475">
        <v>4750</v>
      </c>
      <c r="O475">
        <v>40</v>
      </c>
      <c r="P475" s="1">
        <v>45458</v>
      </c>
      <c r="Q475" s="1"/>
      <c r="R475" t="str">
        <f>IF(Table1[[#This Row],[Actual close date]]="","",Table1[[#This Row],[Actual close date]]-Table1[[#This Row],[Expected close date]])</f>
        <v/>
      </c>
    </row>
    <row r="476" spans="1:18" x14ac:dyDescent="0.25">
      <c r="A476" t="s">
        <v>551</v>
      </c>
      <c r="B476" t="s">
        <v>59</v>
      </c>
      <c r="C476" t="s">
        <v>60</v>
      </c>
      <c r="D476" t="s">
        <v>61</v>
      </c>
      <c r="E476" t="s">
        <v>52</v>
      </c>
      <c r="F476" t="s">
        <v>167</v>
      </c>
      <c r="G476" t="s">
        <v>46</v>
      </c>
      <c r="H476" s="1">
        <v>45347</v>
      </c>
      <c r="I476" t="s">
        <v>24</v>
      </c>
      <c r="J476" t="s">
        <v>425</v>
      </c>
      <c r="K476">
        <v>3</v>
      </c>
      <c r="N476">
        <v>6320</v>
      </c>
      <c r="O476">
        <v>50</v>
      </c>
      <c r="P476" s="1">
        <v>45602</v>
      </c>
      <c r="Q476" s="1"/>
      <c r="R476" t="str">
        <f>IF(Table1[[#This Row],[Actual close date]]="","",Table1[[#This Row],[Actual close date]]-Table1[[#This Row],[Expected close date]])</f>
        <v/>
      </c>
    </row>
    <row r="477" spans="1:18" x14ac:dyDescent="0.25">
      <c r="A477" t="s">
        <v>552</v>
      </c>
      <c r="B477" t="s">
        <v>49</v>
      </c>
      <c r="C477" t="s">
        <v>50</v>
      </c>
      <c r="D477" t="s">
        <v>51</v>
      </c>
      <c r="E477" t="s">
        <v>45</v>
      </c>
      <c r="F477" t="s">
        <v>167</v>
      </c>
      <c r="G477" t="s">
        <v>46</v>
      </c>
      <c r="H477" s="1">
        <v>45420</v>
      </c>
      <c r="I477" t="s">
        <v>64</v>
      </c>
      <c r="J477" t="s">
        <v>425</v>
      </c>
      <c r="K477">
        <v>3</v>
      </c>
      <c r="N477">
        <v>3005</v>
      </c>
      <c r="O477">
        <v>20</v>
      </c>
      <c r="P477" s="1">
        <v>45721</v>
      </c>
      <c r="Q477" s="1"/>
      <c r="R477" t="str">
        <f>IF(Table1[[#This Row],[Actual close date]]="","",Table1[[#This Row],[Actual close date]]-Table1[[#This Row],[Expected close date]])</f>
        <v/>
      </c>
    </row>
    <row r="478" spans="1:18" x14ac:dyDescent="0.25">
      <c r="A478" t="s">
        <v>553</v>
      </c>
      <c r="B478" t="s">
        <v>76</v>
      </c>
      <c r="C478" t="s">
        <v>77</v>
      </c>
      <c r="D478" t="s">
        <v>78</v>
      </c>
      <c r="E478" t="s">
        <v>30</v>
      </c>
      <c r="F478" t="s">
        <v>167</v>
      </c>
      <c r="G478" t="s">
        <v>37</v>
      </c>
      <c r="H478" s="1">
        <v>45361</v>
      </c>
      <c r="I478" t="s">
        <v>24</v>
      </c>
      <c r="J478" t="s">
        <v>425</v>
      </c>
      <c r="K478">
        <v>3</v>
      </c>
      <c r="N478">
        <v>6130</v>
      </c>
      <c r="O478">
        <v>30</v>
      </c>
      <c r="P478" s="1">
        <v>45567</v>
      </c>
      <c r="Q478" s="1"/>
      <c r="R478" t="str">
        <f>IF(Table1[[#This Row],[Actual close date]]="","",Table1[[#This Row],[Actual close date]]-Table1[[#This Row],[Expected close date]])</f>
        <v/>
      </c>
    </row>
    <row r="479" spans="1:18" x14ac:dyDescent="0.25">
      <c r="A479" t="s">
        <v>554</v>
      </c>
      <c r="B479" t="s">
        <v>76</v>
      </c>
      <c r="C479" t="s">
        <v>77</v>
      </c>
      <c r="D479" t="s">
        <v>78</v>
      </c>
      <c r="E479" t="s">
        <v>36</v>
      </c>
      <c r="F479" t="s">
        <v>167</v>
      </c>
      <c r="G479" t="s">
        <v>57</v>
      </c>
      <c r="H479" s="1">
        <v>45369</v>
      </c>
      <c r="I479" t="s">
        <v>24</v>
      </c>
      <c r="J479" t="s">
        <v>425</v>
      </c>
      <c r="K479">
        <v>3</v>
      </c>
      <c r="N479">
        <v>6360</v>
      </c>
      <c r="O479">
        <v>60</v>
      </c>
      <c r="P479" s="1">
        <v>45583</v>
      </c>
      <c r="Q479" s="1"/>
      <c r="R479" t="str">
        <f>IF(Table1[[#This Row],[Actual close date]]="","",Table1[[#This Row],[Actual close date]]-Table1[[#This Row],[Expected close date]])</f>
        <v/>
      </c>
    </row>
    <row r="480" spans="1:18" x14ac:dyDescent="0.25">
      <c r="A480" t="s">
        <v>555</v>
      </c>
      <c r="B480" t="s">
        <v>33</v>
      </c>
      <c r="C480" t="s">
        <v>34</v>
      </c>
      <c r="D480" t="s">
        <v>35</v>
      </c>
      <c r="E480" t="s">
        <v>118</v>
      </c>
      <c r="F480" t="s">
        <v>167</v>
      </c>
      <c r="G480" t="s">
        <v>37</v>
      </c>
      <c r="H480" s="1">
        <v>45335</v>
      </c>
      <c r="I480" t="s">
        <v>24</v>
      </c>
      <c r="J480" t="s">
        <v>425</v>
      </c>
      <c r="K480">
        <v>3</v>
      </c>
      <c r="N480">
        <v>3613</v>
      </c>
      <c r="O480">
        <v>30</v>
      </c>
      <c r="P480" s="1">
        <v>45681</v>
      </c>
      <c r="Q480" s="1"/>
      <c r="R480" t="str">
        <f>IF(Table1[[#This Row],[Actual close date]]="","",Table1[[#This Row],[Actual close date]]-Table1[[#This Row],[Expected close date]])</f>
        <v/>
      </c>
    </row>
    <row r="481" spans="1:18" x14ac:dyDescent="0.25">
      <c r="A481" t="s">
        <v>556</v>
      </c>
      <c r="B481" t="s">
        <v>69</v>
      </c>
      <c r="C481" t="s">
        <v>70</v>
      </c>
      <c r="D481" t="s">
        <v>71</v>
      </c>
      <c r="E481" t="s">
        <v>52</v>
      </c>
      <c r="F481" t="s">
        <v>167</v>
      </c>
      <c r="G481" t="s">
        <v>57</v>
      </c>
      <c r="H481" s="1">
        <v>45327</v>
      </c>
      <c r="I481" t="s">
        <v>24</v>
      </c>
      <c r="J481" t="s">
        <v>425</v>
      </c>
      <c r="K481">
        <v>3</v>
      </c>
      <c r="N481">
        <v>3494</v>
      </c>
      <c r="O481">
        <v>10</v>
      </c>
      <c r="P481" s="1">
        <v>45515</v>
      </c>
      <c r="Q481" s="1"/>
      <c r="R481" t="str">
        <f>IF(Table1[[#This Row],[Actual close date]]="","",Table1[[#This Row],[Actual close date]]-Table1[[#This Row],[Expected close date]])</f>
        <v/>
      </c>
    </row>
    <row r="482" spans="1:18" x14ac:dyDescent="0.25">
      <c r="A482" t="s">
        <v>557</v>
      </c>
      <c r="B482" t="s">
        <v>33</v>
      </c>
      <c r="C482" t="s">
        <v>34</v>
      </c>
      <c r="D482" t="s">
        <v>35</v>
      </c>
      <c r="E482" t="s">
        <v>82</v>
      </c>
      <c r="F482" t="s">
        <v>167</v>
      </c>
      <c r="G482" t="s">
        <v>37</v>
      </c>
      <c r="H482" s="1">
        <v>45302</v>
      </c>
      <c r="I482" t="s">
        <v>64</v>
      </c>
      <c r="J482" t="s">
        <v>425</v>
      </c>
      <c r="K482">
        <v>3</v>
      </c>
      <c r="N482">
        <v>7581</v>
      </c>
      <c r="O482">
        <v>50</v>
      </c>
      <c r="P482" s="1">
        <v>45630</v>
      </c>
      <c r="Q482" s="1"/>
      <c r="R482" t="str">
        <f>IF(Table1[[#This Row],[Actual close date]]="","",Table1[[#This Row],[Actual close date]]-Table1[[#This Row],[Expected close date]])</f>
        <v/>
      </c>
    </row>
    <row r="483" spans="1:18" x14ac:dyDescent="0.25">
      <c r="A483" t="s">
        <v>558</v>
      </c>
      <c r="B483" t="s">
        <v>59</v>
      </c>
      <c r="C483" t="s">
        <v>60</v>
      </c>
      <c r="D483" t="s">
        <v>61</v>
      </c>
      <c r="E483" t="s">
        <v>74</v>
      </c>
      <c r="F483" t="s">
        <v>167</v>
      </c>
      <c r="G483" t="s">
        <v>23</v>
      </c>
      <c r="H483" s="1">
        <v>45405</v>
      </c>
      <c r="I483" t="s">
        <v>24</v>
      </c>
      <c r="J483" t="s">
        <v>425</v>
      </c>
      <c r="K483">
        <v>3</v>
      </c>
      <c r="N483">
        <v>5827</v>
      </c>
      <c r="O483">
        <v>30</v>
      </c>
      <c r="P483" s="1">
        <v>45737</v>
      </c>
      <c r="Q483" s="1"/>
      <c r="R483" t="str">
        <f>IF(Table1[[#This Row],[Actual close date]]="","",Table1[[#This Row],[Actual close date]]-Table1[[#This Row],[Expected close date]])</f>
        <v/>
      </c>
    </row>
    <row r="484" spans="1:18" x14ac:dyDescent="0.25">
      <c r="A484" t="s">
        <v>559</v>
      </c>
      <c r="B484" t="s">
        <v>76</v>
      </c>
      <c r="C484" t="s">
        <v>77</v>
      </c>
      <c r="D484" t="s">
        <v>78</v>
      </c>
      <c r="E484" t="s">
        <v>118</v>
      </c>
      <c r="F484" t="s">
        <v>167</v>
      </c>
      <c r="G484" t="s">
        <v>46</v>
      </c>
      <c r="H484" s="1">
        <v>45406</v>
      </c>
      <c r="I484" t="s">
        <v>64</v>
      </c>
      <c r="J484" t="s">
        <v>425</v>
      </c>
      <c r="K484">
        <v>3</v>
      </c>
      <c r="N484">
        <v>7754</v>
      </c>
      <c r="O484">
        <v>50</v>
      </c>
      <c r="P484" s="1">
        <v>45682</v>
      </c>
      <c r="Q484" s="1"/>
      <c r="R484" t="str">
        <f>IF(Table1[[#This Row],[Actual close date]]="","",Table1[[#This Row],[Actual close date]]-Table1[[#This Row],[Expected close date]])</f>
        <v/>
      </c>
    </row>
    <row r="485" spans="1:18" x14ac:dyDescent="0.25">
      <c r="A485" t="s">
        <v>560</v>
      </c>
      <c r="B485" t="s">
        <v>18</v>
      </c>
      <c r="C485" t="s">
        <v>19</v>
      </c>
      <c r="D485" t="s">
        <v>20</v>
      </c>
      <c r="E485" t="s">
        <v>21</v>
      </c>
      <c r="F485" t="s">
        <v>167</v>
      </c>
      <c r="G485" t="s">
        <v>57</v>
      </c>
      <c r="H485" s="1">
        <v>45401</v>
      </c>
      <c r="I485" t="s">
        <v>64</v>
      </c>
      <c r="J485" t="s">
        <v>425</v>
      </c>
      <c r="K485">
        <v>3</v>
      </c>
      <c r="N485">
        <v>542</v>
      </c>
      <c r="O485">
        <v>10</v>
      </c>
      <c r="P485" s="1">
        <v>45448</v>
      </c>
      <c r="Q485" s="1"/>
      <c r="R485" t="str">
        <f>IF(Table1[[#This Row],[Actual close date]]="","",Table1[[#This Row],[Actual close date]]-Table1[[#This Row],[Expected close date]])</f>
        <v/>
      </c>
    </row>
    <row r="486" spans="1:18" x14ac:dyDescent="0.25">
      <c r="A486" t="s">
        <v>561</v>
      </c>
      <c r="B486" t="s">
        <v>59</v>
      </c>
      <c r="C486" t="s">
        <v>60</v>
      </c>
      <c r="D486" t="s">
        <v>61</v>
      </c>
      <c r="E486" t="s">
        <v>21</v>
      </c>
      <c r="F486" t="s">
        <v>167</v>
      </c>
      <c r="G486" t="s">
        <v>37</v>
      </c>
      <c r="H486" s="1">
        <v>45424</v>
      </c>
      <c r="I486" t="s">
        <v>24</v>
      </c>
      <c r="J486" t="s">
        <v>425</v>
      </c>
      <c r="K486">
        <v>3</v>
      </c>
      <c r="N486">
        <v>5161</v>
      </c>
      <c r="O486">
        <v>40</v>
      </c>
      <c r="P486" s="1">
        <v>45551</v>
      </c>
      <c r="Q486" s="1"/>
      <c r="R486" t="str">
        <f>IF(Table1[[#This Row],[Actual close date]]="","",Table1[[#This Row],[Actual close date]]-Table1[[#This Row],[Expected close date]])</f>
        <v/>
      </c>
    </row>
    <row r="487" spans="1:18" x14ac:dyDescent="0.25">
      <c r="A487" t="s">
        <v>562</v>
      </c>
      <c r="B487" t="s">
        <v>33</v>
      </c>
      <c r="C487" t="s">
        <v>34</v>
      </c>
      <c r="D487" t="s">
        <v>35</v>
      </c>
      <c r="E487" t="s">
        <v>74</v>
      </c>
      <c r="F487" t="s">
        <v>167</v>
      </c>
      <c r="G487" t="s">
        <v>23</v>
      </c>
      <c r="H487" s="1">
        <v>45408</v>
      </c>
      <c r="I487" t="s">
        <v>64</v>
      </c>
      <c r="J487" t="s">
        <v>425</v>
      </c>
      <c r="K487">
        <v>3</v>
      </c>
      <c r="N487">
        <v>860</v>
      </c>
      <c r="O487">
        <v>30</v>
      </c>
      <c r="P487" s="1">
        <v>45750</v>
      </c>
      <c r="Q487" s="1"/>
      <c r="R487" t="str">
        <f>IF(Table1[[#This Row],[Actual close date]]="","",Table1[[#This Row],[Actual close date]]-Table1[[#This Row],[Expected close date]])</f>
        <v/>
      </c>
    </row>
    <row r="488" spans="1:18" x14ac:dyDescent="0.25">
      <c r="A488" t="s">
        <v>563</v>
      </c>
      <c r="B488" t="s">
        <v>54</v>
      </c>
      <c r="C488" t="s">
        <v>55</v>
      </c>
      <c r="D488" t="s">
        <v>56</v>
      </c>
      <c r="E488" t="s">
        <v>30</v>
      </c>
      <c r="F488" t="s">
        <v>167</v>
      </c>
      <c r="G488" t="s">
        <v>83</v>
      </c>
      <c r="H488" s="1">
        <v>45384</v>
      </c>
      <c r="I488" t="s">
        <v>64</v>
      </c>
      <c r="J488" t="s">
        <v>425</v>
      </c>
      <c r="K488">
        <v>3</v>
      </c>
      <c r="N488">
        <v>2664</v>
      </c>
      <c r="O488">
        <v>30</v>
      </c>
      <c r="P488" s="1">
        <v>45505</v>
      </c>
      <c r="Q488" s="1"/>
      <c r="R488" t="str">
        <f>IF(Table1[[#This Row],[Actual close date]]="","",Table1[[#This Row],[Actual close date]]-Table1[[#This Row],[Expected close date]])</f>
        <v/>
      </c>
    </row>
    <row r="489" spans="1:18" x14ac:dyDescent="0.25">
      <c r="A489" t="s">
        <v>564</v>
      </c>
      <c r="B489" t="s">
        <v>59</v>
      </c>
      <c r="C489" t="s">
        <v>60</v>
      </c>
      <c r="D489" t="s">
        <v>61</v>
      </c>
      <c r="E489" t="s">
        <v>52</v>
      </c>
      <c r="F489" t="s">
        <v>167</v>
      </c>
      <c r="G489" t="s">
        <v>46</v>
      </c>
      <c r="H489" s="1">
        <v>45412</v>
      </c>
      <c r="I489" t="s">
        <v>64</v>
      </c>
      <c r="J489" t="s">
        <v>425</v>
      </c>
      <c r="K489">
        <v>3</v>
      </c>
      <c r="N489">
        <v>7808</v>
      </c>
      <c r="O489">
        <v>20</v>
      </c>
      <c r="P489" s="1">
        <v>45600</v>
      </c>
      <c r="Q489" s="1"/>
      <c r="R489" t="str">
        <f>IF(Table1[[#This Row],[Actual close date]]="","",Table1[[#This Row],[Actual close date]]-Table1[[#This Row],[Expected close date]])</f>
        <v/>
      </c>
    </row>
    <row r="490" spans="1:18" x14ac:dyDescent="0.25">
      <c r="A490" t="s">
        <v>565</v>
      </c>
      <c r="B490" t="s">
        <v>59</v>
      </c>
      <c r="C490" t="s">
        <v>60</v>
      </c>
      <c r="D490" t="s">
        <v>61</v>
      </c>
      <c r="E490" t="s">
        <v>122</v>
      </c>
      <c r="F490" t="s">
        <v>167</v>
      </c>
      <c r="G490" t="s">
        <v>31</v>
      </c>
      <c r="H490" s="1">
        <v>45434</v>
      </c>
      <c r="I490" t="s">
        <v>64</v>
      </c>
      <c r="J490" t="s">
        <v>425</v>
      </c>
      <c r="K490">
        <v>3</v>
      </c>
      <c r="N490">
        <v>5821</v>
      </c>
      <c r="O490">
        <v>30</v>
      </c>
      <c r="P490" s="1">
        <v>45456</v>
      </c>
      <c r="Q490" s="1"/>
      <c r="R490" t="str">
        <f>IF(Table1[[#This Row],[Actual close date]]="","",Table1[[#This Row],[Actual close date]]-Table1[[#This Row],[Expected close date]])</f>
        <v/>
      </c>
    </row>
    <row r="491" spans="1:18" x14ac:dyDescent="0.25">
      <c r="A491" t="s">
        <v>566</v>
      </c>
      <c r="B491" t="s">
        <v>59</v>
      </c>
      <c r="C491" t="s">
        <v>60</v>
      </c>
      <c r="D491" t="s">
        <v>61</v>
      </c>
      <c r="E491" t="s">
        <v>52</v>
      </c>
      <c r="F491" t="s">
        <v>167</v>
      </c>
      <c r="G491" t="s">
        <v>72</v>
      </c>
      <c r="H491" s="1">
        <v>45398</v>
      </c>
      <c r="I491" t="s">
        <v>24</v>
      </c>
      <c r="J491" t="s">
        <v>425</v>
      </c>
      <c r="K491">
        <v>3</v>
      </c>
      <c r="N491">
        <v>6404</v>
      </c>
      <c r="O491">
        <v>40</v>
      </c>
      <c r="P491" s="1">
        <v>45495</v>
      </c>
      <c r="Q491" s="1"/>
      <c r="R491" t="str">
        <f>IF(Table1[[#This Row],[Actual close date]]="","",Table1[[#This Row],[Actual close date]]-Table1[[#This Row],[Expected close date]])</f>
        <v/>
      </c>
    </row>
    <row r="492" spans="1:18" x14ac:dyDescent="0.25">
      <c r="A492" t="s">
        <v>567</v>
      </c>
      <c r="B492" t="s">
        <v>49</v>
      </c>
      <c r="C492" t="s">
        <v>50</v>
      </c>
      <c r="D492" t="s">
        <v>51</v>
      </c>
      <c r="E492" t="s">
        <v>66</v>
      </c>
      <c r="F492" t="s">
        <v>167</v>
      </c>
      <c r="G492" t="s">
        <v>46</v>
      </c>
      <c r="H492" s="1">
        <v>45443</v>
      </c>
      <c r="I492" t="s">
        <v>64</v>
      </c>
      <c r="J492" t="s">
        <v>425</v>
      </c>
      <c r="K492">
        <v>3</v>
      </c>
      <c r="N492">
        <v>1872</v>
      </c>
      <c r="O492">
        <v>20</v>
      </c>
      <c r="P492" s="1">
        <v>45722</v>
      </c>
      <c r="Q492" s="1"/>
      <c r="R492" t="str">
        <f>IF(Table1[[#This Row],[Actual close date]]="","",Table1[[#This Row],[Actual close date]]-Table1[[#This Row],[Expected close date]])</f>
        <v/>
      </c>
    </row>
    <row r="493" spans="1:18" x14ac:dyDescent="0.25">
      <c r="A493" t="s">
        <v>568</v>
      </c>
      <c r="B493" t="s">
        <v>69</v>
      </c>
      <c r="C493" t="s">
        <v>70</v>
      </c>
      <c r="D493" t="s">
        <v>71</v>
      </c>
      <c r="E493" t="s">
        <v>36</v>
      </c>
      <c r="F493" t="s">
        <v>167</v>
      </c>
      <c r="G493" t="s">
        <v>37</v>
      </c>
      <c r="H493" s="1">
        <v>45366</v>
      </c>
      <c r="I493" t="s">
        <v>24</v>
      </c>
      <c r="J493" t="s">
        <v>425</v>
      </c>
      <c r="K493">
        <v>3</v>
      </c>
      <c r="N493">
        <v>7798</v>
      </c>
      <c r="O493">
        <v>40</v>
      </c>
      <c r="P493" s="1">
        <v>45716</v>
      </c>
      <c r="Q493" s="1"/>
      <c r="R493" t="str">
        <f>IF(Table1[[#This Row],[Actual close date]]="","",Table1[[#This Row],[Actual close date]]-Table1[[#This Row],[Expected close date]])</f>
        <v/>
      </c>
    </row>
    <row r="494" spans="1:18" x14ac:dyDescent="0.25">
      <c r="A494" t="s">
        <v>569</v>
      </c>
      <c r="B494" t="s">
        <v>39</v>
      </c>
      <c r="C494" t="s">
        <v>40</v>
      </c>
      <c r="D494" t="s">
        <v>41</v>
      </c>
      <c r="E494" t="s">
        <v>118</v>
      </c>
      <c r="F494" t="s">
        <v>167</v>
      </c>
      <c r="G494" t="s">
        <v>37</v>
      </c>
      <c r="H494" s="1">
        <v>45353</v>
      </c>
      <c r="I494" t="s">
        <v>24</v>
      </c>
      <c r="J494" t="s">
        <v>425</v>
      </c>
      <c r="K494">
        <v>3</v>
      </c>
      <c r="N494">
        <v>2725</v>
      </c>
      <c r="O494">
        <v>50</v>
      </c>
      <c r="P494" s="1">
        <v>45474</v>
      </c>
      <c r="Q494" s="1"/>
      <c r="R494" t="str">
        <f>IF(Table1[[#This Row],[Actual close date]]="","",Table1[[#This Row],[Actual close date]]-Table1[[#This Row],[Expected close date]])</f>
        <v/>
      </c>
    </row>
    <row r="495" spans="1:18" x14ac:dyDescent="0.25">
      <c r="A495" t="s">
        <v>570</v>
      </c>
      <c r="B495" t="s">
        <v>59</v>
      </c>
      <c r="C495" t="s">
        <v>60</v>
      </c>
      <c r="D495" t="s">
        <v>61</v>
      </c>
      <c r="E495" t="s">
        <v>98</v>
      </c>
      <c r="F495" t="s">
        <v>167</v>
      </c>
      <c r="G495" t="s">
        <v>31</v>
      </c>
      <c r="H495" s="1">
        <v>45361</v>
      </c>
      <c r="I495" t="s">
        <v>24</v>
      </c>
      <c r="J495" t="s">
        <v>425</v>
      </c>
      <c r="K495">
        <v>3</v>
      </c>
      <c r="N495">
        <v>653</v>
      </c>
      <c r="O495">
        <v>40</v>
      </c>
      <c r="P495" s="1">
        <v>45493</v>
      </c>
      <c r="Q495" s="1"/>
      <c r="R495" t="str">
        <f>IF(Table1[[#This Row],[Actual close date]]="","",Table1[[#This Row],[Actual close date]]-Table1[[#This Row],[Expected close date]])</f>
        <v/>
      </c>
    </row>
    <row r="496" spans="1:18" x14ac:dyDescent="0.25">
      <c r="A496" t="s">
        <v>571</v>
      </c>
      <c r="B496" t="s">
        <v>18</v>
      </c>
      <c r="C496" t="s">
        <v>19</v>
      </c>
      <c r="D496" t="s">
        <v>20</v>
      </c>
      <c r="E496" t="s">
        <v>82</v>
      </c>
      <c r="F496" t="s">
        <v>167</v>
      </c>
      <c r="G496" t="s">
        <v>72</v>
      </c>
      <c r="H496" s="1">
        <v>45443</v>
      </c>
      <c r="I496" t="s">
        <v>64</v>
      </c>
      <c r="J496" t="s">
        <v>425</v>
      </c>
      <c r="K496">
        <v>3</v>
      </c>
      <c r="N496">
        <v>3845</v>
      </c>
      <c r="O496">
        <v>50</v>
      </c>
      <c r="P496" s="1">
        <v>45648</v>
      </c>
      <c r="Q496" s="1"/>
      <c r="R496" t="str">
        <f>IF(Table1[[#This Row],[Actual close date]]="","",Table1[[#This Row],[Actual close date]]-Table1[[#This Row],[Expected close date]])</f>
        <v/>
      </c>
    </row>
    <row r="497" spans="1:18" x14ac:dyDescent="0.25">
      <c r="A497" t="s">
        <v>572</v>
      </c>
      <c r="B497" t="s">
        <v>76</v>
      </c>
      <c r="C497" t="s">
        <v>77</v>
      </c>
      <c r="D497" t="s">
        <v>78</v>
      </c>
      <c r="E497" t="s">
        <v>45</v>
      </c>
      <c r="F497" t="s">
        <v>167</v>
      </c>
      <c r="G497" t="s">
        <v>31</v>
      </c>
      <c r="H497" s="1">
        <v>45378</v>
      </c>
      <c r="I497" t="s">
        <v>64</v>
      </c>
      <c r="J497" t="s">
        <v>425</v>
      </c>
      <c r="K497">
        <v>3</v>
      </c>
      <c r="N497">
        <v>2862</v>
      </c>
      <c r="O497">
        <v>70</v>
      </c>
      <c r="P497" s="1">
        <v>45446</v>
      </c>
      <c r="Q497" s="1"/>
      <c r="R497" t="str">
        <f>IF(Table1[[#This Row],[Actual close date]]="","",Table1[[#This Row],[Actual close date]]-Table1[[#This Row],[Expected close date]])</f>
        <v/>
      </c>
    </row>
    <row r="498" spans="1:18" x14ac:dyDescent="0.25">
      <c r="A498" t="s">
        <v>573</v>
      </c>
      <c r="B498" t="s">
        <v>69</v>
      </c>
      <c r="C498" t="s">
        <v>70</v>
      </c>
      <c r="D498" t="s">
        <v>71</v>
      </c>
      <c r="E498" t="s">
        <v>45</v>
      </c>
      <c r="F498" t="s">
        <v>167</v>
      </c>
      <c r="G498" t="s">
        <v>31</v>
      </c>
      <c r="H498" s="1">
        <v>45294</v>
      </c>
      <c r="I498" t="s">
        <v>24</v>
      </c>
      <c r="J498" t="s">
        <v>425</v>
      </c>
      <c r="K498">
        <v>3</v>
      </c>
      <c r="N498">
        <v>6413</v>
      </c>
      <c r="O498">
        <v>30</v>
      </c>
      <c r="P498" s="1">
        <v>45551</v>
      </c>
      <c r="Q498" s="1"/>
      <c r="R498" t="str">
        <f>IF(Table1[[#This Row],[Actual close date]]="","",Table1[[#This Row],[Actual close date]]-Table1[[#This Row],[Expected close date]])</f>
        <v/>
      </c>
    </row>
    <row r="499" spans="1:18" x14ac:dyDescent="0.25">
      <c r="A499" t="s">
        <v>574</v>
      </c>
      <c r="B499" t="s">
        <v>59</v>
      </c>
      <c r="C499" t="s">
        <v>60</v>
      </c>
      <c r="D499" t="s">
        <v>61</v>
      </c>
      <c r="E499" t="s">
        <v>42</v>
      </c>
      <c r="F499" t="s">
        <v>167</v>
      </c>
      <c r="G499" t="s">
        <v>31</v>
      </c>
      <c r="H499" s="1">
        <v>45326</v>
      </c>
      <c r="I499" t="s">
        <v>64</v>
      </c>
      <c r="J499" t="s">
        <v>425</v>
      </c>
      <c r="K499">
        <v>3</v>
      </c>
      <c r="N499">
        <v>5296</v>
      </c>
      <c r="O499">
        <v>30</v>
      </c>
      <c r="P499" s="1">
        <v>45369</v>
      </c>
      <c r="Q499" s="1"/>
      <c r="R499" t="str">
        <f>IF(Table1[[#This Row],[Actual close date]]="","",Table1[[#This Row],[Actual close date]]-Table1[[#This Row],[Expected close date]])</f>
        <v/>
      </c>
    </row>
    <row r="500" spans="1:18" x14ac:dyDescent="0.25">
      <c r="A500" t="s">
        <v>575</v>
      </c>
      <c r="B500" t="s">
        <v>54</v>
      </c>
      <c r="C500" t="s">
        <v>55</v>
      </c>
      <c r="D500" t="s">
        <v>56</v>
      </c>
      <c r="E500" t="s">
        <v>101</v>
      </c>
      <c r="F500" t="s">
        <v>167</v>
      </c>
      <c r="G500" t="s">
        <v>57</v>
      </c>
      <c r="H500" s="1">
        <v>45301</v>
      </c>
      <c r="I500" t="s">
        <v>64</v>
      </c>
      <c r="J500" t="s">
        <v>425</v>
      </c>
      <c r="K500">
        <v>3</v>
      </c>
      <c r="N500">
        <v>2269</v>
      </c>
      <c r="O500">
        <v>30</v>
      </c>
      <c r="P500" s="1">
        <v>45642</v>
      </c>
      <c r="Q500" s="1"/>
      <c r="R500" t="str">
        <f>IF(Table1[[#This Row],[Actual close date]]="","",Table1[[#This Row],[Actual close date]]-Table1[[#This Row],[Expected close date]])</f>
        <v/>
      </c>
    </row>
    <row r="501" spans="1:18" x14ac:dyDescent="0.25">
      <c r="A501" t="s">
        <v>576</v>
      </c>
      <c r="B501" t="s">
        <v>27</v>
      </c>
      <c r="C501" t="s">
        <v>28</v>
      </c>
      <c r="D501" t="s">
        <v>29</v>
      </c>
      <c r="E501" t="s">
        <v>52</v>
      </c>
      <c r="F501" t="s">
        <v>167</v>
      </c>
      <c r="G501" t="s">
        <v>57</v>
      </c>
      <c r="H501" s="1">
        <v>45333</v>
      </c>
      <c r="I501" t="s">
        <v>24</v>
      </c>
      <c r="J501" t="s">
        <v>425</v>
      </c>
      <c r="K501">
        <v>3</v>
      </c>
      <c r="N501">
        <v>5129</v>
      </c>
      <c r="O501">
        <v>30</v>
      </c>
      <c r="P501" s="1">
        <v>45386</v>
      </c>
      <c r="Q501" s="1"/>
      <c r="R501" t="str">
        <f>IF(Table1[[#This Row],[Actual close date]]="","",Table1[[#This Row],[Actual close date]]-Table1[[#This Row],[Expected close date]])</f>
        <v/>
      </c>
    </row>
    <row r="502" spans="1:18" x14ac:dyDescent="0.25">
      <c r="A502" t="s">
        <v>577</v>
      </c>
      <c r="B502" t="s">
        <v>54</v>
      </c>
      <c r="C502" t="s">
        <v>55</v>
      </c>
      <c r="D502" t="s">
        <v>56</v>
      </c>
      <c r="E502" t="s">
        <v>66</v>
      </c>
      <c r="F502" t="s">
        <v>167</v>
      </c>
      <c r="G502" t="s">
        <v>23</v>
      </c>
      <c r="H502" s="1">
        <v>45305</v>
      </c>
      <c r="I502" t="s">
        <v>24</v>
      </c>
      <c r="J502" t="s">
        <v>425</v>
      </c>
      <c r="K502">
        <v>3</v>
      </c>
      <c r="N502">
        <v>3756</v>
      </c>
      <c r="O502">
        <v>20</v>
      </c>
      <c r="P502" s="1">
        <v>45456</v>
      </c>
      <c r="Q502" s="1"/>
      <c r="R502" t="str">
        <f>IF(Table1[[#This Row],[Actual close date]]="","",Table1[[#This Row],[Actual close date]]-Table1[[#This Row],[Expected close date]])</f>
        <v/>
      </c>
    </row>
    <row r="503" spans="1:18" x14ac:dyDescent="0.25">
      <c r="A503" t="s">
        <v>578</v>
      </c>
      <c r="B503" t="s">
        <v>49</v>
      </c>
      <c r="C503" t="s">
        <v>50</v>
      </c>
      <c r="D503" t="s">
        <v>51</v>
      </c>
      <c r="E503" t="s">
        <v>98</v>
      </c>
      <c r="F503" t="s">
        <v>167</v>
      </c>
      <c r="G503" t="s">
        <v>46</v>
      </c>
      <c r="H503" s="1">
        <v>45385</v>
      </c>
      <c r="I503" t="s">
        <v>24</v>
      </c>
      <c r="J503" t="s">
        <v>425</v>
      </c>
      <c r="K503">
        <v>3</v>
      </c>
      <c r="N503">
        <v>7165</v>
      </c>
      <c r="O503">
        <v>40</v>
      </c>
      <c r="P503" s="1">
        <v>45628</v>
      </c>
      <c r="Q503" s="1"/>
      <c r="R503" t="str">
        <f>IF(Table1[[#This Row],[Actual close date]]="","",Table1[[#This Row],[Actual close date]]-Table1[[#This Row],[Expected close date]])</f>
        <v/>
      </c>
    </row>
    <row r="504" spans="1:18" x14ac:dyDescent="0.25">
      <c r="A504" t="s">
        <v>579</v>
      </c>
      <c r="B504" t="s">
        <v>54</v>
      </c>
      <c r="C504" t="s">
        <v>55</v>
      </c>
      <c r="D504" t="s">
        <v>56</v>
      </c>
      <c r="E504" t="s">
        <v>45</v>
      </c>
      <c r="F504" t="s">
        <v>167</v>
      </c>
      <c r="G504" t="s">
        <v>31</v>
      </c>
      <c r="H504" s="1">
        <v>45311</v>
      </c>
      <c r="I504" t="s">
        <v>47</v>
      </c>
      <c r="J504" t="s">
        <v>425</v>
      </c>
      <c r="K504">
        <v>3</v>
      </c>
      <c r="N504">
        <v>1241</v>
      </c>
      <c r="O504">
        <v>40</v>
      </c>
      <c r="P504" s="1">
        <v>45544</v>
      </c>
      <c r="Q504" s="1"/>
      <c r="R504" t="str">
        <f>IF(Table1[[#This Row],[Actual close date]]="","",Table1[[#This Row],[Actual close date]]-Table1[[#This Row],[Expected close date]])</f>
        <v/>
      </c>
    </row>
    <row r="505" spans="1:18" x14ac:dyDescent="0.25">
      <c r="A505" t="s">
        <v>580</v>
      </c>
      <c r="B505" t="s">
        <v>54</v>
      </c>
      <c r="C505" t="s">
        <v>55</v>
      </c>
      <c r="D505" t="s">
        <v>56</v>
      </c>
      <c r="E505" t="s">
        <v>45</v>
      </c>
      <c r="F505" t="s">
        <v>167</v>
      </c>
      <c r="G505" t="s">
        <v>23</v>
      </c>
      <c r="H505" s="1">
        <v>45368</v>
      </c>
      <c r="I505" t="s">
        <v>24</v>
      </c>
      <c r="J505" t="s">
        <v>425</v>
      </c>
      <c r="K505">
        <v>3</v>
      </c>
      <c r="N505">
        <v>4487</v>
      </c>
      <c r="O505">
        <v>40</v>
      </c>
      <c r="P505" s="1">
        <v>45690</v>
      </c>
      <c r="Q505" s="1"/>
      <c r="R505" t="str">
        <f>IF(Table1[[#This Row],[Actual close date]]="","",Table1[[#This Row],[Actual close date]]-Table1[[#This Row],[Expected close date]])</f>
        <v/>
      </c>
    </row>
    <row r="506" spans="1:18" x14ac:dyDescent="0.25">
      <c r="A506" t="s">
        <v>581</v>
      </c>
      <c r="B506" t="s">
        <v>18</v>
      </c>
      <c r="C506" t="s">
        <v>19</v>
      </c>
      <c r="D506" t="s">
        <v>20</v>
      </c>
      <c r="E506" t="s">
        <v>62</v>
      </c>
      <c r="F506" t="s">
        <v>167</v>
      </c>
      <c r="G506" t="s">
        <v>72</v>
      </c>
      <c r="H506" s="1">
        <v>45343</v>
      </c>
      <c r="I506" t="s">
        <v>24</v>
      </c>
      <c r="J506" t="s">
        <v>425</v>
      </c>
      <c r="K506">
        <v>3</v>
      </c>
      <c r="N506">
        <v>1725</v>
      </c>
      <c r="O506">
        <v>60</v>
      </c>
      <c r="P506" s="1">
        <v>45454</v>
      </c>
      <c r="Q506" s="1"/>
      <c r="R506" t="str">
        <f>IF(Table1[[#This Row],[Actual close date]]="","",Table1[[#This Row],[Actual close date]]-Table1[[#This Row],[Expected close date]])</f>
        <v/>
      </c>
    </row>
    <row r="507" spans="1:18" x14ac:dyDescent="0.25">
      <c r="A507" t="s">
        <v>582</v>
      </c>
      <c r="B507" t="s">
        <v>59</v>
      </c>
      <c r="C507" t="s">
        <v>60</v>
      </c>
      <c r="D507" t="s">
        <v>61</v>
      </c>
      <c r="E507" t="s">
        <v>98</v>
      </c>
      <c r="F507" t="s">
        <v>167</v>
      </c>
      <c r="G507" t="s">
        <v>46</v>
      </c>
      <c r="H507" s="1">
        <v>45414</v>
      </c>
      <c r="I507" t="s">
        <v>64</v>
      </c>
      <c r="J507" t="s">
        <v>425</v>
      </c>
      <c r="K507">
        <v>3</v>
      </c>
      <c r="N507">
        <v>2081</v>
      </c>
      <c r="O507">
        <v>70</v>
      </c>
      <c r="P507" s="1">
        <v>45436</v>
      </c>
      <c r="Q507" s="1"/>
      <c r="R507" t="str">
        <f>IF(Table1[[#This Row],[Actual close date]]="","",Table1[[#This Row],[Actual close date]]-Table1[[#This Row],[Expected close date]])</f>
        <v/>
      </c>
    </row>
    <row r="508" spans="1:18" x14ac:dyDescent="0.25">
      <c r="A508" t="s">
        <v>583</v>
      </c>
      <c r="B508" t="s">
        <v>27</v>
      </c>
      <c r="C508" t="s">
        <v>28</v>
      </c>
      <c r="D508" t="s">
        <v>29</v>
      </c>
      <c r="E508" t="s">
        <v>52</v>
      </c>
      <c r="F508" t="s">
        <v>167</v>
      </c>
      <c r="G508" t="s">
        <v>31</v>
      </c>
      <c r="H508" s="1">
        <v>45299</v>
      </c>
      <c r="I508" t="s">
        <v>64</v>
      </c>
      <c r="J508" t="s">
        <v>425</v>
      </c>
      <c r="K508">
        <v>3</v>
      </c>
      <c r="N508">
        <v>4044</v>
      </c>
      <c r="O508">
        <v>60</v>
      </c>
      <c r="P508" s="1">
        <v>45516</v>
      </c>
      <c r="Q508" s="1"/>
      <c r="R508" t="str">
        <f>IF(Table1[[#This Row],[Actual close date]]="","",Table1[[#This Row],[Actual close date]]-Table1[[#This Row],[Expected close date]])</f>
        <v/>
      </c>
    </row>
    <row r="509" spans="1:18" x14ac:dyDescent="0.25">
      <c r="A509" t="s">
        <v>584</v>
      </c>
      <c r="B509" t="s">
        <v>54</v>
      </c>
      <c r="C509" t="s">
        <v>55</v>
      </c>
      <c r="D509" t="s">
        <v>56</v>
      </c>
      <c r="E509" t="s">
        <v>45</v>
      </c>
      <c r="F509" t="s">
        <v>167</v>
      </c>
      <c r="G509" t="s">
        <v>57</v>
      </c>
      <c r="H509" s="1">
        <v>45342</v>
      </c>
      <c r="I509" t="s">
        <v>64</v>
      </c>
      <c r="J509" t="s">
        <v>425</v>
      </c>
      <c r="K509">
        <v>3</v>
      </c>
      <c r="N509">
        <v>741</v>
      </c>
      <c r="O509">
        <v>60</v>
      </c>
      <c r="P509" s="1">
        <v>45431</v>
      </c>
      <c r="Q509" s="1"/>
      <c r="R509" t="str">
        <f>IF(Table1[[#This Row],[Actual close date]]="","",Table1[[#This Row],[Actual close date]]-Table1[[#This Row],[Expected close date]])</f>
        <v/>
      </c>
    </row>
    <row r="510" spans="1:18" x14ac:dyDescent="0.25">
      <c r="A510" t="s">
        <v>585</v>
      </c>
      <c r="B510" t="s">
        <v>54</v>
      </c>
      <c r="C510" t="s">
        <v>55</v>
      </c>
      <c r="D510" t="s">
        <v>56</v>
      </c>
      <c r="E510" t="s">
        <v>45</v>
      </c>
      <c r="F510" t="s">
        <v>167</v>
      </c>
      <c r="G510" t="s">
        <v>31</v>
      </c>
      <c r="H510" s="1">
        <v>45408</v>
      </c>
      <c r="I510" t="s">
        <v>64</v>
      </c>
      <c r="J510" t="s">
        <v>425</v>
      </c>
      <c r="K510">
        <v>3</v>
      </c>
      <c r="N510">
        <v>5826</v>
      </c>
      <c r="O510">
        <v>40</v>
      </c>
      <c r="P510" s="1">
        <v>45644</v>
      </c>
      <c r="Q510" s="1"/>
      <c r="R510" t="str">
        <f>IF(Table1[[#This Row],[Actual close date]]="","",Table1[[#This Row],[Actual close date]]-Table1[[#This Row],[Expected close date]])</f>
        <v/>
      </c>
    </row>
    <row r="511" spans="1:18" x14ac:dyDescent="0.25">
      <c r="A511" t="s">
        <v>586</v>
      </c>
      <c r="B511" t="s">
        <v>54</v>
      </c>
      <c r="C511" t="s">
        <v>55</v>
      </c>
      <c r="D511" t="s">
        <v>56</v>
      </c>
      <c r="E511" t="s">
        <v>21</v>
      </c>
      <c r="F511" t="s">
        <v>167</v>
      </c>
      <c r="G511" t="s">
        <v>57</v>
      </c>
      <c r="H511" s="1">
        <v>45318</v>
      </c>
      <c r="I511" t="s">
        <v>24</v>
      </c>
      <c r="J511" t="s">
        <v>425</v>
      </c>
      <c r="K511">
        <v>3</v>
      </c>
      <c r="N511">
        <v>6543</v>
      </c>
      <c r="O511">
        <v>20</v>
      </c>
      <c r="P511" s="1">
        <v>45395</v>
      </c>
      <c r="Q511" s="1"/>
      <c r="R511" t="str">
        <f>IF(Table1[[#This Row],[Actual close date]]="","",Table1[[#This Row],[Actual close date]]-Table1[[#This Row],[Expected close date]])</f>
        <v/>
      </c>
    </row>
    <row r="512" spans="1:18" x14ac:dyDescent="0.25">
      <c r="A512" t="s">
        <v>587</v>
      </c>
      <c r="B512" t="s">
        <v>27</v>
      </c>
      <c r="C512" t="s">
        <v>28</v>
      </c>
      <c r="D512" t="s">
        <v>29</v>
      </c>
      <c r="E512" t="s">
        <v>52</v>
      </c>
      <c r="F512" t="s">
        <v>167</v>
      </c>
      <c r="G512" t="s">
        <v>23</v>
      </c>
      <c r="H512" s="1">
        <v>45406</v>
      </c>
      <c r="I512" t="s">
        <v>64</v>
      </c>
      <c r="J512" t="s">
        <v>425</v>
      </c>
      <c r="K512">
        <v>3</v>
      </c>
      <c r="N512">
        <v>1554</v>
      </c>
      <c r="O512">
        <v>50</v>
      </c>
      <c r="P512" s="1">
        <v>45712</v>
      </c>
      <c r="Q512" s="1"/>
      <c r="R512" t="str">
        <f>IF(Table1[[#This Row],[Actual close date]]="","",Table1[[#This Row],[Actual close date]]-Table1[[#This Row],[Expected close date]])</f>
        <v/>
      </c>
    </row>
    <row r="513" spans="1:18" x14ac:dyDescent="0.25">
      <c r="A513" t="s">
        <v>588</v>
      </c>
      <c r="B513" t="s">
        <v>54</v>
      </c>
      <c r="C513" t="s">
        <v>55</v>
      </c>
      <c r="D513" t="s">
        <v>56</v>
      </c>
      <c r="E513" t="s">
        <v>45</v>
      </c>
      <c r="F513" t="s">
        <v>167</v>
      </c>
      <c r="G513" t="s">
        <v>46</v>
      </c>
      <c r="H513" s="1">
        <v>45422</v>
      </c>
      <c r="I513" t="s">
        <v>64</v>
      </c>
      <c r="J513" t="s">
        <v>425</v>
      </c>
      <c r="K513">
        <v>3</v>
      </c>
      <c r="N513">
        <v>3931</v>
      </c>
      <c r="O513">
        <v>10</v>
      </c>
      <c r="P513" s="1">
        <v>45573</v>
      </c>
      <c r="Q513" s="1"/>
      <c r="R513" t="str">
        <f>IF(Table1[[#This Row],[Actual close date]]="","",Table1[[#This Row],[Actual close date]]-Table1[[#This Row],[Expected close date]])</f>
        <v/>
      </c>
    </row>
    <row r="514" spans="1:18" x14ac:dyDescent="0.25">
      <c r="A514" t="s">
        <v>589</v>
      </c>
      <c r="B514" t="s">
        <v>49</v>
      </c>
      <c r="C514" t="s">
        <v>50</v>
      </c>
      <c r="D514" t="s">
        <v>51</v>
      </c>
      <c r="E514" t="s">
        <v>45</v>
      </c>
      <c r="F514" t="s">
        <v>167</v>
      </c>
      <c r="G514" t="s">
        <v>37</v>
      </c>
      <c r="H514" s="1">
        <v>45398</v>
      </c>
      <c r="I514" t="s">
        <v>47</v>
      </c>
      <c r="J514" t="s">
        <v>425</v>
      </c>
      <c r="K514">
        <v>3</v>
      </c>
      <c r="N514">
        <v>5437</v>
      </c>
      <c r="O514">
        <v>90</v>
      </c>
      <c r="P514" s="1">
        <v>45571</v>
      </c>
      <c r="Q514" s="1"/>
      <c r="R514" t="str">
        <f>IF(Table1[[#This Row],[Actual close date]]="","",Table1[[#This Row],[Actual close date]]-Table1[[#This Row],[Expected close date]])</f>
        <v/>
      </c>
    </row>
    <row r="515" spans="1:18" x14ac:dyDescent="0.25">
      <c r="A515" t="s">
        <v>590</v>
      </c>
      <c r="B515" t="s">
        <v>27</v>
      </c>
      <c r="C515" t="s">
        <v>28</v>
      </c>
      <c r="D515" t="s">
        <v>29</v>
      </c>
      <c r="E515" t="s">
        <v>21</v>
      </c>
      <c r="F515" t="s">
        <v>167</v>
      </c>
      <c r="G515" t="s">
        <v>57</v>
      </c>
      <c r="H515" s="1">
        <v>45392</v>
      </c>
      <c r="I515" t="s">
        <v>64</v>
      </c>
      <c r="J515" t="s">
        <v>425</v>
      </c>
      <c r="K515">
        <v>3</v>
      </c>
      <c r="N515">
        <v>3858</v>
      </c>
      <c r="O515">
        <v>90</v>
      </c>
      <c r="P515" s="1">
        <v>45724</v>
      </c>
      <c r="Q515" s="1"/>
      <c r="R515" t="str">
        <f>IF(Table1[[#This Row],[Actual close date]]="","",Table1[[#This Row],[Actual close date]]-Table1[[#This Row],[Expected close date]])</f>
        <v/>
      </c>
    </row>
    <row r="516" spans="1:18" x14ac:dyDescent="0.25">
      <c r="A516" t="s">
        <v>591</v>
      </c>
      <c r="B516" t="s">
        <v>49</v>
      </c>
      <c r="C516" t="s">
        <v>50</v>
      </c>
      <c r="D516" t="s">
        <v>51</v>
      </c>
      <c r="E516" t="s">
        <v>118</v>
      </c>
      <c r="F516" t="s">
        <v>167</v>
      </c>
      <c r="G516" t="s">
        <v>85</v>
      </c>
      <c r="H516" s="1">
        <v>45410</v>
      </c>
      <c r="I516" t="s">
        <v>24</v>
      </c>
      <c r="J516" t="s">
        <v>425</v>
      </c>
      <c r="K516">
        <v>3</v>
      </c>
      <c r="N516">
        <v>5767</v>
      </c>
      <c r="O516">
        <v>20</v>
      </c>
      <c r="P516" s="1">
        <v>45453</v>
      </c>
      <c r="Q516" s="1"/>
      <c r="R516" t="str">
        <f>IF(Table1[[#This Row],[Actual close date]]="","",Table1[[#This Row],[Actual close date]]-Table1[[#This Row],[Expected close date]])</f>
        <v/>
      </c>
    </row>
    <row r="517" spans="1:18" x14ac:dyDescent="0.25">
      <c r="A517" t="s">
        <v>592</v>
      </c>
      <c r="B517" t="s">
        <v>27</v>
      </c>
      <c r="C517" t="s">
        <v>28</v>
      </c>
      <c r="D517" t="s">
        <v>29</v>
      </c>
      <c r="E517" t="s">
        <v>45</v>
      </c>
      <c r="F517" t="s">
        <v>167</v>
      </c>
      <c r="G517" t="s">
        <v>31</v>
      </c>
      <c r="H517" s="1">
        <v>45366</v>
      </c>
      <c r="I517" t="s">
        <v>64</v>
      </c>
      <c r="J517" t="s">
        <v>425</v>
      </c>
      <c r="K517">
        <v>3</v>
      </c>
      <c r="N517">
        <v>1713</v>
      </c>
      <c r="O517">
        <v>50</v>
      </c>
      <c r="P517" s="1">
        <v>45594</v>
      </c>
      <c r="Q517" s="1"/>
      <c r="R517" t="str">
        <f>IF(Table1[[#This Row],[Actual close date]]="","",Table1[[#This Row],[Actual close date]]-Table1[[#This Row],[Expected close date]])</f>
        <v/>
      </c>
    </row>
    <row r="518" spans="1:18" x14ac:dyDescent="0.25">
      <c r="A518" t="s">
        <v>593</v>
      </c>
      <c r="B518" t="s">
        <v>54</v>
      </c>
      <c r="C518" t="s">
        <v>55</v>
      </c>
      <c r="D518" t="s">
        <v>56</v>
      </c>
      <c r="E518" t="s">
        <v>42</v>
      </c>
      <c r="F518" t="s">
        <v>167</v>
      </c>
      <c r="G518" t="s">
        <v>72</v>
      </c>
      <c r="H518" s="1">
        <v>45399</v>
      </c>
      <c r="I518" t="s">
        <v>24</v>
      </c>
      <c r="J518" t="s">
        <v>425</v>
      </c>
      <c r="K518">
        <v>3</v>
      </c>
      <c r="N518">
        <v>2750</v>
      </c>
      <c r="O518">
        <v>30</v>
      </c>
      <c r="P518" s="1">
        <v>45635</v>
      </c>
      <c r="Q518" s="1"/>
      <c r="R518" t="str">
        <f>IF(Table1[[#This Row],[Actual close date]]="","",Table1[[#This Row],[Actual close date]]-Table1[[#This Row],[Expected close date]])</f>
        <v/>
      </c>
    </row>
    <row r="519" spans="1:18" x14ac:dyDescent="0.25">
      <c r="A519" t="s">
        <v>594</v>
      </c>
      <c r="B519" t="s">
        <v>39</v>
      </c>
      <c r="C519" t="s">
        <v>40</v>
      </c>
      <c r="D519" t="s">
        <v>41</v>
      </c>
      <c r="E519" t="s">
        <v>21</v>
      </c>
      <c r="F519" t="s">
        <v>239</v>
      </c>
      <c r="G519" t="s">
        <v>46</v>
      </c>
      <c r="H519" s="1">
        <v>45364</v>
      </c>
      <c r="I519" t="s">
        <v>24</v>
      </c>
      <c r="J519" t="s">
        <v>425</v>
      </c>
      <c r="K519">
        <v>3</v>
      </c>
      <c r="N519">
        <v>5353</v>
      </c>
      <c r="O519">
        <v>30</v>
      </c>
      <c r="P519" s="1">
        <v>45492</v>
      </c>
      <c r="Q519" s="1"/>
      <c r="R519" t="str">
        <f>IF(Table1[[#This Row],[Actual close date]]="","",Table1[[#This Row],[Actual close date]]-Table1[[#This Row],[Expected close date]])</f>
        <v/>
      </c>
    </row>
    <row r="520" spans="1:18" x14ac:dyDescent="0.25">
      <c r="A520" t="s">
        <v>595</v>
      </c>
      <c r="B520" t="s">
        <v>33</v>
      </c>
      <c r="C520" t="s">
        <v>34</v>
      </c>
      <c r="D520" t="s">
        <v>35</v>
      </c>
      <c r="E520" t="s">
        <v>21</v>
      </c>
      <c r="F520" t="s">
        <v>239</v>
      </c>
      <c r="G520" t="s">
        <v>46</v>
      </c>
      <c r="H520" s="1">
        <v>45379</v>
      </c>
      <c r="I520" t="s">
        <v>47</v>
      </c>
      <c r="J520" t="s">
        <v>425</v>
      </c>
      <c r="K520">
        <v>3</v>
      </c>
      <c r="N520">
        <v>19224</v>
      </c>
      <c r="O520">
        <v>30</v>
      </c>
      <c r="P520" s="1">
        <v>45433</v>
      </c>
      <c r="Q520" s="1"/>
      <c r="R520" t="str">
        <f>IF(Table1[[#This Row],[Actual close date]]="","",Table1[[#This Row],[Actual close date]]-Table1[[#This Row],[Expected close date]])</f>
        <v/>
      </c>
    </row>
    <row r="521" spans="1:18" x14ac:dyDescent="0.25">
      <c r="A521" t="s">
        <v>596</v>
      </c>
      <c r="B521" t="s">
        <v>39</v>
      </c>
      <c r="C521" t="s">
        <v>40</v>
      </c>
      <c r="D521" t="s">
        <v>41</v>
      </c>
      <c r="E521" t="s">
        <v>52</v>
      </c>
      <c r="F521" t="s">
        <v>239</v>
      </c>
      <c r="G521" t="s">
        <v>37</v>
      </c>
      <c r="H521" s="1">
        <v>45377</v>
      </c>
      <c r="I521" t="s">
        <v>64</v>
      </c>
      <c r="J521" t="s">
        <v>425</v>
      </c>
      <c r="K521">
        <v>3</v>
      </c>
      <c r="N521">
        <v>5474</v>
      </c>
      <c r="O521">
        <v>50</v>
      </c>
      <c r="P521" s="1">
        <v>45434</v>
      </c>
      <c r="Q521" s="1"/>
      <c r="R521" t="str">
        <f>IF(Table1[[#This Row],[Actual close date]]="","",Table1[[#This Row],[Actual close date]]-Table1[[#This Row],[Expected close date]])</f>
        <v/>
      </c>
    </row>
    <row r="522" spans="1:18" x14ac:dyDescent="0.25">
      <c r="A522" t="s">
        <v>597</v>
      </c>
      <c r="B522" t="s">
        <v>69</v>
      </c>
      <c r="C522" t="s">
        <v>70</v>
      </c>
      <c r="D522" t="s">
        <v>71</v>
      </c>
      <c r="E522" t="s">
        <v>82</v>
      </c>
      <c r="F522" t="s">
        <v>246</v>
      </c>
      <c r="G522" t="s">
        <v>23</v>
      </c>
      <c r="H522" s="1">
        <v>45332</v>
      </c>
      <c r="I522" t="s">
        <v>24</v>
      </c>
      <c r="J522" t="s">
        <v>425</v>
      </c>
      <c r="K522">
        <v>3</v>
      </c>
      <c r="N522">
        <v>13724</v>
      </c>
      <c r="O522">
        <v>20</v>
      </c>
      <c r="P522" s="1">
        <v>45545</v>
      </c>
      <c r="Q522" s="1"/>
      <c r="R522" t="str">
        <f>IF(Table1[[#This Row],[Actual close date]]="","",Table1[[#This Row],[Actual close date]]-Table1[[#This Row],[Expected close date]])</f>
        <v/>
      </c>
    </row>
    <row r="523" spans="1:18" x14ac:dyDescent="0.25">
      <c r="A523" t="s">
        <v>598</v>
      </c>
      <c r="B523" t="s">
        <v>33</v>
      </c>
      <c r="C523" t="s">
        <v>34</v>
      </c>
      <c r="D523" t="s">
        <v>35</v>
      </c>
      <c r="E523" t="s">
        <v>118</v>
      </c>
      <c r="F523" t="s">
        <v>246</v>
      </c>
      <c r="G523" t="s">
        <v>37</v>
      </c>
      <c r="H523" s="1">
        <v>45434</v>
      </c>
      <c r="I523" t="s">
        <v>47</v>
      </c>
      <c r="J523" t="s">
        <v>425</v>
      </c>
      <c r="K523">
        <v>3</v>
      </c>
      <c r="N523">
        <v>11121</v>
      </c>
      <c r="O523">
        <v>20</v>
      </c>
      <c r="P523" s="1">
        <v>45650</v>
      </c>
      <c r="Q523" s="1"/>
      <c r="R523" t="str">
        <f>IF(Table1[[#This Row],[Actual close date]]="","",Table1[[#This Row],[Actual close date]]-Table1[[#This Row],[Expected close date]])</f>
        <v/>
      </c>
    </row>
    <row r="524" spans="1:18" x14ac:dyDescent="0.25">
      <c r="A524" t="s">
        <v>599</v>
      </c>
      <c r="B524" t="s">
        <v>39</v>
      </c>
      <c r="C524" t="s">
        <v>40</v>
      </c>
      <c r="D524" t="s">
        <v>41</v>
      </c>
      <c r="E524" t="s">
        <v>45</v>
      </c>
      <c r="F524" t="s">
        <v>246</v>
      </c>
      <c r="G524" t="s">
        <v>23</v>
      </c>
      <c r="H524" s="1">
        <v>45320</v>
      </c>
      <c r="I524" t="s">
        <v>47</v>
      </c>
      <c r="J524" t="s">
        <v>425</v>
      </c>
      <c r="K524">
        <v>3</v>
      </c>
      <c r="N524">
        <v>14687</v>
      </c>
      <c r="O524">
        <v>70</v>
      </c>
      <c r="P524" s="1">
        <v>45657</v>
      </c>
      <c r="Q524" s="1"/>
      <c r="R524" t="str">
        <f>IF(Table1[[#This Row],[Actual close date]]="","",Table1[[#This Row],[Actual close date]]-Table1[[#This Row],[Expected close date]])</f>
        <v/>
      </c>
    </row>
    <row r="525" spans="1:18" x14ac:dyDescent="0.25">
      <c r="A525" t="s">
        <v>600</v>
      </c>
      <c r="B525" t="s">
        <v>33</v>
      </c>
      <c r="C525" t="s">
        <v>34</v>
      </c>
      <c r="D525" t="s">
        <v>35</v>
      </c>
      <c r="E525" t="s">
        <v>36</v>
      </c>
      <c r="F525" t="s">
        <v>246</v>
      </c>
      <c r="G525" t="s">
        <v>23</v>
      </c>
      <c r="H525" s="1">
        <v>45396</v>
      </c>
      <c r="I525" t="s">
        <v>24</v>
      </c>
      <c r="J525" t="s">
        <v>425</v>
      </c>
      <c r="K525">
        <v>3</v>
      </c>
      <c r="N525">
        <v>4281</v>
      </c>
      <c r="O525">
        <v>60</v>
      </c>
      <c r="P525" s="1">
        <v>45547</v>
      </c>
      <c r="Q525" s="1"/>
      <c r="R525" t="str">
        <f>IF(Table1[[#This Row],[Actual close date]]="","",Table1[[#This Row],[Actual close date]]-Table1[[#This Row],[Expected close date]])</f>
        <v/>
      </c>
    </row>
    <row r="526" spans="1:18" x14ac:dyDescent="0.25">
      <c r="A526" t="s">
        <v>601</v>
      </c>
      <c r="B526" t="s">
        <v>33</v>
      </c>
      <c r="C526" t="s">
        <v>34</v>
      </c>
      <c r="D526" t="s">
        <v>35</v>
      </c>
      <c r="E526" t="s">
        <v>21</v>
      </c>
      <c r="F526" t="s">
        <v>246</v>
      </c>
      <c r="G526" t="s">
        <v>72</v>
      </c>
      <c r="H526" s="1">
        <v>45414</v>
      </c>
      <c r="I526" t="s">
        <v>47</v>
      </c>
      <c r="J526" t="s">
        <v>425</v>
      </c>
      <c r="K526">
        <v>3</v>
      </c>
      <c r="N526">
        <v>3063</v>
      </c>
      <c r="O526">
        <v>100</v>
      </c>
      <c r="P526" s="1">
        <v>45701</v>
      </c>
      <c r="Q526" s="1"/>
      <c r="R526" t="str">
        <f>IF(Table1[[#This Row],[Actual close date]]="","",Table1[[#This Row],[Actual close date]]-Table1[[#This Row],[Expected close date]])</f>
        <v/>
      </c>
    </row>
    <row r="527" spans="1:18" x14ac:dyDescent="0.25">
      <c r="A527" t="s">
        <v>602</v>
      </c>
      <c r="B527" t="s">
        <v>33</v>
      </c>
      <c r="C527" t="s">
        <v>34</v>
      </c>
      <c r="D527" t="s">
        <v>35</v>
      </c>
      <c r="E527" t="s">
        <v>45</v>
      </c>
      <c r="F527" t="s">
        <v>22</v>
      </c>
      <c r="G527" t="s">
        <v>31</v>
      </c>
      <c r="H527" s="1">
        <v>45293</v>
      </c>
      <c r="I527" t="s">
        <v>24</v>
      </c>
      <c r="J527" t="s">
        <v>603</v>
      </c>
      <c r="K527">
        <v>1</v>
      </c>
      <c r="N527">
        <v>478</v>
      </c>
      <c r="O527">
        <v>50</v>
      </c>
      <c r="P527" s="1">
        <v>45596</v>
      </c>
      <c r="Q527" s="1"/>
      <c r="R527" t="str">
        <f>IF(Table1[[#This Row],[Actual close date]]="","",Table1[[#This Row],[Actual close date]]-Table1[[#This Row],[Expected close date]])</f>
        <v/>
      </c>
    </row>
    <row r="528" spans="1:18" x14ac:dyDescent="0.25">
      <c r="A528" t="s">
        <v>604</v>
      </c>
      <c r="B528" t="s">
        <v>49</v>
      </c>
      <c r="C528" t="s">
        <v>50</v>
      </c>
      <c r="D528" t="s">
        <v>51</v>
      </c>
      <c r="E528" t="s">
        <v>52</v>
      </c>
      <c r="F528" t="s">
        <v>22</v>
      </c>
      <c r="G528" t="s">
        <v>46</v>
      </c>
      <c r="H528" s="1">
        <v>45422</v>
      </c>
      <c r="I528" t="s">
        <v>47</v>
      </c>
      <c r="J528" t="s">
        <v>603</v>
      </c>
      <c r="K528">
        <v>1</v>
      </c>
      <c r="N528">
        <v>1380</v>
      </c>
      <c r="O528">
        <v>80</v>
      </c>
      <c r="P528" s="1">
        <v>45602</v>
      </c>
      <c r="Q528" s="1"/>
      <c r="R528" t="str">
        <f>IF(Table1[[#This Row],[Actual close date]]="","",Table1[[#This Row],[Actual close date]]-Table1[[#This Row],[Expected close date]])</f>
        <v/>
      </c>
    </row>
    <row r="529" spans="1:18" x14ac:dyDescent="0.25">
      <c r="A529" t="s">
        <v>605</v>
      </c>
      <c r="B529" t="s">
        <v>39</v>
      </c>
      <c r="C529" t="s">
        <v>40</v>
      </c>
      <c r="D529" t="s">
        <v>41</v>
      </c>
      <c r="E529" t="s">
        <v>45</v>
      </c>
      <c r="F529" t="s">
        <v>22</v>
      </c>
      <c r="G529" t="s">
        <v>46</v>
      </c>
      <c r="H529" s="1">
        <v>45317</v>
      </c>
      <c r="I529" t="s">
        <v>64</v>
      </c>
      <c r="J529" t="s">
        <v>603</v>
      </c>
      <c r="K529">
        <v>1</v>
      </c>
      <c r="N529">
        <v>396</v>
      </c>
      <c r="O529">
        <v>60</v>
      </c>
      <c r="P529" s="1">
        <v>45599</v>
      </c>
      <c r="Q529" s="1"/>
      <c r="R529" t="str">
        <f>IF(Table1[[#This Row],[Actual close date]]="","",Table1[[#This Row],[Actual close date]]-Table1[[#This Row],[Expected close date]])</f>
        <v/>
      </c>
    </row>
    <row r="530" spans="1:18" x14ac:dyDescent="0.25">
      <c r="A530" t="s">
        <v>606</v>
      </c>
      <c r="B530" t="s">
        <v>59</v>
      </c>
      <c r="C530" t="s">
        <v>60</v>
      </c>
      <c r="D530" t="s">
        <v>61</v>
      </c>
      <c r="E530" t="s">
        <v>101</v>
      </c>
      <c r="F530" t="s">
        <v>22</v>
      </c>
      <c r="G530" t="s">
        <v>31</v>
      </c>
      <c r="H530" s="1">
        <v>45297</v>
      </c>
      <c r="I530" t="s">
        <v>24</v>
      </c>
      <c r="J530" t="s">
        <v>603</v>
      </c>
      <c r="K530">
        <v>1</v>
      </c>
      <c r="N530">
        <v>1087</v>
      </c>
      <c r="O530">
        <v>30</v>
      </c>
      <c r="P530" s="1">
        <v>45429</v>
      </c>
      <c r="Q530" s="1"/>
      <c r="R530" t="str">
        <f>IF(Table1[[#This Row],[Actual close date]]="","",Table1[[#This Row],[Actual close date]]-Table1[[#This Row],[Expected close date]])</f>
        <v/>
      </c>
    </row>
    <row r="531" spans="1:18" x14ac:dyDescent="0.25">
      <c r="A531" t="s">
        <v>607</v>
      </c>
      <c r="B531" t="s">
        <v>69</v>
      </c>
      <c r="C531" t="s">
        <v>70</v>
      </c>
      <c r="D531" t="s">
        <v>71</v>
      </c>
      <c r="E531" t="s">
        <v>45</v>
      </c>
      <c r="F531" t="s">
        <v>22</v>
      </c>
      <c r="G531" t="s">
        <v>46</v>
      </c>
      <c r="H531" s="1">
        <v>45374</v>
      </c>
      <c r="I531" t="s">
        <v>24</v>
      </c>
      <c r="J531" t="s">
        <v>603</v>
      </c>
      <c r="K531">
        <v>1</v>
      </c>
      <c r="N531">
        <v>590</v>
      </c>
      <c r="O531">
        <v>30</v>
      </c>
      <c r="P531" s="1">
        <v>45738</v>
      </c>
      <c r="Q531" s="1"/>
      <c r="R531" t="str">
        <f>IF(Table1[[#This Row],[Actual close date]]="","",Table1[[#This Row],[Actual close date]]-Table1[[#This Row],[Expected close date]])</f>
        <v/>
      </c>
    </row>
    <row r="532" spans="1:18" x14ac:dyDescent="0.25">
      <c r="A532" t="s">
        <v>608</v>
      </c>
      <c r="B532" t="s">
        <v>76</v>
      </c>
      <c r="C532" t="s">
        <v>77</v>
      </c>
      <c r="D532" t="s">
        <v>78</v>
      </c>
      <c r="E532" t="s">
        <v>21</v>
      </c>
      <c r="F532" t="s">
        <v>22</v>
      </c>
      <c r="G532" t="s">
        <v>23</v>
      </c>
      <c r="H532" s="1">
        <v>45427</v>
      </c>
      <c r="I532" t="s">
        <v>47</v>
      </c>
      <c r="J532" t="s">
        <v>603</v>
      </c>
      <c r="K532">
        <v>1</v>
      </c>
      <c r="N532">
        <v>1668</v>
      </c>
      <c r="O532">
        <v>90</v>
      </c>
      <c r="P532" s="1">
        <v>45490</v>
      </c>
      <c r="Q532" s="1"/>
      <c r="R532" t="str">
        <f>IF(Table1[[#This Row],[Actual close date]]="","",Table1[[#This Row],[Actual close date]]-Table1[[#This Row],[Expected close date]])</f>
        <v/>
      </c>
    </row>
    <row r="533" spans="1:18" x14ac:dyDescent="0.25">
      <c r="A533" t="s">
        <v>609</v>
      </c>
      <c r="B533" t="s">
        <v>27</v>
      </c>
      <c r="C533" t="s">
        <v>28</v>
      </c>
      <c r="D533" t="s">
        <v>29</v>
      </c>
      <c r="E533" t="s">
        <v>66</v>
      </c>
      <c r="F533" t="s">
        <v>22</v>
      </c>
      <c r="G533" t="s">
        <v>23</v>
      </c>
      <c r="H533" s="1">
        <v>45347</v>
      </c>
      <c r="I533" t="s">
        <v>24</v>
      </c>
      <c r="J533" t="s">
        <v>603</v>
      </c>
      <c r="K533">
        <v>1</v>
      </c>
      <c r="N533">
        <v>680</v>
      </c>
      <c r="O533">
        <v>30</v>
      </c>
      <c r="P533" s="1">
        <v>45671</v>
      </c>
      <c r="Q533" s="1"/>
      <c r="R533" t="str">
        <f>IF(Table1[[#This Row],[Actual close date]]="","",Table1[[#This Row],[Actual close date]]-Table1[[#This Row],[Expected close date]])</f>
        <v/>
      </c>
    </row>
    <row r="534" spans="1:18" x14ac:dyDescent="0.25">
      <c r="A534" t="s">
        <v>610</v>
      </c>
      <c r="B534" t="s">
        <v>54</v>
      </c>
      <c r="C534" t="s">
        <v>55</v>
      </c>
      <c r="D534" t="s">
        <v>56</v>
      </c>
      <c r="E534" t="s">
        <v>74</v>
      </c>
      <c r="F534" t="s">
        <v>22</v>
      </c>
      <c r="G534" t="s">
        <v>57</v>
      </c>
      <c r="H534" s="1">
        <v>45437</v>
      </c>
      <c r="I534" t="s">
        <v>24</v>
      </c>
      <c r="J534" t="s">
        <v>603</v>
      </c>
      <c r="K534">
        <v>1</v>
      </c>
      <c r="N534">
        <v>474</v>
      </c>
      <c r="O534">
        <v>40</v>
      </c>
      <c r="P534" s="1">
        <v>45741</v>
      </c>
      <c r="Q534" s="1"/>
      <c r="R534" t="str">
        <f>IF(Table1[[#This Row],[Actual close date]]="","",Table1[[#This Row],[Actual close date]]-Table1[[#This Row],[Expected close date]])</f>
        <v/>
      </c>
    </row>
    <row r="535" spans="1:18" x14ac:dyDescent="0.25">
      <c r="A535" t="s">
        <v>611</v>
      </c>
      <c r="B535" t="s">
        <v>33</v>
      </c>
      <c r="C535" t="s">
        <v>34</v>
      </c>
      <c r="D535" t="s">
        <v>35</v>
      </c>
      <c r="E535" t="s">
        <v>74</v>
      </c>
      <c r="F535" t="s">
        <v>22</v>
      </c>
      <c r="G535" t="s">
        <v>57</v>
      </c>
      <c r="H535" s="1">
        <v>45355</v>
      </c>
      <c r="I535" t="s">
        <v>64</v>
      </c>
      <c r="J535" t="s">
        <v>603</v>
      </c>
      <c r="K535">
        <v>1</v>
      </c>
      <c r="N535">
        <v>1850</v>
      </c>
      <c r="O535">
        <v>20</v>
      </c>
      <c r="P535" s="1">
        <v>45570</v>
      </c>
      <c r="Q535" s="1"/>
      <c r="R535" t="str">
        <f>IF(Table1[[#This Row],[Actual close date]]="","",Table1[[#This Row],[Actual close date]]-Table1[[#This Row],[Expected close date]])</f>
        <v/>
      </c>
    </row>
    <row r="536" spans="1:18" x14ac:dyDescent="0.25">
      <c r="A536" t="s">
        <v>612</v>
      </c>
      <c r="B536" t="s">
        <v>76</v>
      </c>
      <c r="C536" t="s">
        <v>77</v>
      </c>
      <c r="D536" t="s">
        <v>78</v>
      </c>
      <c r="E536" t="s">
        <v>52</v>
      </c>
      <c r="F536" t="s">
        <v>22</v>
      </c>
      <c r="G536" t="s">
        <v>72</v>
      </c>
      <c r="H536" s="1">
        <v>45325</v>
      </c>
      <c r="I536" t="s">
        <v>47</v>
      </c>
      <c r="J536" t="s">
        <v>603</v>
      </c>
      <c r="K536">
        <v>1</v>
      </c>
      <c r="N536">
        <v>1007</v>
      </c>
      <c r="O536">
        <v>90</v>
      </c>
      <c r="P536" s="1">
        <v>45623</v>
      </c>
      <c r="Q536" s="1"/>
      <c r="R536" t="str">
        <f>IF(Table1[[#This Row],[Actual close date]]="","",Table1[[#This Row],[Actual close date]]-Table1[[#This Row],[Expected close date]])</f>
        <v/>
      </c>
    </row>
    <row r="537" spans="1:18" x14ac:dyDescent="0.25">
      <c r="A537" t="s">
        <v>613</v>
      </c>
      <c r="B537" t="s">
        <v>33</v>
      </c>
      <c r="C537" t="s">
        <v>34</v>
      </c>
      <c r="D537" t="s">
        <v>35</v>
      </c>
      <c r="E537" t="s">
        <v>74</v>
      </c>
      <c r="F537" t="s">
        <v>22</v>
      </c>
      <c r="G537" t="s">
        <v>72</v>
      </c>
      <c r="H537" s="1">
        <v>45393</v>
      </c>
      <c r="I537" t="s">
        <v>64</v>
      </c>
      <c r="J537" t="s">
        <v>603</v>
      </c>
      <c r="K537">
        <v>1</v>
      </c>
      <c r="N537">
        <v>1345</v>
      </c>
      <c r="O537">
        <v>90</v>
      </c>
      <c r="P537" s="1">
        <v>45434</v>
      </c>
      <c r="Q537" s="1"/>
      <c r="R537" t="str">
        <f>IF(Table1[[#This Row],[Actual close date]]="","",Table1[[#This Row],[Actual close date]]-Table1[[#This Row],[Expected close date]])</f>
        <v/>
      </c>
    </row>
    <row r="538" spans="1:18" x14ac:dyDescent="0.25">
      <c r="A538" t="s">
        <v>614</v>
      </c>
      <c r="B538" t="s">
        <v>39</v>
      </c>
      <c r="C538" t="s">
        <v>40</v>
      </c>
      <c r="D538" t="s">
        <v>41</v>
      </c>
      <c r="E538" t="s">
        <v>118</v>
      </c>
      <c r="F538" t="s">
        <v>22</v>
      </c>
      <c r="G538" t="s">
        <v>57</v>
      </c>
      <c r="H538" s="1">
        <v>45439</v>
      </c>
      <c r="I538" t="s">
        <v>64</v>
      </c>
      <c r="J538" t="s">
        <v>603</v>
      </c>
      <c r="K538">
        <v>1</v>
      </c>
      <c r="N538">
        <v>1038</v>
      </c>
      <c r="O538">
        <v>50</v>
      </c>
      <c r="P538" s="1">
        <v>45640</v>
      </c>
      <c r="Q538" s="1"/>
      <c r="R538" t="str">
        <f>IF(Table1[[#This Row],[Actual close date]]="","",Table1[[#This Row],[Actual close date]]-Table1[[#This Row],[Expected close date]])</f>
        <v/>
      </c>
    </row>
    <row r="539" spans="1:18" x14ac:dyDescent="0.25">
      <c r="A539" t="s">
        <v>615</v>
      </c>
      <c r="B539" t="s">
        <v>76</v>
      </c>
      <c r="C539" t="s">
        <v>77</v>
      </c>
      <c r="D539" t="s">
        <v>78</v>
      </c>
      <c r="E539" t="s">
        <v>36</v>
      </c>
      <c r="F539" t="s">
        <v>22</v>
      </c>
      <c r="G539" t="s">
        <v>85</v>
      </c>
      <c r="H539" s="1">
        <v>45385</v>
      </c>
      <c r="I539" t="s">
        <v>24</v>
      </c>
      <c r="J539" t="s">
        <v>603</v>
      </c>
      <c r="K539">
        <v>1</v>
      </c>
      <c r="N539">
        <v>458</v>
      </c>
      <c r="O539">
        <v>20</v>
      </c>
      <c r="P539" s="1">
        <v>45549</v>
      </c>
      <c r="Q539" s="1"/>
      <c r="R539" t="str">
        <f>IF(Table1[[#This Row],[Actual close date]]="","",Table1[[#This Row],[Actual close date]]-Table1[[#This Row],[Expected close date]])</f>
        <v/>
      </c>
    </row>
    <row r="540" spans="1:18" x14ac:dyDescent="0.25">
      <c r="A540" t="s">
        <v>616</v>
      </c>
      <c r="B540" t="s">
        <v>33</v>
      </c>
      <c r="C540" t="s">
        <v>34</v>
      </c>
      <c r="D540" t="s">
        <v>35</v>
      </c>
      <c r="E540" t="s">
        <v>45</v>
      </c>
      <c r="F540" t="s">
        <v>22</v>
      </c>
      <c r="G540" t="s">
        <v>46</v>
      </c>
      <c r="H540" s="1">
        <v>45424</v>
      </c>
      <c r="I540" t="s">
        <v>64</v>
      </c>
      <c r="J540" t="s">
        <v>603</v>
      </c>
      <c r="K540">
        <v>1</v>
      </c>
      <c r="N540">
        <v>442</v>
      </c>
      <c r="O540">
        <v>30</v>
      </c>
      <c r="P540" s="1">
        <v>45650</v>
      </c>
      <c r="Q540" s="1"/>
      <c r="R540" t="str">
        <f>IF(Table1[[#This Row],[Actual close date]]="","",Table1[[#This Row],[Actual close date]]-Table1[[#This Row],[Expected close date]])</f>
        <v/>
      </c>
    </row>
    <row r="541" spans="1:18" x14ac:dyDescent="0.25">
      <c r="A541" t="s">
        <v>617</v>
      </c>
      <c r="B541" t="s">
        <v>54</v>
      </c>
      <c r="C541" t="s">
        <v>55</v>
      </c>
      <c r="D541" t="s">
        <v>56</v>
      </c>
      <c r="E541" t="s">
        <v>45</v>
      </c>
      <c r="F541" t="s">
        <v>22</v>
      </c>
      <c r="G541" t="s">
        <v>46</v>
      </c>
      <c r="H541" s="1">
        <v>45409</v>
      </c>
      <c r="I541" t="s">
        <v>24</v>
      </c>
      <c r="J541" t="s">
        <v>603</v>
      </c>
      <c r="K541">
        <v>1</v>
      </c>
      <c r="N541">
        <v>1997</v>
      </c>
      <c r="O541">
        <v>50</v>
      </c>
      <c r="P541" s="1">
        <v>45758</v>
      </c>
      <c r="Q541" s="1"/>
      <c r="R541" t="str">
        <f>IF(Table1[[#This Row],[Actual close date]]="","",Table1[[#This Row],[Actual close date]]-Table1[[#This Row],[Expected close date]])</f>
        <v/>
      </c>
    </row>
    <row r="542" spans="1:18" x14ac:dyDescent="0.25">
      <c r="A542" t="s">
        <v>618</v>
      </c>
      <c r="B542" t="s">
        <v>69</v>
      </c>
      <c r="C542" t="s">
        <v>70</v>
      </c>
      <c r="D542" t="s">
        <v>71</v>
      </c>
      <c r="E542" t="s">
        <v>36</v>
      </c>
      <c r="F542" t="s">
        <v>22</v>
      </c>
      <c r="G542" t="s">
        <v>85</v>
      </c>
      <c r="H542" s="1">
        <v>45379</v>
      </c>
      <c r="I542" t="s">
        <v>47</v>
      </c>
      <c r="J542" t="s">
        <v>603</v>
      </c>
      <c r="K542">
        <v>1</v>
      </c>
      <c r="N542">
        <v>1717</v>
      </c>
      <c r="O542">
        <v>20</v>
      </c>
      <c r="P542" s="1">
        <v>45435</v>
      </c>
      <c r="Q542" s="1"/>
      <c r="R542" t="str">
        <f>IF(Table1[[#This Row],[Actual close date]]="","",Table1[[#This Row],[Actual close date]]-Table1[[#This Row],[Expected close date]])</f>
        <v/>
      </c>
    </row>
    <row r="543" spans="1:18" x14ac:dyDescent="0.25">
      <c r="A543" t="s">
        <v>619</v>
      </c>
      <c r="B543" t="s">
        <v>39</v>
      </c>
      <c r="C543" t="s">
        <v>40</v>
      </c>
      <c r="D543" t="s">
        <v>41</v>
      </c>
      <c r="E543" t="s">
        <v>30</v>
      </c>
      <c r="F543" t="s">
        <v>22</v>
      </c>
      <c r="G543" t="s">
        <v>85</v>
      </c>
      <c r="H543" s="1">
        <v>45294</v>
      </c>
      <c r="I543" t="s">
        <v>24</v>
      </c>
      <c r="J543" t="s">
        <v>603</v>
      </c>
      <c r="K543">
        <v>1</v>
      </c>
      <c r="N543">
        <v>1640</v>
      </c>
      <c r="O543">
        <v>30</v>
      </c>
      <c r="P543" s="1">
        <v>45626</v>
      </c>
      <c r="Q543" s="1"/>
      <c r="R543" t="str">
        <f>IF(Table1[[#This Row],[Actual close date]]="","",Table1[[#This Row],[Actual close date]]-Table1[[#This Row],[Expected close date]])</f>
        <v/>
      </c>
    </row>
    <row r="544" spans="1:18" x14ac:dyDescent="0.25">
      <c r="A544" t="s">
        <v>620</v>
      </c>
      <c r="B544" t="s">
        <v>33</v>
      </c>
      <c r="C544" t="s">
        <v>34</v>
      </c>
      <c r="D544" t="s">
        <v>35</v>
      </c>
      <c r="E544" t="s">
        <v>118</v>
      </c>
      <c r="F544" t="s">
        <v>22</v>
      </c>
      <c r="G544" t="s">
        <v>31</v>
      </c>
      <c r="H544" s="1">
        <v>45413</v>
      </c>
      <c r="I544" t="s">
        <v>64</v>
      </c>
      <c r="J544" t="s">
        <v>603</v>
      </c>
      <c r="K544">
        <v>1</v>
      </c>
      <c r="N544">
        <v>855</v>
      </c>
      <c r="O544">
        <v>70</v>
      </c>
      <c r="P544" s="1">
        <v>45711</v>
      </c>
      <c r="Q544" s="1"/>
      <c r="R544" t="str">
        <f>IF(Table1[[#This Row],[Actual close date]]="","",Table1[[#This Row],[Actual close date]]-Table1[[#This Row],[Expected close date]])</f>
        <v/>
      </c>
    </row>
    <row r="545" spans="1:18" x14ac:dyDescent="0.25">
      <c r="A545" t="s">
        <v>621</v>
      </c>
      <c r="B545" t="s">
        <v>59</v>
      </c>
      <c r="C545" t="s">
        <v>60</v>
      </c>
      <c r="D545" t="s">
        <v>61</v>
      </c>
      <c r="E545" t="s">
        <v>82</v>
      </c>
      <c r="F545" t="s">
        <v>22</v>
      </c>
      <c r="G545" t="s">
        <v>57</v>
      </c>
      <c r="H545" s="1">
        <v>45363</v>
      </c>
      <c r="I545" t="s">
        <v>64</v>
      </c>
      <c r="J545" t="s">
        <v>603</v>
      </c>
      <c r="K545">
        <v>1</v>
      </c>
      <c r="N545">
        <v>1056</v>
      </c>
      <c r="O545">
        <v>100</v>
      </c>
      <c r="P545" s="1">
        <v>45726</v>
      </c>
      <c r="Q545" s="1"/>
      <c r="R545" t="str">
        <f>IF(Table1[[#This Row],[Actual close date]]="","",Table1[[#This Row],[Actual close date]]-Table1[[#This Row],[Expected close date]])</f>
        <v/>
      </c>
    </row>
    <row r="546" spans="1:18" x14ac:dyDescent="0.25">
      <c r="A546" t="s">
        <v>622</v>
      </c>
      <c r="B546" t="s">
        <v>18</v>
      </c>
      <c r="C546" t="s">
        <v>19</v>
      </c>
      <c r="D546" t="s">
        <v>20</v>
      </c>
      <c r="E546" t="s">
        <v>118</v>
      </c>
      <c r="F546" t="s">
        <v>22</v>
      </c>
      <c r="G546" t="s">
        <v>23</v>
      </c>
      <c r="H546" s="1">
        <v>45349</v>
      </c>
      <c r="I546" t="s">
        <v>47</v>
      </c>
      <c r="J546" t="s">
        <v>603</v>
      </c>
      <c r="K546">
        <v>1</v>
      </c>
      <c r="N546">
        <v>966</v>
      </c>
      <c r="O546">
        <v>10</v>
      </c>
      <c r="P546" s="1">
        <v>45456</v>
      </c>
      <c r="Q546" s="1"/>
      <c r="R546" t="str">
        <f>IF(Table1[[#This Row],[Actual close date]]="","",Table1[[#This Row],[Actual close date]]-Table1[[#This Row],[Expected close date]])</f>
        <v/>
      </c>
    </row>
    <row r="547" spans="1:18" x14ac:dyDescent="0.25">
      <c r="A547" t="s">
        <v>623</v>
      </c>
      <c r="B547" t="s">
        <v>54</v>
      </c>
      <c r="C547" t="s">
        <v>55</v>
      </c>
      <c r="D547" t="s">
        <v>56</v>
      </c>
      <c r="E547" t="s">
        <v>74</v>
      </c>
      <c r="F547" t="s">
        <v>22</v>
      </c>
      <c r="G547" t="s">
        <v>57</v>
      </c>
      <c r="H547" s="1">
        <v>45349</v>
      </c>
      <c r="I547" t="s">
        <v>47</v>
      </c>
      <c r="J547" t="s">
        <v>603</v>
      </c>
      <c r="K547">
        <v>1</v>
      </c>
      <c r="N547">
        <v>344</v>
      </c>
      <c r="O547">
        <v>40</v>
      </c>
      <c r="P547" s="1">
        <v>45576</v>
      </c>
      <c r="Q547" s="1"/>
      <c r="R547" t="str">
        <f>IF(Table1[[#This Row],[Actual close date]]="","",Table1[[#This Row],[Actual close date]]-Table1[[#This Row],[Expected close date]])</f>
        <v/>
      </c>
    </row>
    <row r="548" spans="1:18" x14ac:dyDescent="0.25">
      <c r="A548" t="s">
        <v>624</v>
      </c>
      <c r="B548" t="s">
        <v>49</v>
      </c>
      <c r="C548" t="s">
        <v>50</v>
      </c>
      <c r="D548" t="s">
        <v>51</v>
      </c>
      <c r="E548" t="s">
        <v>82</v>
      </c>
      <c r="F548" t="s">
        <v>22</v>
      </c>
      <c r="G548" t="s">
        <v>37</v>
      </c>
      <c r="H548" s="1">
        <v>45441</v>
      </c>
      <c r="I548" t="s">
        <v>64</v>
      </c>
      <c r="J548" t="s">
        <v>603</v>
      </c>
      <c r="K548">
        <v>1</v>
      </c>
      <c r="N548">
        <v>407</v>
      </c>
      <c r="O548">
        <v>70</v>
      </c>
      <c r="P548" s="1">
        <v>45760</v>
      </c>
      <c r="Q548" s="1"/>
      <c r="R548" t="str">
        <f>IF(Table1[[#This Row],[Actual close date]]="","",Table1[[#This Row],[Actual close date]]-Table1[[#This Row],[Expected close date]])</f>
        <v/>
      </c>
    </row>
    <row r="549" spans="1:18" x14ac:dyDescent="0.25">
      <c r="A549" t="s">
        <v>625</v>
      </c>
      <c r="B549" t="s">
        <v>76</v>
      </c>
      <c r="C549" t="s">
        <v>77</v>
      </c>
      <c r="D549" t="s">
        <v>78</v>
      </c>
      <c r="E549" t="s">
        <v>30</v>
      </c>
      <c r="F549" t="s">
        <v>22</v>
      </c>
      <c r="G549" t="s">
        <v>72</v>
      </c>
      <c r="H549" s="1">
        <v>45312</v>
      </c>
      <c r="I549" t="s">
        <v>64</v>
      </c>
      <c r="J549" t="s">
        <v>603</v>
      </c>
      <c r="K549">
        <v>1</v>
      </c>
      <c r="N549">
        <v>1965</v>
      </c>
      <c r="O549">
        <v>40</v>
      </c>
      <c r="P549" s="1">
        <v>45674</v>
      </c>
      <c r="Q549" s="1"/>
      <c r="R549" t="str">
        <f>IF(Table1[[#This Row],[Actual close date]]="","",Table1[[#This Row],[Actual close date]]-Table1[[#This Row],[Expected close date]])</f>
        <v/>
      </c>
    </row>
    <row r="550" spans="1:18" x14ac:dyDescent="0.25">
      <c r="A550" t="s">
        <v>626</v>
      </c>
      <c r="B550" t="s">
        <v>69</v>
      </c>
      <c r="C550" t="s">
        <v>70</v>
      </c>
      <c r="D550" t="s">
        <v>71</v>
      </c>
      <c r="E550" t="s">
        <v>30</v>
      </c>
      <c r="F550" t="s">
        <v>22</v>
      </c>
      <c r="G550" t="s">
        <v>46</v>
      </c>
      <c r="H550" s="1">
        <v>45298</v>
      </c>
      <c r="I550" t="s">
        <v>47</v>
      </c>
      <c r="J550" t="s">
        <v>603</v>
      </c>
      <c r="K550">
        <v>1</v>
      </c>
      <c r="N550">
        <v>1494</v>
      </c>
      <c r="O550">
        <v>20</v>
      </c>
      <c r="P550" s="1">
        <v>45457</v>
      </c>
      <c r="Q550" s="1"/>
      <c r="R550" t="str">
        <f>IF(Table1[[#This Row],[Actual close date]]="","",Table1[[#This Row],[Actual close date]]-Table1[[#This Row],[Expected close date]])</f>
        <v/>
      </c>
    </row>
    <row r="551" spans="1:18" x14ac:dyDescent="0.25">
      <c r="A551" t="s">
        <v>627</v>
      </c>
      <c r="B551" t="s">
        <v>39</v>
      </c>
      <c r="C551" t="s">
        <v>40</v>
      </c>
      <c r="D551" t="s">
        <v>41</v>
      </c>
      <c r="E551" t="s">
        <v>30</v>
      </c>
      <c r="F551" t="s">
        <v>22</v>
      </c>
      <c r="G551" t="s">
        <v>85</v>
      </c>
      <c r="H551" s="1">
        <v>45364</v>
      </c>
      <c r="I551" t="s">
        <v>47</v>
      </c>
      <c r="J551" t="s">
        <v>603</v>
      </c>
      <c r="K551">
        <v>1</v>
      </c>
      <c r="N551">
        <v>1837</v>
      </c>
      <c r="O551">
        <v>10</v>
      </c>
      <c r="P551" s="1">
        <v>45388</v>
      </c>
      <c r="Q551" s="1"/>
      <c r="R551" t="str">
        <f>IF(Table1[[#This Row],[Actual close date]]="","",Table1[[#This Row],[Actual close date]]-Table1[[#This Row],[Expected close date]])</f>
        <v/>
      </c>
    </row>
    <row r="552" spans="1:18" x14ac:dyDescent="0.25">
      <c r="A552" t="s">
        <v>628</v>
      </c>
      <c r="B552" t="s">
        <v>39</v>
      </c>
      <c r="C552" t="s">
        <v>40</v>
      </c>
      <c r="D552" t="s">
        <v>41</v>
      </c>
      <c r="E552" t="s">
        <v>98</v>
      </c>
      <c r="F552" t="s">
        <v>22</v>
      </c>
      <c r="G552" t="s">
        <v>23</v>
      </c>
      <c r="H552" s="1">
        <v>45382</v>
      </c>
      <c r="I552" t="s">
        <v>64</v>
      </c>
      <c r="J552" t="s">
        <v>603</v>
      </c>
      <c r="K552">
        <v>1</v>
      </c>
      <c r="N552">
        <v>1175</v>
      </c>
      <c r="O552">
        <v>20</v>
      </c>
      <c r="P552" s="1">
        <v>45667</v>
      </c>
      <c r="Q552" s="1"/>
      <c r="R552" t="str">
        <f>IF(Table1[[#This Row],[Actual close date]]="","",Table1[[#This Row],[Actual close date]]-Table1[[#This Row],[Expected close date]])</f>
        <v/>
      </c>
    </row>
    <row r="553" spans="1:18" x14ac:dyDescent="0.25">
      <c r="A553" t="s">
        <v>629</v>
      </c>
      <c r="B553" t="s">
        <v>59</v>
      </c>
      <c r="C553" t="s">
        <v>60</v>
      </c>
      <c r="D553" t="s">
        <v>61</v>
      </c>
      <c r="E553" t="s">
        <v>101</v>
      </c>
      <c r="F553" t="s">
        <v>22</v>
      </c>
      <c r="G553" t="s">
        <v>85</v>
      </c>
      <c r="H553" s="1">
        <v>45360</v>
      </c>
      <c r="I553" t="s">
        <v>64</v>
      </c>
      <c r="J553" t="s">
        <v>603</v>
      </c>
      <c r="K553">
        <v>1</v>
      </c>
      <c r="N553">
        <v>617</v>
      </c>
      <c r="O553">
        <v>40</v>
      </c>
      <c r="P553" s="1">
        <v>45453</v>
      </c>
      <c r="Q553" s="1"/>
      <c r="R553" t="str">
        <f>IF(Table1[[#This Row],[Actual close date]]="","",Table1[[#This Row],[Actual close date]]-Table1[[#This Row],[Expected close date]])</f>
        <v/>
      </c>
    </row>
    <row r="554" spans="1:18" x14ac:dyDescent="0.25">
      <c r="A554" t="s">
        <v>630</v>
      </c>
      <c r="B554" t="s">
        <v>33</v>
      </c>
      <c r="C554" t="s">
        <v>34</v>
      </c>
      <c r="D554" t="s">
        <v>35</v>
      </c>
      <c r="E554" t="s">
        <v>45</v>
      </c>
      <c r="F554" t="s">
        <v>22</v>
      </c>
      <c r="G554" t="s">
        <v>85</v>
      </c>
      <c r="H554" s="1">
        <v>45319</v>
      </c>
      <c r="I554" t="s">
        <v>64</v>
      </c>
      <c r="J554" t="s">
        <v>603</v>
      </c>
      <c r="K554">
        <v>1</v>
      </c>
      <c r="N554">
        <v>1538</v>
      </c>
      <c r="O554">
        <v>50</v>
      </c>
      <c r="P554" s="1">
        <v>45579</v>
      </c>
      <c r="Q554" s="1"/>
      <c r="R554" t="str">
        <f>IF(Table1[[#This Row],[Actual close date]]="","",Table1[[#This Row],[Actual close date]]-Table1[[#This Row],[Expected close date]])</f>
        <v/>
      </c>
    </row>
    <row r="555" spans="1:18" x14ac:dyDescent="0.25">
      <c r="A555" t="s">
        <v>631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t="s">
        <v>72</v>
      </c>
      <c r="H555" s="1">
        <v>45297</v>
      </c>
      <c r="I555" t="s">
        <v>24</v>
      </c>
      <c r="J555" t="s">
        <v>603</v>
      </c>
      <c r="K555">
        <v>1</v>
      </c>
      <c r="N555">
        <v>434</v>
      </c>
      <c r="O555">
        <v>50</v>
      </c>
      <c r="P555" s="1">
        <v>45586</v>
      </c>
      <c r="Q555" s="1"/>
      <c r="R555" t="str">
        <f>IF(Table1[[#This Row],[Actual close date]]="","",Table1[[#This Row],[Actual close date]]-Table1[[#This Row],[Expected close date]])</f>
        <v/>
      </c>
    </row>
    <row r="556" spans="1:18" x14ac:dyDescent="0.25">
      <c r="A556" t="s">
        <v>632</v>
      </c>
      <c r="B556" t="s">
        <v>18</v>
      </c>
      <c r="C556" t="s">
        <v>19</v>
      </c>
      <c r="D556" t="s">
        <v>20</v>
      </c>
      <c r="E556" t="s">
        <v>74</v>
      </c>
      <c r="F556" t="s">
        <v>22</v>
      </c>
      <c r="G556" t="s">
        <v>46</v>
      </c>
      <c r="H556" s="1">
        <v>45349</v>
      </c>
      <c r="I556" t="s">
        <v>47</v>
      </c>
      <c r="J556" t="s">
        <v>603</v>
      </c>
      <c r="K556">
        <v>1</v>
      </c>
      <c r="N556">
        <v>870</v>
      </c>
      <c r="O556">
        <v>60</v>
      </c>
      <c r="P556" s="1">
        <v>45677</v>
      </c>
      <c r="Q556" s="1"/>
      <c r="R556" t="str">
        <f>IF(Table1[[#This Row],[Actual close date]]="","",Table1[[#This Row],[Actual close date]]-Table1[[#This Row],[Expected close date]])</f>
        <v/>
      </c>
    </row>
    <row r="557" spans="1:18" x14ac:dyDescent="0.25">
      <c r="A557" t="s">
        <v>633</v>
      </c>
      <c r="B557" t="s">
        <v>33</v>
      </c>
      <c r="C557" t="s">
        <v>34</v>
      </c>
      <c r="D557" t="s">
        <v>35</v>
      </c>
      <c r="E557" t="s">
        <v>36</v>
      </c>
      <c r="F557" t="s">
        <v>22</v>
      </c>
      <c r="G557" t="s">
        <v>72</v>
      </c>
      <c r="H557" s="1">
        <v>45442</v>
      </c>
      <c r="I557" t="s">
        <v>24</v>
      </c>
      <c r="J557" t="s">
        <v>603</v>
      </c>
      <c r="K557">
        <v>1</v>
      </c>
      <c r="N557">
        <v>1225</v>
      </c>
      <c r="O557">
        <v>30</v>
      </c>
      <c r="P557" s="1">
        <v>45561</v>
      </c>
      <c r="Q557" s="1"/>
      <c r="R557" t="str">
        <f>IF(Table1[[#This Row],[Actual close date]]="","",Table1[[#This Row],[Actual close date]]-Table1[[#This Row],[Expected close date]])</f>
        <v/>
      </c>
    </row>
    <row r="558" spans="1:18" x14ac:dyDescent="0.25">
      <c r="A558" t="s">
        <v>634</v>
      </c>
      <c r="B558" t="s">
        <v>54</v>
      </c>
      <c r="C558" t="s">
        <v>55</v>
      </c>
      <c r="D558" t="s">
        <v>56</v>
      </c>
      <c r="E558" t="s">
        <v>42</v>
      </c>
      <c r="F558" t="s">
        <v>22</v>
      </c>
      <c r="G558" t="s">
        <v>46</v>
      </c>
      <c r="H558" s="1">
        <v>45295</v>
      </c>
      <c r="I558" t="s">
        <v>24</v>
      </c>
      <c r="J558" t="s">
        <v>603</v>
      </c>
      <c r="K558">
        <v>1</v>
      </c>
      <c r="N558">
        <v>1804</v>
      </c>
      <c r="O558">
        <v>50</v>
      </c>
      <c r="P558" s="1">
        <v>45355</v>
      </c>
      <c r="Q558" s="1"/>
      <c r="R558" t="str">
        <f>IF(Table1[[#This Row],[Actual close date]]="","",Table1[[#This Row],[Actual close date]]-Table1[[#This Row],[Expected close date]])</f>
        <v/>
      </c>
    </row>
    <row r="559" spans="1:18" x14ac:dyDescent="0.25">
      <c r="A559" t="s">
        <v>635</v>
      </c>
      <c r="B559" t="s">
        <v>76</v>
      </c>
      <c r="C559" t="s">
        <v>77</v>
      </c>
      <c r="D559" t="s">
        <v>78</v>
      </c>
      <c r="E559" t="s">
        <v>98</v>
      </c>
      <c r="F559" t="s">
        <v>22</v>
      </c>
      <c r="G559" t="s">
        <v>57</v>
      </c>
      <c r="H559" s="1">
        <v>45308</v>
      </c>
      <c r="I559" t="s">
        <v>47</v>
      </c>
      <c r="J559" t="s">
        <v>603</v>
      </c>
      <c r="K559">
        <v>1</v>
      </c>
      <c r="N559">
        <v>1063</v>
      </c>
      <c r="O559">
        <v>60</v>
      </c>
      <c r="P559" s="1">
        <v>45347</v>
      </c>
      <c r="Q559" s="1"/>
      <c r="R559" t="str">
        <f>IF(Table1[[#This Row],[Actual close date]]="","",Table1[[#This Row],[Actual close date]]-Table1[[#This Row],[Expected close date]])</f>
        <v/>
      </c>
    </row>
    <row r="560" spans="1:18" x14ac:dyDescent="0.25">
      <c r="A560" t="s">
        <v>636</v>
      </c>
      <c r="B560" t="s">
        <v>69</v>
      </c>
      <c r="C560" t="s">
        <v>70</v>
      </c>
      <c r="D560" t="s">
        <v>71</v>
      </c>
      <c r="E560" t="s">
        <v>42</v>
      </c>
      <c r="F560" t="s">
        <v>22</v>
      </c>
      <c r="G560" t="s">
        <v>85</v>
      </c>
      <c r="H560" s="1">
        <v>45354</v>
      </c>
      <c r="I560" t="s">
        <v>24</v>
      </c>
      <c r="J560" t="s">
        <v>603</v>
      </c>
      <c r="K560">
        <v>1</v>
      </c>
      <c r="N560">
        <v>341</v>
      </c>
      <c r="O560">
        <v>10</v>
      </c>
      <c r="P560" s="1">
        <v>45706</v>
      </c>
      <c r="Q560" s="1"/>
      <c r="R560" t="str">
        <f>IF(Table1[[#This Row],[Actual close date]]="","",Table1[[#This Row],[Actual close date]]-Table1[[#This Row],[Expected close date]])</f>
        <v/>
      </c>
    </row>
    <row r="561" spans="1:18" x14ac:dyDescent="0.25">
      <c r="A561" t="s">
        <v>637</v>
      </c>
      <c r="B561" t="s">
        <v>54</v>
      </c>
      <c r="C561" t="s">
        <v>55</v>
      </c>
      <c r="D561" t="s">
        <v>56</v>
      </c>
      <c r="E561" t="s">
        <v>66</v>
      </c>
      <c r="F561" t="s">
        <v>22</v>
      </c>
      <c r="G561" t="s">
        <v>23</v>
      </c>
      <c r="H561" s="1">
        <v>45365</v>
      </c>
      <c r="I561" t="s">
        <v>64</v>
      </c>
      <c r="J561" t="s">
        <v>603</v>
      </c>
      <c r="K561">
        <v>1</v>
      </c>
      <c r="N561">
        <v>1454</v>
      </c>
      <c r="O561">
        <v>20</v>
      </c>
      <c r="P561" s="1">
        <v>45425</v>
      </c>
      <c r="Q561" s="1"/>
      <c r="R561" t="str">
        <f>IF(Table1[[#This Row],[Actual close date]]="","",Table1[[#This Row],[Actual close date]]-Table1[[#This Row],[Expected close date]])</f>
        <v/>
      </c>
    </row>
    <row r="562" spans="1:18" x14ac:dyDescent="0.25">
      <c r="A562" t="s">
        <v>638</v>
      </c>
      <c r="B562" t="s">
        <v>59</v>
      </c>
      <c r="C562" t="s">
        <v>60</v>
      </c>
      <c r="D562" t="s">
        <v>61</v>
      </c>
      <c r="E562" t="s">
        <v>21</v>
      </c>
      <c r="F562" t="s">
        <v>22</v>
      </c>
      <c r="G562" t="s">
        <v>46</v>
      </c>
      <c r="H562" s="1">
        <v>45388</v>
      </c>
      <c r="I562" t="s">
        <v>24</v>
      </c>
      <c r="J562" t="s">
        <v>603</v>
      </c>
      <c r="K562">
        <v>1</v>
      </c>
      <c r="N562">
        <v>263</v>
      </c>
      <c r="O562">
        <v>80</v>
      </c>
      <c r="P562" s="1">
        <v>45561</v>
      </c>
      <c r="Q562" s="1"/>
      <c r="R562" t="str">
        <f>IF(Table1[[#This Row],[Actual close date]]="","",Table1[[#This Row],[Actual close date]]-Table1[[#This Row],[Expected close date]])</f>
        <v/>
      </c>
    </row>
    <row r="563" spans="1:18" x14ac:dyDescent="0.25">
      <c r="A563" t="s">
        <v>639</v>
      </c>
      <c r="B563" t="s">
        <v>59</v>
      </c>
      <c r="C563" t="s">
        <v>60</v>
      </c>
      <c r="D563" t="s">
        <v>61</v>
      </c>
      <c r="E563" t="s">
        <v>52</v>
      </c>
      <c r="F563" t="s">
        <v>22</v>
      </c>
      <c r="G563" t="s">
        <v>57</v>
      </c>
      <c r="H563" s="1">
        <v>45437</v>
      </c>
      <c r="I563" t="s">
        <v>47</v>
      </c>
      <c r="J563" t="s">
        <v>603</v>
      </c>
      <c r="K563">
        <v>1</v>
      </c>
      <c r="N563">
        <v>976</v>
      </c>
      <c r="O563">
        <v>100</v>
      </c>
      <c r="P563" s="1">
        <v>45603</v>
      </c>
      <c r="Q563" s="1"/>
      <c r="R563" t="str">
        <f>IF(Table1[[#This Row],[Actual close date]]="","",Table1[[#This Row],[Actual close date]]-Table1[[#This Row],[Expected close date]])</f>
        <v/>
      </c>
    </row>
    <row r="564" spans="1:18" x14ac:dyDescent="0.25">
      <c r="A564" t="s">
        <v>640</v>
      </c>
      <c r="B564" t="s">
        <v>49</v>
      </c>
      <c r="C564" t="s">
        <v>50</v>
      </c>
      <c r="D564" t="s">
        <v>51</v>
      </c>
      <c r="E564" t="s">
        <v>42</v>
      </c>
      <c r="F564" t="s">
        <v>22</v>
      </c>
      <c r="G564" t="s">
        <v>83</v>
      </c>
      <c r="H564" s="1">
        <v>45299</v>
      </c>
      <c r="I564" t="s">
        <v>24</v>
      </c>
      <c r="J564" t="s">
        <v>603</v>
      </c>
      <c r="K564">
        <v>1</v>
      </c>
      <c r="N564">
        <v>1977</v>
      </c>
      <c r="O564">
        <v>60</v>
      </c>
      <c r="P564" s="1">
        <v>45518</v>
      </c>
      <c r="Q564" s="1"/>
      <c r="R564" t="str">
        <f>IF(Table1[[#This Row],[Actual close date]]="","",Table1[[#This Row],[Actual close date]]-Table1[[#This Row],[Expected close date]])</f>
        <v/>
      </c>
    </row>
    <row r="565" spans="1:18" x14ac:dyDescent="0.25">
      <c r="A565" t="s">
        <v>641</v>
      </c>
      <c r="B565" t="s">
        <v>59</v>
      </c>
      <c r="C565" t="s">
        <v>60</v>
      </c>
      <c r="D565" t="s">
        <v>61</v>
      </c>
      <c r="E565" t="s">
        <v>74</v>
      </c>
      <c r="F565" t="s">
        <v>22</v>
      </c>
      <c r="G565" t="s">
        <v>83</v>
      </c>
      <c r="H565" s="1">
        <v>45336</v>
      </c>
      <c r="I565" t="s">
        <v>64</v>
      </c>
      <c r="J565" t="s">
        <v>603</v>
      </c>
      <c r="K565">
        <v>1</v>
      </c>
      <c r="N565">
        <v>1940</v>
      </c>
      <c r="O565">
        <v>50</v>
      </c>
      <c r="P565" s="1">
        <v>45571</v>
      </c>
      <c r="Q565" s="1"/>
      <c r="R565" t="str">
        <f>IF(Table1[[#This Row],[Actual close date]]="","",Table1[[#This Row],[Actual close date]]-Table1[[#This Row],[Expected close date]])</f>
        <v/>
      </c>
    </row>
    <row r="566" spans="1:18" x14ac:dyDescent="0.25">
      <c r="A566" t="s">
        <v>642</v>
      </c>
      <c r="B566" t="s">
        <v>59</v>
      </c>
      <c r="C566" t="s">
        <v>60</v>
      </c>
      <c r="D566" t="s">
        <v>61</v>
      </c>
      <c r="E566" t="s">
        <v>101</v>
      </c>
      <c r="F566" t="s">
        <v>22</v>
      </c>
      <c r="G566" t="s">
        <v>83</v>
      </c>
      <c r="H566" s="1">
        <v>45405</v>
      </c>
      <c r="I566" t="s">
        <v>47</v>
      </c>
      <c r="J566" t="s">
        <v>603</v>
      </c>
      <c r="K566">
        <v>1</v>
      </c>
      <c r="N566">
        <v>945</v>
      </c>
      <c r="O566">
        <v>60</v>
      </c>
      <c r="P566" s="1">
        <v>45483</v>
      </c>
      <c r="Q566" s="1"/>
      <c r="R566" t="str">
        <f>IF(Table1[[#This Row],[Actual close date]]="","",Table1[[#This Row],[Actual close date]]-Table1[[#This Row],[Expected close date]])</f>
        <v/>
      </c>
    </row>
    <row r="567" spans="1:18" x14ac:dyDescent="0.25">
      <c r="A567" t="s">
        <v>643</v>
      </c>
      <c r="B567" t="s">
        <v>33</v>
      </c>
      <c r="C567" t="s">
        <v>34</v>
      </c>
      <c r="D567" t="s">
        <v>35</v>
      </c>
      <c r="E567" t="s">
        <v>82</v>
      </c>
      <c r="F567" t="s">
        <v>22</v>
      </c>
      <c r="G567" t="s">
        <v>57</v>
      </c>
      <c r="H567" s="1">
        <v>45302</v>
      </c>
      <c r="I567" t="s">
        <v>24</v>
      </c>
      <c r="J567" t="s">
        <v>603</v>
      </c>
      <c r="K567">
        <v>1</v>
      </c>
      <c r="N567">
        <v>741</v>
      </c>
      <c r="O567">
        <v>10</v>
      </c>
      <c r="P567" s="1">
        <v>45580</v>
      </c>
      <c r="Q567" s="1"/>
      <c r="R567" t="str">
        <f>IF(Table1[[#This Row],[Actual close date]]="","",Table1[[#This Row],[Actual close date]]-Table1[[#This Row],[Expected close date]])</f>
        <v/>
      </c>
    </row>
    <row r="568" spans="1:18" x14ac:dyDescent="0.25">
      <c r="A568" t="s">
        <v>644</v>
      </c>
      <c r="B568" t="s">
        <v>59</v>
      </c>
      <c r="C568" t="s">
        <v>60</v>
      </c>
      <c r="D568" t="s">
        <v>61</v>
      </c>
      <c r="E568" t="s">
        <v>21</v>
      </c>
      <c r="F568" t="s">
        <v>22</v>
      </c>
      <c r="G568" t="s">
        <v>57</v>
      </c>
      <c r="H568" s="1">
        <v>45372</v>
      </c>
      <c r="I568" t="s">
        <v>64</v>
      </c>
      <c r="J568" t="s">
        <v>603</v>
      </c>
      <c r="K568">
        <v>1</v>
      </c>
      <c r="N568">
        <v>1130</v>
      </c>
      <c r="O568">
        <v>30</v>
      </c>
      <c r="P568" s="1">
        <v>45714</v>
      </c>
      <c r="Q568" s="1"/>
      <c r="R568" t="str">
        <f>IF(Table1[[#This Row],[Actual close date]]="","",Table1[[#This Row],[Actual close date]]-Table1[[#This Row],[Expected close date]])</f>
        <v/>
      </c>
    </row>
    <row r="569" spans="1:18" x14ac:dyDescent="0.25">
      <c r="A569" t="s">
        <v>645</v>
      </c>
      <c r="B569" t="s">
        <v>54</v>
      </c>
      <c r="C569" t="s">
        <v>55</v>
      </c>
      <c r="D569" t="s">
        <v>56</v>
      </c>
      <c r="E569" t="s">
        <v>42</v>
      </c>
      <c r="F569" t="s">
        <v>22</v>
      </c>
      <c r="G569" t="s">
        <v>83</v>
      </c>
      <c r="H569" s="1">
        <v>45336</v>
      </c>
      <c r="I569" t="s">
        <v>64</v>
      </c>
      <c r="J569" t="s">
        <v>603</v>
      </c>
      <c r="K569">
        <v>1</v>
      </c>
      <c r="N569">
        <v>1047</v>
      </c>
      <c r="O569">
        <v>20</v>
      </c>
      <c r="P569" s="1">
        <v>45685</v>
      </c>
      <c r="Q569" s="1"/>
      <c r="R569" t="str">
        <f>IF(Table1[[#This Row],[Actual close date]]="","",Table1[[#This Row],[Actual close date]]-Table1[[#This Row],[Expected close date]])</f>
        <v/>
      </c>
    </row>
    <row r="570" spans="1:18" x14ac:dyDescent="0.25">
      <c r="A570" t="s">
        <v>646</v>
      </c>
      <c r="B570" t="s">
        <v>69</v>
      </c>
      <c r="C570" t="s">
        <v>70</v>
      </c>
      <c r="D570" t="s">
        <v>71</v>
      </c>
      <c r="E570" t="s">
        <v>45</v>
      </c>
      <c r="F570" t="s">
        <v>22</v>
      </c>
      <c r="G570" t="s">
        <v>23</v>
      </c>
      <c r="H570" s="1">
        <v>45326</v>
      </c>
      <c r="I570" t="s">
        <v>24</v>
      </c>
      <c r="J570" t="s">
        <v>603</v>
      </c>
      <c r="K570">
        <v>1</v>
      </c>
      <c r="N570">
        <v>1473</v>
      </c>
      <c r="O570">
        <v>50</v>
      </c>
      <c r="P570" s="1">
        <v>45346</v>
      </c>
      <c r="Q570" s="1"/>
      <c r="R570" t="str">
        <f>IF(Table1[[#This Row],[Actual close date]]="","",Table1[[#This Row],[Actual close date]]-Table1[[#This Row],[Expected close date]])</f>
        <v/>
      </c>
    </row>
    <row r="571" spans="1:18" x14ac:dyDescent="0.25">
      <c r="A571" t="s">
        <v>647</v>
      </c>
      <c r="B571" t="s">
        <v>39</v>
      </c>
      <c r="C571" t="s">
        <v>40</v>
      </c>
      <c r="D571" t="s">
        <v>41</v>
      </c>
      <c r="E571" t="s">
        <v>118</v>
      </c>
      <c r="F571" t="s">
        <v>22</v>
      </c>
      <c r="G571" t="s">
        <v>57</v>
      </c>
      <c r="H571" s="1">
        <v>45352</v>
      </c>
      <c r="I571" t="s">
        <v>64</v>
      </c>
      <c r="J571" t="s">
        <v>603</v>
      </c>
      <c r="K571">
        <v>1</v>
      </c>
      <c r="N571">
        <v>1084</v>
      </c>
      <c r="O571">
        <v>60</v>
      </c>
      <c r="P571" s="1">
        <v>45713</v>
      </c>
      <c r="Q571" s="1"/>
      <c r="R571" t="str">
        <f>IF(Table1[[#This Row],[Actual close date]]="","",Table1[[#This Row],[Actual close date]]-Table1[[#This Row],[Expected close date]])</f>
        <v/>
      </c>
    </row>
    <row r="572" spans="1:18" x14ac:dyDescent="0.25">
      <c r="A572" t="s">
        <v>648</v>
      </c>
      <c r="B572" t="s">
        <v>76</v>
      </c>
      <c r="C572" t="s">
        <v>77</v>
      </c>
      <c r="D572" t="s">
        <v>78</v>
      </c>
      <c r="E572" t="s">
        <v>101</v>
      </c>
      <c r="F572" t="s">
        <v>22</v>
      </c>
      <c r="G572" t="s">
        <v>23</v>
      </c>
      <c r="H572" s="1">
        <v>45392</v>
      </c>
      <c r="I572" t="s">
        <v>64</v>
      </c>
      <c r="J572" t="s">
        <v>603</v>
      </c>
      <c r="K572">
        <v>1</v>
      </c>
      <c r="N572">
        <v>379</v>
      </c>
      <c r="O572">
        <v>20</v>
      </c>
      <c r="P572" s="1">
        <v>45441</v>
      </c>
      <c r="Q572" s="1"/>
      <c r="R572" t="str">
        <f>IF(Table1[[#This Row],[Actual close date]]="","",Table1[[#This Row],[Actual close date]]-Table1[[#This Row],[Expected close date]])</f>
        <v/>
      </c>
    </row>
    <row r="573" spans="1:18" x14ac:dyDescent="0.25">
      <c r="A573" t="s">
        <v>649</v>
      </c>
      <c r="B573" t="s">
        <v>76</v>
      </c>
      <c r="C573" t="s">
        <v>77</v>
      </c>
      <c r="D573" t="s">
        <v>78</v>
      </c>
      <c r="E573" t="s">
        <v>42</v>
      </c>
      <c r="F573" t="s">
        <v>22</v>
      </c>
      <c r="G573" t="s">
        <v>72</v>
      </c>
      <c r="H573" s="1">
        <v>45410</v>
      </c>
      <c r="I573" t="s">
        <v>64</v>
      </c>
      <c r="J573" t="s">
        <v>603</v>
      </c>
      <c r="K573">
        <v>1</v>
      </c>
      <c r="N573">
        <v>351</v>
      </c>
      <c r="O573">
        <v>20</v>
      </c>
      <c r="P573" s="1">
        <v>45620</v>
      </c>
      <c r="Q573" s="1"/>
      <c r="R573" t="str">
        <f>IF(Table1[[#This Row],[Actual close date]]="","",Table1[[#This Row],[Actual close date]]-Table1[[#This Row],[Expected close date]])</f>
        <v/>
      </c>
    </row>
    <row r="574" spans="1:18" x14ac:dyDescent="0.25">
      <c r="A574" t="s">
        <v>650</v>
      </c>
      <c r="B574" t="s">
        <v>59</v>
      </c>
      <c r="C574" t="s">
        <v>60</v>
      </c>
      <c r="D574" t="s">
        <v>61</v>
      </c>
      <c r="E574" t="s">
        <v>74</v>
      </c>
      <c r="F574" t="s">
        <v>22</v>
      </c>
      <c r="G574" t="s">
        <v>31</v>
      </c>
      <c r="H574" s="1">
        <v>45424</v>
      </c>
      <c r="I574" t="s">
        <v>24</v>
      </c>
      <c r="J574" t="s">
        <v>603</v>
      </c>
      <c r="K574">
        <v>1</v>
      </c>
      <c r="N574">
        <v>1978</v>
      </c>
      <c r="O574">
        <v>50</v>
      </c>
      <c r="P574" s="1">
        <v>45572</v>
      </c>
      <c r="Q574" s="1"/>
      <c r="R574" t="str">
        <f>IF(Table1[[#This Row],[Actual close date]]="","",Table1[[#This Row],[Actual close date]]-Table1[[#This Row],[Expected close date]])</f>
        <v/>
      </c>
    </row>
    <row r="575" spans="1:18" x14ac:dyDescent="0.25">
      <c r="A575" t="s">
        <v>651</v>
      </c>
      <c r="B575" t="s">
        <v>27</v>
      </c>
      <c r="C575" t="s">
        <v>28</v>
      </c>
      <c r="D575" t="s">
        <v>29</v>
      </c>
      <c r="E575" t="s">
        <v>21</v>
      </c>
      <c r="F575" t="s">
        <v>22</v>
      </c>
      <c r="G575" t="s">
        <v>23</v>
      </c>
      <c r="H575" s="1">
        <v>45396</v>
      </c>
      <c r="I575" t="s">
        <v>64</v>
      </c>
      <c r="J575" t="s">
        <v>603</v>
      </c>
      <c r="K575">
        <v>1</v>
      </c>
      <c r="N575">
        <v>754</v>
      </c>
      <c r="O575">
        <v>40</v>
      </c>
      <c r="P575" s="1">
        <v>45750</v>
      </c>
      <c r="Q575" s="1"/>
      <c r="R575" t="str">
        <f>IF(Table1[[#This Row],[Actual close date]]="","",Table1[[#This Row],[Actual close date]]-Table1[[#This Row],[Expected close date]])</f>
        <v/>
      </c>
    </row>
    <row r="576" spans="1:18" x14ac:dyDescent="0.25">
      <c r="A576" t="s">
        <v>652</v>
      </c>
      <c r="B576" t="s">
        <v>59</v>
      </c>
      <c r="C576" t="s">
        <v>60</v>
      </c>
      <c r="D576" t="s">
        <v>61</v>
      </c>
      <c r="E576" t="s">
        <v>52</v>
      </c>
      <c r="F576" t="s">
        <v>22</v>
      </c>
      <c r="G576" t="s">
        <v>37</v>
      </c>
      <c r="H576" s="1">
        <v>45414</v>
      </c>
      <c r="I576" t="s">
        <v>64</v>
      </c>
      <c r="J576" t="s">
        <v>603</v>
      </c>
      <c r="K576">
        <v>1</v>
      </c>
      <c r="N576">
        <v>1487</v>
      </c>
      <c r="O576">
        <v>40</v>
      </c>
      <c r="P576" s="1">
        <v>45457</v>
      </c>
      <c r="Q576" s="1"/>
      <c r="R576" t="str">
        <f>IF(Table1[[#This Row],[Actual close date]]="","",Table1[[#This Row],[Actual close date]]-Table1[[#This Row],[Expected close date]])</f>
        <v/>
      </c>
    </row>
    <row r="577" spans="1:18" x14ac:dyDescent="0.25">
      <c r="A577" t="s">
        <v>653</v>
      </c>
      <c r="B577" t="s">
        <v>54</v>
      </c>
      <c r="C577" t="s">
        <v>55</v>
      </c>
      <c r="D577" t="s">
        <v>56</v>
      </c>
      <c r="E577" t="s">
        <v>42</v>
      </c>
      <c r="F577" t="s">
        <v>22</v>
      </c>
      <c r="G577" t="s">
        <v>83</v>
      </c>
      <c r="H577" s="1">
        <v>45420</v>
      </c>
      <c r="I577" t="s">
        <v>64</v>
      </c>
      <c r="J577" t="s">
        <v>603</v>
      </c>
      <c r="K577">
        <v>1</v>
      </c>
      <c r="N577">
        <v>1932</v>
      </c>
      <c r="O577">
        <v>60</v>
      </c>
      <c r="P577" s="1">
        <v>45503</v>
      </c>
      <c r="Q577" s="1"/>
      <c r="R577" t="str">
        <f>IF(Table1[[#This Row],[Actual close date]]="","",Table1[[#This Row],[Actual close date]]-Table1[[#This Row],[Expected close date]])</f>
        <v/>
      </c>
    </row>
    <row r="578" spans="1:18" x14ac:dyDescent="0.25">
      <c r="A578" t="s">
        <v>654</v>
      </c>
      <c r="B578" t="s">
        <v>69</v>
      </c>
      <c r="C578" t="s">
        <v>70</v>
      </c>
      <c r="D578" t="s">
        <v>71</v>
      </c>
      <c r="E578" t="s">
        <v>30</v>
      </c>
      <c r="F578" t="s">
        <v>22</v>
      </c>
      <c r="G578" t="s">
        <v>37</v>
      </c>
      <c r="H578" s="1">
        <v>45415</v>
      </c>
      <c r="I578" t="s">
        <v>64</v>
      </c>
      <c r="J578" t="s">
        <v>603</v>
      </c>
      <c r="K578">
        <v>1</v>
      </c>
      <c r="N578">
        <v>1315</v>
      </c>
      <c r="O578">
        <v>60</v>
      </c>
      <c r="P578" s="1">
        <v>45661</v>
      </c>
      <c r="Q578" s="1"/>
      <c r="R578" t="str">
        <f>IF(Table1[[#This Row],[Actual close date]]="","",Table1[[#This Row],[Actual close date]]-Table1[[#This Row],[Expected close date]])</f>
        <v/>
      </c>
    </row>
    <row r="579" spans="1:18" x14ac:dyDescent="0.25">
      <c r="A579" t="s">
        <v>655</v>
      </c>
      <c r="B579" t="s">
        <v>59</v>
      </c>
      <c r="C579" t="s">
        <v>60</v>
      </c>
      <c r="D579" t="s">
        <v>61</v>
      </c>
      <c r="E579" t="s">
        <v>101</v>
      </c>
      <c r="F579" t="s">
        <v>22</v>
      </c>
      <c r="G579" t="s">
        <v>46</v>
      </c>
      <c r="H579" s="1">
        <v>45437</v>
      </c>
      <c r="I579" t="s">
        <v>24</v>
      </c>
      <c r="J579" t="s">
        <v>603</v>
      </c>
      <c r="K579">
        <v>1</v>
      </c>
      <c r="N579">
        <v>1339</v>
      </c>
      <c r="O579">
        <v>40</v>
      </c>
      <c r="P579" s="1">
        <v>45744</v>
      </c>
      <c r="Q579" s="1"/>
      <c r="R579" t="str">
        <f>IF(Table1[[#This Row],[Actual close date]]="","",Table1[[#This Row],[Actual close date]]-Table1[[#This Row],[Expected close date]])</f>
        <v/>
      </c>
    </row>
    <row r="580" spans="1:18" x14ac:dyDescent="0.25">
      <c r="A580" t="s">
        <v>656</v>
      </c>
      <c r="B580" t="s">
        <v>59</v>
      </c>
      <c r="C580" t="s">
        <v>60</v>
      </c>
      <c r="D580" t="s">
        <v>61</v>
      </c>
      <c r="E580" t="s">
        <v>36</v>
      </c>
      <c r="F580" t="s">
        <v>22</v>
      </c>
      <c r="G580" t="s">
        <v>46</v>
      </c>
      <c r="H580" s="1">
        <v>45387</v>
      </c>
      <c r="I580" t="s">
        <v>24</v>
      </c>
      <c r="J580" t="s">
        <v>603</v>
      </c>
      <c r="K580">
        <v>1</v>
      </c>
      <c r="N580">
        <v>244</v>
      </c>
      <c r="O580">
        <v>50</v>
      </c>
      <c r="P580" s="1">
        <v>45473</v>
      </c>
      <c r="Q580" s="1"/>
      <c r="R580" t="str">
        <f>IF(Table1[[#This Row],[Actual close date]]="","",Table1[[#This Row],[Actual close date]]-Table1[[#This Row],[Expected close date]])</f>
        <v/>
      </c>
    </row>
    <row r="581" spans="1:18" x14ac:dyDescent="0.25">
      <c r="A581" t="s">
        <v>657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t="s">
        <v>37</v>
      </c>
      <c r="H581" s="1">
        <v>45354</v>
      </c>
      <c r="I581" t="s">
        <v>24</v>
      </c>
      <c r="J581" t="s">
        <v>603</v>
      </c>
      <c r="K581">
        <v>1</v>
      </c>
      <c r="N581">
        <v>229</v>
      </c>
      <c r="O581">
        <v>40</v>
      </c>
      <c r="P581" s="1">
        <v>45420</v>
      </c>
      <c r="Q581" s="1"/>
      <c r="R581" t="str">
        <f>IF(Table1[[#This Row],[Actual close date]]="","",Table1[[#This Row],[Actual close date]]-Table1[[#This Row],[Expected close date]])</f>
        <v/>
      </c>
    </row>
    <row r="582" spans="1:18" x14ac:dyDescent="0.25">
      <c r="A582" t="s">
        <v>658</v>
      </c>
      <c r="B582" t="s">
        <v>76</v>
      </c>
      <c r="C582" t="s">
        <v>77</v>
      </c>
      <c r="D582" t="s">
        <v>78</v>
      </c>
      <c r="E582" t="s">
        <v>45</v>
      </c>
      <c r="F582" t="s">
        <v>22</v>
      </c>
      <c r="G582" t="s">
        <v>46</v>
      </c>
      <c r="H582" s="1">
        <v>45296</v>
      </c>
      <c r="I582" t="s">
        <v>24</v>
      </c>
      <c r="J582" t="s">
        <v>603</v>
      </c>
      <c r="K582">
        <v>1</v>
      </c>
      <c r="N582">
        <v>740</v>
      </c>
      <c r="O582">
        <v>60</v>
      </c>
      <c r="P582" s="1">
        <v>45447</v>
      </c>
      <c r="Q582" s="1"/>
      <c r="R582" t="str">
        <f>IF(Table1[[#This Row],[Actual close date]]="","",Table1[[#This Row],[Actual close date]]-Table1[[#This Row],[Expected close date]])</f>
        <v/>
      </c>
    </row>
    <row r="583" spans="1:18" x14ac:dyDescent="0.25">
      <c r="A583" t="s">
        <v>659</v>
      </c>
      <c r="B583" t="s">
        <v>59</v>
      </c>
      <c r="C583" t="s">
        <v>60</v>
      </c>
      <c r="D583" t="s">
        <v>61</v>
      </c>
      <c r="E583" t="s">
        <v>52</v>
      </c>
      <c r="F583" t="s">
        <v>22</v>
      </c>
      <c r="G583" t="s">
        <v>57</v>
      </c>
      <c r="H583" s="1">
        <v>45417</v>
      </c>
      <c r="I583" t="s">
        <v>24</v>
      </c>
      <c r="J583" t="s">
        <v>603</v>
      </c>
      <c r="K583">
        <v>1</v>
      </c>
      <c r="N583">
        <v>433</v>
      </c>
      <c r="O583">
        <v>30</v>
      </c>
      <c r="P583" s="1">
        <v>45697</v>
      </c>
      <c r="Q583" s="1"/>
      <c r="R583" t="str">
        <f>IF(Table1[[#This Row],[Actual close date]]="","",Table1[[#This Row],[Actual close date]]-Table1[[#This Row],[Expected close date]])</f>
        <v/>
      </c>
    </row>
    <row r="584" spans="1:18" x14ac:dyDescent="0.25">
      <c r="A584" t="s">
        <v>660</v>
      </c>
      <c r="B584" t="s">
        <v>54</v>
      </c>
      <c r="C584" t="s">
        <v>55</v>
      </c>
      <c r="D584" t="s">
        <v>56</v>
      </c>
      <c r="E584" t="s">
        <v>45</v>
      </c>
      <c r="F584" t="s">
        <v>22</v>
      </c>
      <c r="G584" t="s">
        <v>46</v>
      </c>
      <c r="H584" s="1">
        <v>45344</v>
      </c>
      <c r="I584" t="s">
        <v>47</v>
      </c>
      <c r="J584" t="s">
        <v>603</v>
      </c>
      <c r="K584">
        <v>1</v>
      </c>
      <c r="N584">
        <v>1073</v>
      </c>
      <c r="O584">
        <v>30</v>
      </c>
      <c r="P584" s="1">
        <v>45651</v>
      </c>
      <c r="Q584" s="1"/>
      <c r="R584" t="str">
        <f>IF(Table1[[#This Row],[Actual close date]]="","",Table1[[#This Row],[Actual close date]]-Table1[[#This Row],[Expected close date]])</f>
        <v/>
      </c>
    </row>
    <row r="585" spans="1:18" x14ac:dyDescent="0.25">
      <c r="A585" t="s">
        <v>661</v>
      </c>
      <c r="B585" t="s">
        <v>59</v>
      </c>
      <c r="C585" t="s">
        <v>60</v>
      </c>
      <c r="D585" t="s">
        <v>61</v>
      </c>
      <c r="E585" t="s">
        <v>62</v>
      </c>
      <c r="F585" t="s">
        <v>22</v>
      </c>
      <c r="G585" t="s">
        <v>31</v>
      </c>
      <c r="H585" s="1">
        <v>45327</v>
      </c>
      <c r="I585" t="s">
        <v>24</v>
      </c>
      <c r="J585" t="s">
        <v>603</v>
      </c>
      <c r="K585">
        <v>1</v>
      </c>
      <c r="N585">
        <v>242</v>
      </c>
      <c r="O585">
        <v>30</v>
      </c>
      <c r="P585" s="1">
        <v>45464</v>
      </c>
      <c r="Q585" s="1"/>
      <c r="R585" t="str">
        <f>IF(Table1[[#This Row],[Actual close date]]="","",Table1[[#This Row],[Actual close date]]-Table1[[#This Row],[Expected close date]])</f>
        <v/>
      </c>
    </row>
    <row r="586" spans="1:18" x14ac:dyDescent="0.25">
      <c r="A586" t="s">
        <v>662</v>
      </c>
      <c r="B586" t="s">
        <v>69</v>
      </c>
      <c r="C586" t="s">
        <v>70</v>
      </c>
      <c r="D586" t="s">
        <v>71</v>
      </c>
      <c r="E586" t="s">
        <v>52</v>
      </c>
      <c r="F586" t="s">
        <v>22</v>
      </c>
      <c r="G586" t="s">
        <v>46</v>
      </c>
      <c r="H586" s="1">
        <v>45407</v>
      </c>
      <c r="I586" t="s">
        <v>47</v>
      </c>
      <c r="J586" t="s">
        <v>603</v>
      </c>
      <c r="K586">
        <v>1</v>
      </c>
      <c r="N586">
        <v>1884</v>
      </c>
      <c r="O586">
        <v>20</v>
      </c>
      <c r="P586" s="1">
        <v>45583</v>
      </c>
      <c r="Q586" s="1"/>
      <c r="R586" t="str">
        <f>IF(Table1[[#This Row],[Actual close date]]="","",Table1[[#This Row],[Actual close date]]-Table1[[#This Row],[Expected close date]])</f>
        <v/>
      </c>
    </row>
    <row r="587" spans="1:18" x14ac:dyDescent="0.25">
      <c r="A587" t="s">
        <v>663</v>
      </c>
      <c r="B587" t="s">
        <v>39</v>
      </c>
      <c r="C587" t="s">
        <v>40</v>
      </c>
      <c r="D587" t="s">
        <v>41</v>
      </c>
      <c r="E587" t="s">
        <v>42</v>
      </c>
      <c r="F587" t="s">
        <v>22</v>
      </c>
      <c r="G587" t="s">
        <v>46</v>
      </c>
      <c r="H587" s="1">
        <v>45375</v>
      </c>
      <c r="I587" t="s">
        <v>24</v>
      </c>
      <c r="J587" t="s">
        <v>603</v>
      </c>
      <c r="K587">
        <v>1</v>
      </c>
      <c r="N587">
        <v>223</v>
      </c>
      <c r="O587">
        <v>90</v>
      </c>
      <c r="P587" s="1">
        <v>45410</v>
      </c>
      <c r="Q587" s="1"/>
      <c r="R587" t="str">
        <f>IF(Table1[[#This Row],[Actual close date]]="","",Table1[[#This Row],[Actual close date]]-Table1[[#This Row],[Expected close date]])</f>
        <v/>
      </c>
    </row>
    <row r="588" spans="1:18" x14ac:dyDescent="0.25">
      <c r="A588" t="s">
        <v>664</v>
      </c>
      <c r="B588" t="s">
        <v>54</v>
      </c>
      <c r="C588" t="s">
        <v>55</v>
      </c>
      <c r="D588" t="s">
        <v>56</v>
      </c>
      <c r="E588" t="s">
        <v>36</v>
      </c>
      <c r="F588" t="s">
        <v>22</v>
      </c>
      <c r="G588" t="s">
        <v>46</v>
      </c>
      <c r="H588" s="1">
        <v>45410</v>
      </c>
      <c r="I588" t="s">
        <v>24</v>
      </c>
      <c r="J588" t="s">
        <v>603</v>
      </c>
      <c r="K588">
        <v>1</v>
      </c>
      <c r="N588">
        <v>1772</v>
      </c>
      <c r="O588">
        <v>10</v>
      </c>
      <c r="P588" s="1">
        <v>45727</v>
      </c>
      <c r="Q588" s="1"/>
      <c r="R588" t="str">
        <f>IF(Table1[[#This Row],[Actual close date]]="","",Table1[[#This Row],[Actual close date]]-Table1[[#This Row],[Expected close date]])</f>
        <v/>
      </c>
    </row>
    <row r="589" spans="1:18" x14ac:dyDescent="0.25">
      <c r="A589" t="s">
        <v>665</v>
      </c>
      <c r="B589" t="s">
        <v>33</v>
      </c>
      <c r="C589" t="s">
        <v>34</v>
      </c>
      <c r="D589" t="s">
        <v>35</v>
      </c>
      <c r="E589" t="s">
        <v>52</v>
      </c>
      <c r="F589" t="s">
        <v>22</v>
      </c>
      <c r="G589" t="s">
        <v>37</v>
      </c>
      <c r="H589" s="1">
        <v>45371</v>
      </c>
      <c r="I589" t="s">
        <v>24</v>
      </c>
      <c r="J589" t="s">
        <v>603</v>
      </c>
      <c r="K589">
        <v>1</v>
      </c>
      <c r="N589">
        <v>820</v>
      </c>
      <c r="O589">
        <v>30</v>
      </c>
      <c r="P589" s="1">
        <v>45649</v>
      </c>
      <c r="Q589" s="1"/>
      <c r="R589" t="str">
        <f>IF(Table1[[#This Row],[Actual close date]]="","",Table1[[#This Row],[Actual close date]]-Table1[[#This Row],[Expected close date]])</f>
        <v/>
      </c>
    </row>
    <row r="590" spans="1:18" x14ac:dyDescent="0.25">
      <c r="A590" t="s">
        <v>666</v>
      </c>
      <c r="B590" t="s">
        <v>18</v>
      </c>
      <c r="C590" t="s">
        <v>19</v>
      </c>
      <c r="D590" t="s">
        <v>20</v>
      </c>
      <c r="E590" t="s">
        <v>82</v>
      </c>
      <c r="F590" t="s">
        <v>22</v>
      </c>
      <c r="G590" t="s">
        <v>46</v>
      </c>
      <c r="H590" s="1">
        <v>45306</v>
      </c>
      <c r="I590" t="s">
        <v>24</v>
      </c>
      <c r="J590" t="s">
        <v>603</v>
      </c>
      <c r="K590">
        <v>1</v>
      </c>
      <c r="N590">
        <v>1241</v>
      </c>
      <c r="O590">
        <v>60</v>
      </c>
      <c r="P590" s="1">
        <v>45650</v>
      </c>
      <c r="Q590" s="1"/>
      <c r="R590" t="str">
        <f>IF(Table1[[#This Row],[Actual close date]]="","",Table1[[#This Row],[Actual close date]]-Table1[[#This Row],[Expected close date]])</f>
        <v/>
      </c>
    </row>
    <row r="591" spans="1:18" x14ac:dyDescent="0.25">
      <c r="A591" t="s">
        <v>667</v>
      </c>
      <c r="B591" t="s">
        <v>49</v>
      </c>
      <c r="C591" t="s">
        <v>50</v>
      </c>
      <c r="D591" t="s">
        <v>51</v>
      </c>
      <c r="E591" t="s">
        <v>21</v>
      </c>
      <c r="F591" t="s">
        <v>22</v>
      </c>
      <c r="G591" t="s">
        <v>72</v>
      </c>
      <c r="H591" s="1">
        <v>45411</v>
      </c>
      <c r="I591" t="s">
        <v>47</v>
      </c>
      <c r="J591" t="s">
        <v>603</v>
      </c>
      <c r="K591">
        <v>1</v>
      </c>
      <c r="N591">
        <v>519</v>
      </c>
      <c r="O591">
        <v>20</v>
      </c>
      <c r="P591" s="1">
        <v>45601</v>
      </c>
      <c r="Q591" s="1"/>
      <c r="R591" t="str">
        <f>IF(Table1[[#This Row],[Actual close date]]="","",Table1[[#This Row],[Actual close date]]-Table1[[#This Row],[Expected close date]])</f>
        <v/>
      </c>
    </row>
    <row r="592" spans="1:18" x14ac:dyDescent="0.25">
      <c r="A592" t="s">
        <v>668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t="s">
        <v>72</v>
      </c>
      <c r="H592" s="1">
        <v>45433</v>
      </c>
      <c r="I592" t="s">
        <v>64</v>
      </c>
      <c r="J592" t="s">
        <v>603</v>
      </c>
      <c r="K592">
        <v>1</v>
      </c>
      <c r="N592">
        <v>706</v>
      </c>
      <c r="O592">
        <v>40</v>
      </c>
      <c r="P592" s="1">
        <v>45793</v>
      </c>
      <c r="Q592" s="1"/>
      <c r="R592" t="str">
        <f>IF(Table1[[#This Row],[Actual close date]]="","",Table1[[#This Row],[Actual close date]]-Table1[[#This Row],[Expected close date]])</f>
        <v/>
      </c>
    </row>
    <row r="593" spans="1:18" x14ac:dyDescent="0.25">
      <c r="A593" t="s">
        <v>669</v>
      </c>
      <c r="B593" t="s">
        <v>76</v>
      </c>
      <c r="C593" t="s">
        <v>77</v>
      </c>
      <c r="D593" t="s">
        <v>78</v>
      </c>
      <c r="E593" t="s">
        <v>101</v>
      </c>
      <c r="F593" t="s">
        <v>22</v>
      </c>
      <c r="G593" t="s">
        <v>23</v>
      </c>
      <c r="H593" s="1">
        <v>45410</v>
      </c>
      <c r="I593" t="s">
        <v>64</v>
      </c>
      <c r="J593" t="s">
        <v>603</v>
      </c>
      <c r="K593">
        <v>1</v>
      </c>
      <c r="N593">
        <v>1461</v>
      </c>
      <c r="O593">
        <v>40</v>
      </c>
      <c r="P593" s="1">
        <v>45637</v>
      </c>
      <c r="Q593" s="1"/>
      <c r="R593" t="str">
        <f>IF(Table1[[#This Row],[Actual close date]]="","",Table1[[#This Row],[Actual close date]]-Table1[[#This Row],[Expected close date]])</f>
        <v/>
      </c>
    </row>
    <row r="594" spans="1:18" x14ac:dyDescent="0.25">
      <c r="A594" t="s">
        <v>670</v>
      </c>
      <c r="B594" t="s">
        <v>54</v>
      </c>
      <c r="C594" t="s">
        <v>55</v>
      </c>
      <c r="D594" t="s">
        <v>56</v>
      </c>
      <c r="E594" t="s">
        <v>30</v>
      </c>
      <c r="F594" t="s">
        <v>22</v>
      </c>
      <c r="G594" t="s">
        <v>83</v>
      </c>
      <c r="H594" s="1">
        <v>45399</v>
      </c>
      <c r="I594" t="s">
        <v>64</v>
      </c>
      <c r="J594" t="s">
        <v>603</v>
      </c>
      <c r="K594">
        <v>1</v>
      </c>
      <c r="N594">
        <v>1913</v>
      </c>
      <c r="O594">
        <v>100</v>
      </c>
      <c r="P594" s="1">
        <v>45483</v>
      </c>
      <c r="Q594" s="1"/>
      <c r="R594" t="str">
        <f>IF(Table1[[#This Row],[Actual close date]]="","",Table1[[#This Row],[Actual close date]]-Table1[[#This Row],[Expected close date]])</f>
        <v/>
      </c>
    </row>
    <row r="595" spans="1:18" x14ac:dyDescent="0.25">
      <c r="A595" t="s">
        <v>671</v>
      </c>
      <c r="B595" t="s">
        <v>33</v>
      </c>
      <c r="C595" t="s">
        <v>34</v>
      </c>
      <c r="D595" t="s">
        <v>35</v>
      </c>
      <c r="E595" t="s">
        <v>101</v>
      </c>
      <c r="F595" t="s">
        <v>22</v>
      </c>
      <c r="G595" t="s">
        <v>46</v>
      </c>
      <c r="H595" s="1">
        <v>45425</v>
      </c>
      <c r="I595" t="s">
        <v>24</v>
      </c>
      <c r="J595" t="s">
        <v>603</v>
      </c>
      <c r="K595">
        <v>1</v>
      </c>
      <c r="N595">
        <v>1539</v>
      </c>
      <c r="O595">
        <v>20</v>
      </c>
      <c r="P595" s="1">
        <v>45473</v>
      </c>
      <c r="Q595" s="1"/>
      <c r="R595" t="str">
        <f>IF(Table1[[#This Row],[Actual close date]]="","",Table1[[#This Row],[Actual close date]]-Table1[[#This Row],[Expected close date]])</f>
        <v/>
      </c>
    </row>
    <row r="596" spans="1:18" x14ac:dyDescent="0.25">
      <c r="A596" t="s">
        <v>672</v>
      </c>
      <c r="B596" t="s">
        <v>76</v>
      </c>
      <c r="C596" t="s">
        <v>77</v>
      </c>
      <c r="D596" t="s">
        <v>78</v>
      </c>
      <c r="E596" t="s">
        <v>30</v>
      </c>
      <c r="F596" t="s">
        <v>22</v>
      </c>
      <c r="G596" t="s">
        <v>46</v>
      </c>
      <c r="H596" s="1">
        <v>45392</v>
      </c>
      <c r="I596" t="s">
        <v>24</v>
      </c>
      <c r="J596" t="s">
        <v>603</v>
      </c>
      <c r="K596">
        <v>1</v>
      </c>
      <c r="N596">
        <v>1212</v>
      </c>
      <c r="O596">
        <v>30</v>
      </c>
      <c r="P596" s="1">
        <v>45457</v>
      </c>
      <c r="Q596" s="1"/>
      <c r="R596" t="str">
        <f>IF(Table1[[#This Row],[Actual close date]]="","",Table1[[#This Row],[Actual close date]]-Table1[[#This Row],[Expected close date]])</f>
        <v/>
      </c>
    </row>
    <row r="597" spans="1:18" x14ac:dyDescent="0.25">
      <c r="A597" t="s">
        <v>673</v>
      </c>
      <c r="B597" t="s">
        <v>76</v>
      </c>
      <c r="C597" t="s">
        <v>77</v>
      </c>
      <c r="D597" t="s">
        <v>78</v>
      </c>
      <c r="E597" t="s">
        <v>74</v>
      </c>
      <c r="F597" t="s">
        <v>22</v>
      </c>
      <c r="G597" t="s">
        <v>37</v>
      </c>
      <c r="H597" s="1">
        <v>45364</v>
      </c>
      <c r="I597" t="s">
        <v>64</v>
      </c>
      <c r="J597" t="s">
        <v>603</v>
      </c>
      <c r="K597">
        <v>1</v>
      </c>
      <c r="N597">
        <v>1832</v>
      </c>
      <c r="O597">
        <v>20</v>
      </c>
      <c r="P597" s="1">
        <v>45491</v>
      </c>
      <c r="Q597" s="1"/>
      <c r="R597" t="str">
        <f>IF(Table1[[#This Row],[Actual close date]]="","",Table1[[#This Row],[Actual close date]]-Table1[[#This Row],[Expected close date]])</f>
        <v/>
      </c>
    </row>
    <row r="598" spans="1:18" x14ac:dyDescent="0.25">
      <c r="A598" t="s">
        <v>674</v>
      </c>
      <c r="B598" t="s">
        <v>39</v>
      </c>
      <c r="C598" t="s">
        <v>40</v>
      </c>
      <c r="D598" t="s">
        <v>41</v>
      </c>
      <c r="E598" t="s">
        <v>45</v>
      </c>
      <c r="F598" t="s">
        <v>22</v>
      </c>
      <c r="G598" t="s">
        <v>57</v>
      </c>
      <c r="H598" s="1">
        <v>45369</v>
      </c>
      <c r="I598" t="s">
        <v>47</v>
      </c>
      <c r="J598" t="s">
        <v>603</v>
      </c>
      <c r="K598">
        <v>1</v>
      </c>
      <c r="N598">
        <v>1553</v>
      </c>
      <c r="O598">
        <v>20</v>
      </c>
      <c r="P598" s="1">
        <v>45508</v>
      </c>
      <c r="Q598" s="1"/>
      <c r="R598" t="str">
        <f>IF(Table1[[#This Row],[Actual close date]]="","",Table1[[#This Row],[Actual close date]]-Table1[[#This Row],[Expected close date]])</f>
        <v/>
      </c>
    </row>
    <row r="599" spans="1:18" x14ac:dyDescent="0.25">
      <c r="A599" t="s">
        <v>675</v>
      </c>
      <c r="B599" t="s">
        <v>59</v>
      </c>
      <c r="C599" t="s">
        <v>60</v>
      </c>
      <c r="D599" t="s">
        <v>61</v>
      </c>
      <c r="E599" t="s">
        <v>122</v>
      </c>
      <c r="F599" t="s">
        <v>22</v>
      </c>
      <c r="G599" t="s">
        <v>23</v>
      </c>
      <c r="H599" s="1">
        <v>45402</v>
      </c>
      <c r="I599" t="s">
        <v>64</v>
      </c>
      <c r="J599" t="s">
        <v>603</v>
      </c>
      <c r="K599">
        <v>1</v>
      </c>
      <c r="N599">
        <v>322</v>
      </c>
      <c r="O599">
        <v>40</v>
      </c>
      <c r="P599" s="1">
        <v>45661</v>
      </c>
      <c r="Q599" s="1"/>
      <c r="R599" t="str">
        <f>IF(Table1[[#This Row],[Actual close date]]="","",Table1[[#This Row],[Actual close date]]-Table1[[#This Row],[Expected close date]])</f>
        <v/>
      </c>
    </row>
    <row r="600" spans="1:18" x14ac:dyDescent="0.25">
      <c r="A600" t="s">
        <v>676</v>
      </c>
      <c r="B600" t="s">
        <v>59</v>
      </c>
      <c r="C600" t="s">
        <v>60</v>
      </c>
      <c r="D600" t="s">
        <v>61</v>
      </c>
      <c r="E600" t="s">
        <v>45</v>
      </c>
      <c r="F600" t="s">
        <v>22</v>
      </c>
      <c r="G600" t="s">
        <v>23</v>
      </c>
      <c r="H600" s="1">
        <v>45301</v>
      </c>
      <c r="I600" t="s">
        <v>47</v>
      </c>
      <c r="J600" t="s">
        <v>603</v>
      </c>
      <c r="K600">
        <v>1</v>
      </c>
      <c r="N600">
        <v>1185</v>
      </c>
      <c r="O600">
        <v>90</v>
      </c>
      <c r="P600" s="1">
        <v>45495</v>
      </c>
      <c r="Q600" s="1"/>
      <c r="R600" t="str">
        <f>IF(Table1[[#This Row],[Actual close date]]="","",Table1[[#This Row],[Actual close date]]-Table1[[#This Row],[Expected close date]])</f>
        <v/>
      </c>
    </row>
    <row r="601" spans="1:18" x14ac:dyDescent="0.25">
      <c r="A601" t="s">
        <v>677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t="s">
        <v>57</v>
      </c>
      <c r="H601" s="1">
        <v>45432</v>
      </c>
      <c r="I601" t="s">
        <v>64</v>
      </c>
      <c r="J601" t="s">
        <v>603</v>
      </c>
      <c r="K601">
        <v>1</v>
      </c>
      <c r="N601">
        <v>1747</v>
      </c>
      <c r="O601">
        <v>20</v>
      </c>
      <c r="P601" s="1">
        <v>45489</v>
      </c>
      <c r="Q601" s="1"/>
      <c r="R601" t="str">
        <f>IF(Table1[[#This Row],[Actual close date]]="","",Table1[[#This Row],[Actual close date]]-Table1[[#This Row],[Expected close date]])</f>
        <v/>
      </c>
    </row>
    <row r="602" spans="1:18" x14ac:dyDescent="0.25">
      <c r="A602" t="s">
        <v>678</v>
      </c>
      <c r="B602" t="s">
        <v>39</v>
      </c>
      <c r="C602" t="s">
        <v>40</v>
      </c>
      <c r="D602" t="s">
        <v>41</v>
      </c>
      <c r="E602" t="s">
        <v>42</v>
      </c>
      <c r="F602" t="s">
        <v>22</v>
      </c>
      <c r="G602" t="s">
        <v>37</v>
      </c>
      <c r="H602" s="1">
        <v>45373</v>
      </c>
      <c r="I602" t="s">
        <v>24</v>
      </c>
      <c r="J602" t="s">
        <v>603</v>
      </c>
      <c r="K602">
        <v>1</v>
      </c>
      <c r="N602">
        <v>1286</v>
      </c>
      <c r="O602">
        <v>20</v>
      </c>
      <c r="P602" s="1">
        <v>45700</v>
      </c>
      <c r="Q602" s="1"/>
      <c r="R602" t="str">
        <f>IF(Table1[[#This Row],[Actual close date]]="","",Table1[[#This Row],[Actual close date]]-Table1[[#This Row],[Expected close date]])</f>
        <v/>
      </c>
    </row>
    <row r="603" spans="1:18" x14ac:dyDescent="0.25">
      <c r="A603" t="s">
        <v>679</v>
      </c>
      <c r="B603" t="s">
        <v>49</v>
      </c>
      <c r="C603" t="s">
        <v>50</v>
      </c>
      <c r="D603" t="s">
        <v>51</v>
      </c>
      <c r="E603" t="s">
        <v>118</v>
      </c>
      <c r="F603" t="s">
        <v>22</v>
      </c>
      <c r="G603" t="s">
        <v>46</v>
      </c>
      <c r="H603" s="1">
        <v>45295</v>
      </c>
      <c r="I603" t="s">
        <v>64</v>
      </c>
      <c r="J603" t="s">
        <v>603</v>
      </c>
      <c r="K603">
        <v>1</v>
      </c>
      <c r="N603">
        <v>1735</v>
      </c>
      <c r="O603">
        <v>90</v>
      </c>
      <c r="P603" s="1">
        <v>45331</v>
      </c>
      <c r="Q603" s="1"/>
      <c r="R603" t="str">
        <f>IF(Table1[[#This Row],[Actual close date]]="","",Table1[[#This Row],[Actual close date]]-Table1[[#This Row],[Expected close date]])</f>
        <v/>
      </c>
    </row>
    <row r="604" spans="1:18" x14ac:dyDescent="0.25">
      <c r="A604" t="s">
        <v>680</v>
      </c>
      <c r="B604" t="s">
        <v>76</v>
      </c>
      <c r="C604" t="s">
        <v>77</v>
      </c>
      <c r="D604" t="s">
        <v>78</v>
      </c>
      <c r="E604" t="s">
        <v>45</v>
      </c>
      <c r="F604" t="s">
        <v>22</v>
      </c>
      <c r="G604" t="s">
        <v>85</v>
      </c>
      <c r="H604" s="1">
        <v>45416</v>
      </c>
      <c r="I604" t="s">
        <v>24</v>
      </c>
      <c r="J604" t="s">
        <v>603</v>
      </c>
      <c r="K604">
        <v>1</v>
      </c>
      <c r="N604">
        <v>1184</v>
      </c>
      <c r="O604">
        <v>50</v>
      </c>
      <c r="P604" s="1">
        <v>45687</v>
      </c>
      <c r="Q604" s="1"/>
      <c r="R604" t="str">
        <f>IF(Table1[[#This Row],[Actual close date]]="","",Table1[[#This Row],[Actual close date]]-Table1[[#This Row],[Expected close date]])</f>
        <v/>
      </c>
    </row>
    <row r="605" spans="1:18" x14ac:dyDescent="0.25">
      <c r="A605" t="s">
        <v>681</v>
      </c>
      <c r="B605" t="s">
        <v>54</v>
      </c>
      <c r="C605" t="s">
        <v>55</v>
      </c>
      <c r="D605" t="s">
        <v>56</v>
      </c>
      <c r="E605" t="s">
        <v>36</v>
      </c>
      <c r="F605" t="s">
        <v>22</v>
      </c>
      <c r="G605" t="s">
        <v>46</v>
      </c>
      <c r="H605" s="1">
        <v>45340</v>
      </c>
      <c r="I605" t="s">
        <v>24</v>
      </c>
      <c r="J605" t="s">
        <v>603</v>
      </c>
      <c r="K605">
        <v>1</v>
      </c>
      <c r="N605">
        <v>352</v>
      </c>
      <c r="O605">
        <v>40</v>
      </c>
      <c r="P605" s="1">
        <v>45589</v>
      </c>
      <c r="Q605" s="1"/>
      <c r="R605" t="str">
        <f>IF(Table1[[#This Row],[Actual close date]]="","",Table1[[#This Row],[Actual close date]]-Table1[[#This Row],[Expected close date]])</f>
        <v/>
      </c>
    </row>
    <row r="606" spans="1:18" x14ac:dyDescent="0.25">
      <c r="A606" t="s">
        <v>682</v>
      </c>
      <c r="B606" t="s">
        <v>33</v>
      </c>
      <c r="C606" t="s">
        <v>34</v>
      </c>
      <c r="D606" t="s">
        <v>35</v>
      </c>
      <c r="E606" t="s">
        <v>101</v>
      </c>
      <c r="F606" t="s">
        <v>22</v>
      </c>
      <c r="G606" t="s">
        <v>23</v>
      </c>
      <c r="H606" s="1">
        <v>45302</v>
      </c>
      <c r="I606" t="s">
        <v>47</v>
      </c>
      <c r="J606" t="s">
        <v>603</v>
      </c>
      <c r="K606">
        <v>1</v>
      </c>
      <c r="N606">
        <v>1581</v>
      </c>
      <c r="O606">
        <v>50</v>
      </c>
      <c r="P606" s="1">
        <v>45357</v>
      </c>
      <c r="Q606" s="1"/>
      <c r="R606" t="str">
        <f>IF(Table1[[#This Row],[Actual close date]]="","",Table1[[#This Row],[Actual close date]]-Table1[[#This Row],[Expected close date]])</f>
        <v/>
      </c>
    </row>
    <row r="607" spans="1:18" x14ac:dyDescent="0.25">
      <c r="A607" t="s">
        <v>683</v>
      </c>
      <c r="B607" t="s">
        <v>33</v>
      </c>
      <c r="C607" t="s">
        <v>34</v>
      </c>
      <c r="D607" t="s">
        <v>35</v>
      </c>
      <c r="E607" t="s">
        <v>42</v>
      </c>
      <c r="F607" t="s">
        <v>22</v>
      </c>
      <c r="G607" t="s">
        <v>85</v>
      </c>
      <c r="H607" s="1">
        <v>45436</v>
      </c>
      <c r="I607" t="s">
        <v>24</v>
      </c>
      <c r="J607" t="s">
        <v>603</v>
      </c>
      <c r="K607">
        <v>1</v>
      </c>
      <c r="N607">
        <v>1367</v>
      </c>
      <c r="O607">
        <v>40</v>
      </c>
      <c r="P607" s="1">
        <v>45745</v>
      </c>
      <c r="Q607" s="1"/>
      <c r="R607" t="str">
        <f>IF(Table1[[#This Row],[Actual close date]]="","",Table1[[#This Row],[Actual close date]]-Table1[[#This Row],[Expected close date]])</f>
        <v/>
      </c>
    </row>
    <row r="608" spans="1:18" x14ac:dyDescent="0.25">
      <c r="A608" t="s">
        <v>684</v>
      </c>
      <c r="B608" t="s">
        <v>27</v>
      </c>
      <c r="C608" t="s">
        <v>28</v>
      </c>
      <c r="D608" t="s">
        <v>29</v>
      </c>
      <c r="E608" t="s">
        <v>21</v>
      </c>
      <c r="F608" t="s">
        <v>22</v>
      </c>
      <c r="G608" t="s">
        <v>83</v>
      </c>
      <c r="H608" s="1">
        <v>45356</v>
      </c>
      <c r="I608" t="s">
        <v>64</v>
      </c>
      <c r="J608" t="s">
        <v>603</v>
      </c>
      <c r="K608">
        <v>1</v>
      </c>
      <c r="N608">
        <v>490</v>
      </c>
      <c r="O608">
        <v>10</v>
      </c>
      <c r="P608" s="1">
        <v>45481</v>
      </c>
      <c r="Q608" s="1"/>
      <c r="R608" t="str">
        <f>IF(Table1[[#This Row],[Actual close date]]="","",Table1[[#This Row],[Actual close date]]-Table1[[#This Row],[Expected close date]])</f>
        <v/>
      </c>
    </row>
    <row r="609" spans="1:18" x14ac:dyDescent="0.25">
      <c r="A609" t="s">
        <v>685</v>
      </c>
      <c r="B609" t="s">
        <v>59</v>
      </c>
      <c r="C609" t="s">
        <v>60</v>
      </c>
      <c r="D609" t="s">
        <v>61</v>
      </c>
      <c r="E609" t="s">
        <v>52</v>
      </c>
      <c r="F609" t="s">
        <v>22</v>
      </c>
      <c r="G609" t="s">
        <v>46</v>
      </c>
      <c r="H609" s="1">
        <v>45314</v>
      </c>
      <c r="I609" t="s">
        <v>24</v>
      </c>
      <c r="J609" t="s">
        <v>603</v>
      </c>
      <c r="K609">
        <v>1</v>
      </c>
      <c r="N609">
        <v>1627</v>
      </c>
      <c r="O609">
        <v>40</v>
      </c>
      <c r="P609" s="1">
        <v>45362</v>
      </c>
      <c r="Q609" s="1"/>
      <c r="R609" t="str">
        <f>IF(Table1[[#This Row],[Actual close date]]="","",Table1[[#This Row],[Actual close date]]-Table1[[#This Row],[Expected close date]])</f>
        <v/>
      </c>
    </row>
    <row r="610" spans="1:18" x14ac:dyDescent="0.25">
      <c r="A610" t="s">
        <v>686</v>
      </c>
      <c r="B610" t="s">
        <v>76</v>
      </c>
      <c r="C610" t="s">
        <v>77</v>
      </c>
      <c r="D610" t="s">
        <v>78</v>
      </c>
      <c r="E610" t="s">
        <v>52</v>
      </c>
      <c r="F610" t="s">
        <v>22</v>
      </c>
      <c r="G610" t="s">
        <v>46</v>
      </c>
      <c r="H610" s="1">
        <v>45322</v>
      </c>
      <c r="I610" t="s">
        <v>47</v>
      </c>
      <c r="J610" t="s">
        <v>603</v>
      </c>
      <c r="K610">
        <v>1</v>
      </c>
      <c r="N610">
        <v>716</v>
      </c>
      <c r="O610">
        <v>50</v>
      </c>
      <c r="P610" s="1">
        <v>45520</v>
      </c>
      <c r="Q610" s="1"/>
      <c r="R610" t="str">
        <f>IF(Table1[[#This Row],[Actual close date]]="","",Table1[[#This Row],[Actual close date]]-Table1[[#This Row],[Expected close date]])</f>
        <v/>
      </c>
    </row>
    <row r="611" spans="1:18" x14ac:dyDescent="0.25">
      <c r="A611" t="s">
        <v>687</v>
      </c>
      <c r="B611" t="s">
        <v>54</v>
      </c>
      <c r="C611" t="s">
        <v>55</v>
      </c>
      <c r="D611" t="s">
        <v>56</v>
      </c>
      <c r="E611" t="s">
        <v>21</v>
      </c>
      <c r="F611" t="s">
        <v>22</v>
      </c>
      <c r="G611" t="s">
        <v>23</v>
      </c>
      <c r="H611" s="1">
        <v>45336</v>
      </c>
      <c r="I611" t="s">
        <v>64</v>
      </c>
      <c r="J611" t="s">
        <v>603</v>
      </c>
      <c r="K611">
        <v>1</v>
      </c>
      <c r="N611">
        <v>1139</v>
      </c>
      <c r="O611">
        <v>30</v>
      </c>
      <c r="P611" s="1">
        <v>45440</v>
      </c>
      <c r="Q611" s="1"/>
      <c r="R611" t="str">
        <f>IF(Table1[[#This Row],[Actual close date]]="","",Table1[[#This Row],[Actual close date]]-Table1[[#This Row],[Expected close date]])</f>
        <v/>
      </c>
    </row>
    <row r="612" spans="1:18" x14ac:dyDescent="0.25">
      <c r="A612" t="s">
        <v>688</v>
      </c>
      <c r="B612" t="s">
        <v>54</v>
      </c>
      <c r="C612" t="s">
        <v>55</v>
      </c>
      <c r="D612" t="s">
        <v>56</v>
      </c>
      <c r="E612" t="s">
        <v>21</v>
      </c>
      <c r="F612" t="s">
        <v>22</v>
      </c>
      <c r="G612" t="s">
        <v>57</v>
      </c>
      <c r="H612" s="1">
        <v>45398</v>
      </c>
      <c r="I612" t="s">
        <v>47</v>
      </c>
      <c r="J612" t="s">
        <v>603</v>
      </c>
      <c r="K612">
        <v>1</v>
      </c>
      <c r="N612">
        <v>427</v>
      </c>
      <c r="O612">
        <v>40</v>
      </c>
      <c r="P612" s="1">
        <v>45550</v>
      </c>
      <c r="Q612" s="1"/>
      <c r="R612" t="str">
        <f>IF(Table1[[#This Row],[Actual close date]]="","",Table1[[#This Row],[Actual close date]]-Table1[[#This Row],[Expected close date]])</f>
        <v/>
      </c>
    </row>
    <row r="613" spans="1:18" x14ac:dyDescent="0.25">
      <c r="A613" t="s">
        <v>689</v>
      </c>
      <c r="B613" t="s">
        <v>69</v>
      </c>
      <c r="C613" t="s">
        <v>70</v>
      </c>
      <c r="D613" t="s">
        <v>71</v>
      </c>
      <c r="E613" t="s">
        <v>45</v>
      </c>
      <c r="F613" t="s">
        <v>22</v>
      </c>
      <c r="G613" t="s">
        <v>37</v>
      </c>
      <c r="H613" s="1">
        <v>45400</v>
      </c>
      <c r="I613" t="s">
        <v>64</v>
      </c>
      <c r="J613" t="s">
        <v>603</v>
      </c>
      <c r="K613">
        <v>1</v>
      </c>
      <c r="N613">
        <v>857</v>
      </c>
      <c r="O613">
        <v>50</v>
      </c>
      <c r="P613" s="1">
        <v>45629</v>
      </c>
      <c r="Q613" s="1"/>
      <c r="R613" t="str">
        <f>IF(Table1[[#This Row],[Actual close date]]="","",Table1[[#This Row],[Actual close date]]-Table1[[#This Row],[Expected close date]])</f>
        <v/>
      </c>
    </row>
    <row r="614" spans="1:18" x14ac:dyDescent="0.25">
      <c r="A614" t="s">
        <v>690</v>
      </c>
      <c r="B614" t="s">
        <v>76</v>
      </c>
      <c r="C614" t="s">
        <v>77</v>
      </c>
      <c r="D614" t="s">
        <v>78</v>
      </c>
      <c r="E614" t="s">
        <v>101</v>
      </c>
      <c r="F614" t="s">
        <v>22</v>
      </c>
      <c r="G614" t="s">
        <v>46</v>
      </c>
      <c r="H614" s="1">
        <v>45368</v>
      </c>
      <c r="I614" t="s">
        <v>24</v>
      </c>
      <c r="J614" t="s">
        <v>603</v>
      </c>
      <c r="K614">
        <v>1</v>
      </c>
      <c r="N614">
        <v>1442</v>
      </c>
      <c r="O614">
        <v>10</v>
      </c>
      <c r="P614" s="1">
        <v>45698</v>
      </c>
      <c r="Q614" s="1"/>
      <c r="R614" t="str">
        <f>IF(Table1[[#This Row],[Actual close date]]="","",Table1[[#This Row],[Actual close date]]-Table1[[#This Row],[Expected close date]])</f>
        <v/>
      </c>
    </row>
    <row r="615" spans="1:18" x14ac:dyDescent="0.25">
      <c r="A615" t="s">
        <v>691</v>
      </c>
      <c r="B615" t="s">
        <v>59</v>
      </c>
      <c r="C615" t="s">
        <v>60</v>
      </c>
      <c r="D615" t="s">
        <v>61</v>
      </c>
      <c r="E615" t="s">
        <v>21</v>
      </c>
      <c r="F615" t="s">
        <v>22</v>
      </c>
      <c r="G615" t="s">
        <v>85</v>
      </c>
      <c r="H615" s="1">
        <v>45358</v>
      </c>
      <c r="I615" t="s">
        <v>64</v>
      </c>
      <c r="J615" t="s">
        <v>603</v>
      </c>
      <c r="K615">
        <v>1</v>
      </c>
      <c r="N615">
        <v>839</v>
      </c>
      <c r="O615">
        <v>60</v>
      </c>
      <c r="P615" s="1">
        <v>45583</v>
      </c>
      <c r="Q615" s="1"/>
      <c r="R615" t="str">
        <f>IF(Table1[[#This Row],[Actual close date]]="","",Table1[[#This Row],[Actual close date]]-Table1[[#This Row],[Expected close date]])</f>
        <v/>
      </c>
    </row>
    <row r="616" spans="1:18" x14ac:dyDescent="0.25">
      <c r="A616" t="s">
        <v>692</v>
      </c>
      <c r="B616" t="s">
        <v>39</v>
      </c>
      <c r="C616" t="s">
        <v>40</v>
      </c>
      <c r="D616" t="s">
        <v>41</v>
      </c>
      <c r="E616" t="s">
        <v>62</v>
      </c>
      <c r="F616" t="s">
        <v>22</v>
      </c>
      <c r="G616" t="s">
        <v>57</v>
      </c>
      <c r="H616" s="1">
        <v>45314</v>
      </c>
      <c r="I616" t="s">
        <v>47</v>
      </c>
      <c r="J616" t="s">
        <v>603</v>
      </c>
      <c r="K616">
        <v>1</v>
      </c>
      <c r="N616">
        <v>1660</v>
      </c>
      <c r="O616">
        <v>80</v>
      </c>
      <c r="P616" s="1">
        <v>45628</v>
      </c>
      <c r="Q616" s="1"/>
      <c r="R616" t="str">
        <f>IF(Table1[[#This Row],[Actual close date]]="","",Table1[[#This Row],[Actual close date]]-Table1[[#This Row],[Expected close date]])</f>
        <v/>
      </c>
    </row>
    <row r="617" spans="1:18" x14ac:dyDescent="0.25">
      <c r="A617" t="s">
        <v>693</v>
      </c>
      <c r="B617" t="s">
        <v>76</v>
      </c>
      <c r="C617" t="s">
        <v>77</v>
      </c>
      <c r="D617" t="s">
        <v>78</v>
      </c>
      <c r="E617" t="s">
        <v>21</v>
      </c>
      <c r="F617" t="s">
        <v>22</v>
      </c>
      <c r="G617" t="s">
        <v>85</v>
      </c>
      <c r="H617" s="1">
        <v>45413</v>
      </c>
      <c r="I617" t="s">
        <v>24</v>
      </c>
      <c r="J617" t="s">
        <v>603</v>
      </c>
      <c r="K617">
        <v>1</v>
      </c>
      <c r="N617">
        <v>576</v>
      </c>
      <c r="O617">
        <v>80</v>
      </c>
      <c r="P617" s="1">
        <v>45713</v>
      </c>
      <c r="Q617" s="1"/>
      <c r="R617" t="str">
        <f>IF(Table1[[#This Row],[Actual close date]]="","",Table1[[#This Row],[Actual close date]]-Table1[[#This Row],[Expected close date]])</f>
        <v/>
      </c>
    </row>
    <row r="618" spans="1:18" x14ac:dyDescent="0.25">
      <c r="A618" t="s">
        <v>694</v>
      </c>
      <c r="B618" t="s">
        <v>69</v>
      </c>
      <c r="C618" t="s">
        <v>70</v>
      </c>
      <c r="D618" t="s">
        <v>71</v>
      </c>
      <c r="E618" t="s">
        <v>82</v>
      </c>
      <c r="F618" t="s">
        <v>22</v>
      </c>
      <c r="G618" t="s">
        <v>46</v>
      </c>
      <c r="H618" s="1">
        <v>45374</v>
      </c>
      <c r="I618" t="s">
        <v>24</v>
      </c>
      <c r="J618" t="s">
        <v>603</v>
      </c>
      <c r="K618">
        <v>1</v>
      </c>
      <c r="N618">
        <v>1351</v>
      </c>
      <c r="O618">
        <v>40</v>
      </c>
      <c r="P618" s="1">
        <v>45455</v>
      </c>
      <c r="Q618" s="1"/>
      <c r="R618" t="str">
        <f>IF(Table1[[#This Row],[Actual close date]]="","",Table1[[#This Row],[Actual close date]]-Table1[[#This Row],[Expected close date]])</f>
        <v/>
      </c>
    </row>
    <row r="619" spans="1:18" x14ac:dyDescent="0.25">
      <c r="A619" t="s">
        <v>695</v>
      </c>
      <c r="B619" t="s">
        <v>49</v>
      </c>
      <c r="C619" t="s">
        <v>50</v>
      </c>
      <c r="D619" t="s">
        <v>51</v>
      </c>
      <c r="E619" t="s">
        <v>45</v>
      </c>
      <c r="F619" t="s">
        <v>22</v>
      </c>
      <c r="G619" t="s">
        <v>57</v>
      </c>
      <c r="H619" s="1">
        <v>45329</v>
      </c>
      <c r="I619" t="s">
        <v>47</v>
      </c>
      <c r="J619" t="s">
        <v>603</v>
      </c>
      <c r="K619">
        <v>1</v>
      </c>
      <c r="N619">
        <v>1579</v>
      </c>
      <c r="O619">
        <v>70</v>
      </c>
      <c r="P619" s="1">
        <v>45660</v>
      </c>
      <c r="Q619" s="1"/>
      <c r="R619" t="str">
        <f>IF(Table1[[#This Row],[Actual close date]]="","",Table1[[#This Row],[Actual close date]]-Table1[[#This Row],[Expected close date]])</f>
        <v/>
      </c>
    </row>
    <row r="620" spans="1:18" x14ac:dyDescent="0.25">
      <c r="A620" t="s">
        <v>696</v>
      </c>
      <c r="B620" t="s">
        <v>33</v>
      </c>
      <c r="C620" t="s">
        <v>34</v>
      </c>
      <c r="D620" t="s">
        <v>35</v>
      </c>
      <c r="E620" t="s">
        <v>62</v>
      </c>
      <c r="F620" t="s">
        <v>22</v>
      </c>
      <c r="G620" t="s">
        <v>83</v>
      </c>
      <c r="H620" s="1">
        <v>45419</v>
      </c>
      <c r="I620" t="s">
        <v>24</v>
      </c>
      <c r="J620" t="s">
        <v>603</v>
      </c>
      <c r="K620">
        <v>1</v>
      </c>
      <c r="N620">
        <v>731</v>
      </c>
      <c r="O620">
        <v>20</v>
      </c>
      <c r="P620" s="1">
        <v>45570</v>
      </c>
      <c r="Q620" s="1"/>
      <c r="R620" t="str">
        <f>IF(Table1[[#This Row],[Actual close date]]="","",Table1[[#This Row],[Actual close date]]-Table1[[#This Row],[Expected close date]])</f>
        <v/>
      </c>
    </row>
    <row r="621" spans="1:18" x14ac:dyDescent="0.25">
      <c r="A621" t="s">
        <v>697</v>
      </c>
      <c r="B621" t="s">
        <v>76</v>
      </c>
      <c r="C621" t="s">
        <v>77</v>
      </c>
      <c r="D621" t="s">
        <v>78</v>
      </c>
      <c r="E621" t="s">
        <v>42</v>
      </c>
      <c r="F621" t="s">
        <v>22</v>
      </c>
      <c r="G621" t="s">
        <v>23</v>
      </c>
      <c r="H621" s="1">
        <v>45430</v>
      </c>
      <c r="I621" t="s">
        <v>24</v>
      </c>
      <c r="J621" t="s">
        <v>603</v>
      </c>
      <c r="K621">
        <v>1</v>
      </c>
      <c r="N621">
        <v>931</v>
      </c>
      <c r="O621">
        <v>30</v>
      </c>
      <c r="P621" s="1">
        <v>45751</v>
      </c>
      <c r="Q621" s="1"/>
      <c r="R621" t="str">
        <f>IF(Table1[[#This Row],[Actual close date]]="","",Table1[[#This Row],[Actual close date]]-Table1[[#This Row],[Expected close date]])</f>
        <v/>
      </c>
    </row>
    <row r="622" spans="1:18" x14ac:dyDescent="0.25">
      <c r="A622" t="s">
        <v>698</v>
      </c>
      <c r="B622" t="s">
        <v>69</v>
      </c>
      <c r="C622" t="s">
        <v>70</v>
      </c>
      <c r="D622" t="s">
        <v>71</v>
      </c>
      <c r="E622" t="s">
        <v>52</v>
      </c>
      <c r="F622" t="s">
        <v>22</v>
      </c>
      <c r="G622" t="s">
        <v>46</v>
      </c>
      <c r="H622" s="1">
        <v>45314</v>
      </c>
      <c r="I622" t="s">
        <v>24</v>
      </c>
      <c r="J622" t="s">
        <v>603</v>
      </c>
      <c r="K622">
        <v>1</v>
      </c>
      <c r="N622">
        <v>1237</v>
      </c>
      <c r="O622">
        <v>30</v>
      </c>
      <c r="P622" s="1">
        <v>45490</v>
      </c>
      <c r="Q622" s="1"/>
      <c r="R622" t="str">
        <f>IF(Table1[[#This Row],[Actual close date]]="","",Table1[[#This Row],[Actual close date]]-Table1[[#This Row],[Expected close date]])</f>
        <v/>
      </c>
    </row>
    <row r="623" spans="1:18" x14ac:dyDescent="0.25">
      <c r="A623" t="s">
        <v>699</v>
      </c>
      <c r="B623" t="s">
        <v>33</v>
      </c>
      <c r="C623" t="s">
        <v>34</v>
      </c>
      <c r="D623" t="s">
        <v>35</v>
      </c>
      <c r="E623" t="s">
        <v>42</v>
      </c>
      <c r="F623" t="s">
        <v>22</v>
      </c>
      <c r="G623" t="s">
        <v>72</v>
      </c>
      <c r="H623" s="1">
        <v>45405</v>
      </c>
      <c r="I623" t="s">
        <v>24</v>
      </c>
      <c r="J623" t="s">
        <v>603</v>
      </c>
      <c r="K623">
        <v>1</v>
      </c>
      <c r="N623">
        <v>1716</v>
      </c>
      <c r="O623">
        <v>20</v>
      </c>
      <c r="P623" s="1">
        <v>45613</v>
      </c>
      <c r="Q623" s="1"/>
      <c r="R623" t="str">
        <f>IF(Table1[[#This Row],[Actual close date]]="","",Table1[[#This Row],[Actual close date]]-Table1[[#This Row],[Expected close date]])</f>
        <v/>
      </c>
    </row>
    <row r="624" spans="1:18" x14ac:dyDescent="0.25">
      <c r="A624" t="s">
        <v>700</v>
      </c>
      <c r="B624" t="s">
        <v>76</v>
      </c>
      <c r="C624" t="s">
        <v>77</v>
      </c>
      <c r="D624" t="s">
        <v>78</v>
      </c>
      <c r="E624" t="s">
        <v>52</v>
      </c>
      <c r="F624" t="s">
        <v>22</v>
      </c>
      <c r="G624" t="s">
        <v>57</v>
      </c>
      <c r="H624" s="1">
        <v>45308</v>
      </c>
      <c r="I624" t="s">
        <v>64</v>
      </c>
      <c r="J624" t="s">
        <v>603</v>
      </c>
      <c r="K624">
        <v>1</v>
      </c>
      <c r="N624">
        <v>1382</v>
      </c>
      <c r="O624">
        <v>30</v>
      </c>
      <c r="P624" s="1">
        <v>45622</v>
      </c>
      <c r="Q624" s="1"/>
      <c r="R624" t="str">
        <f>IF(Table1[[#This Row],[Actual close date]]="","",Table1[[#This Row],[Actual close date]]-Table1[[#This Row],[Expected close date]])</f>
        <v/>
      </c>
    </row>
    <row r="625" spans="1:18" x14ac:dyDescent="0.25">
      <c r="A625" t="s">
        <v>701</v>
      </c>
      <c r="B625" t="s">
        <v>76</v>
      </c>
      <c r="C625" t="s">
        <v>77</v>
      </c>
      <c r="D625" t="s">
        <v>78</v>
      </c>
      <c r="E625" t="s">
        <v>66</v>
      </c>
      <c r="F625" t="s">
        <v>22</v>
      </c>
      <c r="G625" t="s">
        <v>57</v>
      </c>
      <c r="H625" s="1">
        <v>45421</v>
      </c>
      <c r="I625" t="s">
        <v>64</v>
      </c>
      <c r="J625" t="s">
        <v>603</v>
      </c>
      <c r="K625">
        <v>1</v>
      </c>
      <c r="N625">
        <v>1194</v>
      </c>
      <c r="O625">
        <v>100</v>
      </c>
      <c r="P625" s="1">
        <v>45628</v>
      </c>
      <c r="Q625" s="1"/>
      <c r="R625" t="str">
        <f>IF(Table1[[#This Row],[Actual close date]]="","",Table1[[#This Row],[Actual close date]]-Table1[[#This Row],[Expected close date]])</f>
        <v/>
      </c>
    </row>
    <row r="626" spans="1:18" x14ac:dyDescent="0.25">
      <c r="A626" t="s">
        <v>702</v>
      </c>
      <c r="B626" t="s">
        <v>49</v>
      </c>
      <c r="C626" t="s">
        <v>50</v>
      </c>
      <c r="D626" t="s">
        <v>51</v>
      </c>
      <c r="E626" t="s">
        <v>21</v>
      </c>
      <c r="F626" t="s">
        <v>22</v>
      </c>
      <c r="G626" t="s">
        <v>72</v>
      </c>
      <c r="H626" s="1">
        <v>45301</v>
      </c>
      <c r="I626" t="s">
        <v>64</v>
      </c>
      <c r="J626" t="s">
        <v>603</v>
      </c>
      <c r="K626">
        <v>1</v>
      </c>
      <c r="N626">
        <v>1073</v>
      </c>
      <c r="O626">
        <v>20</v>
      </c>
      <c r="P626" s="1">
        <v>45388</v>
      </c>
      <c r="Q626" s="1"/>
      <c r="R626" t="str">
        <f>IF(Table1[[#This Row],[Actual close date]]="","",Table1[[#This Row],[Actual close date]]-Table1[[#This Row],[Expected close date]])</f>
        <v/>
      </c>
    </row>
    <row r="627" spans="1:18" x14ac:dyDescent="0.25">
      <c r="A627" t="s">
        <v>703</v>
      </c>
      <c r="B627" t="s">
        <v>27</v>
      </c>
      <c r="C627" t="s">
        <v>28</v>
      </c>
      <c r="D627" t="s">
        <v>29</v>
      </c>
      <c r="E627" t="s">
        <v>42</v>
      </c>
      <c r="F627" t="s">
        <v>22</v>
      </c>
      <c r="G627" t="s">
        <v>37</v>
      </c>
      <c r="H627" s="1">
        <v>45423</v>
      </c>
      <c r="I627" t="s">
        <v>64</v>
      </c>
      <c r="J627" t="s">
        <v>603</v>
      </c>
      <c r="K627">
        <v>1</v>
      </c>
      <c r="N627">
        <v>1102</v>
      </c>
      <c r="O627">
        <v>20</v>
      </c>
      <c r="P627" s="1">
        <v>45480</v>
      </c>
      <c r="Q627" s="1"/>
      <c r="R627" t="str">
        <f>IF(Table1[[#This Row],[Actual close date]]="","",Table1[[#This Row],[Actual close date]]-Table1[[#This Row],[Expected close date]])</f>
        <v/>
      </c>
    </row>
    <row r="628" spans="1:18" x14ac:dyDescent="0.25">
      <c r="A628" t="s">
        <v>704</v>
      </c>
      <c r="B628" t="s">
        <v>33</v>
      </c>
      <c r="C628" t="s">
        <v>34</v>
      </c>
      <c r="D628" t="s">
        <v>35</v>
      </c>
      <c r="E628" t="s">
        <v>52</v>
      </c>
      <c r="F628" t="s">
        <v>22</v>
      </c>
      <c r="G628" t="s">
        <v>57</v>
      </c>
      <c r="H628" s="1">
        <v>45343</v>
      </c>
      <c r="I628" t="s">
        <v>64</v>
      </c>
      <c r="J628" t="s">
        <v>603</v>
      </c>
      <c r="K628">
        <v>1</v>
      </c>
      <c r="N628">
        <v>1252</v>
      </c>
      <c r="O628">
        <v>50</v>
      </c>
      <c r="P628" s="1">
        <v>45604</v>
      </c>
      <c r="Q628" s="1"/>
      <c r="R628" t="str">
        <f>IF(Table1[[#This Row],[Actual close date]]="","",Table1[[#This Row],[Actual close date]]-Table1[[#This Row],[Expected close date]])</f>
        <v/>
      </c>
    </row>
    <row r="629" spans="1:18" x14ac:dyDescent="0.25">
      <c r="A629" t="s">
        <v>705</v>
      </c>
      <c r="B629" t="s">
        <v>49</v>
      </c>
      <c r="C629" t="s">
        <v>50</v>
      </c>
      <c r="D629" t="s">
        <v>51</v>
      </c>
      <c r="E629" t="s">
        <v>62</v>
      </c>
      <c r="F629" t="s">
        <v>22</v>
      </c>
      <c r="G629" t="s">
        <v>37</v>
      </c>
      <c r="H629" s="1">
        <v>45321</v>
      </c>
      <c r="I629" t="s">
        <v>24</v>
      </c>
      <c r="J629" t="s">
        <v>603</v>
      </c>
      <c r="K629">
        <v>1</v>
      </c>
      <c r="N629">
        <v>786</v>
      </c>
      <c r="O629">
        <v>70</v>
      </c>
      <c r="P629" s="1">
        <v>45623</v>
      </c>
      <c r="Q629" s="1"/>
      <c r="R629" t="str">
        <f>IF(Table1[[#This Row],[Actual close date]]="","",Table1[[#This Row],[Actual close date]]-Table1[[#This Row],[Expected close date]])</f>
        <v/>
      </c>
    </row>
    <row r="630" spans="1:18" x14ac:dyDescent="0.25">
      <c r="A630" t="s">
        <v>706</v>
      </c>
      <c r="B630" t="s">
        <v>49</v>
      </c>
      <c r="C630" t="s">
        <v>50</v>
      </c>
      <c r="D630" t="s">
        <v>51</v>
      </c>
      <c r="E630" t="s">
        <v>74</v>
      </c>
      <c r="F630" t="s">
        <v>22</v>
      </c>
      <c r="G630" t="s">
        <v>83</v>
      </c>
      <c r="H630" s="1">
        <v>45371</v>
      </c>
      <c r="I630" t="s">
        <v>64</v>
      </c>
      <c r="J630" t="s">
        <v>603</v>
      </c>
      <c r="K630">
        <v>1</v>
      </c>
      <c r="N630">
        <v>1292</v>
      </c>
      <c r="O630">
        <v>80</v>
      </c>
      <c r="P630" s="1">
        <v>45702</v>
      </c>
      <c r="Q630" s="1"/>
      <c r="R630" t="str">
        <f>IF(Table1[[#This Row],[Actual close date]]="","",Table1[[#This Row],[Actual close date]]-Table1[[#This Row],[Expected close date]])</f>
        <v/>
      </c>
    </row>
    <row r="631" spans="1:18" x14ac:dyDescent="0.25">
      <c r="A631" t="s">
        <v>707</v>
      </c>
      <c r="B631" t="s">
        <v>33</v>
      </c>
      <c r="C631" t="s">
        <v>34</v>
      </c>
      <c r="D631" t="s">
        <v>35</v>
      </c>
      <c r="E631" t="s">
        <v>21</v>
      </c>
      <c r="F631" t="s">
        <v>22</v>
      </c>
      <c r="G631" t="s">
        <v>46</v>
      </c>
      <c r="H631" s="1">
        <v>45300</v>
      </c>
      <c r="I631" t="s">
        <v>64</v>
      </c>
      <c r="J631" t="s">
        <v>603</v>
      </c>
      <c r="K631">
        <v>1</v>
      </c>
      <c r="N631">
        <v>317</v>
      </c>
      <c r="O631">
        <v>60</v>
      </c>
      <c r="P631" s="1">
        <v>45486</v>
      </c>
      <c r="Q631" s="1"/>
      <c r="R631" t="str">
        <f>IF(Table1[[#This Row],[Actual close date]]="","",Table1[[#This Row],[Actual close date]]-Table1[[#This Row],[Expected close date]])</f>
        <v/>
      </c>
    </row>
    <row r="632" spans="1:18" x14ac:dyDescent="0.25">
      <c r="A632" t="s">
        <v>708</v>
      </c>
      <c r="B632" t="s">
        <v>54</v>
      </c>
      <c r="C632" t="s">
        <v>55</v>
      </c>
      <c r="D632" t="s">
        <v>56</v>
      </c>
      <c r="E632" t="s">
        <v>45</v>
      </c>
      <c r="F632" t="s">
        <v>22</v>
      </c>
      <c r="G632" t="s">
        <v>46</v>
      </c>
      <c r="H632" s="1">
        <v>45343</v>
      </c>
      <c r="I632" t="s">
        <v>24</v>
      </c>
      <c r="J632" t="s">
        <v>603</v>
      </c>
      <c r="K632">
        <v>1</v>
      </c>
      <c r="N632">
        <v>958</v>
      </c>
      <c r="O632">
        <v>30</v>
      </c>
      <c r="P632" s="1">
        <v>45539</v>
      </c>
      <c r="Q632" s="1"/>
      <c r="R632" t="str">
        <f>IF(Table1[[#This Row],[Actual close date]]="","",Table1[[#This Row],[Actual close date]]-Table1[[#This Row],[Expected close date]])</f>
        <v/>
      </c>
    </row>
    <row r="633" spans="1:18" x14ac:dyDescent="0.25">
      <c r="A633" t="s">
        <v>709</v>
      </c>
      <c r="B633" t="s">
        <v>33</v>
      </c>
      <c r="C633" t="s">
        <v>34</v>
      </c>
      <c r="D633" t="s">
        <v>35</v>
      </c>
      <c r="E633" t="s">
        <v>21</v>
      </c>
      <c r="F633" t="s">
        <v>22</v>
      </c>
      <c r="G633" t="s">
        <v>83</v>
      </c>
      <c r="H633" s="1">
        <v>45435</v>
      </c>
      <c r="I633" t="s">
        <v>64</v>
      </c>
      <c r="J633" t="s">
        <v>603</v>
      </c>
      <c r="K633">
        <v>1</v>
      </c>
      <c r="N633">
        <v>1364</v>
      </c>
      <c r="O633">
        <v>50</v>
      </c>
      <c r="P633" s="1">
        <v>45541</v>
      </c>
      <c r="Q633" s="1"/>
      <c r="R633" t="str">
        <f>IF(Table1[[#This Row],[Actual close date]]="","",Table1[[#This Row],[Actual close date]]-Table1[[#This Row],[Expected close date]])</f>
        <v/>
      </c>
    </row>
    <row r="634" spans="1:18" x14ac:dyDescent="0.25">
      <c r="A634" t="s">
        <v>710</v>
      </c>
      <c r="B634" t="s">
        <v>54</v>
      </c>
      <c r="C634" t="s">
        <v>55</v>
      </c>
      <c r="D634" t="s">
        <v>56</v>
      </c>
      <c r="E634" t="s">
        <v>45</v>
      </c>
      <c r="F634" t="s">
        <v>22</v>
      </c>
      <c r="G634" t="s">
        <v>57</v>
      </c>
      <c r="H634" s="1">
        <v>45385</v>
      </c>
      <c r="I634" t="s">
        <v>64</v>
      </c>
      <c r="J634" t="s">
        <v>603</v>
      </c>
      <c r="K634">
        <v>1</v>
      </c>
      <c r="N634">
        <v>1348</v>
      </c>
      <c r="O634">
        <v>20</v>
      </c>
      <c r="P634" s="1">
        <v>45426</v>
      </c>
      <c r="Q634" s="1"/>
      <c r="R634" t="str">
        <f>IF(Table1[[#This Row],[Actual close date]]="","",Table1[[#This Row],[Actual close date]]-Table1[[#This Row],[Expected close date]])</f>
        <v/>
      </c>
    </row>
    <row r="635" spans="1:18" x14ac:dyDescent="0.25">
      <c r="A635" t="s">
        <v>711</v>
      </c>
      <c r="B635" t="s">
        <v>54</v>
      </c>
      <c r="C635" t="s">
        <v>55</v>
      </c>
      <c r="D635" t="s">
        <v>56</v>
      </c>
      <c r="E635" t="s">
        <v>21</v>
      </c>
      <c r="F635" t="s">
        <v>22</v>
      </c>
      <c r="G635" t="s">
        <v>57</v>
      </c>
      <c r="H635" s="1">
        <v>45332</v>
      </c>
      <c r="I635" t="s">
        <v>47</v>
      </c>
      <c r="J635" t="s">
        <v>603</v>
      </c>
      <c r="K635">
        <v>1</v>
      </c>
      <c r="N635">
        <v>1811</v>
      </c>
      <c r="O635">
        <v>10</v>
      </c>
      <c r="P635" s="1">
        <v>45605</v>
      </c>
      <c r="Q635" s="1"/>
      <c r="R635" t="str">
        <f>IF(Table1[[#This Row],[Actual close date]]="","",Table1[[#This Row],[Actual close date]]-Table1[[#This Row],[Expected close date]])</f>
        <v/>
      </c>
    </row>
    <row r="636" spans="1:18" x14ac:dyDescent="0.25">
      <c r="A636" t="s">
        <v>712</v>
      </c>
      <c r="B636" t="s">
        <v>39</v>
      </c>
      <c r="C636" t="s">
        <v>40</v>
      </c>
      <c r="D636" t="s">
        <v>41</v>
      </c>
      <c r="E636" t="s">
        <v>52</v>
      </c>
      <c r="F636" t="s">
        <v>22</v>
      </c>
      <c r="G636" t="s">
        <v>83</v>
      </c>
      <c r="H636" s="1">
        <v>45341</v>
      </c>
      <c r="I636" t="s">
        <v>24</v>
      </c>
      <c r="J636" t="s">
        <v>603</v>
      </c>
      <c r="K636">
        <v>1</v>
      </c>
      <c r="N636">
        <v>1607</v>
      </c>
      <c r="O636">
        <v>10</v>
      </c>
      <c r="P636" s="1">
        <v>45669</v>
      </c>
      <c r="Q636" s="1"/>
      <c r="R636" t="str">
        <f>IF(Table1[[#This Row],[Actual close date]]="","",Table1[[#This Row],[Actual close date]]-Table1[[#This Row],[Expected close date]])</f>
        <v/>
      </c>
    </row>
    <row r="637" spans="1:18" x14ac:dyDescent="0.25">
      <c r="A637" t="s">
        <v>713</v>
      </c>
      <c r="B637" t="s">
        <v>33</v>
      </c>
      <c r="C637" t="s">
        <v>34</v>
      </c>
      <c r="D637" t="s">
        <v>35</v>
      </c>
      <c r="E637" t="s">
        <v>45</v>
      </c>
      <c r="F637" t="s">
        <v>22</v>
      </c>
      <c r="G637" t="s">
        <v>46</v>
      </c>
      <c r="H637" s="1">
        <v>45387</v>
      </c>
      <c r="I637" t="s">
        <v>64</v>
      </c>
      <c r="J637" t="s">
        <v>603</v>
      </c>
      <c r="K637">
        <v>1</v>
      </c>
      <c r="N637">
        <v>1139</v>
      </c>
      <c r="O637">
        <v>30</v>
      </c>
      <c r="P637" s="1">
        <v>45498</v>
      </c>
      <c r="Q637" s="1"/>
      <c r="R637" t="str">
        <f>IF(Table1[[#This Row],[Actual close date]]="","",Table1[[#This Row],[Actual close date]]-Table1[[#This Row],[Expected close date]])</f>
        <v/>
      </c>
    </row>
    <row r="638" spans="1:18" x14ac:dyDescent="0.25">
      <c r="A638" t="s">
        <v>714</v>
      </c>
      <c r="B638" t="s">
        <v>33</v>
      </c>
      <c r="C638" t="s">
        <v>34</v>
      </c>
      <c r="D638" t="s">
        <v>35</v>
      </c>
      <c r="E638" t="s">
        <v>52</v>
      </c>
      <c r="F638" t="s">
        <v>22</v>
      </c>
      <c r="G638" t="s">
        <v>37</v>
      </c>
      <c r="H638" s="1">
        <v>45317</v>
      </c>
      <c r="I638" t="s">
        <v>64</v>
      </c>
      <c r="J638" t="s">
        <v>603</v>
      </c>
      <c r="K638">
        <v>1</v>
      </c>
      <c r="N638">
        <v>487</v>
      </c>
      <c r="O638">
        <v>50</v>
      </c>
      <c r="P638" s="1">
        <v>45548</v>
      </c>
      <c r="Q638" s="1"/>
      <c r="R638" t="str">
        <f>IF(Table1[[#This Row],[Actual close date]]="","",Table1[[#This Row],[Actual close date]]-Table1[[#This Row],[Expected close date]])</f>
        <v/>
      </c>
    </row>
    <row r="639" spans="1:18" x14ac:dyDescent="0.25">
      <c r="A639" t="s">
        <v>715</v>
      </c>
      <c r="B639" t="s">
        <v>33</v>
      </c>
      <c r="C639" t="s">
        <v>34</v>
      </c>
      <c r="D639" t="s">
        <v>35</v>
      </c>
      <c r="E639" t="s">
        <v>118</v>
      </c>
      <c r="F639" t="s">
        <v>22</v>
      </c>
      <c r="G639" t="s">
        <v>83</v>
      </c>
      <c r="H639" s="1">
        <v>45399</v>
      </c>
      <c r="I639" t="s">
        <v>64</v>
      </c>
      <c r="J639" t="s">
        <v>603</v>
      </c>
      <c r="K639">
        <v>1</v>
      </c>
      <c r="N639">
        <v>495</v>
      </c>
      <c r="O639">
        <v>60</v>
      </c>
      <c r="P639" s="1">
        <v>45440</v>
      </c>
      <c r="Q639" s="1"/>
      <c r="R639" t="str">
        <f>IF(Table1[[#This Row],[Actual close date]]="","",Table1[[#This Row],[Actual close date]]-Table1[[#This Row],[Expected close date]])</f>
        <v/>
      </c>
    </row>
    <row r="640" spans="1:18" x14ac:dyDescent="0.25">
      <c r="A640" t="s">
        <v>716</v>
      </c>
      <c r="B640" t="s">
        <v>76</v>
      </c>
      <c r="C640" t="s">
        <v>77</v>
      </c>
      <c r="D640" t="s">
        <v>78</v>
      </c>
      <c r="E640" t="s">
        <v>52</v>
      </c>
      <c r="F640" t="s">
        <v>22</v>
      </c>
      <c r="G640" t="s">
        <v>46</v>
      </c>
      <c r="H640" s="1">
        <v>45330</v>
      </c>
      <c r="I640" t="s">
        <v>64</v>
      </c>
      <c r="J640" t="s">
        <v>603</v>
      </c>
      <c r="K640">
        <v>1</v>
      </c>
      <c r="N640">
        <v>344</v>
      </c>
      <c r="O640">
        <v>40</v>
      </c>
      <c r="P640" s="1">
        <v>45383</v>
      </c>
      <c r="Q640" s="1"/>
      <c r="R640" t="str">
        <f>IF(Table1[[#This Row],[Actual close date]]="","",Table1[[#This Row],[Actual close date]]-Table1[[#This Row],[Expected close date]])</f>
        <v/>
      </c>
    </row>
    <row r="641" spans="1:18" x14ac:dyDescent="0.25">
      <c r="A641" t="s">
        <v>717</v>
      </c>
      <c r="B641" t="s">
        <v>59</v>
      </c>
      <c r="C641" t="s">
        <v>60</v>
      </c>
      <c r="D641" t="s">
        <v>61</v>
      </c>
      <c r="E641" t="s">
        <v>36</v>
      </c>
      <c r="F641" t="s">
        <v>22</v>
      </c>
      <c r="G641" t="s">
        <v>46</v>
      </c>
      <c r="H641" s="1">
        <v>45393</v>
      </c>
      <c r="I641" t="s">
        <v>24</v>
      </c>
      <c r="J641" t="s">
        <v>603</v>
      </c>
      <c r="K641">
        <v>1</v>
      </c>
      <c r="N641">
        <v>443</v>
      </c>
      <c r="O641">
        <v>30</v>
      </c>
      <c r="P641" s="1">
        <v>45511</v>
      </c>
      <c r="Q641" s="1"/>
      <c r="R641" t="str">
        <f>IF(Table1[[#This Row],[Actual close date]]="","",Table1[[#This Row],[Actual close date]]-Table1[[#This Row],[Expected close date]])</f>
        <v/>
      </c>
    </row>
    <row r="642" spans="1:18" x14ac:dyDescent="0.25">
      <c r="A642" t="s">
        <v>718</v>
      </c>
      <c r="B642" t="s">
        <v>27</v>
      </c>
      <c r="C642" t="s">
        <v>28</v>
      </c>
      <c r="D642" t="s">
        <v>29</v>
      </c>
      <c r="E642" t="s">
        <v>36</v>
      </c>
      <c r="F642" t="s">
        <v>22</v>
      </c>
      <c r="G642" t="s">
        <v>31</v>
      </c>
      <c r="H642" s="1">
        <v>45362</v>
      </c>
      <c r="I642" t="s">
        <v>24</v>
      </c>
      <c r="J642" t="s">
        <v>603</v>
      </c>
      <c r="K642">
        <v>1</v>
      </c>
      <c r="N642">
        <v>718</v>
      </c>
      <c r="O642">
        <v>40</v>
      </c>
      <c r="P642" s="1">
        <v>45691</v>
      </c>
      <c r="Q642" s="1"/>
      <c r="R642" t="str">
        <f>IF(Table1[[#This Row],[Actual close date]]="","",Table1[[#This Row],[Actual close date]]-Table1[[#This Row],[Expected close date]])</f>
        <v/>
      </c>
    </row>
    <row r="643" spans="1:18" x14ac:dyDescent="0.25">
      <c r="A643" t="s">
        <v>719</v>
      </c>
      <c r="B643" t="s">
        <v>69</v>
      </c>
      <c r="C643" t="s">
        <v>70</v>
      </c>
      <c r="D643" t="s">
        <v>71</v>
      </c>
      <c r="E643" t="s">
        <v>52</v>
      </c>
      <c r="F643" t="s">
        <v>22</v>
      </c>
      <c r="G643" t="s">
        <v>57</v>
      </c>
      <c r="H643" s="1">
        <v>45442</v>
      </c>
      <c r="I643" t="s">
        <v>47</v>
      </c>
      <c r="J643" t="s">
        <v>603</v>
      </c>
      <c r="K643">
        <v>1</v>
      </c>
      <c r="N643">
        <v>1917</v>
      </c>
      <c r="O643">
        <v>90</v>
      </c>
      <c r="P643" s="1">
        <v>45590</v>
      </c>
      <c r="Q643" s="1"/>
      <c r="R643" t="str">
        <f>IF(Table1[[#This Row],[Actual close date]]="","",Table1[[#This Row],[Actual close date]]-Table1[[#This Row],[Expected close date]])</f>
        <v/>
      </c>
    </row>
    <row r="644" spans="1:18" x14ac:dyDescent="0.25">
      <c r="A644" t="s">
        <v>720</v>
      </c>
      <c r="B644" t="s">
        <v>39</v>
      </c>
      <c r="C644" t="s">
        <v>40</v>
      </c>
      <c r="D644" t="s">
        <v>41</v>
      </c>
      <c r="E644" t="s">
        <v>42</v>
      </c>
      <c r="F644" t="s">
        <v>22</v>
      </c>
      <c r="G644" t="s">
        <v>31</v>
      </c>
      <c r="H644" s="1">
        <v>45314</v>
      </c>
      <c r="I644" t="s">
        <v>47</v>
      </c>
      <c r="J644" t="s">
        <v>603</v>
      </c>
      <c r="K644">
        <v>1</v>
      </c>
      <c r="N644">
        <v>1729</v>
      </c>
      <c r="O644">
        <v>50</v>
      </c>
      <c r="P644" s="1">
        <v>45471</v>
      </c>
      <c r="Q644" s="1"/>
      <c r="R644" t="str">
        <f>IF(Table1[[#This Row],[Actual close date]]="","",Table1[[#This Row],[Actual close date]]-Table1[[#This Row],[Expected close date]])</f>
        <v/>
      </c>
    </row>
    <row r="645" spans="1:18" x14ac:dyDescent="0.25">
      <c r="A645" t="s">
        <v>721</v>
      </c>
      <c r="B645" t="s">
        <v>33</v>
      </c>
      <c r="C645" t="s">
        <v>34</v>
      </c>
      <c r="D645" t="s">
        <v>35</v>
      </c>
      <c r="E645" t="s">
        <v>98</v>
      </c>
      <c r="F645" t="s">
        <v>22</v>
      </c>
      <c r="G645" t="s">
        <v>57</v>
      </c>
      <c r="H645" s="1">
        <v>45416</v>
      </c>
      <c r="I645" t="s">
        <v>47</v>
      </c>
      <c r="J645" t="s">
        <v>603</v>
      </c>
      <c r="K645">
        <v>1</v>
      </c>
      <c r="N645">
        <v>1345</v>
      </c>
      <c r="O645">
        <v>10</v>
      </c>
      <c r="P645" s="1">
        <v>45519</v>
      </c>
      <c r="Q645" s="1"/>
      <c r="R645" t="str">
        <f>IF(Table1[[#This Row],[Actual close date]]="","",Table1[[#This Row],[Actual close date]]-Table1[[#This Row],[Expected close date]])</f>
        <v/>
      </c>
    </row>
    <row r="646" spans="1:18" x14ac:dyDescent="0.25">
      <c r="A646" t="s">
        <v>722</v>
      </c>
      <c r="B646" t="s">
        <v>76</v>
      </c>
      <c r="C646" t="s">
        <v>77</v>
      </c>
      <c r="D646" t="s">
        <v>78</v>
      </c>
      <c r="E646" t="s">
        <v>45</v>
      </c>
      <c r="F646" t="s">
        <v>22</v>
      </c>
      <c r="G646" t="s">
        <v>37</v>
      </c>
      <c r="H646" s="1">
        <v>45403</v>
      </c>
      <c r="I646" t="s">
        <v>64</v>
      </c>
      <c r="J646" t="s">
        <v>603</v>
      </c>
      <c r="K646">
        <v>1</v>
      </c>
      <c r="N646">
        <v>1626</v>
      </c>
      <c r="O646">
        <v>60</v>
      </c>
      <c r="P646" s="1">
        <v>45766</v>
      </c>
      <c r="Q646" s="1"/>
      <c r="R646" t="str">
        <f>IF(Table1[[#This Row],[Actual close date]]="","",Table1[[#This Row],[Actual close date]]-Table1[[#This Row],[Expected close date]])</f>
        <v/>
      </c>
    </row>
    <row r="647" spans="1:18" x14ac:dyDescent="0.25">
      <c r="A647" t="s">
        <v>723</v>
      </c>
      <c r="B647" t="s">
        <v>33</v>
      </c>
      <c r="C647" t="s">
        <v>34</v>
      </c>
      <c r="D647" t="s">
        <v>35</v>
      </c>
      <c r="E647" t="s">
        <v>101</v>
      </c>
      <c r="F647" t="s">
        <v>22</v>
      </c>
      <c r="G647" t="s">
        <v>37</v>
      </c>
      <c r="H647" s="1">
        <v>45434</v>
      </c>
      <c r="I647" t="s">
        <v>24</v>
      </c>
      <c r="J647" t="s">
        <v>603</v>
      </c>
      <c r="K647">
        <v>1</v>
      </c>
      <c r="N647">
        <v>1592</v>
      </c>
      <c r="O647">
        <v>50</v>
      </c>
      <c r="P647" s="1">
        <v>45496</v>
      </c>
      <c r="Q647" s="1"/>
      <c r="R647" t="str">
        <f>IF(Table1[[#This Row],[Actual close date]]="","",Table1[[#This Row],[Actual close date]]-Table1[[#This Row],[Expected close date]])</f>
        <v/>
      </c>
    </row>
    <row r="648" spans="1:18" x14ac:dyDescent="0.25">
      <c r="A648" t="s">
        <v>724</v>
      </c>
      <c r="B648" t="s">
        <v>49</v>
      </c>
      <c r="C648" t="s">
        <v>50</v>
      </c>
      <c r="D648" t="s">
        <v>51</v>
      </c>
      <c r="E648" t="s">
        <v>30</v>
      </c>
      <c r="F648" t="s">
        <v>22</v>
      </c>
      <c r="G648" t="s">
        <v>57</v>
      </c>
      <c r="H648" s="1">
        <v>45329</v>
      </c>
      <c r="I648" t="s">
        <v>47</v>
      </c>
      <c r="J648" t="s">
        <v>603</v>
      </c>
      <c r="K648">
        <v>1</v>
      </c>
      <c r="N648">
        <v>819</v>
      </c>
      <c r="O648">
        <v>30</v>
      </c>
      <c r="P648" s="1">
        <v>45350</v>
      </c>
      <c r="Q648" s="1"/>
      <c r="R648" t="str">
        <f>IF(Table1[[#This Row],[Actual close date]]="","",Table1[[#This Row],[Actual close date]]-Table1[[#This Row],[Expected close date]])</f>
        <v/>
      </c>
    </row>
    <row r="649" spans="1:18" x14ac:dyDescent="0.25">
      <c r="A649" t="s">
        <v>725</v>
      </c>
      <c r="B649" t="s">
        <v>33</v>
      </c>
      <c r="C649" t="s">
        <v>34</v>
      </c>
      <c r="D649" t="s">
        <v>35</v>
      </c>
      <c r="E649" t="s">
        <v>122</v>
      </c>
      <c r="F649" t="s">
        <v>22</v>
      </c>
      <c r="G649" t="s">
        <v>46</v>
      </c>
      <c r="H649" s="1">
        <v>45350</v>
      </c>
      <c r="I649" t="s">
        <v>24</v>
      </c>
      <c r="J649" t="s">
        <v>603</v>
      </c>
      <c r="K649">
        <v>1</v>
      </c>
      <c r="N649">
        <v>766</v>
      </c>
      <c r="O649">
        <v>50</v>
      </c>
      <c r="P649" s="1">
        <v>45703</v>
      </c>
      <c r="Q649" s="1"/>
      <c r="R649" t="str">
        <f>IF(Table1[[#This Row],[Actual close date]]="","",Table1[[#This Row],[Actual close date]]-Table1[[#This Row],[Expected close date]])</f>
        <v/>
      </c>
    </row>
    <row r="650" spans="1:18" x14ac:dyDescent="0.25">
      <c r="A650" t="s">
        <v>726</v>
      </c>
      <c r="B650" t="s">
        <v>33</v>
      </c>
      <c r="C650" t="s">
        <v>34</v>
      </c>
      <c r="D650" t="s">
        <v>35</v>
      </c>
      <c r="E650" t="s">
        <v>21</v>
      </c>
      <c r="F650" t="s">
        <v>22</v>
      </c>
      <c r="G650" t="s">
        <v>57</v>
      </c>
      <c r="H650" s="1">
        <v>45300</v>
      </c>
      <c r="I650" t="s">
        <v>64</v>
      </c>
      <c r="J650" t="s">
        <v>603</v>
      </c>
      <c r="K650">
        <v>1</v>
      </c>
      <c r="N650">
        <v>834</v>
      </c>
      <c r="O650">
        <v>40</v>
      </c>
      <c r="P650" s="1">
        <v>45656</v>
      </c>
      <c r="Q650" s="1"/>
      <c r="R650" t="str">
        <f>IF(Table1[[#This Row],[Actual close date]]="","",Table1[[#This Row],[Actual close date]]-Table1[[#This Row],[Expected close date]])</f>
        <v/>
      </c>
    </row>
    <row r="651" spans="1:18" x14ac:dyDescent="0.25">
      <c r="A651" t="s">
        <v>727</v>
      </c>
      <c r="B651" t="s">
        <v>33</v>
      </c>
      <c r="C651" t="s">
        <v>34</v>
      </c>
      <c r="D651" t="s">
        <v>35</v>
      </c>
      <c r="E651" t="s">
        <v>45</v>
      </c>
      <c r="F651" t="s">
        <v>22</v>
      </c>
      <c r="G651" t="s">
        <v>83</v>
      </c>
      <c r="H651" s="1">
        <v>45380</v>
      </c>
      <c r="I651" t="s">
        <v>24</v>
      </c>
      <c r="J651" t="s">
        <v>603</v>
      </c>
      <c r="K651">
        <v>1</v>
      </c>
      <c r="N651">
        <v>1662</v>
      </c>
      <c r="O651">
        <v>30</v>
      </c>
      <c r="P651" s="1">
        <v>45739</v>
      </c>
      <c r="Q651" s="1"/>
      <c r="R651" t="str">
        <f>IF(Table1[[#This Row],[Actual close date]]="","",Table1[[#This Row],[Actual close date]]-Table1[[#This Row],[Expected close date]])</f>
        <v/>
      </c>
    </row>
    <row r="652" spans="1:18" x14ac:dyDescent="0.25">
      <c r="A652" t="s">
        <v>728</v>
      </c>
      <c r="B652" t="s">
        <v>39</v>
      </c>
      <c r="C652" t="s">
        <v>40</v>
      </c>
      <c r="D652" t="s">
        <v>41</v>
      </c>
      <c r="E652" t="s">
        <v>82</v>
      </c>
      <c r="F652" t="s">
        <v>22</v>
      </c>
      <c r="G652" t="s">
        <v>37</v>
      </c>
      <c r="H652" s="1">
        <v>45304</v>
      </c>
      <c r="I652" t="s">
        <v>24</v>
      </c>
      <c r="J652" t="s">
        <v>603</v>
      </c>
      <c r="K652">
        <v>1</v>
      </c>
      <c r="N652">
        <v>1819</v>
      </c>
      <c r="O652">
        <v>60</v>
      </c>
      <c r="P652" s="1">
        <v>45532</v>
      </c>
      <c r="Q652" s="1"/>
      <c r="R652" t="str">
        <f>IF(Table1[[#This Row],[Actual close date]]="","",Table1[[#This Row],[Actual close date]]-Table1[[#This Row],[Expected close date]])</f>
        <v/>
      </c>
    </row>
    <row r="653" spans="1:18" x14ac:dyDescent="0.25">
      <c r="A653" t="s">
        <v>729</v>
      </c>
      <c r="B653" t="s">
        <v>69</v>
      </c>
      <c r="C653" t="s">
        <v>70</v>
      </c>
      <c r="D653" t="s">
        <v>71</v>
      </c>
      <c r="E653" t="s">
        <v>66</v>
      </c>
      <c r="F653" t="s">
        <v>22</v>
      </c>
      <c r="G653" t="s">
        <v>57</v>
      </c>
      <c r="H653" s="1">
        <v>45433</v>
      </c>
      <c r="I653" t="s">
        <v>64</v>
      </c>
      <c r="J653" t="s">
        <v>603</v>
      </c>
      <c r="K653">
        <v>1</v>
      </c>
      <c r="N653">
        <v>1142</v>
      </c>
      <c r="O653">
        <v>20</v>
      </c>
      <c r="P653" s="1">
        <v>45469</v>
      </c>
      <c r="Q653" s="1"/>
      <c r="R653" t="str">
        <f>IF(Table1[[#This Row],[Actual close date]]="","",Table1[[#This Row],[Actual close date]]-Table1[[#This Row],[Expected close date]])</f>
        <v/>
      </c>
    </row>
    <row r="654" spans="1:18" x14ac:dyDescent="0.25">
      <c r="A654" t="s">
        <v>730</v>
      </c>
      <c r="B654" t="s">
        <v>69</v>
      </c>
      <c r="C654" t="s">
        <v>70</v>
      </c>
      <c r="D654" t="s">
        <v>71</v>
      </c>
      <c r="E654" t="s">
        <v>122</v>
      </c>
      <c r="F654" t="s">
        <v>22</v>
      </c>
      <c r="G654" t="s">
        <v>46</v>
      </c>
      <c r="H654" s="1">
        <v>45343</v>
      </c>
      <c r="I654" t="s">
        <v>47</v>
      </c>
      <c r="J654" t="s">
        <v>603</v>
      </c>
      <c r="K654">
        <v>1</v>
      </c>
      <c r="N654">
        <v>1340</v>
      </c>
      <c r="O654">
        <v>30</v>
      </c>
      <c r="P654" s="1">
        <v>45520</v>
      </c>
      <c r="Q654" s="1"/>
      <c r="R654" t="str">
        <f>IF(Table1[[#This Row],[Actual close date]]="","",Table1[[#This Row],[Actual close date]]-Table1[[#This Row],[Expected close date]])</f>
        <v/>
      </c>
    </row>
    <row r="655" spans="1:18" x14ac:dyDescent="0.25">
      <c r="A655" t="s">
        <v>731</v>
      </c>
      <c r="B655" t="s">
        <v>49</v>
      </c>
      <c r="C655" t="s">
        <v>50</v>
      </c>
      <c r="D655" t="s">
        <v>51</v>
      </c>
      <c r="E655" t="s">
        <v>45</v>
      </c>
      <c r="F655" t="s">
        <v>22</v>
      </c>
      <c r="G655" t="s">
        <v>31</v>
      </c>
      <c r="H655" s="1">
        <v>45314</v>
      </c>
      <c r="I655" t="s">
        <v>64</v>
      </c>
      <c r="J655" t="s">
        <v>603</v>
      </c>
      <c r="K655">
        <v>1</v>
      </c>
      <c r="N655">
        <v>797</v>
      </c>
      <c r="O655">
        <v>40</v>
      </c>
      <c r="P655" s="1">
        <v>45455</v>
      </c>
      <c r="Q655" s="1"/>
      <c r="R655" t="str">
        <f>IF(Table1[[#This Row],[Actual close date]]="","",Table1[[#This Row],[Actual close date]]-Table1[[#This Row],[Expected close date]])</f>
        <v/>
      </c>
    </row>
    <row r="656" spans="1:18" x14ac:dyDescent="0.25">
      <c r="A656" t="s">
        <v>732</v>
      </c>
      <c r="B656" t="s">
        <v>39</v>
      </c>
      <c r="C656" t="s">
        <v>40</v>
      </c>
      <c r="D656" t="s">
        <v>41</v>
      </c>
      <c r="E656" t="s">
        <v>45</v>
      </c>
      <c r="F656" t="s">
        <v>22</v>
      </c>
      <c r="G656" t="s">
        <v>46</v>
      </c>
      <c r="H656" s="1">
        <v>45421</v>
      </c>
      <c r="I656" t="s">
        <v>24</v>
      </c>
      <c r="J656" t="s">
        <v>603</v>
      </c>
      <c r="K656">
        <v>1</v>
      </c>
      <c r="N656">
        <v>644</v>
      </c>
      <c r="O656">
        <v>40</v>
      </c>
      <c r="P656" s="1">
        <v>45682</v>
      </c>
      <c r="Q656" s="1"/>
      <c r="R656" t="str">
        <f>IF(Table1[[#This Row],[Actual close date]]="","",Table1[[#This Row],[Actual close date]]-Table1[[#This Row],[Expected close date]])</f>
        <v/>
      </c>
    </row>
    <row r="657" spans="1:18" x14ac:dyDescent="0.25">
      <c r="A657" t="s">
        <v>733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t="s">
        <v>83</v>
      </c>
      <c r="H657" s="1">
        <v>45431</v>
      </c>
      <c r="I657" t="s">
        <v>64</v>
      </c>
      <c r="J657" t="s">
        <v>603</v>
      </c>
      <c r="K657">
        <v>1</v>
      </c>
      <c r="N657">
        <v>355</v>
      </c>
      <c r="O657">
        <v>30</v>
      </c>
      <c r="P657" s="1">
        <v>45714</v>
      </c>
      <c r="Q657" s="1"/>
      <c r="R657" t="str">
        <f>IF(Table1[[#This Row],[Actual close date]]="","",Table1[[#This Row],[Actual close date]]-Table1[[#This Row],[Expected close date]])</f>
        <v/>
      </c>
    </row>
    <row r="658" spans="1:18" x14ac:dyDescent="0.25">
      <c r="A658" t="s">
        <v>734</v>
      </c>
      <c r="B658" t="s">
        <v>39</v>
      </c>
      <c r="C658" t="s">
        <v>40</v>
      </c>
      <c r="D658" t="s">
        <v>41</v>
      </c>
      <c r="E658" t="s">
        <v>52</v>
      </c>
      <c r="F658" t="s">
        <v>22</v>
      </c>
      <c r="G658" t="s">
        <v>23</v>
      </c>
      <c r="H658" s="1">
        <v>45440</v>
      </c>
      <c r="I658" t="s">
        <v>47</v>
      </c>
      <c r="J658" t="s">
        <v>603</v>
      </c>
      <c r="K658">
        <v>1</v>
      </c>
      <c r="N658">
        <v>1741</v>
      </c>
      <c r="O658">
        <v>50</v>
      </c>
      <c r="P658" s="1">
        <v>45583</v>
      </c>
      <c r="Q658" s="1"/>
      <c r="R658" t="str">
        <f>IF(Table1[[#This Row],[Actual close date]]="","",Table1[[#This Row],[Actual close date]]-Table1[[#This Row],[Expected close date]])</f>
        <v/>
      </c>
    </row>
    <row r="659" spans="1:18" x14ac:dyDescent="0.25">
      <c r="A659" t="s">
        <v>735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46</v>
      </c>
      <c r="H659" s="1">
        <v>45322</v>
      </c>
      <c r="I659" t="s">
        <v>24</v>
      </c>
      <c r="J659" t="s">
        <v>603</v>
      </c>
      <c r="K659">
        <v>1</v>
      </c>
      <c r="N659">
        <v>441</v>
      </c>
      <c r="O659">
        <v>30</v>
      </c>
      <c r="P659" s="1">
        <v>45582</v>
      </c>
      <c r="Q659" s="1"/>
      <c r="R659" t="str">
        <f>IF(Table1[[#This Row],[Actual close date]]="","",Table1[[#This Row],[Actual close date]]-Table1[[#This Row],[Expected close date]])</f>
        <v/>
      </c>
    </row>
    <row r="660" spans="1:18" x14ac:dyDescent="0.25">
      <c r="A660" t="s">
        <v>736</v>
      </c>
      <c r="B660" t="s">
        <v>39</v>
      </c>
      <c r="C660" t="s">
        <v>40</v>
      </c>
      <c r="D660" t="s">
        <v>41</v>
      </c>
      <c r="E660" t="s">
        <v>45</v>
      </c>
      <c r="F660" t="s">
        <v>22</v>
      </c>
      <c r="G660" t="s">
        <v>37</v>
      </c>
      <c r="H660" s="1">
        <v>45422</v>
      </c>
      <c r="I660" t="s">
        <v>24</v>
      </c>
      <c r="J660" t="s">
        <v>603</v>
      </c>
      <c r="K660">
        <v>1</v>
      </c>
      <c r="N660">
        <v>1239</v>
      </c>
      <c r="O660">
        <v>40</v>
      </c>
      <c r="P660" s="1">
        <v>45718</v>
      </c>
      <c r="Q660" s="1"/>
      <c r="R660" t="str">
        <f>IF(Table1[[#This Row],[Actual close date]]="","",Table1[[#This Row],[Actual close date]]-Table1[[#This Row],[Expected close date]])</f>
        <v/>
      </c>
    </row>
    <row r="661" spans="1:18" x14ac:dyDescent="0.25">
      <c r="A661" t="s">
        <v>737</v>
      </c>
      <c r="B661" t="s">
        <v>49</v>
      </c>
      <c r="C661" t="s">
        <v>50</v>
      </c>
      <c r="D661" t="s">
        <v>51</v>
      </c>
      <c r="E661" t="s">
        <v>52</v>
      </c>
      <c r="F661" t="s">
        <v>22</v>
      </c>
      <c r="G661" t="s">
        <v>46</v>
      </c>
      <c r="H661" s="1">
        <v>45423</v>
      </c>
      <c r="I661" t="s">
        <v>24</v>
      </c>
      <c r="J661" t="s">
        <v>603</v>
      </c>
      <c r="K661">
        <v>1</v>
      </c>
      <c r="N661">
        <v>467</v>
      </c>
      <c r="O661">
        <v>40</v>
      </c>
      <c r="P661" s="1">
        <v>45703</v>
      </c>
      <c r="Q661" s="1"/>
      <c r="R661" t="str">
        <f>IF(Table1[[#This Row],[Actual close date]]="","",Table1[[#This Row],[Actual close date]]-Table1[[#This Row],[Expected close date]])</f>
        <v/>
      </c>
    </row>
    <row r="662" spans="1:18" x14ac:dyDescent="0.25">
      <c r="A662" t="s">
        <v>738</v>
      </c>
      <c r="B662" t="s">
        <v>39</v>
      </c>
      <c r="C662" t="s">
        <v>40</v>
      </c>
      <c r="D662" t="s">
        <v>41</v>
      </c>
      <c r="E662" t="s">
        <v>45</v>
      </c>
      <c r="F662" t="s">
        <v>22</v>
      </c>
      <c r="G662" t="s">
        <v>57</v>
      </c>
      <c r="H662" s="1">
        <v>45332</v>
      </c>
      <c r="I662" t="s">
        <v>24</v>
      </c>
      <c r="J662" t="s">
        <v>603</v>
      </c>
      <c r="K662">
        <v>1</v>
      </c>
      <c r="N662">
        <v>403</v>
      </c>
      <c r="O662">
        <v>50</v>
      </c>
      <c r="P662" s="1">
        <v>45462</v>
      </c>
      <c r="Q662" s="1"/>
      <c r="R662" t="str">
        <f>IF(Table1[[#This Row],[Actual close date]]="","",Table1[[#This Row],[Actual close date]]-Table1[[#This Row],[Expected close date]])</f>
        <v/>
      </c>
    </row>
    <row r="663" spans="1:18" x14ac:dyDescent="0.25">
      <c r="A663" t="s">
        <v>739</v>
      </c>
      <c r="B663" t="s">
        <v>69</v>
      </c>
      <c r="C663" t="s">
        <v>70</v>
      </c>
      <c r="D663" t="s">
        <v>71</v>
      </c>
      <c r="E663" t="s">
        <v>30</v>
      </c>
      <c r="F663" t="s">
        <v>22</v>
      </c>
      <c r="G663" t="s">
        <v>57</v>
      </c>
      <c r="H663" s="1">
        <v>45371</v>
      </c>
      <c r="I663" t="s">
        <v>24</v>
      </c>
      <c r="J663" t="s">
        <v>603</v>
      </c>
      <c r="K663">
        <v>1</v>
      </c>
      <c r="N663">
        <v>677</v>
      </c>
      <c r="O663">
        <v>20</v>
      </c>
      <c r="P663" s="1">
        <v>45655</v>
      </c>
      <c r="Q663" s="1"/>
      <c r="R663" t="str">
        <f>IF(Table1[[#This Row],[Actual close date]]="","",Table1[[#This Row],[Actual close date]]-Table1[[#This Row],[Expected close date]])</f>
        <v/>
      </c>
    </row>
    <row r="664" spans="1:18" x14ac:dyDescent="0.25">
      <c r="A664" t="s">
        <v>740</v>
      </c>
      <c r="B664" t="s">
        <v>54</v>
      </c>
      <c r="C664" t="s">
        <v>55</v>
      </c>
      <c r="D664" t="s">
        <v>56</v>
      </c>
      <c r="E664" t="s">
        <v>52</v>
      </c>
      <c r="F664" t="s">
        <v>22</v>
      </c>
      <c r="G664" t="s">
        <v>37</v>
      </c>
      <c r="H664" s="1">
        <v>45380</v>
      </c>
      <c r="I664" t="s">
        <v>24</v>
      </c>
      <c r="J664" t="s">
        <v>603</v>
      </c>
      <c r="K664">
        <v>1</v>
      </c>
      <c r="N664">
        <v>690</v>
      </c>
      <c r="O664">
        <v>10</v>
      </c>
      <c r="P664" s="1">
        <v>45623</v>
      </c>
      <c r="Q664" s="1"/>
      <c r="R664" t="str">
        <f>IF(Table1[[#This Row],[Actual close date]]="","",Table1[[#This Row],[Actual close date]]-Table1[[#This Row],[Expected close date]])</f>
        <v/>
      </c>
    </row>
    <row r="665" spans="1:18" x14ac:dyDescent="0.25">
      <c r="A665" t="s">
        <v>741</v>
      </c>
      <c r="B665" t="s">
        <v>54</v>
      </c>
      <c r="C665" t="s">
        <v>55</v>
      </c>
      <c r="D665" t="s">
        <v>56</v>
      </c>
      <c r="E665" t="s">
        <v>45</v>
      </c>
      <c r="F665" t="s">
        <v>22</v>
      </c>
      <c r="G665" t="s">
        <v>57</v>
      </c>
      <c r="H665" s="1">
        <v>45437</v>
      </c>
      <c r="I665" t="s">
        <v>24</v>
      </c>
      <c r="J665" t="s">
        <v>603</v>
      </c>
      <c r="K665">
        <v>1</v>
      </c>
      <c r="N665">
        <v>404</v>
      </c>
      <c r="O665">
        <v>30</v>
      </c>
      <c r="P665" s="1">
        <v>45512</v>
      </c>
      <c r="Q665" s="1"/>
      <c r="R665" t="str">
        <f>IF(Table1[[#This Row],[Actual close date]]="","",Table1[[#This Row],[Actual close date]]-Table1[[#This Row],[Expected close date]])</f>
        <v/>
      </c>
    </row>
    <row r="666" spans="1:18" x14ac:dyDescent="0.25">
      <c r="A666" t="s">
        <v>742</v>
      </c>
      <c r="B666" t="s">
        <v>59</v>
      </c>
      <c r="C666" t="s">
        <v>60</v>
      </c>
      <c r="D666" t="s">
        <v>61</v>
      </c>
      <c r="E666" t="s">
        <v>52</v>
      </c>
      <c r="F666" t="s">
        <v>22</v>
      </c>
      <c r="G666" t="s">
        <v>37</v>
      </c>
      <c r="H666" s="1">
        <v>45334</v>
      </c>
      <c r="I666" t="s">
        <v>24</v>
      </c>
      <c r="J666" t="s">
        <v>603</v>
      </c>
      <c r="K666">
        <v>1</v>
      </c>
      <c r="N666">
        <v>1126</v>
      </c>
      <c r="O666">
        <v>80</v>
      </c>
      <c r="P666" s="1">
        <v>45393</v>
      </c>
      <c r="Q666" s="1"/>
      <c r="R666" t="str">
        <f>IF(Table1[[#This Row],[Actual close date]]="","",Table1[[#This Row],[Actual close date]]-Table1[[#This Row],[Expected close date]])</f>
        <v/>
      </c>
    </row>
    <row r="667" spans="1:18" x14ac:dyDescent="0.25">
      <c r="A667" t="s">
        <v>743</v>
      </c>
      <c r="B667" t="s">
        <v>39</v>
      </c>
      <c r="C667" t="s">
        <v>40</v>
      </c>
      <c r="D667" t="s">
        <v>41</v>
      </c>
      <c r="E667" t="s">
        <v>101</v>
      </c>
      <c r="F667" t="s">
        <v>22</v>
      </c>
      <c r="G667" t="s">
        <v>46</v>
      </c>
      <c r="H667" s="1">
        <v>45321</v>
      </c>
      <c r="I667" t="s">
        <v>24</v>
      </c>
      <c r="J667" t="s">
        <v>603</v>
      </c>
      <c r="K667">
        <v>1</v>
      </c>
      <c r="N667">
        <v>1675</v>
      </c>
      <c r="O667">
        <v>40</v>
      </c>
      <c r="P667" s="1">
        <v>45486</v>
      </c>
      <c r="Q667" s="1"/>
      <c r="R667" t="str">
        <f>IF(Table1[[#This Row],[Actual close date]]="","",Table1[[#This Row],[Actual close date]]-Table1[[#This Row],[Expected close date]])</f>
        <v/>
      </c>
    </row>
    <row r="668" spans="1:18" x14ac:dyDescent="0.25">
      <c r="A668" t="s">
        <v>744</v>
      </c>
      <c r="B668" t="s">
        <v>33</v>
      </c>
      <c r="C668" t="s">
        <v>34</v>
      </c>
      <c r="D668" t="s">
        <v>35</v>
      </c>
      <c r="E668" t="s">
        <v>21</v>
      </c>
      <c r="F668" t="s">
        <v>22</v>
      </c>
      <c r="G668" t="s">
        <v>23</v>
      </c>
      <c r="H668" s="1">
        <v>45425</v>
      </c>
      <c r="I668" t="s">
        <v>64</v>
      </c>
      <c r="J668" t="s">
        <v>603</v>
      </c>
      <c r="K668">
        <v>1</v>
      </c>
      <c r="N668">
        <v>1910</v>
      </c>
      <c r="O668">
        <v>20</v>
      </c>
      <c r="P668" s="1">
        <v>45734</v>
      </c>
      <c r="Q668" s="1"/>
      <c r="R668" t="str">
        <f>IF(Table1[[#This Row],[Actual close date]]="","",Table1[[#This Row],[Actual close date]]-Table1[[#This Row],[Expected close date]])</f>
        <v/>
      </c>
    </row>
    <row r="669" spans="1:18" x14ac:dyDescent="0.25">
      <c r="A669" t="s">
        <v>745</v>
      </c>
      <c r="B669" t="s">
        <v>69</v>
      </c>
      <c r="C669" t="s">
        <v>70</v>
      </c>
      <c r="D669" t="s">
        <v>71</v>
      </c>
      <c r="E669" t="s">
        <v>21</v>
      </c>
      <c r="F669" t="s">
        <v>22</v>
      </c>
      <c r="G669" t="s">
        <v>46</v>
      </c>
      <c r="H669" s="1">
        <v>45326</v>
      </c>
      <c r="I669" t="s">
        <v>47</v>
      </c>
      <c r="J669" t="s">
        <v>603</v>
      </c>
      <c r="K669">
        <v>1</v>
      </c>
      <c r="N669">
        <v>857</v>
      </c>
      <c r="O669">
        <v>30</v>
      </c>
      <c r="P669" s="1">
        <v>45617</v>
      </c>
      <c r="Q669" s="1"/>
      <c r="R669" t="str">
        <f>IF(Table1[[#This Row],[Actual close date]]="","",Table1[[#This Row],[Actual close date]]-Table1[[#This Row],[Expected close date]])</f>
        <v/>
      </c>
    </row>
    <row r="670" spans="1:18" x14ac:dyDescent="0.25">
      <c r="A670" t="s">
        <v>746</v>
      </c>
      <c r="B670" t="s">
        <v>76</v>
      </c>
      <c r="C670" t="s">
        <v>77</v>
      </c>
      <c r="D670" t="s">
        <v>78</v>
      </c>
      <c r="E670" t="s">
        <v>42</v>
      </c>
      <c r="F670" t="s">
        <v>22</v>
      </c>
      <c r="G670" t="s">
        <v>57</v>
      </c>
      <c r="H670" s="1">
        <v>45365</v>
      </c>
      <c r="I670" t="s">
        <v>64</v>
      </c>
      <c r="J670" t="s">
        <v>603</v>
      </c>
      <c r="K670">
        <v>1</v>
      </c>
      <c r="N670">
        <v>1561</v>
      </c>
      <c r="O670">
        <v>40</v>
      </c>
      <c r="P670" s="1">
        <v>45661</v>
      </c>
      <c r="Q670" s="1"/>
      <c r="R670" t="str">
        <f>IF(Table1[[#This Row],[Actual close date]]="","",Table1[[#This Row],[Actual close date]]-Table1[[#This Row],[Expected close date]])</f>
        <v/>
      </c>
    </row>
    <row r="671" spans="1:18" x14ac:dyDescent="0.25">
      <c r="A671" t="s">
        <v>747</v>
      </c>
      <c r="B671" t="s">
        <v>76</v>
      </c>
      <c r="C671" t="s">
        <v>77</v>
      </c>
      <c r="D671" t="s">
        <v>78</v>
      </c>
      <c r="E671" t="s">
        <v>45</v>
      </c>
      <c r="F671" t="s">
        <v>22</v>
      </c>
      <c r="G671" t="s">
        <v>37</v>
      </c>
      <c r="H671" s="1">
        <v>45439</v>
      </c>
      <c r="I671" t="s">
        <v>47</v>
      </c>
      <c r="J671" t="s">
        <v>603</v>
      </c>
      <c r="K671">
        <v>1</v>
      </c>
      <c r="N671">
        <v>872</v>
      </c>
      <c r="O671">
        <v>50</v>
      </c>
      <c r="P671" s="1">
        <v>45569</v>
      </c>
      <c r="Q671" s="1"/>
      <c r="R671" t="str">
        <f>IF(Table1[[#This Row],[Actual close date]]="","",Table1[[#This Row],[Actual close date]]-Table1[[#This Row],[Expected close date]])</f>
        <v/>
      </c>
    </row>
    <row r="672" spans="1:18" x14ac:dyDescent="0.25">
      <c r="A672" t="s">
        <v>748</v>
      </c>
      <c r="B672" t="s">
        <v>39</v>
      </c>
      <c r="C672" t="s">
        <v>40</v>
      </c>
      <c r="D672" t="s">
        <v>41</v>
      </c>
      <c r="E672" t="s">
        <v>21</v>
      </c>
      <c r="F672" t="s">
        <v>22</v>
      </c>
      <c r="G672" t="s">
        <v>57</v>
      </c>
      <c r="H672" s="1">
        <v>45298</v>
      </c>
      <c r="I672" t="s">
        <v>64</v>
      </c>
      <c r="J672" t="s">
        <v>603</v>
      </c>
      <c r="K672">
        <v>1</v>
      </c>
      <c r="N672">
        <v>757</v>
      </c>
      <c r="O672">
        <v>30</v>
      </c>
      <c r="P672" s="1">
        <v>45516</v>
      </c>
      <c r="Q672" s="1"/>
      <c r="R672" t="str">
        <f>IF(Table1[[#This Row],[Actual close date]]="","",Table1[[#This Row],[Actual close date]]-Table1[[#This Row],[Expected close date]])</f>
        <v/>
      </c>
    </row>
    <row r="673" spans="1:18" x14ac:dyDescent="0.25">
      <c r="A673" t="s">
        <v>749</v>
      </c>
      <c r="B673" t="s">
        <v>39</v>
      </c>
      <c r="C673" t="s">
        <v>40</v>
      </c>
      <c r="D673" t="s">
        <v>41</v>
      </c>
      <c r="E673" t="s">
        <v>62</v>
      </c>
      <c r="F673" t="s">
        <v>22</v>
      </c>
      <c r="G673" t="s">
        <v>46</v>
      </c>
      <c r="H673" s="1">
        <v>45368</v>
      </c>
      <c r="I673" t="s">
        <v>24</v>
      </c>
      <c r="J673" t="s">
        <v>603</v>
      </c>
      <c r="K673">
        <v>1</v>
      </c>
      <c r="N673">
        <v>1521</v>
      </c>
      <c r="O673">
        <v>70</v>
      </c>
      <c r="P673" s="1">
        <v>45733</v>
      </c>
      <c r="Q673" s="1"/>
      <c r="R673" t="str">
        <f>IF(Table1[[#This Row],[Actual close date]]="","",Table1[[#This Row],[Actual close date]]-Table1[[#This Row],[Expected close date]])</f>
        <v/>
      </c>
    </row>
    <row r="674" spans="1:18" x14ac:dyDescent="0.25">
      <c r="A674" t="s">
        <v>750</v>
      </c>
      <c r="B674" t="s">
        <v>59</v>
      </c>
      <c r="C674" t="s">
        <v>60</v>
      </c>
      <c r="D674" t="s">
        <v>61</v>
      </c>
      <c r="E674" t="s">
        <v>118</v>
      </c>
      <c r="F674" t="s">
        <v>22</v>
      </c>
      <c r="G674" t="s">
        <v>37</v>
      </c>
      <c r="H674" s="1">
        <v>45402</v>
      </c>
      <c r="I674" t="s">
        <v>24</v>
      </c>
      <c r="J674" t="s">
        <v>603</v>
      </c>
      <c r="K674">
        <v>1</v>
      </c>
      <c r="N674">
        <v>1010</v>
      </c>
      <c r="O674">
        <v>80</v>
      </c>
      <c r="P674" s="1">
        <v>45702</v>
      </c>
      <c r="Q674" s="1"/>
      <c r="R674" t="str">
        <f>IF(Table1[[#This Row],[Actual close date]]="","",Table1[[#This Row],[Actual close date]]-Table1[[#This Row],[Expected close date]])</f>
        <v/>
      </c>
    </row>
    <row r="675" spans="1:18" x14ac:dyDescent="0.25">
      <c r="A675" t="s">
        <v>751</v>
      </c>
      <c r="B675" t="s">
        <v>33</v>
      </c>
      <c r="C675" t="s">
        <v>34</v>
      </c>
      <c r="D675" t="s">
        <v>35</v>
      </c>
      <c r="E675" t="s">
        <v>52</v>
      </c>
      <c r="F675" t="s">
        <v>22</v>
      </c>
      <c r="G675" t="s">
        <v>72</v>
      </c>
      <c r="H675" s="1">
        <v>45338</v>
      </c>
      <c r="I675" t="s">
        <v>64</v>
      </c>
      <c r="J675" t="s">
        <v>603</v>
      </c>
      <c r="K675">
        <v>1</v>
      </c>
      <c r="N675">
        <v>1175</v>
      </c>
      <c r="O675">
        <v>30</v>
      </c>
      <c r="P675" s="1">
        <v>45478</v>
      </c>
      <c r="Q675" s="1"/>
      <c r="R675" t="str">
        <f>IF(Table1[[#This Row],[Actual close date]]="","",Table1[[#This Row],[Actual close date]]-Table1[[#This Row],[Expected close date]])</f>
        <v/>
      </c>
    </row>
    <row r="676" spans="1:18" x14ac:dyDescent="0.25">
      <c r="A676" t="s">
        <v>752</v>
      </c>
      <c r="B676" t="s">
        <v>33</v>
      </c>
      <c r="C676" t="s">
        <v>34</v>
      </c>
      <c r="D676" t="s">
        <v>35</v>
      </c>
      <c r="E676" t="s">
        <v>74</v>
      </c>
      <c r="F676" t="s">
        <v>22</v>
      </c>
      <c r="G676" t="s">
        <v>46</v>
      </c>
      <c r="H676" s="1">
        <v>45317</v>
      </c>
      <c r="I676" t="s">
        <v>24</v>
      </c>
      <c r="J676" t="s">
        <v>603</v>
      </c>
      <c r="K676">
        <v>1</v>
      </c>
      <c r="N676">
        <v>1058</v>
      </c>
      <c r="O676">
        <v>80</v>
      </c>
      <c r="P676" s="1">
        <v>45598</v>
      </c>
      <c r="Q676" s="1"/>
      <c r="R676" t="str">
        <f>IF(Table1[[#This Row],[Actual close date]]="","",Table1[[#This Row],[Actual close date]]-Table1[[#This Row],[Expected close date]])</f>
        <v/>
      </c>
    </row>
    <row r="677" spans="1:18" x14ac:dyDescent="0.25">
      <c r="A677" t="s">
        <v>753</v>
      </c>
      <c r="B677" t="s">
        <v>69</v>
      </c>
      <c r="C677" t="s">
        <v>70</v>
      </c>
      <c r="D677" t="s">
        <v>71</v>
      </c>
      <c r="E677" t="s">
        <v>30</v>
      </c>
      <c r="F677" t="s">
        <v>22</v>
      </c>
      <c r="G677" t="s">
        <v>37</v>
      </c>
      <c r="H677" s="1">
        <v>45373</v>
      </c>
      <c r="I677" t="s">
        <v>24</v>
      </c>
      <c r="J677" t="s">
        <v>603</v>
      </c>
      <c r="K677">
        <v>1</v>
      </c>
      <c r="N677">
        <v>1546</v>
      </c>
      <c r="O677">
        <v>10</v>
      </c>
      <c r="P677" s="1">
        <v>45412</v>
      </c>
      <c r="Q677" s="1"/>
      <c r="R677" t="str">
        <f>IF(Table1[[#This Row],[Actual close date]]="","",Table1[[#This Row],[Actual close date]]-Table1[[#This Row],[Expected close date]])</f>
        <v/>
      </c>
    </row>
    <row r="678" spans="1:18" x14ac:dyDescent="0.25">
      <c r="A678" t="s">
        <v>754</v>
      </c>
      <c r="B678" t="s">
        <v>54</v>
      </c>
      <c r="C678" t="s">
        <v>55</v>
      </c>
      <c r="D678" t="s">
        <v>56</v>
      </c>
      <c r="E678" t="s">
        <v>45</v>
      </c>
      <c r="F678" t="s">
        <v>22</v>
      </c>
      <c r="G678" t="s">
        <v>37</v>
      </c>
      <c r="H678" s="1">
        <v>45417</v>
      </c>
      <c r="I678" t="s">
        <v>24</v>
      </c>
      <c r="J678" t="s">
        <v>603</v>
      </c>
      <c r="K678">
        <v>1</v>
      </c>
      <c r="N678">
        <v>1029</v>
      </c>
      <c r="O678">
        <v>90</v>
      </c>
      <c r="P678" s="1">
        <v>45554</v>
      </c>
      <c r="Q678" s="1"/>
      <c r="R678" t="str">
        <f>IF(Table1[[#This Row],[Actual close date]]="","",Table1[[#This Row],[Actual close date]]-Table1[[#This Row],[Expected close date]])</f>
        <v/>
      </c>
    </row>
    <row r="679" spans="1:18" x14ac:dyDescent="0.25">
      <c r="A679" t="s">
        <v>755</v>
      </c>
      <c r="B679" t="s">
        <v>59</v>
      </c>
      <c r="C679" t="s">
        <v>60</v>
      </c>
      <c r="D679" t="s">
        <v>61</v>
      </c>
      <c r="E679" t="s">
        <v>30</v>
      </c>
      <c r="F679" t="s">
        <v>22</v>
      </c>
      <c r="G679" t="s">
        <v>85</v>
      </c>
      <c r="H679" s="1">
        <v>45384</v>
      </c>
      <c r="I679" t="s">
        <v>24</v>
      </c>
      <c r="J679" t="s">
        <v>603</v>
      </c>
      <c r="K679">
        <v>1</v>
      </c>
      <c r="N679">
        <v>1736</v>
      </c>
      <c r="O679">
        <v>40</v>
      </c>
      <c r="P679" s="1">
        <v>45569</v>
      </c>
      <c r="Q679" s="1"/>
      <c r="R679" t="str">
        <f>IF(Table1[[#This Row],[Actual close date]]="","",Table1[[#This Row],[Actual close date]]-Table1[[#This Row],[Expected close date]])</f>
        <v/>
      </c>
    </row>
    <row r="680" spans="1:18" x14ac:dyDescent="0.25">
      <c r="A680" t="s">
        <v>756</v>
      </c>
      <c r="B680" t="s">
        <v>49</v>
      </c>
      <c r="C680" t="s">
        <v>50</v>
      </c>
      <c r="D680" t="s">
        <v>51</v>
      </c>
      <c r="E680" t="s">
        <v>21</v>
      </c>
      <c r="F680" t="s">
        <v>22</v>
      </c>
      <c r="G680" t="s">
        <v>83</v>
      </c>
      <c r="H680" s="1">
        <v>45293</v>
      </c>
      <c r="I680" t="s">
        <v>64</v>
      </c>
      <c r="J680" t="s">
        <v>603</v>
      </c>
      <c r="K680">
        <v>1</v>
      </c>
      <c r="N680">
        <v>1035</v>
      </c>
      <c r="O680">
        <v>60</v>
      </c>
      <c r="P680" s="1">
        <v>45508</v>
      </c>
      <c r="Q680" s="1"/>
      <c r="R680" t="str">
        <f>IF(Table1[[#This Row],[Actual close date]]="","",Table1[[#This Row],[Actual close date]]-Table1[[#This Row],[Expected close date]])</f>
        <v/>
      </c>
    </row>
    <row r="681" spans="1:18" x14ac:dyDescent="0.25">
      <c r="A681" t="s">
        <v>757</v>
      </c>
      <c r="B681" t="s">
        <v>39</v>
      </c>
      <c r="C681" t="s">
        <v>40</v>
      </c>
      <c r="D681" t="s">
        <v>41</v>
      </c>
      <c r="E681" t="s">
        <v>52</v>
      </c>
      <c r="F681" t="s">
        <v>22</v>
      </c>
      <c r="G681" t="s">
        <v>85</v>
      </c>
      <c r="H681" s="1">
        <v>45365</v>
      </c>
      <c r="I681" t="s">
        <v>24</v>
      </c>
      <c r="J681" t="s">
        <v>603</v>
      </c>
      <c r="K681">
        <v>1</v>
      </c>
      <c r="N681">
        <v>1077</v>
      </c>
      <c r="O681">
        <v>20</v>
      </c>
      <c r="P681" s="1">
        <v>45575</v>
      </c>
      <c r="Q681" s="1"/>
      <c r="R681" t="str">
        <f>IF(Table1[[#This Row],[Actual close date]]="","",Table1[[#This Row],[Actual close date]]-Table1[[#This Row],[Expected close date]])</f>
        <v/>
      </c>
    </row>
    <row r="682" spans="1:18" x14ac:dyDescent="0.25">
      <c r="A682" t="s">
        <v>758</v>
      </c>
      <c r="B682" t="s">
        <v>39</v>
      </c>
      <c r="C682" t="s">
        <v>40</v>
      </c>
      <c r="D682" t="s">
        <v>41</v>
      </c>
      <c r="E682" t="s">
        <v>52</v>
      </c>
      <c r="F682" t="s">
        <v>22</v>
      </c>
      <c r="G682" t="s">
        <v>46</v>
      </c>
      <c r="H682" s="1">
        <v>45323</v>
      </c>
      <c r="I682" t="s">
        <v>64</v>
      </c>
      <c r="J682" t="s">
        <v>603</v>
      </c>
      <c r="K682">
        <v>1</v>
      </c>
      <c r="N682">
        <v>1462</v>
      </c>
      <c r="O682">
        <v>60</v>
      </c>
      <c r="P682" s="1">
        <v>45540</v>
      </c>
      <c r="Q682" s="1"/>
      <c r="R682" t="str">
        <f>IF(Table1[[#This Row],[Actual close date]]="","",Table1[[#This Row],[Actual close date]]-Table1[[#This Row],[Expected close date]])</f>
        <v/>
      </c>
    </row>
    <row r="683" spans="1:18" x14ac:dyDescent="0.25">
      <c r="A683" t="s">
        <v>759</v>
      </c>
      <c r="B683" t="s">
        <v>59</v>
      </c>
      <c r="C683" t="s">
        <v>60</v>
      </c>
      <c r="D683" t="s">
        <v>61</v>
      </c>
      <c r="E683" t="s">
        <v>45</v>
      </c>
      <c r="F683" t="s">
        <v>22</v>
      </c>
      <c r="G683" t="s">
        <v>57</v>
      </c>
      <c r="H683" s="1">
        <v>45300</v>
      </c>
      <c r="I683" t="s">
        <v>24</v>
      </c>
      <c r="J683" t="s">
        <v>603</v>
      </c>
      <c r="K683">
        <v>1</v>
      </c>
      <c r="N683">
        <v>1849</v>
      </c>
      <c r="O683">
        <v>80</v>
      </c>
      <c r="P683" s="1">
        <v>45642</v>
      </c>
      <c r="Q683" s="1"/>
      <c r="R683" t="str">
        <f>IF(Table1[[#This Row],[Actual close date]]="","",Table1[[#This Row],[Actual close date]]-Table1[[#This Row],[Expected close date]])</f>
        <v/>
      </c>
    </row>
    <row r="684" spans="1:18" x14ac:dyDescent="0.25">
      <c r="A684" t="s">
        <v>760</v>
      </c>
      <c r="B684" t="s">
        <v>33</v>
      </c>
      <c r="C684" t="s">
        <v>34</v>
      </c>
      <c r="D684" t="s">
        <v>35</v>
      </c>
      <c r="E684" t="s">
        <v>45</v>
      </c>
      <c r="F684" t="s">
        <v>22</v>
      </c>
      <c r="G684" t="s">
        <v>31</v>
      </c>
      <c r="H684" s="1">
        <v>45425</v>
      </c>
      <c r="I684" t="s">
        <v>24</v>
      </c>
      <c r="J684" t="s">
        <v>603</v>
      </c>
      <c r="K684">
        <v>1</v>
      </c>
      <c r="N684">
        <v>294</v>
      </c>
      <c r="O684">
        <v>40</v>
      </c>
      <c r="P684" s="1">
        <v>45691</v>
      </c>
      <c r="Q684" s="1"/>
      <c r="R684" t="str">
        <f>IF(Table1[[#This Row],[Actual close date]]="","",Table1[[#This Row],[Actual close date]]-Table1[[#This Row],[Expected close date]])</f>
        <v/>
      </c>
    </row>
    <row r="685" spans="1:18" x14ac:dyDescent="0.25">
      <c r="A685" t="s">
        <v>761</v>
      </c>
      <c r="B685" t="s">
        <v>39</v>
      </c>
      <c r="C685" t="s">
        <v>40</v>
      </c>
      <c r="D685" t="s">
        <v>41</v>
      </c>
      <c r="E685" t="s">
        <v>21</v>
      </c>
      <c r="F685" t="s">
        <v>22</v>
      </c>
      <c r="G685" t="s">
        <v>46</v>
      </c>
      <c r="H685" s="1">
        <v>45294</v>
      </c>
      <c r="I685" t="s">
        <v>24</v>
      </c>
      <c r="J685" t="s">
        <v>603</v>
      </c>
      <c r="K685">
        <v>1</v>
      </c>
      <c r="N685">
        <v>1632</v>
      </c>
      <c r="O685">
        <v>30</v>
      </c>
      <c r="P685" s="1">
        <v>45612</v>
      </c>
      <c r="Q685" s="1"/>
      <c r="R685" t="str">
        <f>IF(Table1[[#This Row],[Actual close date]]="","",Table1[[#This Row],[Actual close date]]-Table1[[#This Row],[Expected close date]])</f>
        <v/>
      </c>
    </row>
    <row r="686" spans="1:18" x14ac:dyDescent="0.25">
      <c r="A686" t="s">
        <v>762</v>
      </c>
      <c r="B686" t="s">
        <v>33</v>
      </c>
      <c r="C686" t="s">
        <v>34</v>
      </c>
      <c r="D686" t="s">
        <v>35</v>
      </c>
      <c r="E686" t="s">
        <v>21</v>
      </c>
      <c r="F686" t="s">
        <v>22</v>
      </c>
      <c r="G686" t="s">
        <v>46</v>
      </c>
      <c r="H686" s="1">
        <v>45327</v>
      </c>
      <c r="I686" t="s">
        <v>24</v>
      </c>
      <c r="J686" t="s">
        <v>603</v>
      </c>
      <c r="K686">
        <v>1</v>
      </c>
      <c r="N686">
        <v>457</v>
      </c>
      <c r="O686">
        <v>30</v>
      </c>
      <c r="P686" s="1">
        <v>45533</v>
      </c>
      <c r="Q686" s="1"/>
      <c r="R686" t="str">
        <f>IF(Table1[[#This Row],[Actual close date]]="","",Table1[[#This Row],[Actual close date]]-Table1[[#This Row],[Expected close date]])</f>
        <v/>
      </c>
    </row>
    <row r="687" spans="1:18" x14ac:dyDescent="0.25">
      <c r="A687" t="s">
        <v>763</v>
      </c>
      <c r="B687" t="s">
        <v>59</v>
      </c>
      <c r="C687" t="s">
        <v>60</v>
      </c>
      <c r="D687" t="s">
        <v>61</v>
      </c>
      <c r="E687" t="s">
        <v>66</v>
      </c>
      <c r="F687" t="s">
        <v>22</v>
      </c>
      <c r="G687" t="s">
        <v>31</v>
      </c>
      <c r="H687" s="1">
        <v>45308</v>
      </c>
      <c r="I687" t="s">
        <v>47</v>
      </c>
      <c r="J687" t="s">
        <v>603</v>
      </c>
      <c r="K687">
        <v>1</v>
      </c>
      <c r="N687">
        <v>852</v>
      </c>
      <c r="O687">
        <v>40</v>
      </c>
      <c r="P687" s="1">
        <v>45647</v>
      </c>
      <c r="Q687" s="1"/>
      <c r="R687" t="str">
        <f>IF(Table1[[#This Row],[Actual close date]]="","",Table1[[#This Row],[Actual close date]]-Table1[[#This Row],[Expected close date]])</f>
        <v/>
      </c>
    </row>
    <row r="688" spans="1:18" x14ac:dyDescent="0.25">
      <c r="A688" t="s">
        <v>764</v>
      </c>
      <c r="B688" t="s">
        <v>69</v>
      </c>
      <c r="C688" t="s">
        <v>70</v>
      </c>
      <c r="D688" t="s">
        <v>71</v>
      </c>
      <c r="E688" t="s">
        <v>21</v>
      </c>
      <c r="F688" t="s">
        <v>22</v>
      </c>
      <c r="G688" t="s">
        <v>46</v>
      </c>
      <c r="H688" s="1">
        <v>45383</v>
      </c>
      <c r="I688" t="s">
        <v>64</v>
      </c>
      <c r="J688" t="s">
        <v>603</v>
      </c>
      <c r="K688">
        <v>1</v>
      </c>
      <c r="N688">
        <v>220</v>
      </c>
      <c r="O688">
        <v>30</v>
      </c>
      <c r="P688" s="1">
        <v>45733</v>
      </c>
      <c r="Q688" s="1"/>
      <c r="R688" t="str">
        <f>IF(Table1[[#This Row],[Actual close date]]="","",Table1[[#This Row],[Actual close date]]-Table1[[#This Row],[Expected close date]])</f>
        <v/>
      </c>
    </row>
    <row r="689" spans="1:18" x14ac:dyDescent="0.25">
      <c r="A689" t="s">
        <v>765</v>
      </c>
      <c r="B689" t="s">
        <v>33</v>
      </c>
      <c r="C689" t="s">
        <v>34</v>
      </c>
      <c r="D689" t="s">
        <v>35</v>
      </c>
      <c r="E689" t="s">
        <v>30</v>
      </c>
      <c r="F689" t="s">
        <v>22</v>
      </c>
      <c r="G689" t="s">
        <v>85</v>
      </c>
      <c r="H689" s="1">
        <v>45410</v>
      </c>
      <c r="I689" t="s">
        <v>24</v>
      </c>
      <c r="J689" t="s">
        <v>603</v>
      </c>
      <c r="K689">
        <v>1</v>
      </c>
      <c r="N689">
        <v>733</v>
      </c>
      <c r="O689">
        <v>60</v>
      </c>
      <c r="P689" s="1">
        <v>45598</v>
      </c>
      <c r="Q689" s="1"/>
      <c r="R689" t="str">
        <f>IF(Table1[[#This Row],[Actual close date]]="","",Table1[[#This Row],[Actual close date]]-Table1[[#This Row],[Expected close date]])</f>
        <v/>
      </c>
    </row>
    <row r="690" spans="1:18" x14ac:dyDescent="0.25">
      <c r="A690" t="s">
        <v>766</v>
      </c>
      <c r="B690" t="s">
        <v>49</v>
      </c>
      <c r="C690" t="s">
        <v>50</v>
      </c>
      <c r="D690" t="s">
        <v>51</v>
      </c>
      <c r="E690" t="s">
        <v>21</v>
      </c>
      <c r="F690" t="s">
        <v>22</v>
      </c>
      <c r="G690" t="s">
        <v>37</v>
      </c>
      <c r="H690" s="1">
        <v>45364</v>
      </c>
      <c r="I690" t="s">
        <v>24</v>
      </c>
      <c r="J690" t="s">
        <v>603</v>
      </c>
      <c r="K690">
        <v>1</v>
      </c>
      <c r="N690">
        <v>1736</v>
      </c>
      <c r="O690">
        <v>30</v>
      </c>
      <c r="P690" s="1">
        <v>45538</v>
      </c>
      <c r="Q690" s="1"/>
      <c r="R690" t="str">
        <f>IF(Table1[[#This Row],[Actual close date]]="","",Table1[[#This Row],[Actual close date]]-Table1[[#This Row],[Expected close date]])</f>
        <v/>
      </c>
    </row>
    <row r="691" spans="1:18" x14ac:dyDescent="0.25">
      <c r="A691" t="s">
        <v>767</v>
      </c>
      <c r="B691" t="s">
        <v>59</v>
      </c>
      <c r="C691" t="s">
        <v>60</v>
      </c>
      <c r="D691" t="s">
        <v>61</v>
      </c>
      <c r="E691" t="s">
        <v>36</v>
      </c>
      <c r="F691" t="s">
        <v>22</v>
      </c>
      <c r="G691" t="s">
        <v>46</v>
      </c>
      <c r="H691" s="1">
        <v>45311</v>
      </c>
      <c r="I691" t="s">
        <v>24</v>
      </c>
      <c r="J691" t="s">
        <v>603</v>
      </c>
      <c r="K691">
        <v>1</v>
      </c>
      <c r="N691">
        <v>1064</v>
      </c>
      <c r="O691">
        <v>20</v>
      </c>
      <c r="P691" s="1">
        <v>45399</v>
      </c>
      <c r="Q691" s="1"/>
      <c r="R691" t="str">
        <f>IF(Table1[[#This Row],[Actual close date]]="","",Table1[[#This Row],[Actual close date]]-Table1[[#This Row],[Expected close date]])</f>
        <v/>
      </c>
    </row>
    <row r="692" spans="1:18" x14ac:dyDescent="0.25">
      <c r="A692" t="s">
        <v>768</v>
      </c>
      <c r="B692" t="s">
        <v>39</v>
      </c>
      <c r="C692" t="s">
        <v>40</v>
      </c>
      <c r="D692" t="s">
        <v>41</v>
      </c>
      <c r="E692" t="s">
        <v>62</v>
      </c>
      <c r="F692" t="s">
        <v>22</v>
      </c>
      <c r="G692" t="s">
        <v>23</v>
      </c>
      <c r="H692" s="1">
        <v>45358</v>
      </c>
      <c r="I692" t="s">
        <v>24</v>
      </c>
      <c r="J692" t="s">
        <v>603</v>
      </c>
      <c r="K692">
        <v>1</v>
      </c>
      <c r="N692">
        <v>1152</v>
      </c>
      <c r="O692">
        <v>40</v>
      </c>
      <c r="P692" s="1">
        <v>45407</v>
      </c>
      <c r="Q692" s="1"/>
      <c r="R692" t="str">
        <f>IF(Table1[[#This Row],[Actual close date]]="","",Table1[[#This Row],[Actual close date]]-Table1[[#This Row],[Expected close date]])</f>
        <v/>
      </c>
    </row>
    <row r="693" spans="1:18" x14ac:dyDescent="0.25">
      <c r="A693" t="s">
        <v>769</v>
      </c>
      <c r="B693" t="s">
        <v>39</v>
      </c>
      <c r="C693" t="s">
        <v>40</v>
      </c>
      <c r="D693" t="s">
        <v>41</v>
      </c>
      <c r="E693" t="s">
        <v>74</v>
      </c>
      <c r="F693" t="s">
        <v>22</v>
      </c>
      <c r="G693" t="s">
        <v>83</v>
      </c>
      <c r="H693" s="1">
        <v>45422</v>
      </c>
      <c r="I693" t="s">
        <v>24</v>
      </c>
      <c r="J693" t="s">
        <v>603</v>
      </c>
      <c r="K693">
        <v>1</v>
      </c>
      <c r="N693">
        <v>227</v>
      </c>
      <c r="O693">
        <v>40</v>
      </c>
      <c r="P693" s="1">
        <v>45705</v>
      </c>
      <c r="Q693" s="1"/>
      <c r="R693" t="str">
        <f>IF(Table1[[#This Row],[Actual close date]]="","",Table1[[#This Row],[Actual close date]]-Table1[[#This Row],[Expected close date]])</f>
        <v/>
      </c>
    </row>
    <row r="694" spans="1:18" x14ac:dyDescent="0.25">
      <c r="A694" t="s">
        <v>770</v>
      </c>
      <c r="B694" t="s">
        <v>69</v>
      </c>
      <c r="C694" t="s">
        <v>70</v>
      </c>
      <c r="D694" t="s">
        <v>71</v>
      </c>
      <c r="E694" t="s">
        <v>82</v>
      </c>
      <c r="F694" t="s">
        <v>22</v>
      </c>
      <c r="G694" t="s">
        <v>85</v>
      </c>
      <c r="H694" s="1">
        <v>45362</v>
      </c>
      <c r="I694" t="s">
        <v>24</v>
      </c>
      <c r="J694" t="s">
        <v>603</v>
      </c>
      <c r="K694">
        <v>1</v>
      </c>
      <c r="N694">
        <v>1409</v>
      </c>
      <c r="O694">
        <v>30</v>
      </c>
      <c r="P694" s="1">
        <v>45647</v>
      </c>
      <c r="Q694" s="1"/>
      <c r="R694" t="str">
        <f>IF(Table1[[#This Row],[Actual close date]]="","",Table1[[#This Row],[Actual close date]]-Table1[[#This Row],[Expected close date]])</f>
        <v/>
      </c>
    </row>
    <row r="695" spans="1:18" x14ac:dyDescent="0.25">
      <c r="A695" t="s">
        <v>771</v>
      </c>
      <c r="B695" t="s">
        <v>54</v>
      </c>
      <c r="C695" t="s">
        <v>55</v>
      </c>
      <c r="D695" t="s">
        <v>56</v>
      </c>
      <c r="E695" t="s">
        <v>45</v>
      </c>
      <c r="F695" t="s">
        <v>22</v>
      </c>
      <c r="G695" t="s">
        <v>37</v>
      </c>
      <c r="H695" s="1">
        <v>45379</v>
      </c>
      <c r="I695" t="s">
        <v>64</v>
      </c>
      <c r="J695" t="s">
        <v>603</v>
      </c>
      <c r="K695">
        <v>1</v>
      </c>
      <c r="N695">
        <v>1853</v>
      </c>
      <c r="O695">
        <v>40</v>
      </c>
      <c r="P695" s="1">
        <v>45440</v>
      </c>
      <c r="Q695" s="1"/>
      <c r="R695" t="str">
        <f>IF(Table1[[#This Row],[Actual close date]]="","",Table1[[#This Row],[Actual close date]]-Table1[[#This Row],[Expected close date]])</f>
        <v/>
      </c>
    </row>
    <row r="696" spans="1:18" x14ac:dyDescent="0.25">
      <c r="A696" t="s">
        <v>772</v>
      </c>
      <c r="B696" t="s">
        <v>39</v>
      </c>
      <c r="C696" t="s">
        <v>40</v>
      </c>
      <c r="D696" t="s">
        <v>41</v>
      </c>
      <c r="E696" t="s">
        <v>36</v>
      </c>
      <c r="F696" t="s">
        <v>22</v>
      </c>
      <c r="G696" t="s">
        <v>46</v>
      </c>
      <c r="H696" s="1">
        <v>45352</v>
      </c>
      <c r="I696" t="s">
        <v>24</v>
      </c>
      <c r="J696" t="s">
        <v>603</v>
      </c>
      <c r="K696">
        <v>1</v>
      </c>
      <c r="N696">
        <v>601</v>
      </c>
      <c r="O696">
        <v>30</v>
      </c>
      <c r="P696" s="1">
        <v>45564</v>
      </c>
      <c r="Q696" s="1"/>
      <c r="R696" t="str">
        <f>IF(Table1[[#This Row],[Actual close date]]="","",Table1[[#This Row],[Actual close date]]-Table1[[#This Row],[Expected close date]])</f>
        <v/>
      </c>
    </row>
    <row r="697" spans="1:18" x14ac:dyDescent="0.25">
      <c r="A697" t="s">
        <v>773</v>
      </c>
      <c r="B697" t="s">
        <v>54</v>
      </c>
      <c r="C697" t="s">
        <v>55</v>
      </c>
      <c r="D697" t="s">
        <v>56</v>
      </c>
      <c r="E697" t="s">
        <v>52</v>
      </c>
      <c r="F697" t="s">
        <v>22</v>
      </c>
      <c r="G697" t="s">
        <v>57</v>
      </c>
      <c r="H697" s="1">
        <v>45367</v>
      </c>
      <c r="I697" t="s">
        <v>64</v>
      </c>
      <c r="J697" t="s">
        <v>603</v>
      </c>
      <c r="K697">
        <v>1</v>
      </c>
      <c r="N697">
        <v>637</v>
      </c>
      <c r="O697">
        <v>40</v>
      </c>
      <c r="P697" s="1">
        <v>45484</v>
      </c>
      <c r="Q697" s="1"/>
      <c r="R697" t="str">
        <f>IF(Table1[[#This Row],[Actual close date]]="","",Table1[[#This Row],[Actual close date]]-Table1[[#This Row],[Expected close date]])</f>
        <v/>
      </c>
    </row>
    <row r="698" spans="1:18" x14ac:dyDescent="0.25">
      <c r="A698" t="s">
        <v>774</v>
      </c>
      <c r="B698" t="s">
        <v>59</v>
      </c>
      <c r="C698" t="s">
        <v>60</v>
      </c>
      <c r="D698" t="s">
        <v>61</v>
      </c>
      <c r="E698" t="s">
        <v>66</v>
      </c>
      <c r="F698" t="s">
        <v>22</v>
      </c>
      <c r="G698" t="s">
        <v>83</v>
      </c>
      <c r="H698" s="1">
        <v>45303</v>
      </c>
      <c r="I698" t="s">
        <v>24</v>
      </c>
      <c r="J698" t="s">
        <v>603</v>
      </c>
      <c r="K698">
        <v>1</v>
      </c>
      <c r="N698">
        <v>1011</v>
      </c>
      <c r="O698">
        <v>80</v>
      </c>
      <c r="P698" s="1">
        <v>45555</v>
      </c>
      <c r="Q698" s="1"/>
      <c r="R698" t="str">
        <f>IF(Table1[[#This Row],[Actual close date]]="","",Table1[[#This Row],[Actual close date]]-Table1[[#This Row],[Expected close date]])</f>
        <v/>
      </c>
    </row>
    <row r="699" spans="1:18" x14ac:dyDescent="0.25">
      <c r="A699" t="s">
        <v>775</v>
      </c>
      <c r="B699" t="s">
        <v>59</v>
      </c>
      <c r="C699" t="s">
        <v>60</v>
      </c>
      <c r="D699" t="s">
        <v>61</v>
      </c>
      <c r="E699" t="s">
        <v>66</v>
      </c>
      <c r="F699" t="s">
        <v>22</v>
      </c>
      <c r="G699" t="s">
        <v>85</v>
      </c>
      <c r="H699" s="1">
        <v>45426</v>
      </c>
      <c r="I699" t="s">
        <v>64</v>
      </c>
      <c r="J699" t="s">
        <v>603</v>
      </c>
      <c r="K699">
        <v>1</v>
      </c>
      <c r="N699">
        <v>1368</v>
      </c>
      <c r="O699">
        <v>40</v>
      </c>
      <c r="P699" s="1">
        <v>45754</v>
      </c>
      <c r="Q699" s="1"/>
      <c r="R699" t="str">
        <f>IF(Table1[[#This Row],[Actual close date]]="","",Table1[[#This Row],[Actual close date]]-Table1[[#This Row],[Expected close date]])</f>
        <v/>
      </c>
    </row>
    <row r="700" spans="1:18" x14ac:dyDescent="0.25">
      <c r="A700" t="s">
        <v>776</v>
      </c>
      <c r="B700" t="s">
        <v>59</v>
      </c>
      <c r="C700" t="s">
        <v>60</v>
      </c>
      <c r="D700" t="s">
        <v>61</v>
      </c>
      <c r="E700" t="s">
        <v>74</v>
      </c>
      <c r="F700" t="s">
        <v>22</v>
      </c>
      <c r="G700" t="s">
        <v>31</v>
      </c>
      <c r="H700" s="1">
        <v>45435</v>
      </c>
      <c r="I700" t="s">
        <v>24</v>
      </c>
      <c r="J700" t="s">
        <v>603</v>
      </c>
      <c r="K700">
        <v>1</v>
      </c>
      <c r="N700">
        <v>706</v>
      </c>
      <c r="O700">
        <v>60</v>
      </c>
      <c r="P700" s="1">
        <v>45614</v>
      </c>
      <c r="Q700" s="1"/>
      <c r="R700" t="str">
        <f>IF(Table1[[#This Row],[Actual close date]]="","",Table1[[#This Row],[Actual close date]]-Table1[[#This Row],[Expected close date]])</f>
        <v/>
      </c>
    </row>
    <row r="701" spans="1:18" x14ac:dyDescent="0.25">
      <c r="A701" t="s">
        <v>777</v>
      </c>
      <c r="B701" t="s">
        <v>69</v>
      </c>
      <c r="C701" t="s">
        <v>70</v>
      </c>
      <c r="D701" t="s">
        <v>71</v>
      </c>
      <c r="E701" t="s">
        <v>45</v>
      </c>
      <c r="F701" t="s">
        <v>22</v>
      </c>
      <c r="G701" t="s">
        <v>83</v>
      </c>
      <c r="H701" s="1">
        <v>45377</v>
      </c>
      <c r="I701" t="s">
        <v>47</v>
      </c>
      <c r="J701" t="s">
        <v>603</v>
      </c>
      <c r="K701">
        <v>1</v>
      </c>
      <c r="N701">
        <v>1324</v>
      </c>
      <c r="O701">
        <v>50</v>
      </c>
      <c r="P701" s="1">
        <v>45714</v>
      </c>
      <c r="Q701" s="1"/>
      <c r="R701" t="str">
        <f>IF(Table1[[#This Row],[Actual close date]]="","",Table1[[#This Row],[Actual close date]]-Table1[[#This Row],[Expected close date]])</f>
        <v/>
      </c>
    </row>
    <row r="702" spans="1:18" x14ac:dyDescent="0.25">
      <c r="A702" t="s">
        <v>778</v>
      </c>
      <c r="B702" t="s">
        <v>76</v>
      </c>
      <c r="C702" t="s">
        <v>77</v>
      </c>
      <c r="D702" t="s">
        <v>78</v>
      </c>
      <c r="E702" t="s">
        <v>21</v>
      </c>
      <c r="F702" t="s">
        <v>22</v>
      </c>
      <c r="G702" t="s">
        <v>46</v>
      </c>
      <c r="H702" s="1">
        <v>45352</v>
      </c>
      <c r="I702" t="s">
        <v>64</v>
      </c>
      <c r="J702" t="s">
        <v>603</v>
      </c>
      <c r="K702">
        <v>1</v>
      </c>
      <c r="N702">
        <v>1916</v>
      </c>
      <c r="O702">
        <v>90</v>
      </c>
      <c r="P702" s="1">
        <v>45395</v>
      </c>
      <c r="Q702" s="1"/>
      <c r="R702" t="str">
        <f>IF(Table1[[#This Row],[Actual close date]]="","",Table1[[#This Row],[Actual close date]]-Table1[[#This Row],[Expected close date]])</f>
        <v/>
      </c>
    </row>
    <row r="703" spans="1:18" x14ac:dyDescent="0.25">
      <c r="A703" t="s">
        <v>779</v>
      </c>
      <c r="B703" t="s">
        <v>33</v>
      </c>
      <c r="C703" t="s">
        <v>34</v>
      </c>
      <c r="D703" t="s">
        <v>35</v>
      </c>
      <c r="E703" t="s">
        <v>82</v>
      </c>
      <c r="F703" t="s">
        <v>22</v>
      </c>
      <c r="G703" t="s">
        <v>72</v>
      </c>
      <c r="H703" s="1">
        <v>45307</v>
      </c>
      <c r="I703" t="s">
        <v>24</v>
      </c>
      <c r="J703" t="s">
        <v>603</v>
      </c>
      <c r="K703">
        <v>1</v>
      </c>
      <c r="N703">
        <v>1838</v>
      </c>
      <c r="O703">
        <v>30</v>
      </c>
      <c r="P703" s="1">
        <v>45339</v>
      </c>
      <c r="Q703" s="1"/>
      <c r="R703" t="str">
        <f>IF(Table1[[#This Row],[Actual close date]]="","",Table1[[#This Row],[Actual close date]]-Table1[[#This Row],[Expected close date]])</f>
        <v/>
      </c>
    </row>
    <row r="704" spans="1:18" x14ac:dyDescent="0.25">
      <c r="A704" t="s">
        <v>780</v>
      </c>
      <c r="B704" t="s">
        <v>39</v>
      </c>
      <c r="C704" t="s">
        <v>40</v>
      </c>
      <c r="D704" t="s">
        <v>41</v>
      </c>
      <c r="E704" t="s">
        <v>52</v>
      </c>
      <c r="F704" t="s">
        <v>22</v>
      </c>
      <c r="G704" t="s">
        <v>83</v>
      </c>
      <c r="H704" s="1">
        <v>45309</v>
      </c>
      <c r="I704" t="s">
        <v>24</v>
      </c>
      <c r="J704" t="s">
        <v>603</v>
      </c>
      <c r="K704">
        <v>1</v>
      </c>
      <c r="N704">
        <v>621</v>
      </c>
      <c r="O704">
        <v>20</v>
      </c>
      <c r="P704" s="1">
        <v>45407</v>
      </c>
      <c r="Q704" s="1"/>
      <c r="R704" t="str">
        <f>IF(Table1[[#This Row],[Actual close date]]="","",Table1[[#This Row],[Actual close date]]-Table1[[#This Row],[Expected close date]])</f>
        <v/>
      </c>
    </row>
    <row r="705" spans="1:18" x14ac:dyDescent="0.25">
      <c r="A705" t="s">
        <v>781</v>
      </c>
      <c r="B705" t="s">
        <v>33</v>
      </c>
      <c r="C705" t="s">
        <v>34</v>
      </c>
      <c r="D705" t="s">
        <v>35</v>
      </c>
      <c r="E705" t="s">
        <v>66</v>
      </c>
      <c r="F705" t="s">
        <v>125</v>
      </c>
      <c r="G705" t="s">
        <v>23</v>
      </c>
      <c r="H705" s="1">
        <v>45319</v>
      </c>
      <c r="I705" t="s">
        <v>24</v>
      </c>
      <c r="J705" t="s">
        <v>603</v>
      </c>
      <c r="K705">
        <v>1</v>
      </c>
      <c r="N705">
        <v>450</v>
      </c>
      <c r="O705">
        <v>40</v>
      </c>
      <c r="P705" s="1">
        <v>45424</v>
      </c>
      <c r="Q705" s="1"/>
      <c r="R705" t="str">
        <f>IF(Table1[[#This Row],[Actual close date]]="","",Table1[[#This Row],[Actual close date]]-Table1[[#This Row],[Expected close date]])</f>
        <v/>
      </c>
    </row>
    <row r="706" spans="1:18" x14ac:dyDescent="0.25">
      <c r="A706" t="s">
        <v>782</v>
      </c>
      <c r="B706" t="s">
        <v>54</v>
      </c>
      <c r="C706" t="s">
        <v>55</v>
      </c>
      <c r="D706" t="s">
        <v>56</v>
      </c>
      <c r="E706" t="s">
        <v>42</v>
      </c>
      <c r="F706" t="s">
        <v>125</v>
      </c>
      <c r="G706" t="s">
        <v>72</v>
      </c>
      <c r="H706" s="1">
        <v>45339</v>
      </c>
      <c r="I706" t="s">
        <v>24</v>
      </c>
      <c r="J706" t="s">
        <v>603</v>
      </c>
      <c r="K706">
        <v>1</v>
      </c>
      <c r="N706">
        <v>904</v>
      </c>
      <c r="O706">
        <v>80</v>
      </c>
      <c r="P706" s="1">
        <v>45496</v>
      </c>
      <c r="Q706" s="1"/>
      <c r="R706" t="str">
        <f>IF(Table1[[#This Row],[Actual close date]]="","",Table1[[#This Row],[Actual close date]]-Table1[[#This Row],[Expected close date]])</f>
        <v/>
      </c>
    </row>
    <row r="707" spans="1:18" x14ac:dyDescent="0.25">
      <c r="A707" t="s">
        <v>783</v>
      </c>
      <c r="B707" t="s">
        <v>59</v>
      </c>
      <c r="C707" t="s">
        <v>60</v>
      </c>
      <c r="D707" t="s">
        <v>61</v>
      </c>
      <c r="E707" t="s">
        <v>118</v>
      </c>
      <c r="F707" t="s">
        <v>125</v>
      </c>
      <c r="G707" t="s">
        <v>72</v>
      </c>
      <c r="H707" s="1">
        <v>45338</v>
      </c>
      <c r="I707" t="s">
        <v>24</v>
      </c>
      <c r="J707" t="s">
        <v>603</v>
      </c>
      <c r="K707">
        <v>1</v>
      </c>
      <c r="N707">
        <v>299</v>
      </c>
      <c r="O707">
        <v>60</v>
      </c>
      <c r="P707" s="1">
        <v>45415</v>
      </c>
      <c r="Q707" s="1"/>
      <c r="R707" t="str">
        <f>IF(Table1[[#This Row],[Actual close date]]="","",Table1[[#This Row],[Actual close date]]-Table1[[#This Row],[Expected close date]])</f>
        <v/>
      </c>
    </row>
    <row r="708" spans="1:18" x14ac:dyDescent="0.25">
      <c r="A708" t="s">
        <v>784</v>
      </c>
      <c r="B708" t="s">
        <v>33</v>
      </c>
      <c r="C708" t="s">
        <v>34</v>
      </c>
      <c r="D708" t="s">
        <v>35</v>
      </c>
      <c r="E708" t="s">
        <v>45</v>
      </c>
      <c r="F708" t="s">
        <v>125</v>
      </c>
      <c r="G708" t="s">
        <v>31</v>
      </c>
      <c r="H708" s="1">
        <v>45408</v>
      </c>
      <c r="I708" t="s">
        <v>64</v>
      </c>
      <c r="J708" t="s">
        <v>603</v>
      </c>
      <c r="K708">
        <v>1</v>
      </c>
      <c r="N708">
        <v>935</v>
      </c>
      <c r="O708">
        <v>80</v>
      </c>
      <c r="P708" s="1">
        <v>45732</v>
      </c>
      <c r="Q708" s="1"/>
      <c r="R708" t="str">
        <f>IF(Table1[[#This Row],[Actual close date]]="","",Table1[[#This Row],[Actual close date]]-Table1[[#This Row],[Expected close date]])</f>
        <v/>
      </c>
    </row>
    <row r="709" spans="1:18" x14ac:dyDescent="0.25">
      <c r="A709" t="s">
        <v>785</v>
      </c>
      <c r="B709" t="s">
        <v>39</v>
      </c>
      <c r="C709" t="s">
        <v>40</v>
      </c>
      <c r="D709" t="s">
        <v>41</v>
      </c>
      <c r="E709" t="s">
        <v>42</v>
      </c>
      <c r="F709" t="s">
        <v>125</v>
      </c>
      <c r="G709" t="s">
        <v>46</v>
      </c>
      <c r="H709" s="1">
        <v>45315</v>
      </c>
      <c r="I709" t="s">
        <v>24</v>
      </c>
      <c r="J709" t="s">
        <v>603</v>
      </c>
      <c r="K709">
        <v>1</v>
      </c>
      <c r="N709">
        <v>828</v>
      </c>
      <c r="O709">
        <v>100</v>
      </c>
      <c r="P709" s="1">
        <v>45573</v>
      </c>
      <c r="Q709" s="1"/>
      <c r="R709" t="str">
        <f>IF(Table1[[#This Row],[Actual close date]]="","",Table1[[#This Row],[Actual close date]]-Table1[[#This Row],[Expected close date]])</f>
        <v/>
      </c>
    </row>
    <row r="710" spans="1:18" x14ac:dyDescent="0.25">
      <c r="A710" t="s">
        <v>786</v>
      </c>
      <c r="B710" t="s">
        <v>49</v>
      </c>
      <c r="C710" t="s">
        <v>50</v>
      </c>
      <c r="D710" t="s">
        <v>51</v>
      </c>
      <c r="E710" t="s">
        <v>36</v>
      </c>
      <c r="F710" t="s">
        <v>125</v>
      </c>
      <c r="G710" t="s">
        <v>57</v>
      </c>
      <c r="H710" s="1">
        <v>45342</v>
      </c>
      <c r="I710" t="s">
        <v>64</v>
      </c>
      <c r="J710" t="s">
        <v>603</v>
      </c>
      <c r="K710">
        <v>1</v>
      </c>
      <c r="N710">
        <v>1035</v>
      </c>
      <c r="O710">
        <v>50</v>
      </c>
      <c r="P710" s="1">
        <v>45532</v>
      </c>
      <c r="Q710" s="1"/>
      <c r="R710" t="str">
        <f>IF(Table1[[#This Row],[Actual close date]]="","",Table1[[#This Row],[Actual close date]]-Table1[[#This Row],[Expected close date]])</f>
        <v/>
      </c>
    </row>
    <row r="711" spans="1:18" x14ac:dyDescent="0.25">
      <c r="A711" t="s">
        <v>787</v>
      </c>
      <c r="B711" t="s">
        <v>39</v>
      </c>
      <c r="C711" t="s">
        <v>40</v>
      </c>
      <c r="D711" t="s">
        <v>41</v>
      </c>
      <c r="E711" t="s">
        <v>52</v>
      </c>
      <c r="F711" t="s">
        <v>125</v>
      </c>
      <c r="G711" t="s">
        <v>83</v>
      </c>
      <c r="H711" s="1">
        <v>45374</v>
      </c>
      <c r="I711" t="s">
        <v>24</v>
      </c>
      <c r="J711" t="s">
        <v>603</v>
      </c>
      <c r="K711">
        <v>1</v>
      </c>
      <c r="N711">
        <v>749</v>
      </c>
      <c r="O711">
        <v>20</v>
      </c>
      <c r="P711" s="1">
        <v>45734</v>
      </c>
      <c r="Q711" s="1"/>
      <c r="R711" t="str">
        <f>IF(Table1[[#This Row],[Actual close date]]="","",Table1[[#This Row],[Actual close date]]-Table1[[#This Row],[Expected close date]])</f>
        <v/>
      </c>
    </row>
    <row r="712" spans="1:18" x14ac:dyDescent="0.25">
      <c r="A712" t="s">
        <v>788</v>
      </c>
      <c r="B712" t="s">
        <v>33</v>
      </c>
      <c r="C712" t="s">
        <v>34</v>
      </c>
      <c r="D712" t="s">
        <v>35</v>
      </c>
      <c r="E712" t="s">
        <v>42</v>
      </c>
      <c r="F712" t="s">
        <v>125</v>
      </c>
      <c r="G712" t="s">
        <v>72</v>
      </c>
      <c r="H712" s="1">
        <v>45355</v>
      </c>
      <c r="I712" t="s">
        <v>24</v>
      </c>
      <c r="J712" t="s">
        <v>603</v>
      </c>
      <c r="K712">
        <v>1</v>
      </c>
      <c r="N712">
        <v>866</v>
      </c>
      <c r="O712">
        <v>40</v>
      </c>
      <c r="P712" s="1">
        <v>45651</v>
      </c>
      <c r="Q712" s="1"/>
      <c r="R712" t="str">
        <f>IF(Table1[[#This Row],[Actual close date]]="","",Table1[[#This Row],[Actual close date]]-Table1[[#This Row],[Expected close date]])</f>
        <v/>
      </c>
    </row>
    <row r="713" spans="1:18" x14ac:dyDescent="0.25">
      <c r="A713" t="s">
        <v>789</v>
      </c>
      <c r="B713" t="s">
        <v>59</v>
      </c>
      <c r="C713" t="s">
        <v>60</v>
      </c>
      <c r="D713" t="s">
        <v>61</v>
      </c>
      <c r="E713" t="s">
        <v>52</v>
      </c>
      <c r="F713" t="s">
        <v>125</v>
      </c>
      <c r="G713" t="s">
        <v>72</v>
      </c>
      <c r="H713" s="1">
        <v>45407</v>
      </c>
      <c r="I713" t="s">
        <v>64</v>
      </c>
      <c r="J713" t="s">
        <v>603</v>
      </c>
      <c r="K713">
        <v>1</v>
      </c>
      <c r="N713">
        <v>315</v>
      </c>
      <c r="O713">
        <v>40</v>
      </c>
      <c r="P713" s="1">
        <v>45585</v>
      </c>
      <c r="Q713" s="1"/>
      <c r="R713" t="str">
        <f>IF(Table1[[#This Row],[Actual close date]]="","",Table1[[#This Row],[Actual close date]]-Table1[[#This Row],[Expected close date]])</f>
        <v/>
      </c>
    </row>
    <row r="714" spans="1:18" x14ac:dyDescent="0.25">
      <c r="A714" t="s">
        <v>790</v>
      </c>
      <c r="B714" t="s">
        <v>33</v>
      </c>
      <c r="C714" t="s">
        <v>34</v>
      </c>
      <c r="D714" t="s">
        <v>35</v>
      </c>
      <c r="E714" t="s">
        <v>74</v>
      </c>
      <c r="F714" t="s">
        <v>125</v>
      </c>
      <c r="G714" t="s">
        <v>72</v>
      </c>
      <c r="H714" s="1">
        <v>45436</v>
      </c>
      <c r="I714" t="s">
        <v>24</v>
      </c>
      <c r="J714" t="s">
        <v>603</v>
      </c>
      <c r="K714">
        <v>1</v>
      </c>
      <c r="N714">
        <v>376</v>
      </c>
      <c r="O714">
        <v>50</v>
      </c>
      <c r="P714" s="1">
        <v>45782</v>
      </c>
      <c r="Q714" s="1"/>
      <c r="R714" t="str">
        <f>IF(Table1[[#This Row],[Actual close date]]="","",Table1[[#This Row],[Actual close date]]-Table1[[#This Row],[Expected close date]])</f>
        <v/>
      </c>
    </row>
    <row r="715" spans="1:18" x14ac:dyDescent="0.25">
      <c r="A715" t="s">
        <v>791</v>
      </c>
      <c r="B715" t="s">
        <v>33</v>
      </c>
      <c r="C715" t="s">
        <v>34</v>
      </c>
      <c r="D715" t="s">
        <v>35</v>
      </c>
      <c r="E715" t="s">
        <v>30</v>
      </c>
      <c r="F715" t="s">
        <v>125</v>
      </c>
      <c r="G715" t="s">
        <v>46</v>
      </c>
      <c r="H715" s="1">
        <v>45340</v>
      </c>
      <c r="I715" t="s">
        <v>24</v>
      </c>
      <c r="J715" t="s">
        <v>603</v>
      </c>
      <c r="K715">
        <v>1</v>
      </c>
      <c r="N715">
        <v>625</v>
      </c>
      <c r="O715">
        <v>30</v>
      </c>
      <c r="P715" s="1">
        <v>45493</v>
      </c>
      <c r="Q715" s="1"/>
      <c r="R715" t="str">
        <f>IF(Table1[[#This Row],[Actual close date]]="","",Table1[[#This Row],[Actual close date]]-Table1[[#This Row],[Expected close date]])</f>
        <v/>
      </c>
    </row>
    <row r="716" spans="1:18" x14ac:dyDescent="0.25">
      <c r="A716" t="s">
        <v>792</v>
      </c>
      <c r="B716" t="s">
        <v>69</v>
      </c>
      <c r="C716" t="s">
        <v>70</v>
      </c>
      <c r="D716" t="s">
        <v>71</v>
      </c>
      <c r="E716" t="s">
        <v>21</v>
      </c>
      <c r="F716" t="s">
        <v>125</v>
      </c>
      <c r="G716" t="s">
        <v>57</v>
      </c>
      <c r="H716" s="1">
        <v>45409</v>
      </c>
      <c r="I716" t="s">
        <v>24</v>
      </c>
      <c r="J716" t="s">
        <v>603</v>
      </c>
      <c r="K716">
        <v>1</v>
      </c>
      <c r="N716">
        <v>859</v>
      </c>
      <c r="O716">
        <v>20</v>
      </c>
      <c r="P716" s="1">
        <v>45762</v>
      </c>
      <c r="Q716" s="1"/>
      <c r="R716" t="str">
        <f>IF(Table1[[#This Row],[Actual close date]]="","",Table1[[#This Row],[Actual close date]]-Table1[[#This Row],[Expected close date]])</f>
        <v/>
      </c>
    </row>
    <row r="717" spans="1:18" x14ac:dyDescent="0.25">
      <c r="A717" t="s">
        <v>793</v>
      </c>
      <c r="B717" t="s">
        <v>33</v>
      </c>
      <c r="C717" t="s">
        <v>34</v>
      </c>
      <c r="D717" t="s">
        <v>35</v>
      </c>
      <c r="E717" t="s">
        <v>62</v>
      </c>
      <c r="F717" t="s">
        <v>125</v>
      </c>
      <c r="G717" t="s">
        <v>57</v>
      </c>
      <c r="H717" s="1">
        <v>45326</v>
      </c>
      <c r="I717" t="s">
        <v>24</v>
      </c>
      <c r="J717" t="s">
        <v>603</v>
      </c>
      <c r="K717">
        <v>1</v>
      </c>
      <c r="N717">
        <v>1139</v>
      </c>
      <c r="O717">
        <v>30</v>
      </c>
      <c r="P717" s="1">
        <v>45480</v>
      </c>
      <c r="Q717" s="1"/>
      <c r="R717" t="str">
        <f>IF(Table1[[#This Row],[Actual close date]]="","",Table1[[#This Row],[Actual close date]]-Table1[[#This Row],[Expected close date]])</f>
        <v/>
      </c>
    </row>
    <row r="718" spans="1:18" x14ac:dyDescent="0.25">
      <c r="A718" t="s">
        <v>794</v>
      </c>
      <c r="B718" t="s">
        <v>59</v>
      </c>
      <c r="C718" t="s">
        <v>60</v>
      </c>
      <c r="D718" t="s">
        <v>61</v>
      </c>
      <c r="E718" t="s">
        <v>74</v>
      </c>
      <c r="F718" t="s">
        <v>125</v>
      </c>
      <c r="G718" t="s">
        <v>37</v>
      </c>
      <c r="H718" s="1">
        <v>45371</v>
      </c>
      <c r="I718" t="s">
        <v>64</v>
      </c>
      <c r="J718" t="s">
        <v>603</v>
      </c>
      <c r="K718">
        <v>1</v>
      </c>
      <c r="N718">
        <v>458</v>
      </c>
      <c r="O718">
        <v>30</v>
      </c>
      <c r="P718" s="1">
        <v>45520</v>
      </c>
      <c r="Q718" s="1"/>
      <c r="R718" t="str">
        <f>IF(Table1[[#This Row],[Actual close date]]="","",Table1[[#This Row],[Actual close date]]-Table1[[#This Row],[Expected close date]])</f>
        <v/>
      </c>
    </row>
    <row r="719" spans="1:18" x14ac:dyDescent="0.25">
      <c r="A719" t="s">
        <v>795</v>
      </c>
      <c r="B719" t="s">
        <v>18</v>
      </c>
      <c r="C719" t="s">
        <v>19</v>
      </c>
      <c r="D719" t="s">
        <v>20</v>
      </c>
      <c r="E719" t="s">
        <v>62</v>
      </c>
      <c r="F719" t="s">
        <v>125</v>
      </c>
      <c r="G719" t="s">
        <v>85</v>
      </c>
      <c r="H719" s="1">
        <v>45312</v>
      </c>
      <c r="I719" t="s">
        <v>64</v>
      </c>
      <c r="J719" t="s">
        <v>603</v>
      </c>
      <c r="K719">
        <v>1</v>
      </c>
      <c r="N719">
        <v>737</v>
      </c>
      <c r="O719">
        <v>40</v>
      </c>
      <c r="P719" s="1">
        <v>45677</v>
      </c>
      <c r="Q719" s="1"/>
      <c r="R719" t="str">
        <f>IF(Table1[[#This Row],[Actual close date]]="","",Table1[[#This Row],[Actual close date]]-Table1[[#This Row],[Expected close date]])</f>
        <v/>
      </c>
    </row>
    <row r="720" spans="1:18" x14ac:dyDescent="0.25">
      <c r="A720" t="s">
        <v>796</v>
      </c>
      <c r="B720" t="s">
        <v>59</v>
      </c>
      <c r="C720" t="s">
        <v>60</v>
      </c>
      <c r="D720" t="s">
        <v>61</v>
      </c>
      <c r="E720" t="s">
        <v>62</v>
      </c>
      <c r="F720" t="s">
        <v>125</v>
      </c>
      <c r="G720" t="s">
        <v>57</v>
      </c>
      <c r="H720" s="1">
        <v>45376</v>
      </c>
      <c r="I720" t="s">
        <v>47</v>
      </c>
      <c r="J720" t="s">
        <v>603</v>
      </c>
      <c r="K720">
        <v>1</v>
      </c>
      <c r="N720">
        <v>1096</v>
      </c>
      <c r="O720">
        <v>40</v>
      </c>
      <c r="P720" s="1">
        <v>45728</v>
      </c>
      <c r="Q720" s="1"/>
      <c r="R720" t="str">
        <f>IF(Table1[[#This Row],[Actual close date]]="","",Table1[[#This Row],[Actual close date]]-Table1[[#This Row],[Expected close date]])</f>
        <v/>
      </c>
    </row>
    <row r="721" spans="1:18" x14ac:dyDescent="0.25">
      <c r="A721" t="s">
        <v>797</v>
      </c>
      <c r="B721" t="s">
        <v>39</v>
      </c>
      <c r="C721" t="s">
        <v>40</v>
      </c>
      <c r="D721" t="s">
        <v>41</v>
      </c>
      <c r="E721" t="s">
        <v>98</v>
      </c>
      <c r="F721" t="s">
        <v>125</v>
      </c>
      <c r="G721" t="s">
        <v>57</v>
      </c>
      <c r="H721" s="1">
        <v>45357</v>
      </c>
      <c r="I721" t="s">
        <v>64</v>
      </c>
      <c r="J721" t="s">
        <v>603</v>
      </c>
      <c r="K721">
        <v>1</v>
      </c>
      <c r="N721">
        <v>491</v>
      </c>
      <c r="O721">
        <v>90</v>
      </c>
      <c r="P721" s="1">
        <v>45714</v>
      </c>
      <c r="Q721" s="1"/>
      <c r="R721" t="str">
        <f>IF(Table1[[#This Row],[Actual close date]]="","",Table1[[#This Row],[Actual close date]]-Table1[[#This Row],[Expected close date]])</f>
        <v/>
      </c>
    </row>
    <row r="722" spans="1:18" x14ac:dyDescent="0.25">
      <c r="A722" t="s">
        <v>798</v>
      </c>
      <c r="B722" t="s">
        <v>33</v>
      </c>
      <c r="C722" t="s">
        <v>34</v>
      </c>
      <c r="D722" t="s">
        <v>35</v>
      </c>
      <c r="E722" t="s">
        <v>52</v>
      </c>
      <c r="F722" t="s">
        <v>125</v>
      </c>
      <c r="G722" t="s">
        <v>46</v>
      </c>
      <c r="H722" s="1">
        <v>45371</v>
      </c>
      <c r="I722" t="s">
        <v>24</v>
      </c>
      <c r="J722" t="s">
        <v>603</v>
      </c>
      <c r="K722">
        <v>1</v>
      </c>
      <c r="N722">
        <v>1107</v>
      </c>
      <c r="O722">
        <v>40</v>
      </c>
      <c r="P722" s="1">
        <v>45625</v>
      </c>
      <c r="Q722" s="1"/>
      <c r="R722" t="str">
        <f>IF(Table1[[#This Row],[Actual close date]]="","",Table1[[#This Row],[Actual close date]]-Table1[[#This Row],[Expected close date]])</f>
        <v/>
      </c>
    </row>
    <row r="723" spans="1:18" x14ac:dyDescent="0.25">
      <c r="A723" t="s">
        <v>799</v>
      </c>
      <c r="B723" t="s">
        <v>27</v>
      </c>
      <c r="C723" t="s">
        <v>28</v>
      </c>
      <c r="D723" t="s">
        <v>29</v>
      </c>
      <c r="E723" t="s">
        <v>45</v>
      </c>
      <c r="F723" t="s">
        <v>125</v>
      </c>
      <c r="G723" t="s">
        <v>72</v>
      </c>
      <c r="H723" s="1">
        <v>45380</v>
      </c>
      <c r="I723" t="s">
        <v>24</v>
      </c>
      <c r="J723" t="s">
        <v>603</v>
      </c>
      <c r="K723">
        <v>1</v>
      </c>
      <c r="N723">
        <v>261</v>
      </c>
      <c r="O723">
        <v>30</v>
      </c>
      <c r="P723" s="1">
        <v>45517</v>
      </c>
      <c r="Q723" s="1"/>
      <c r="R723" t="str">
        <f>IF(Table1[[#This Row],[Actual close date]]="","",Table1[[#This Row],[Actual close date]]-Table1[[#This Row],[Expected close date]])</f>
        <v/>
      </c>
    </row>
    <row r="724" spans="1:18" x14ac:dyDescent="0.25">
      <c r="A724" t="s">
        <v>800</v>
      </c>
      <c r="B724" t="s">
        <v>69</v>
      </c>
      <c r="C724" t="s">
        <v>70</v>
      </c>
      <c r="D724" t="s">
        <v>71</v>
      </c>
      <c r="E724" t="s">
        <v>36</v>
      </c>
      <c r="F724" t="s">
        <v>125</v>
      </c>
      <c r="G724" t="s">
        <v>46</v>
      </c>
      <c r="H724" s="1">
        <v>45396</v>
      </c>
      <c r="I724" t="s">
        <v>24</v>
      </c>
      <c r="J724" t="s">
        <v>603</v>
      </c>
      <c r="K724">
        <v>1</v>
      </c>
      <c r="N724">
        <v>873</v>
      </c>
      <c r="O724">
        <v>30</v>
      </c>
      <c r="P724" s="1">
        <v>45550</v>
      </c>
      <c r="Q724" s="1"/>
      <c r="R724" t="str">
        <f>IF(Table1[[#This Row],[Actual close date]]="","",Table1[[#This Row],[Actual close date]]-Table1[[#This Row],[Expected close date]])</f>
        <v/>
      </c>
    </row>
    <row r="725" spans="1:18" x14ac:dyDescent="0.25">
      <c r="A725" t="s">
        <v>801</v>
      </c>
      <c r="B725" t="s">
        <v>54</v>
      </c>
      <c r="C725" t="s">
        <v>55</v>
      </c>
      <c r="D725" t="s">
        <v>56</v>
      </c>
      <c r="E725" t="s">
        <v>36</v>
      </c>
      <c r="F725" t="s">
        <v>125</v>
      </c>
      <c r="G725" t="s">
        <v>46</v>
      </c>
      <c r="H725" s="1">
        <v>45367</v>
      </c>
      <c r="I725" t="s">
        <v>47</v>
      </c>
      <c r="J725" t="s">
        <v>603</v>
      </c>
      <c r="K725">
        <v>1</v>
      </c>
      <c r="N725">
        <v>455</v>
      </c>
      <c r="O725">
        <v>20</v>
      </c>
      <c r="P725" s="1">
        <v>45679</v>
      </c>
      <c r="Q725" s="1"/>
      <c r="R725" t="str">
        <f>IF(Table1[[#This Row],[Actual close date]]="","",Table1[[#This Row],[Actual close date]]-Table1[[#This Row],[Expected close date]])</f>
        <v/>
      </c>
    </row>
    <row r="726" spans="1:18" x14ac:dyDescent="0.25">
      <c r="A726" t="s">
        <v>802</v>
      </c>
      <c r="B726" t="s">
        <v>54</v>
      </c>
      <c r="C726" t="s">
        <v>55</v>
      </c>
      <c r="D726" t="s">
        <v>56</v>
      </c>
      <c r="E726" t="s">
        <v>62</v>
      </c>
      <c r="F726" t="s">
        <v>125</v>
      </c>
      <c r="G726" t="s">
        <v>57</v>
      </c>
      <c r="H726" s="1">
        <v>45399</v>
      </c>
      <c r="I726" t="s">
        <v>64</v>
      </c>
      <c r="J726" t="s">
        <v>603</v>
      </c>
      <c r="K726">
        <v>1</v>
      </c>
      <c r="N726">
        <v>600</v>
      </c>
      <c r="O726">
        <v>40</v>
      </c>
      <c r="P726" s="1">
        <v>45550</v>
      </c>
      <c r="Q726" s="1"/>
      <c r="R726" t="str">
        <f>IF(Table1[[#This Row],[Actual close date]]="","",Table1[[#This Row],[Actual close date]]-Table1[[#This Row],[Expected close date]])</f>
        <v/>
      </c>
    </row>
    <row r="727" spans="1:18" x14ac:dyDescent="0.25">
      <c r="A727" t="s">
        <v>803</v>
      </c>
      <c r="B727" t="s">
        <v>33</v>
      </c>
      <c r="C727" t="s">
        <v>34</v>
      </c>
      <c r="D727" t="s">
        <v>35</v>
      </c>
      <c r="E727" t="s">
        <v>52</v>
      </c>
      <c r="F727" t="s">
        <v>125</v>
      </c>
      <c r="G727" t="s">
        <v>83</v>
      </c>
      <c r="H727" s="1">
        <v>45341</v>
      </c>
      <c r="I727" t="s">
        <v>64</v>
      </c>
      <c r="J727" t="s">
        <v>603</v>
      </c>
      <c r="K727">
        <v>1</v>
      </c>
      <c r="N727">
        <v>467</v>
      </c>
      <c r="O727">
        <v>40</v>
      </c>
      <c r="P727" s="1">
        <v>45411</v>
      </c>
      <c r="Q727" s="1"/>
      <c r="R727" t="str">
        <f>IF(Table1[[#This Row],[Actual close date]]="","",Table1[[#This Row],[Actual close date]]-Table1[[#This Row],[Expected close date]])</f>
        <v/>
      </c>
    </row>
    <row r="728" spans="1:18" x14ac:dyDescent="0.25">
      <c r="A728" t="s">
        <v>804</v>
      </c>
      <c r="B728" t="s">
        <v>54</v>
      </c>
      <c r="C728" t="s">
        <v>55</v>
      </c>
      <c r="D728" t="s">
        <v>56</v>
      </c>
      <c r="E728" t="s">
        <v>30</v>
      </c>
      <c r="F728" t="s">
        <v>125</v>
      </c>
      <c r="G728" t="s">
        <v>31</v>
      </c>
      <c r="H728" s="1">
        <v>45431</v>
      </c>
      <c r="I728" t="s">
        <v>24</v>
      </c>
      <c r="J728" t="s">
        <v>603</v>
      </c>
      <c r="K728">
        <v>1</v>
      </c>
      <c r="N728">
        <v>477</v>
      </c>
      <c r="O728">
        <v>40</v>
      </c>
      <c r="P728" s="1">
        <v>45555</v>
      </c>
      <c r="Q728" s="1"/>
      <c r="R728" t="str">
        <f>IF(Table1[[#This Row],[Actual close date]]="","",Table1[[#This Row],[Actual close date]]-Table1[[#This Row],[Expected close date]])</f>
        <v/>
      </c>
    </row>
    <row r="729" spans="1:18" x14ac:dyDescent="0.25">
      <c r="A729" t="s">
        <v>805</v>
      </c>
      <c r="B729" t="s">
        <v>59</v>
      </c>
      <c r="C729" t="s">
        <v>60</v>
      </c>
      <c r="D729" t="s">
        <v>61</v>
      </c>
      <c r="E729" t="s">
        <v>42</v>
      </c>
      <c r="F729" t="s">
        <v>125</v>
      </c>
      <c r="G729" t="s">
        <v>57</v>
      </c>
      <c r="H729" s="1">
        <v>45353</v>
      </c>
      <c r="I729" t="s">
        <v>24</v>
      </c>
      <c r="J729" t="s">
        <v>603</v>
      </c>
      <c r="K729">
        <v>1</v>
      </c>
      <c r="N729">
        <v>1014</v>
      </c>
      <c r="O729">
        <v>40</v>
      </c>
      <c r="P729" s="1">
        <v>45462</v>
      </c>
      <c r="Q729" s="1"/>
      <c r="R729" t="str">
        <f>IF(Table1[[#This Row],[Actual close date]]="","",Table1[[#This Row],[Actual close date]]-Table1[[#This Row],[Expected close date]])</f>
        <v/>
      </c>
    </row>
    <row r="730" spans="1:18" x14ac:dyDescent="0.25">
      <c r="A730" t="s">
        <v>806</v>
      </c>
      <c r="B730" t="s">
        <v>54</v>
      </c>
      <c r="C730" t="s">
        <v>55</v>
      </c>
      <c r="D730" t="s">
        <v>56</v>
      </c>
      <c r="E730" t="s">
        <v>122</v>
      </c>
      <c r="F730" t="s">
        <v>125</v>
      </c>
      <c r="G730" t="s">
        <v>83</v>
      </c>
      <c r="H730" s="1">
        <v>45388</v>
      </c>
      <c r="I730" t="s">
        <v>64</v>
      </c>
      <c r="J730" t="s">
        <v>603</v>
      </c>
      <c r="K730">
        <v>1</v>
      </c>
      <c r="N730">
        <v>226</v>
      </c>
      <c r="O730">
        <v>40</v>
      </c>
      <c r="P730" s="1">
        <v>45688</v>
      </c>
      <c r="Q730" s="1"/>
      <c r="R730" t="str">
        <f>IF(Table1[[#This Row],[Actual close date]]="","",Table1[[#This Row],[Actual close date]]-Table1[[#This Row],[Expected close date]])</f>
        <v/>
      </c>
    </row>
    <row r="731" spans="1:18" x14ac:dyDescent="0.25">
      <c r="A731" t="s">
        <v>807</v>
      </c>
      <c r="B731" t="s">
        <v>69</v>
      </c>
      <c r="C731" t="s">
        <v>70</v>
      </c>
      <c r="D731" t="s">
        <v>71</v>
      </c>
      <c r="E731" t="s">
        <v>98</v>
      </c>
      <c r="F731" t="s">
        <v>125</v>
      </c>
      <c r="G731" t="s">
        <v>72</v>
      </c>
      <c r="H731" s="1">
        <v>45308</v>
      </c>
      <c r="I731" t="s">
        <v>47</v>
      </c>
      <c r="J731" t="s">
        <v>603</v>
      </c>
      <c r="K731">
        <v>1</v>
      </c>
      <c r="N731">
        <v>688</v>
      </c>
      <c r="O731">
        <v>20</v>
      </c>
      <c r="P731" s="1">
        <v>45495</v>
      </c>
      <c r="Q731" s="1"/>
      <c r="R731" t="str">
        <f>IF(Table1[[#This Row],[Actual close date]]="","",Table1[[#This Row],[Actual close date]]-Table1[[#This Row],[Expected close date]])</f>
        <v/>
      </c>
    </row>
    <row r="732" spans="1:18" x14ac:dyDescent="0.25">
      <c r="A732" t="s">
        <v>808</v>
      </c>
      <c r="B732" t="s">
        <v>39</v>
      </c>
      <c r="C732" t="s">
        <v>40</v>
      </c>
      <c r="D732" t="s">
        <v>41</v>
      </c>
      <c r="E732" t="s">
        <v>74</v>
      </c>
      <c r="F732" t="s">
        <v>125</v>
      </c>
      <c r="G732" t="s">
        <v>31</v>
      </c>
      <c r="H732" s="1">
        <v>45298</v>
      </c>
      <c r="I732" t="s">
        <v>64</v>
      </c>
      <c r="J732" t="s">
        <v>603</v>
      </c>
      <c r="K732">
        <v>1</v>
      </c>
      <c r="N732">
        <v>814</v>
      </c>
      <c r="O732">
        <v>40</v>
      </c>
      <c r="P732" s="1">
        <v>45600</v>
      </c>
      <c r="Q732" s="1"/>
      <c r="R732" t="str">
        <f>IF(Table1[[#This Row],[Actual close date]]="","",Table1[[#This Row],[Actual close date]]-Table1[[#This Row],[Expected close date]])</f>
        <v/>
      </c>
    </row>
    <row r="733" spans="1:18" x14ac:dyDescent="0.25">
      <c r="A733" t="s">
        <v>809</v>
      </c>
      <c r="B733" t="s">
        <v>54</v>
      </c>
      <c r="C733" t="s">
        <v>55</v>
      </c>
      <c r="D733" t="s">
        <v>56</v>
      </c>
      <c r="E733" t="s">
        <v>45</v>
      </c>
      <c r="F733" t="s">
        <v>125</v>
      </c>
      <c r="G733" t="s">
        <v>31</v>
      </c>
      <c r="H733" s="1">
        <v>45347</v>
      </c>
      <c r="I733" t="s">
        <v>24</v>
      </c>
      <c r="J733" t="s">
        <v>603</v>
      </c>
      <c r="K733">
        <v>1</v>
      </c>
      <c r="N733">
        <v>648</v>
      </c>
      <c r="O733">
        <v>50</v>
      </c>
      <c r="P733" s="1">
        <v>45394</v>
      </c>
      <c r="Q733" s="1"/>
      <c r="R733" t="str">
        <f>IF(Table1[[#This Row],[Actual close date]]="","",Table1[[#This Row],[Actual close date]]-Table1[[#This Row],[Expected close date]])</f>
        <v/>
      </c>
    </row>
    <row r="734" spans="1:18" x14ac:dyDescent="0.25">
      <c r="A734" t="s">
        <v>810</v>
      </c>
      <c r="B734" t="s">
        <v>59</v>
      </c>
      <c r="C734" t="s">
        <v>60</v>
      </c>
      <c r="D734" t="s">
        <v>61</v>
      </c>
      <c r="E734" t="s">
        <v>21</v>
      </c>
      <c r="F734" t="s">
        <v>125</v>
      </c>
      <c r="G734" t="s">
        <v>57</v>
      </c>
      <c r="H734" s="1">
        <v>45373</v>
      </c>
      <c r="I734" t="s">
        <v>64</v>
      </c>
      <c r="J734" t="s">
        <v>603</v>
      </c>
      <c r="K734">
        <v>1</v>
      </c>
      <c r="N734">
        <v>880</v>
      </c>
      <c r="O734">
        <v>30</v>
      </c>
      <c r="P734" s="1">
        <v>45635</v>
      </c>
      <c r="Q734" s="1"/>
      <c r="R734" t="str">
        <f>IF(Table1[[#This Row],[Actual close date]]="","",Table1[[#This Row],[Actual close date]]-Table1[[#This Row],[Expected close date]])</f>
        <v/>
      </c>
    </row>
    <row r="735" spans="1:18" x14ac:dyDescent="0.25">
      <c r="A735" t="s">
        <v>811</v>
      </c>
      <c r="B735" t="s">
        <v>33</v>
      </c>
      <c r="C735" t="s">
        <v>34</v>
      </c>
      <c r="D735" t="s">
        <v>35</v>
      </c>
      <c r="E735" t="s">
        <v>122</v>
      </c>
      <c r="F735" t="s">
        <v>125</v>
      </c>
      <c r="G735" t="s">
        <v>37</v>
      </c>
      <c r="H735" s="1">
        <v>45375</v>
      </c>
      <c r="I735" t="s">
        <v>24</v>
      </c>
      <c r="J735" t="s">
        <v>603</v>
      </c>
      <c r="K735">
        <v>1</v>
      </c>
      <c r="N735">
        <v>936</v>
      </c>
      <c r="O735">
        <v>80</v>
      </c>
      <c r="P735" s="1">
        <v>45701</v>
      </c>
      <c r="Q735" s="1"/>
      <c r="R735" t="str">
        <f>IF(Table1[[#This Row],[Actual close date]]="","",Table1[[#This Row],[Actual close date]]-Table1[[#This Row],[Expected close date]])</f>
        <v/>
      </c>
    </row>
    <row r="736" spans="1:18" x14ac:dyDescent="0.25">
      <c r="A736" t="s">
        <v>812</v>
      </c>
      <c r="B736" t="s">
        <v>59</v>
      </c>
      <c r="C736" t="s">
        <v>60</v>
      </c>
      <c r="D736" t="s">
        <v>61</v>
      </c>
      <c r="E736" t="s">
        <v>118</v>
      </c>
      <c r="F736" t="s">
        <v>125</v>
      </c>
      <c r="G736" t="s">
        <v>46</v>
      </c>
      <c r="H736" s="1">
        <v>45411</v>
      </c>
      <c r="I736" t="s">
        <v>64</v>
      </c>
      <c r="J736" t="s">
        <v>603</v>
      </c>
      <c r="K736">
        <v>1</v>
      </c>
      <c r="N736">
        <v>796</v>
      </c>
      <c r="O736">
        <v>70</v>
      </c>
      <c r="P736" s="1">
        <v>45522</v>
      </c>
      <c r="Q736" s="1"/>
      <c r="R736" t="str">
        <f>IF(Table1[[#This Row],[Actual close date]]="","",Table1[[#This Row],[Actual close date]]-Table1[[#This Row],[Expected close date]])</f>
        <v/>
      </c>
    </row>
    <row r="737" spans="1:18" x14ac:dyDescent="0.25">
      <c r="A737" t="s">
        <v>813</v>
      </c>
      <c r="B737" t="s">
        <v>39</v>
      </c>
      <c r="C737" t="s">
        <v>40</v>
      </c>
      <c r="D737" t="s">
        <v>41</v>
      </c>
      <c r="E737" t="s">
        <v>30</v>
      </c>
      <c r="F737" t="s">
        <v>125</v>
      </c>
      <c r="G737" t="s">
        <v>46</v>
      </c>
      <c r="H737" s="1">
        <v>45293</v>
      </c>
      <c r="I737" t="s">
        <v>64</v>
      </c>
      <c r="J737" t="s">
        <v>603</v>
      </c>
      <c r="K737">
        <v>1</v>
      </c>
      <c r="N737">
        <v>973</v>
      </c>
      <c r="O737">
        <v>30</v>
      </c>
      <c r="P737" s="1">
        <v>45404</v>
      </c>
      <c r="Q737" s="1"/>
      <c r="R737" t="str">
        <f>IF(Table1[[#This Row],[Actual close date]]="","",Table1[[#This Row],[Actual close date]]-Table1[[#This Row],[Expected close date]])</f>
        <v/>
      </c>
    </row>
    <row r="738" spans="1:18" x14ac:dyDescent="0.25">
      <c r="A738" t="s">
        <v>814</v>
      </c>
      <c r="B738" t="s">
        <v>33</v>
      </c>
      <c r="C738" t="s">
        <v>34</v>
      </c>
      <c r="D738" t="s">
        <v>35</v>
      </c>
      <c r="E738" t="s">
        <v>66</v>
      </c>
      <c r="F738" t="s">
        <v>125</v>
      </c>
      <c r="G738" t="s">
        <v>37</v>
      </c>
      <c r="H738" s="1">
        <v>45443</v>
      </c>
      <c r="I738" t="s">
        <v>24</v>
      </c>
      <c r="J738" t="s">
        <v>603</v>
      </c>
      <c r="K738">
        <v>1</v>
      </c>
      <c r="N738">
        <v>1097</v>
      </c>
      <c r="O738">
        <v>60</v>
      </c>
      <c r="P738" s="1">
        <v>45794</v>
      </c>
      <c r="Q738" s="1"/>
      <c r="R738" t="str">
        <f>IF(Table1[[#This Row],[Actual close date]]="","",Table1[[#This Row],[Actual close date]]-Table1[[#This Row],[Expected close date]])</f>
        <v/>
      </c>
    </row>
    <row r="739" spans="1:18" x14ac:dyDescent="0.25">
      <c r="A739" t="s">
        <v>815</v>
      </c>
      <c r="B739" t="s">
        <v>59</v>
      </c>
      <c r="C739" t="s">
        <v>60</v>
      </c>
      <c r="D739" t="s">
        <v>61</v>
      </c>
      <c r="E739" t="s">
        <v>45</v>
      </c>
      <c r="F739" t="s">
        <v>125</v>
      </c>
      <c r="G739" t="s">
        <v>85</v>
      </c>
      <c r="H739" s="1">
        <v>45418</v>
      </c>
      <c r="I739" t="s">
        <v>24</v>
      </c>
      <c r="J739" t="s">
        <v>603</v>
      </c>
      <c r="K739">
        <v>1</v>
      </c>
      <c r="N739">
        <v>1020</v>
      </c>
      <c r="O739">
        <v>20</v>
      </c>
      <c r="P739" s="1">
        <v>45761</v>
      </c>
      <c r="Q739" s="1"/>
      <c r="R739" t="str">
        <f>IF(Table1[[#This Row],[Actual close date]]="","",Table1[[#This Row],[Actual close date]]-Table1[[#This Row],[Expected close date]])</f>
        <v/>
      </c>
    </row>
    <row r="740" spans="1:18" x14ac:dyDescent="0.25">
      <c r="A740" t="s">
        <v>816</v>
      </c>
      <c r="B740" t="s">
        <v>54</v>
      </c>
      <c r="C740" t="s">
        <v>55</v>
      </c>
      <c r="D740" t="s">
        <v>56</v>
      </c>
      <c r="E740" t="s">
        <v>52</v>
      </c>
      <c r="F740" t="s">
        <v>125</v>
      </c>
      <c r="G740" t="s">
        <v>83</v>
      </c>
      <c r="H740" s="1">
        <v>45374</v>
      </c>
      <c r="I740" t="s">
        <v>47</v>
      </c>
      <c r="J740" t="s">
        <v>603</v>
      </c>
      <c r="K740">
        <v>1</v>
      </c>
      <c r="N740">
        <v>1067</v>
      </c>
      <c r="O740">
        <v>20</v>
      </c>
      <c r="P740" s="1">
        <v>45507</v>
      </c>
      <c r="Q740" s="1"/>
      <c r="R740" t="str">
        <f>IF(Table1[[#This Row],[Actual close date]]="","",Table1[[#This Row],[Actual close date]]-Table1[[#This Row],[Expected close date]])</f>
        <v/>
      </c>
    </row>
    <row r="741" spans="1:18" x14ac:dyDescent="0.25">
      <c r="A741" t="s">
        <v>817</v>
      </c>
      <c r="B741" t="s">
        <v>54</v>
      </c>
      <c r="C741" t="s">
        <v>55</v>
      </c>
      <c r="D741" t="s">
        <v>56</v>
      </c>
      <c r="E741" t="s">
        <v>30</v>
      </c>
      <c r="F741" t="s">
        <v>125</v>
      </c>
      <c r="G741" t="s">
        <v>57</v>
      </c>
      <c r="H741" s="1">
        <v>45323</v>
      </c>
      <c r="I741" t="s">
        <v>64</v>
      </c>
      <c r="J741" t="s">
        <v>603</v>
      </c>
      <c r="K741">
        <v>1</v>
      </c>
      <c r="N741">
        <v>1063</v>
      </c>
      <c r="O741">
        <v>50</v>
      </c>
      <c r="P741" s="1">
        <v>45512</v>
      </c>
      <c r="Q741" s="1"/>
      <c r="R741" t="str">
        <f>IF(Table1[[#This Row],[Actual close date]]="","",Table1[[#This Row],[Actual close date]]-Table1[[#This Row],[Expected close date]])</f>
        <v/>
      </c>
    </row>
    <row r="742" spans="1:18" x14ac:dyDescent="0.25">
      <c r="A742" t="s">
        <v>818</v>
      </c>
      <c r="B742" t="s">
        <v>76</v>
      </c>
      <c r="C742" t="s">
        <v>77</v>
      </c>
      <c r="D742" t="s">
        <v>78</v>
      </c>
      <c r="E742" t="s">
        <v>74</v>
      </c>
      <c r="F742" t="s">
        <v>125</v>
      </c>
      <c r="G742" t="s">
        <v>72</v>
      </c>
      <c r="H742" s="1">
        <v>45361</v>
      </c>
      <c r="I742" t="s">
        <v>24</v>
      </c>
      <c r="J742" t="s">
        <v>603</v>
      </c>
      <c r="K742">
        <v>1</v>
      </c>
      <c r="N742">
        <v>738</v>
      </c>
      <c r="O742">
        <v>20</v>
      </c>
      <c r="P742" s="1">
        <v>45576</v>
      </c>
      <c r="Q742" s="1"/>
      <c r="R742" t="str">
        <f>IF(Table1[[#This Row],[Actual close date]]="","",Table1[[#This Row],[Actual close date]]-Table1[[#This Row],[Expected close date]])</f>
        <v/>
      </c>
    </row>
    <row r="743" spans="1:18" x14ac:dyDescent="0.25">
      <c r="A743" t="s">
        <v>819</v>
      </c>
      <c r="B743" t="s">
        <v>33</v>
      </c>
      <c r="C743" t="s">
        <v>34</v>
      </c>
      <c r="D743" t="s">
        <v>35</v>
      </c>
      <c r="E743" t="s">
        <v>122</v>
      </c>
      <c r="F743" t="s">
        <v>125</v>
      </c>
      <c r="G743" t="s">
        <v>46</v>
      </c>
      <c r="H743" s="1">
        <v>45424</v>
      </c>
      <c r="I743" t="s">
        <v>24</v>
      </c>
      <c r="J743" t="s">
        <v>603</v>
      </c>
      <c r="K743">
        <v>1</v>
      </c>
      <c r="N743">
        <v>425</v>
      </c>
      <c r="O743">
        <v>60</v>
      </c>
      <c r="P743" s="1">
        <v>45464</v>
      </c>
      <c r="Q743" s="1"/>
      <c r="R743" t="str">
        <f>IF(Table1[[#This Row],[Actual close date]]="","",Table1[[#This Row],[Actual close date]]-Table1[[#This Row],[Expected close date]])</f>
        <v/>
      </c>
    </row>
    <row r="744" spans="1:18" x14ac:dyDescent="0.25">
      <c r="A744" t="s">
        <v>820</v>
      </c>
      <c r="B744" t="s">
        <v>59</v>
      </c>
      <c r="C744" t="s">
        <v>60</v>
      </c>
      <c r="D744" t="s">
        <v>61</v>
      </c>
      <c r="E744" t="s">
        <v>66</v>
      </c>
      <c r="F744" t="s">
        <v>125</v>
      </c>
      <c r="G744" t="s">
        <v>83</v>
      </c>
      <c r="H744" s="1">
        <v>45300</v>
      </c>
      <c r="I744" t="s">
        <v>24</v>
      </c>
      <c r="J744" t="s">
        <v>603</v>
      </c>
      <c r="K744">
        <v>1</v>
      </c>
      <c r="N744">
        <v>854</v>
      </c>
      <c r="O744">
        <v>40</v>
      </c>
      <c r="P744" s="1">
        <v>45446</v>
      </c>
      <c r="Q744" s="1"/>
      <c r="R744" t="str">
        <f>IF(Table1[[#This Row],[Actual close date]]="","",Table1[[#This Row],[Actual close date]]-Table1[[#This Row],[Expected close date]])</f>
        <v/>
      </c>
    </row>
    <row r="745" spans="1:18" x14ac:dyDescent="0.25">
      <c r="A745" t="s">
        <v>821</v>
      </c>
      <c r="B745" t="s">
        <v>33</v>
      </c>
      <c r="C745" t="s">
        <v>34</v>
      </c>
      <c r="D745" t="s">
        <v>35</v>
      </c>
      <c r="E745" t="s">
        <v>62</v>
      </c>
      <c r="F745" t="s">
        <v>125</v>
      </c>
      <c r="G745" t="s">
        <v>57</v>
      </c>
      <c r="H745" s="1">
        <v>45337</v>
      </c>
      <c r="I745" t="s">
        <v>64</v>
      </c>
      <c r="J745" t="s">
        <v>603</v>
      </c>
      <c r="K745">
        <v>1</v>
      </c>
      <c r="N745">
        <v>627</v>
      </c>
      <c r="O745">
        <v>20</v>
      </c>
      <c r="P745" s="1">
        <v>45551</v>
      </c>
      <c r="Q745" s="1"/>
      <c r="R745" t="str">
        <f>IF(Table1[[#This Row],[Actual close date]]="","",Table1[[#This Row],[Actual close date]]-Table1[[#This Row],[Expected close date]])</f>
        <v/>
      </c>
    </row>
    <row r="746" spans="1:18" x14ac:dyDescent="0.25">
      <c r="A746" t="s">
        <v>822</v>
      </c>
      <c r="B746" t="s">
        <v>69</v>
      </c>
      <c r="C746" t="s">
        <v>70</v>
      </c>
      <c r="D746" t="s">
        <v>71</v>
      </c>
      <c r="E746" t="s">
        <v>21</v>
      </c>
      <c r="F746" t="s">
        <v>125</v>
      </c>
      <c r="G746" t="s">
        <v>31</v>
      </c>
      <c r="H746" s="1">
        <v>45411</v>
      </c>
      <c r="I746" t="s">
        <v>47</v>
      </c>
      <c r="J746" t="s">
        <v>603</v>
      </c>
      <c r="K746">
        <v>1</v>
      </c>
      <c r="N746">
        <v>365</v>
      </c>
      <c r="O746">
        <v>100</v>
      </c>
      <c r="P746" s="1">
        <v>45507</v>
      </c>
      <c r="Q746" s="1"/>
      <c r="R746" t="str">
        <f>IF(Table1[[#This Row],[Actual close date]]="","",Table1[[#This Row],[Actual close date]]-Table1[[#This Row],[Expected close date]])</f>
        <v/>
      </c>
    </row>
    <row r="747" spans="1:18" x14ac:dyDescent="0.25">
      <c r="A747" t="s">
        <v>823</v>
      </c>
      <c r="B747" t="s">
        <v>33</v>
      </c>
      <c r="C747" t="s">
        <v>34</v>
      </c>
      <c r="D747" t="s">
        <v>35</v>
      </c>
      <c r="E747" t="s">
        <v>45</v>
      </c>
      <c r="F747" t="s">
        <v>125</v>
      </c>
      <c r="G747" t="s">
        <v>72</v>
      </c>
      <c r="H747" s="1">
        <v>45403</v>
      </c>
      <c r="I747" t="s">
        <v>64</v>
      </c>
      <c r="J747" t="s">
        <v>603</v>
      </c>
      <c r="K747">
        <v>1</v>
      </c>
      <c r="N747">
        <v>852</v>
      </c>
      <c r="O747">
        <v>70</v>
      </c>
      <c r="P747" s="1">
        <v>45708</v>
      </c>
      <c r="Q747" s="1"/>
      <c r="R747" t="str">
        <f>IF(Table1[[#This Row],[Actual close date]]="","",Table1[[#This Row],[Actual close date]]-Table1[[#This Row],[Expected close date]])</f>
        <v/>
      </c>
    </row>
    <row r="748" spans="1:18" x14ac:dyDescent="0.25">
      <c r="A748" t="s">
        <v>824</v>
      </c>
      <c r="B748" t="s">
        <v>33</v>
      </c>
      <c r="C748" t="s">
        <v>34</v>
      </c>
      <c r="D748" t="s">
        <v>35</v>
      </c>
      <c r="E748" t="s">
        <v>45</v>
      </c>
      <c r="F748" t="s">
        <v>125</v>
      </c>
      <c r="G748" t="s">
        <v>46</v>
      </c>
      <c r="H748" s="1">
        <v>45402</v>
      </c>
      <c r="I748" t="s">
        <v>64</v>
      </c>
      <c r="J748" t="s">
        <v>603</v>
      </c>
      <c r="K748">
        <v>1</v>
      </c>
      <c r="N748">
        <v>1139</v>
      </c>
      <c r="O748">
        <v>80</v>
      </c>
      <c r="P748" s="1">
        <v>45473</v>
      </c>
      <c r="Q748" s="1"/>
      <c r="R748" t="str">
        <f>IF(Table1[[#This Row],[Actual close date]]="","",Table1[[#This Row],[Actual close date]]-Table1[[#This Row],[Expected close date]])</f>
        <v/>
      </c>
    </row>
    <row r="749" spans="1:18" x14ac:dyDescent="0.25">
      <c r="A749" t="s">
        <v>825</v>
      </c>
      <c r="B749" t="s">
        <v>59</v>
      </c>
      <c r="C749" t="s">
        <v>60</v>
      </c>
      <c r="D749" t="s">
        <v>61</v>
      </c>
      <c r="E749" t="s">
        <v>21</v>
      </c>
      <c r="F749" t="s">
        <v>125</v>
      </c>
      <c r="G749" t="s">
        <v>37</v>
      </c>
      <c r="H749" s="1">
        <v>45365</v>
      </c>
      <c r="I749" t="s">
        <v>64</v>
      </c>
      <c r="J749" t="s">
        <v>603</v>
      </c>
      <c r="K749">
        <v>1</v>
      </c>
      <c r="N749">
        <v>286</v>
      </c>
      <c r="O749">
        <v>40</v>
      </c>
      <c r="P749" s="1">
        <v>45642</v>
      </c>
      <c r="Q749" s="1"/>
      <c r="R749" t="str">
        <f>IF(Table1[[#This Row],[Actual close date]]="","",Table1[[#This Row],[Actual close date]]-Table1[[#This Row],[Expected close date]])</f>
        <v/>
      </c>
    </row>
    <row r="750" spans="1:18" x14ac:dyDescent="0.25">
      <c r="A750" t="s">
        <v>826</v>
      </c>
      <c r="B750" t="s">
        <v>59</v>
      </c>
      <c r="C750" t="s">
        <v>60</v>
      </c>
      <c r="D750" t="s">
        <v>61</v>
      </c>
      <c r="E750" t="s">
        <v>52</v>
      </c>
      <c r="F750" t="s">
        <v>125</v>
      </c>
      <c r="G750" t="s">
        <v>46</v>
      </c>
      <c r="H750" s="1">
        <v>45348</v>
      </c>
      <c r="I750" t="s">
        <v>64</v>
      </c>
      <c r="J750" t="s">
        <v>603</v>
      </c>
      <c r="K750">
        <v>1</v>
      </c>
      <c r="N750">
        <v>563</v>
      </c>
      <c r="O750">
        <v>30</v>
      </c>
      <c r="P750" s="1">
        <v>45417</v>
      </c>
      <c r="Q750" s="1"/>
      <c r="R750" t="str">
        <f>IF(Table1[[#This Row],[Actual close date]]="","",Table1[[#This Row],[Actual close date]]-Table1[[#This Row],[Expected close date]])</f>
        <v/>
      </c>
    </row>
    <row r="751" spans="1:18" x14ac:dyDescent="0.25">
      <c r="A751" t="s">
        <v>827</v>
      </c>
      <c r="B751" t="s">
        <v>39</v>
      </c>
      <c r="C751" t="s">
        <v>40</v>
      </c>
      <c r="D751" t="s">
        <v>41</v>
      </c>
      <c r="E751" t="s">
        <v>52</v>
      </c>
      <c r="F751" t="s">
        <v>125</v>
      </c>
      <c r="G751" t="s">
        <v>85</v>
      </c>
      <c r="H751" s="1">
        <v>45375</v>
      </c>
      <c r="I751" t="s">
        <v>64</v>
      </c>
      <c r="J751" t="s">
        <v>603</v>
      </c>
      <c r="K751">
        <v>1</v>
      </c>
      <c r="N751">
        <v>1130</v>
      </c>
      <c r="O751">
        <v>30</v>
      </c>
      <c r="P751" s="1">
        <v>45711</v>
      </c>
      <c r="Q751" s="1"/>
      <c r="R751" t="str">
        <f>IF(Table1[[#This Row],[Actual close date]]="","",Table1[[#This Row],[Actual close date]]-Table1[[#This Row],[Expected close date]])</f>
        <v/>
      </c>
    </row>
    <row r="752" spans="1:18" x14ac:dyDescent="0.25">
      <c r="A752" t="s">
        <v>828</v>
      </c>
      <c r="B752" t="s">
        <v>18</v>
      </c>
      <c r="C752" t="s">
        <v>19</v>
      </c>
      <c r="D752" t="s">
        <v>20</v>
      </c>
      <c r="E752" t="s">
        <v>30</v>
      </c>
      <c r="F752" t="s">
        <v>125</v>
      </c>
      <c r="G752" t="s">
        <v>85</v>
      </c>
      <c r="H752" s="1">
        <v>45383</v>
      </c>
      <c r="I752" t="s">
        <v>47</v>
      </c>
      <c r="J752" t="s">
        <v>603</v>
      </c>
      <c r="K752">
        <v>1</v>
      </c>
      <c r="N752">
        <v>850</v>
      </c>
      <c r="O752">
        <v>30</v>
      </c>
      <c r="P752" s="1">
        <v>45428</v>
      </c>
      <c r="Q752" s="1"/>
      <c r="R752" t="str">
        <f>IF(Table1[[#This Row],[Actual close date]]="","",Table1[[#This Row],[Actual close date]]-Table1[[#This Row],[Expected close date]])</f>
        <v/>
      </c>
    </row>
    <row r="753" spans="1:18" x14ac:dyDescent="0.25">
      <c r="A753" t="s">
        <v>829</v>
      </c>
      <c r="B753" t="s">
        <v>54</v>
      </c>
      <c r="C753" t="s">
        <v>55</v>
      </c>
      <c r="D753" t="s">
        <v>56</v>
      </c>
      <c r="E753" t="s">
        <v>118</v>
      </c>
      <c r="F753" t="s">
        <v>125</v>
      </c>
      <c r="G753" t="s">
        <v>37</v>
      </c>
      <c r="H753" s="1">
        <v>45347</v>
      </c>
      <c r="I753" t="s">
        <v>24</v>
      </c>
      <c r="J753" t="s">
        <v>603</v>
      </c>
      <c r="K753">
        <v>1</v>
      </c>
      <c r="N753">
        <v>866</v>
      </c>
      <c r="O753">
        <v>20</v>
      </c>
      <c r="P753" s="1">
        <v>45705</v>
      </c>
      <c r="Q753" s="1"/>
      <c r="R753" t="str">
        <f>IF(Table1[[#This Row],[Actual close date]]="","",Table1[[#This Row],[Actual close date]]-Table1[[#This Row],[Expected close date]])</f>
        <v/>
      </c>
    </row>
    <row r="754" spans="1:18" x14ac:dyDescent="0.25">
      <c r="A754" t="s">
        <v>830</v>
      </c>
      <c r="B754" t="s">
        <v>59</v>
      </c>
      <c r="C754" t="s">
        <v>60</v>
      </c>
      <c r="D754" t="s">
        <v>61</v>
      </c>
      <c r="E754" t="s">
        <v>42</v>
      </c>
      <c r="F754" t="s">
        <v>125</v>
      </c>
      <c r="G754" t="s">
        <v>23</v>
      </c>
      <c r="H754" s="1">
        <v>45342</v>
      </c>
      <c r="I754" t="s">
        <v>64</v>
      </c>
      <c r="J754" t="s">
        <v>603</v>
      </c>
      <c r="K754">
        <v>1</v>
      </c>
      <c r="N754">
        <v>940</v>
      </c>
      <c r="O754">
        <v>50</v>
      </c>
      <c r="P754" s="1">
        <v>45625</v>
      </c>
      <c r="Q754" s="1"/>
      <c r="R754" t="str">
        <f>IF(Table1[[#This Row],[Actual close date]]="","",Table1[[#This Row],[Actual close date]]-Table1[[#This Row],[Expected close date]])</f>
        <v/>
      </c>
    </row>
    <row r="755" spans="1:18" x14ac:dyDescent="0.25">
      <c r="A755" t="s">
        <v>831</v>
      </c>
      <c r="B755" t="s">
        <v>76</v>
      </c>
      <c r="C755" t="s">
        <v>77</v>
      </c>
      <c r="D755" t="s">
        <v>78</v>
      </c>
      <c r="E755" t="s">
        <v>21</v>
      </c>
      <c r="F755" t="s">
        <v>125</v>
      </c>
      <c r="G755" t="s">
        <v>23</v>
      </c>
      <c r="H755" s="1">
        <v>45314</v>
      </c>
      <c r="I755" t="s">
        <v>47</v>
      </c>
      <c r="J755" t="s">
        <v>603</v>
      </c>
      <c r="K755">
        <v>1</v>
      </c>
      <c r="N755">
        <v>1024</v>
      </c>
      <c r="O755">
        <v>30</v>
      </c>
      <c r="P755" s="1">
        <v>45381</v>
      </c>
      <c r="Q755" s="1"/>
      <c r="R755" t="str">
        <f>IF(Table1[[#This Row],[Actual close date]]="","",Table1[[#This Row],[Actual close date]]-Table1[[#This Row],[Expected close date]])</f>
        <v/>
      </c>
    </row>
    <row r="756" spans="1:18" x14ac:dyDescent="0.25">
      <c r="A756" t="s">
        <v>832</v>
      </c>
      <c r="B756" t="s">
        <v>39</v>
      </c>
      <c r="C756" t="s">
        <v>40</v>
      </c>
      <c r="D756" t="s">
        <v>41</v>
      </c>
      <c r="E756" t="s">
        <v>45</v>
      </c>
      <c r="F756" t="s">
        <v>125</v>
      </c>
      <c r="G756" t="s">
        <v>31</v>
      </c>
      <c r="H756" s="1">
        <v>45397</v>
      </c>
      <c r="I756" t="s">
        <v>24</v>
      </c>
      <c r="J756" t="s">
        <v>603</v>
      </c>
      <c r="K756">
        <v>1</v>
      </c>
      <c r="N756">
        <v>1068</v>
      </c>
      <c r="O756">
        <v>20</v>
      </c>
      <c r="P756" s="1">
        <v>45651</v>
      </c>
      <c r="Q756" s="1"/>
      <c r="R756" t="str">
        <f>IF(Table1[[#This Row],[Actual close date]]="","",Table1[[#This Row],[Actual close date]]-Table1[[#This Row],[Expected close date]])</f>
        <v/>
      </c>
    </row>
    <row r="757" spans="1:18" x14ac:dyDescent="0.25">
      <c r="A757" t="s">
        <v>833</v>
      </c>
      <c r="B757" t="s">
        <v>33</v>
      </c>
      <c r="C757" t="s">
        <v>34</v>
      </c>
      <c r="D757" t="s">
        <v>35</v>
      </c>
      <c r="E757" t="s">
        <v>118</v>
      </c>
      <c r="F757" t="s">
        <v>125</v>
      </c>
      <c r="G757" t="s">
        <v>23</v>
      </c>
      <c r="H757" s="1">
        <v>45328</v>
      </c>
      <c r="I757" t="s">
        <v>64</v>
      </c>
      <c r="J757" t="s">
        <v>603</v>
      </c>
      <c r="K757">
        <v>1</v>
      </c>
      <c r="N757">
        <v>902</v>
      </c>
      <c r="O757">
        <v>20</v>
      </c>
      <c r="P757" s="1">
        <v>45549</v>
      </c>
      <c r="Q757" s="1"/>
      <c r="R757" t="str">
        <f>IF(Table1[[#This Row],[Actual close date]]="","",Table1[[#This Row],[Actual close date]]-Table1[[#This Row],[Expected close date]])</f>
        <v/>
      </c>
    </row>
    <row r="758" spans="1:18" x14ac:dyDescent="0.25">
      <c r="A758" t="s">
        <v>834</v>
      </c>
      <c r="B758" t="s">
        <v>33</v>
      </c>
      <c r="C758" t="s">
        <v>34</v>
      </c>
      <c r="D758" t="s">
        <v>35</v>
      </c>
      <c r="E758" t="s">
        <v>42</v>
      </c>
      <c r="F758" t="s">
        <v>125</v>
      </c>
      <c r="G758" t="s">
        <v>31</v>
      </c>
      <c r="H758" s="1">
        <v>45399</v>
      </c>
      <c r="I758" t="s">
        <v>47</v>
      </c>
      <c r="J758" t="s">
        <v>603</v>
      </c>
      <c r="K758">
        <v>1</v>
      </c>
      <c r="N758">
        <v>922</v>
      </c>
      <c r="O758">
        <v>50</v>
      </c>
      <c r="P758" s="1">
        <v>45575</v>
      </c>
      <c r="Q758" s="1"/>
      <c r="R758" t="str">
        <f>IF(Table1[[#This Row],[Actual close date]]="","",Table1[[#This Row],[Actual close date]]-Table1[[#This Row],[Expected close date]])</f>
        <v/>
      </c>
    </row>
    <row r="759" spans="1:18" x14ac:dyDescent="0.25">
      <c r="A759" t="s">
        <v>835</v>
      </c>
      <c r="B759" t="s">
        <v>33</v>
      </c>
      <c r="C759" t="s">
        <v>34</v>
      </c>
      <c r="D759" t="s">
        <v>35</v>
      </c>
      <c r="E759" t="s">
        <v>42</v>
      </c>
      <c r="F759" t="s">
        <v>125</v>
      </c>
      <c r="G759" t="s">
        <v>85</v>
      </c>
      <c r="H759" s="1">
        <v>45330</v>
      </c>
      <c r="I759" t="s">
        <v>24</v>
      </c>
      <c r="J759" t="s">
        <v>603</v>
      </c>
      <c r="K759">
        <v>1</v>
      </c>
      <c r="N759">
        <v>780</v>
      </c>
      <c r="O759">
        <v>50</v>
      </c>
      <c r="P759" s="1">
        <v>45576</v>
      </c>
      <c r="Q759" s="1"/>
      <c r="R759" t="str">
        <f>IF(Table1[[#This Row],[Actual close date]]="","",Table1[[#This Row],[Actual close date]]-Table1[[#This Row],[Expected close date]])</f>
        <v/>
      </c>
    </row>
    <row r="760" spans="1:18" x14ac:dyDescent="0.25">
      <c r="A760" t="s">
        <v>836</v>
      </c>
      <c r="B760" t="s">
        <v>18</v>
      </c>
      <c r="C760" t="s">
        <v>19</v>
      </c>
      <c r="D760" t="s">
        <v>20</v>
      </c>
      <c r="E760" t="s">
        <v>52</v>
      </c>
      <c r="F760" t="s">
        <v>125</v>
      </c>
      <c r="G760" t="s">
        <v>57</v>
      </c>
      <c r="H760" s="1">
        <v>45342</v>
      </c>
      <c r="I760" t="s">
        <v>64</v>
      </c>
      <c r="J760" t="s">
        <v>603</v>
      </c>
      <c r="K760">
        <v>1</v>
      </c>
      <c r="N760">
        <v>387</v>
      </c>
      <c r="O760">
        <v>30</v>
      </c>
      <c r="P760" s="1">
        <v>45691</v>
      </c>
      <c r="Q760" s="1"/>
      <c r="R760" t="str">
        <f>IF(Table1[[#This Row],[Actual close date]]="","",Table1[[#This Row],[Actual close date]]-Table1[[#This Row],[Expected close date]])</f>
        <v/>
      </c>
    </row>
    <row r="761" spans="1:18" x14ac:dyDescent="0.25">
      <c r="A761" t="s">
        <v>837</v>
      </c>
      <c r="B761" t="s">
        <v>54</v>
      </c>
      <c r="C761" t="s">
        <v>55</v>
      </c>
      <c r="D761" t="s">
        <v>56</v>
      </c>
      <c r="E761" t="s">
        <v>42</v>
      </c>
      <c r="F761" t="s">
        <v>125</v>
      </c>
      <c r="G761" t="s">
        <v>23</v>
      </c>
      <c r="H761" s="1">
        <v>45357</v>
      </c>
      <c r="I761" t="s">
        <v>64</v>
      </c>
      <c r="J761" t="s">
        <v>603</v>
      </c>
      <c r="K761">
        <v>1</v>
      </c>
      <c r="N761">
        <v>905</v>
      </c>
      <c r="O761">
        <v>50</v>
      </c>
      <c r="P761" s="1">
        <v>45672</v>
      </c>
      <c r="Q761" s="1"/>
      <c r="R761" t="str">
        <f>IF(Table1[[#This Row],[Actual close date]]="","",Table1[[#This Row],[Actual close date]]-Table1[[#This Row],[Expected close date]])</f>
        <v/>
      </c>
    </row>
    <row r="762" spans="1:18" x14ac:dyDescent="0.25">
      <c r="A762" t="s">
        <v>838</v>
      </c>
      <c r="B762" t="s">
        <v>76</v>
      </c>
      <c r="C762" t="s">
        <v>77</v>
      </c>
      <c r="D762" t="s">
        <v>78</v>
      </c>
      <c r="E762" t="s">
        <v>82</v>
      </c>
      <c r="F762" t="s">
        <v>125</v>
      </c>
      <c r="G762" t="s">
        <v>37</v>
      </c>
      <c r="H762" s="1">
        <v>45320</v>
      </c>
      <c r="I762" t="s">
        <v>24</v>
      </c>
      <c r="J762" t="s">
        <v>603</v>
      </c>
      <c r="K762">
        <v>1</v>
      </c>
      <c r="N762">
        <v>678</v>
      </c>
      <c r="O762">
        <v>20</v>
      </c>
      <c r="P762" s="1">
        <v>45450</v>
      </c>
      <c r="Q762" s="1"/>
      <c r="R762" t="str">
        <f>IF(Table1[[#This Row],[Actual close date]]="","",Table1[[#This Row],[Actual close date]]-Table1[[#This Row],[Expected close date]])</f>
        <v/>
      </c>
    </row>
    <row r="763" spans="1:18" x14ac:dyDescent="0.25">
      <c r="A763" t="s">
        <v>839</v>
      </c>
      <c r="B763" t="s">
        <v>76</v>
      </c>
      <c r="C763" t="s">
        <v>77</v>
      </c>
      <c r="D763" t="s">
        <v>78</v>
      </c>
      <c r="E763" t="s">
        <v>118</v>
      </c>
      <c r="F763" t="s">
        <v>125</v>
      </c>
      <c r="G763" t="s">
        <v>57</v>
      </c>
      <c r="H763" s="1">
        <v>45399</v>
      </c>
      <c r="I763" t="s">
        <v>24</v>
      </c>
      <c r="J763" t="s">
        <v>603</v>
      </c>
      <c r="K763">
        <v>1</v>
      </c>
      <c r="N763">
        <v>883</v>
      </c>
      <c r="O763">
        <v>70</v>
      </c>
      <c r="P763" s="1">
        <v>45636</v>
      </c>
      <c r="Q763" s="1"/>
      <c r="R763" t="str">
        <f>IF(Table1[[#This Row],[Actual close date]]="","",Table1[[#This Row],[Actual close date]]-Table1[[#This Row],[Expected close date]])</f>
        <v/>
      </c>
    </row>
    <row r="764" spans="1:18" x14ac:dyDescent="0.25">
      <c r="A764" t="s">
        <v>840</v>
      </c>
      <c r="B764" t="s">
        <v>76</v>
      </c>
      <c r="C764" t="s">
        <v>77</v>
      </c>
      <c r="D764" t="s">
        <v>78</v>
      </c>
      <c r="E764" t="s">
        <v>42</v>
      </c>
      <c r="F764" t="s">
        <v>125</v>
      </c>
      <c r="G764" t="s">
        <v>37</v>
      </c>
      <c r="H764" s="1">
        <v>45437</v>
      </c>
      <c r="I764" t="s">
        <v>24</v>
      </c>
      <c r="J764" t="s">
        <v>603</v>
      </c>
      <c r="K764">
        <v>1</v>
      </c>
      <c r="N764">
        <v>1175</v>
      </c>
      <c r="O764">
        <v>90</v>
      </c>
      <c r="P764" s="1">
        <v>45673</v>
      </c>
      <c r="Q764" s="1"/>
      <c r="R764" t="str">
        <f>IF(Table1[[#This Row],[Actual close date]]="","",Table1[[#This Row],[Actual close date]]-Table1[[#This Row],[Expected close date]])</f>
        <v/>
      </c>
    </row>
    <row r="765" spans="1:18" x14ac:dyDescent="0.25">
      <c r="A765" t="s">
        <v>841</v>
      </c>
      <c r="B765" t="s">
        <v>59</v>
      </c>
      <c r="C765" t="s">
        <v>60</v>
      </c>
      <c r="D765" t="s">
        <v>61</v>
      </c>
      <c r="E765" t="s">
        <v>62</v>
      </c>
      <c r="F765" t="s">
        <v>125</v>
      </c>
      <c r="G765" t="s">
        <v>46</v>
      </c>
      <c r="H765" s="1">
        <v>45418</v>
      </c>
      <c r="I765" t="s">
        <v>24</v>
      </c>
      <c r="J765" t="s">
        <v>603</v>
      </c>
      <c r="K765">
        <v>1</v>
      </c>
      <c r="N765">
        <v>493</v>
      </c>
      <c r="O765">
        <v>20</v>
      </c>
      <c r="P765" s="1">
        <v>45451</v>
      </c>
      <c r="Q765" s="1"/>
      <c r="R765" t="str">
        <f>IF(Table1[[#This Row],[Actual close date]]="","",Table1[[#This Row],[Actual close date]]-Table1[[#This Row],[Expected close date]])</f>
        <v/>
      </c>
    </row>
    <row r="766" spans="1:18" x14ac:dyDescent="0.25">
      <c r="A766" t="s">
        <v>842</v>
      </c>
      <c r="B766" t="s">
        <v>27</v>
      </c>
      <c r="C766" t="s">
        <v>28</v>
      </c>
      <c r="D766" t="s">
        <v>29</v>
      </c>
      <c r="E766" t="s">
        <v>45</v>
      </c>
      <c r="F766" t="s">
        <v>125</v>
      </c>
      <c r="G766" t="s">
        <v>57</v>
      </c>
      <c r="H766" s="1">
        <v>45428</v>
      </c>
      <c r="I766" t="s">
        <v>24</v>
      </c>
      <c r="J766" t="s">
        <v>603</v>
      </c>
      <c r="K766">
        <v>1</v>
      </c>
      <c r="N766">
        <v>995</v>
      </c>
      <c r="O766">
        <v>30</v>
      </c>
      <c r="P766" s="1">
        <v>45453</v>
      </c>
      <c r="Q766" s="1"/>
      <c r="R766" t="str">
        <f>IF(Table1[[#This Row],[Actual close date]]="","",Table1[[#This Row],[Actual close date]]-Table1[[#This Row],[Expected close date]])</f>
        <v/>
      </c>
    </row>
    <row r="767" spans="1:18" x14ac:dyDescent="0.25">
      <c r="A767" t="s">
        <v>843</v>
      </c>
      <c r="B767" t="s">
        <v>39</v>
      </c>
      <c r="C767" t="s">
        <v>40</v>
      </c>
      <c r="D767" t="s">
        <v>41</v>
      </c>
      <c r="E767" t="s">
        <v>45</v>
      </c>
      <c r="F767" t="s">
        <v>125</v>
      </c>
      <c r="G767" t="s">
        <v>23</v>
      </c>
      <c r="H767" s="1">
        <v>45435</v>
      </c>
      <c r="I767" t="s">
        <v>64</v>
      </c>
      <c r="J767" t="s">
        <v>603</v>
      </c>
      <c r="K767">
        <v>1</v>
      </c>
      <c r="N767">
        <v>236</v>
      </c>
      <c r="O767">
        <v>100</v>
      </c>
      <c r="P767" s="1">
        <v>45694</v>
      </c>
      <c r="Q767" s="1"/>
      <c r="R767" t="str">
        <f>IF(Table1[[#This Row],[Actual close date]]="","",Table1[[#This Row],[Actual close date]]-Table1[[#This Row],[Expected close date]])</f>
        <v/>
      </c>
    </row>
    <row r="768" spans="1:18" x14ac:dyDescent="0.25">
      <c r="A768" t="s">
        <v>844</v>
      </c>
      <c r="B768" t="s">
        <v>33</v>
      </c>
      <c r="C768" t="s">
        <v>34</v>
      </c>
      <c r="D768" t="s">
        <v>35</v>
      </c>
      <c r="E768" t="s">
        <v>45</v>
      </c>
      <c r="F768" t="s">
        <v>125</v>
      </c>
      <c r="G768" t="s">
        <v>23</v>
      </c>
      <c r="H768" s="1">
        <v>45399</v>
      </c>
      <c r="I768" t="s">
        <v>64</v>
      </c>
      <c r="J768" t="s">
        <v>603</v>
      </c>
      <c r="K768">
        <v>1</v>
      </c>
      <c r="N768">
        <v>762</v>
      </c>
      <c r="O768">
        <v>20</v>
      </c>
      <c r="P768" s="1">
        <v>45564</v>
      </c>
      <c r="Q768" s="1"/>
      <c r="R768" t="str">
        <f>IF(Table1[[#This Row],[Actual close date]]="","",Table1[[#This Row],[Actual close date]]-Table1[[#This Row],[Expected close date]])</f>
        <v/>
      </c>
    </row>
    <row r="769" spans="1:18" x14ac:dyDescent="0.25">
      <c r="A769" t="s">
        <v>845</v>
      </c>
      <c r="B769" t="s">
        <v>33</v>
      </c>
      <c r="C769" t="s">
        <v>34</v>
      </c>
      <c r="D769" t="s">
        <v>35</v>
      </c>
      <c r="E769" t="s">
        <v>21</v>
      </c>
      <c r="F769" t="s">
        <v>125</v>
      </c>
      <c r="G769" t="s">
        <v>85</v>
      </c>
      <c r="H769" s="1">
        <v>45364</v>
      </c>
      <c r="I769" t="s">
        <v>64</v>
      </c>
      <c r="J769" t="s">
        <v>603</v>
      </c>
      <c r="K769">
        <v>1</v>
      </c>
      <c r="N769">
        <v>463</v>
      </c>
      <c r="O769">
        <v>40</v>
      </c>
      <c r="P769" s="1">
        <v>45707</v>
      </c>
      <c r="Q769" s="1"/>
      <c r="R769" t="str">
        <f>IF(Table1[[#This Row],[Actual close date]]="","",Table1[[#This Row],[Actual close date]]-Table1[[#This Row],[Expected close date]])</f>
        <v/>
      </c>
    </row>
    <row r="770" spans="1:18" x14ac:dyDescent="0.25">
      <c r="A770" t="s">
        <v>846</v>
      </c>
      <c r="B770" t="s">
        <v>33</v>
      </c>
      <c r="C770" t="s">
        <v>34</v>
      </c>
      <c r="D770" t="s">
        <v>35</v>
      </c>
      <c r="E770" t="s">
        <v>45</v>
      </c>
      <c r="F770" t="s">
        <v>125</v>
      </c>
      <c r="G770" t="s">
        <v>37</v>
      </c>
      <c r="H770" s="1">
        <v>45389</v>
      </c>
      <c r="I770" t="s">
        <v>47</v>
      </c>
      <c r="J770" t="s">
        <v>603</v>
      </c>
      <c r="K770">
        <v>1</v>
      </c>
      <c r="N770">
        <v>421</v>
      </c>
      <c r="O770">
        <v>40</v>
      </c>
      <c r="P770" s="1">
        <v>45727</v>
      </c>
      <c r="Q770" s="1"/>
      <c r="R770" t="str">
        <f>IF(Table1[[#This Row],[Actual close date]]="","",Table1[[#This Row],[Actual close date]]-Table1[[#This Row],[Expected close date]])</f>
        <v/>
      </c>
    </row>
    <row r="771" spans="1:18" x14ac:dyDescent="0.25">
      <c r="A771" t="s">
        <v>847</v>
      </c>
      <c r="B771" t="s">
        <v>18</v>
      </c>
      <c r="C771" t="s">
        <v>19</v>
      </c>
      <c r="D771" t="s">
        <v>20</v>
      </c>
      <c r="E771" t="s">
        <v>21</v>
      </c>
      <c r="F771" t="s">
        <v>125</v>
      </c>
      <c r="G771" t="s">
        <v>37</v>
      </c>
      <c r="H771" s="1">
        <v>45320</v>
      </c>
      <c r="I771" t="s">
        <v>24</v>
      </c>
      <c r="J771" t="s">
        <v>603</v>
      </c>
      <c r="K771">
        <v>1</v>
      </c>
      <c r="N771">
        <v>1089</v>
      </c>
      <c r="O771">
        <v>30</v>
      </c>
      <c r="P771" s="1">
        <v>45628</v>
      </c>
      <c r="Q771" s="1"/>
      <c r="R771" t="str">
        <f>IF(Table1[[#This Row],[Actual close date]]="","",Table1[[#This Row],[Actual close date]]-Table1[[#This Row],[Expected close date]])</f>
        <v/>
      </c>
    </row>
    <row r="772" spans="1:18" x14ac:dyDescent="0.25">
      <c r="A772" t="s">
        <v>848</v>
      </c>
      <c r="B772" t="s">
        <v>69</v>
      </c>
      <c r="C772" t="s">
        <v>70</v>
      </c>
      <c r="D772" t="s">
        <v>71</v>
      </c>
      <c r="E772" t="s">
        <v>21</v>
      </c>
      <c r="F772" t="s">
        <v>125</v>
      </c>
      <c r="G772" t="s">
        <v>46</v>
      </c>
      <c r="H772" s="1">
        <v>45415</v>
      </c>
      <c r="I772" t="s">
        <v>24</v>
      </c>
      <c r="J772" t="s">
        <v>603</v>
      </c>
      <c r="K772">
        <v>1</v>
      </c>
      <c r="N772">
        <v>655</v>
      </c>
      <c r="O772">
        <v>80</v>
      </c>
      <c r="P772" s="1">
        <v>45552</v>
      </c>
      <c r="Q772" s="1"/>
      <c r="R772" t="str">
        <f>IF(Table1[[#This Row],[Actual close date]]="","",Table1[[#This Row],[Actual close date]]-Table1[[#This Row],[Expected close date]])</f>
        <v/>
      </c>
    </row>
    <row r="773" spans="1:18" x14ac:dyDescent="0.25">
      <c r="A773" t="s">
        <v>849</v>
      </c>
      <c r="B773" t="s">
        <v>54</v>
      </c>
      <c r="C773" t="s">
        <v>55</v>
      </c>
      <c r="D773" t="s">
        <v>56</v>
      </c>
      <c r="E773" t="s">
        <v>45</v>
      </c>
      <c r="F773" t="s">
        <v>125</v>
      </c>
      <c r="G773" t="s">
        <v>23</v>
      </c>
      <c r="H773" s="1">
        <v>45344</v>
      </c>
      <c r="I773" t="s">
        <v>64</v>
      </c>
      <c r="J773" t="s">
        <v>603</v>
      </c>
      <c r="K773">
        <v>1</v>
      </c>
      <c r="N773">
        <v>453</v>
      </c>
      <c r="O773">
        <v>10</v>
      </c>
      <c r="P773" s="1">
        <v>45439</v>
      </c>
      <c r="Q773" s="1"/>
      <c r="R773" t="str">
        <f>IF(Table1[[#This Row],[Actual close date]]="","",Table1[[#This Row],[Actual close date]]-Table1[[#This Row],[Expected close date]])</f>
        <v/>
      </c>
    </row>
    <row r="774" spans="1:18" x14ac:dyDescent="0.25">
      <c r="A774" t="s">
        <v>850</v>
      </c>
      <c r="B774" t="s">
        <v>54</v>
      </c>
      <c r="C774" t="s">
        <v>55</v>
      </c>
      <c r="D774" t="s">
        <v>56</v>
      </c>
      <c r="E774" t="s">
        <v>42</v>
      </c>
      <c r="F774" t="s">
        <v>125</v>
      </c>
      <c r="G774" t="s">
        <v>57</v>
      </c>
      <c r="H774" s="1">
        <v>45396</v>
      </c>
      <c r="I774" t="s">
        <v>24</v>
      </c>
      <c r="J774" t="s">
        <v>603</v>
      </c>
      <c r="K774">
        <v>1</v>
      </c>
      <c r="N774">
        <v>777</v>
      </c>
      <c r="O774">
        <v>40</v>
      </c>
      <c r="P774" s="1">
        <v>45509</v>
      </c>
      <c r="Q774" s="1"/>
      <c r="R774" t="str">
        <f>IF(Table1[[#This Row],[Actual close date]]="","",Table1[[#This Row],[Actual close date]]-Table1[[#This Row],[Expected close date]])</f>
        <v/>
      </c>
    </row>
    <row r="775" spans="1:18" x14ac:dyDescent="0.25">
      <c r="A775" t="s">
        <v>851</v>
      </c>
      <c r="B775" t="s">
        <v>59</v>
      </c>
      <c r="C775" t="s">
        <v>60</v>
      </c>
      <c r="D775" t="s">
        <v>61</v>
      </c>
      <c r="E775" t="s">
        <v>52</v>
      </c>
      <c r="F775" t="s">
        <v>125</v>
      </c>
      <c r="G775" t="s">
        <v>46</v>
      </c>
      <c r="H775" s="1">
        <v>45332</v>
      </c>
      <c r="I775" t="s">
        <v>64</v>
      </c>
      <c r="J775" t="s">
        <v>603</v>
      </c>
      <c r="K775">
        <v>1</v>
      </c>
      <c r="N775">
        <v>719</v>
      </c>
      <c r="O775">
        <v>80</v>
      </c>
      <c r="P775" s="1">
        <v>45481</v>
      </c>
      <c r="Q775" s="1"/>
      <c r="R775" t="str">
        <f>IF(Table1[[#This Row],[Actual close date]]="","",Table1[[#This Row],[Actual close date]]-Table1[[#This Row],[Expected close date]])</f>
        <v/>
      </c>
    </row>
    <row r="776" spans="1:18" x14ac:dyDescent="0.25">
      <c r="A776" t="s">
        <v>852</v>
      </c>
      <c r="B776" t="s">
        <v>76</v>
      </c>
      <c r="C776" t="s">
        <v>77</v>
      </c>
      <c r="D776" t="s">
        <v>78</v>
      </c>
      <c r="E776" t="s">
        <v>52</v>
      </c>
      <c r="F776" t="s">
        <v>125</v>
      </c>
      <c r="G776" t="s">
        <v>31</v>
      </c>
      <c r="H776" s="1">
        <v>45418</v>
      </c>
      <c r="I776" t="s">
        <v>64</v>
      </c>
      <c r="J776" t="s">
        <v>603</v>
      </c>
      <c r="K776">
        <v>1</v>
      </c>
      <c r="N776">
        <v>657</v>
      </c>
      <c r="O776">
        <v>20</v>
      </c>
      <c r="P776" s="1">
        <v>45688</v>
      </c>
      <c r="Q776" s="1"/>
      <c r="R776" t="str">
        <f>IF(Table1[[#This Row],[Actual close date]]="","",Table1[[#This Row],[Actual close date]]-Table1[[#This Row],[Expected close date]])</f>
        <v/>
      </c>
    </row>
    <row r="777" spans="1:18" x14ac:dyDescent="0.25">
      <c r="A777" t="s">
        <v>853</v>
      </c>
      <c r="B777" t="s">
        <v>54</v>
      </c>
      <c r="C777" t="s">
        <v>55</v>
      </c>
      <c r="D777" t="s">
        <v>56</v>
      </c>
      <c r="E777" t="s">
        <v>45</v>
      </c>
      <c r="F777" t="s">
        <v>125</v>
      </c>
      <c r="G777" t="s">
        <v>46</v>
      </c>
      <c r="H777" s="1">
        <v>45300</v>
      </c>
      <c r="I777" t="s">
        <v>64</v>
      </c>
      <c r="J777" t="s">
        <v>603</v>
      </c>
      <c r="K777">
        <v>1</v>
      </c>
      <c r="N777">
        <v>226</v>
      </c>
      <c r="O777">
        <v>20</v>
      </c>
      <c r="P777" s="1">
        <v>45499</v>
      </c>
      <c r="Q777" s="1"/>
      <c r="R777" t="str">
        <f>IF(Table1[[#This Row],[Actual close date]]="","",Table1[[#This Row],[Actual close date]]-Table1[[#This Row],[Expected close date]])</f>
        <v/>
      </c>
    </row>
    <row r="778" spans="1:18" x14ac:dyDescent="0.25">
      <c r="A778" t="s">
        <v>854</v>
      </c>
      <c r="B778" t="s">
        <v>39</v>
      </c>
      <c r="C778" t="s">
        <v>40</v>
      </c>
      <c r="D778" t="s">
        <v>41</v>
      </c>
      <c r="E778" t="s">
        <v>122</v>
      </c>
      <c r="F778" t="s">
        <v>125</v>
      </c>
      <c r="G778" t="s">
        <v>46</v>
      </c>
      <c r="H778" s="1">
        <v>45317</v>
      </c>
      <c r="I778" t="s">
        <v>64</v>
      </c>
      <c r="J778" t="s">
        <v>603</v>
      </c>
      <c r="K778">
        <v>1</v>
      </c>
      <c r="N778">
        <v>439</v>
      </c>
      <c r="O778">
        <v>30</v>
      </c>
      <c r="P778" s="1">
        <v>45479</v>
      </c>
      <c r="Q778" s="1"/>
      <c r="R778" t="str">
        <f>IF(Table1[[#This Row],[Actual close date]]="","",Table1[[#This Row],[Actual close date]]-Table1[[#This Row],[Expected close date]])</f>
        <v/>
      </c>
    </row>
    <row r="779" spans="1:18" x14ac:dyDescent="0.25">
      <c r="A779" t="s">
        <v>855</v>
      </c>
      <c r="B779" t="s">
        <v>54</v>
      </c>
      <c r="C779" t="s">
        <v>55</v>
      </c>
      <c r="D779" t="s">
        <v>56</v>
      </c>
      <c r="E779" t="s">
        <v>66</v>
      </c>
      <c r="F779" t="s">
        <v>125</v>
      </c>
      <c r="G779" t="s">
        <v>31</v>
      </c>
      <c r="H779" s="1">
        <v>45344</v>
      </c>
      <c r="I779" t="s">
        <v>47</v>
      </c>
      <c r="J779" t="s">
        <v>603</v>
      </c>
      <c r="K779">
        <v>1</v>
      </c>
      <c r="N779">
        <v>311</v>
      </c>
      <c r="O779">
        <v>20</v>
      </c>
      <c r="P779" s="1">
        <v>45501</v>
      </c>
      <c r="Q779" s="1"/>
      <c r="R779" t="str">
        <f>IF(Table1[[#This Row],[Actual close date]]="","",Table1[[#This Row],[Actual close date]]-Table1[[#This Row],[Expected close date]])</f>
        <v/>
      </c>
    </row>
    <row r="780" spans="1:18" x14ac:dyDescent="0.25">
      <c r="A780" t="s">
        <v>856</v>
      </c>
      <c r="B780" t="s">
        <v>69</v>
      </c>
      <c r="C780" t="s">
        <v>70</v>
      </c>
      <c r="D780" t="s">
        <v>71</v>
      </c>
      <c r="E780" t="s">
        <v>52</v>
      </c>
      <c r="F780" t="s">
        <v>125</v>
      </c>
      <c r="G780" t="s">
        <v>57</v>
      </c>
      <c r="H780" s="1">
        <v>45332</v>
      </c>
      <c r="I780" t="s">
        <v>24</v>
      </c>
      <c r="J780" t="s">
        <v>603</v>
      </c>
      <c r="K780">
        <v>1</v>
      </c>
      <c r="N780">
        <v>1160</v>
      </c>
      <c r="O780">
        <v>60</v>
      </c>
      <c r="P780" s="1">
        <v>45551</v>
      </c>
      <c r="Q780" s="1"/>
      <c r="R780" t="str">
        <f>IF(Table1[[#This Row],[Actual close date]]="","",Table1[[#This Row],[Actual close date]]-Table1[[#This Row],[Expected close date]])</f>
        <v/>
      </c>
    </row>
    <row r="781" spans="1:18" x14ac:dyDescent="0.25">
      <c r="A781" t="s">
        <v>857</v>
      </c>
      <c r="B781" t="s">
        <v>27</v>
      </c>
      <c r="C781" t="s">
        <v>28</v>
      </c>
      <c r="D781" t="s">
        <v>29</v>
      </c>
      <c r="E781" t="s">
        <v>82</v>
      </c>
      <c r="F781" t="s">
        <v>125</v>
      </c>
      <c r="G781" t="s">
        <v>37</v>
      </c>
      <c r="H781" s="1">
        <v>45413</v>
      </c>
      <c r="I781" t="s">
        <v>24</v>
      </c>
      <c r="J781" t="s">
        <v>603</v>
      </c>
      <c r="K781">
        <v>1</v>
      </c>
      <c r="N781">
        <v>696</v>
      </c>
      <c r="O781">
        <v>10</v>
      </c>
      <c r="P781" s="1">
        <v>45493</v>
      </c>
      <c r="Q781" s="1"/>
      <c r="R781" t="str">
        <f>IF(Table1[[#This Row],[Actual close date]]="","",Table1[[#This Row],[Actual close date]]-Table1[[#This Row],[Expected close date]])</f>
        <v/>
      </c>
    </row>
    <row r="782" spans="1:18" x14ac:dyDescent="0.25">
      <c r="A782" t="s">
        <v>858</v>
      </c>
      <c r="B782" t="s">
        <v>27</v>
      </c>
      <c r="C782" t="s">
        <v>28</v>
      </c>
      <c r="D782" t="s">
        <v>29</v>
      </c>
      <c r="E782" t="s">
        <v>122</v>
      </c>
      <c r="F782" t="s">
        <v>125</v>
      </c>
      <c r="G782" t="s">
        <v>46</v>
      </c>
      <c r="H782" s="1">
        <v>45402</v>
      </c>
      <c r="I782" t="s">
        <v>47</v>
      </c>
      <c r="J782" t="s">
        <v>603</v>
      </c>
      <c r="K782">
        <v>1</v>
      </c>
      <c r="N782">
        <v>696</v>
      </c>
      <c r="O782">
        <v>50</v>
      </c>
      <c r="P782" s="1">
        <v>45454</v>
      </c>
      <c r="Q782" s="1"/>
      <c r="R782" t="str">
        <f>IF(Table1[[#This Row],[Actual close date]]="","",Table1[[#This Row],[Actual close date]]-Table1[[#This Row],[Expected close date]])</f>
        <v/>
      </c>
    </row>
    <row r="783" spans="1:18" x14ac:dyDescent="0.25">
      <c r="A783" t="s">
        <v>859</v>
      </c>
      <c r="B783" t="s">
        <v>39</v>
      </c>
      <c r="C783" t="s">
        <v>40</v>
      </c>
      <c r="D783" t="s">
        <v>41</v>
      </c>
      <c r="E783" t="s">
        <v>21</v>
      </c>
      <c r="F783" t="s">
        <v>125</v>
      </c>
      <c r="G783" t="s">
        <v>31</v>
      </c>
      <c r="H783" s="1">
        <v>45386</v>
      </c>
      <c r="I783" t="s">
        <v>47</v>
      </c>
      <c r="J783" t="s">
        <v>603</v>
      </c>
      <c r="K783">
        <v>1</v>
      </c>
      <c r="N783">
        <v>633</v>
      </c>
      <c r="O783">
        <v>50</v>
      </c>
      <c r="P783" s="1">
        <v>45524</v>
      </c>
      <c r="Q783" s="1"/>
      <c r="R783" t="str">
        <f>IF(Table1[[#This Row],[Actual close date]]="","",Table1[[#This Row],[Actual close date]]-Table1[[#This Row],[Expected close date]])</f>
        <v/>
      </c>
    </row>
    <row r="784" spans="1:18" x14ac:dyDescent="0.25">
      <c r="A784" t="s">
        <v>860</v>
      </c>
      <c r="B784" t="s">
        <v>69</v>
      </c>
      <c r="C784" t="s">
        <v>70</v>
      </c>
      <c r="D784" t="s">
        <v>71</v>
      </c>
      <c r="E784" t="s">
        <v>62</v>
      </c>
      <c r="F784" t="s">
        <v>125</v>
      </c>
      <c r="G784" t="s">
        <v>46</v>
      </c>
      <c r="H784" s="1">
        <v>45442</v>
      </c>
      <c r="I784" t="s">
        <v>64</v>
      </c>
      <c r="J784" t="s">
        <v>603</v>
      </c>
      <c r="K784">
        <v>1</v>
      </c>
      <c r="N784">
        <v>683</v>
      </c>
      <c r="O784">
        <v>20</v>
      </c>
      <c r="P784" s="1">
        <v>45567</v>
      </c>
      <c r="Q784" s="1"/>
      <c r="R784" t="str">
        <f>IF(Table1[[#This Row],[Actual close date]]="","",Table1[[#This Row],[Actual close date]]-Table1[[#This Row],[Expected close date]])</f>
        <v/>
      </c>
    </row>
    <row r="785" spans="1:18" x14ac:dyDescent="0.25">
      <c r="A785" t="s">
        <v>861</v>
      </c>
      <c r="B785" t="s">
        <v>49</v>
      </c>
      <c r="C785" t="s">
        <v>50</v>
      </c>
      <c r="D785" t="s">
        <v>51</v>
      </c>
      <c r="E785" t="s">
        <v>62</v>
      </c>
      <c r="F785" t="s">
        <v>125</v>
      </c>
      <c r="G785" t="s">
        <v>46</v>
      </c>
      <c r="H785" s="1">
        <v>45396</v>
      </c>
      <c r="I785" t="s">
        <v>24</v>
      </c>
      <c r="J785" t="s">
        <v>603</v>
      </c>
      <c r="K785">
        <v>1</v>
      </c>
      <c r="N785">
        <v>433</v>
      </c>
      <c r="O785">
        <v>70</v>
      </c>
      <c r="P785" s="1">
        <v>45647</v>
      </c>
      <c r="Q785" s="1"/>
      <c r="R785" t="str">
        <f>IF(Table1[[#This Row],[Actual close date]]="","",Table1[[#This Row],[Actual close date]]-Table1[[#This Row],[Expected close date]])</f>
        <v/>
      </c>
    </row>
    <row r="786" spans="1:18" x14ac:dyDescent="0.25">
      <c r="A786" t="s">
        <v>862</v>
      </c>
      <c r="B786" t="s">
        <v>39</v>
      </c>
      <c r="C786" t="s">
        <v>40</v>
      </c>
      <c r="D786" t="s">
        <v>41</v>
      </c>
      <c r="E786" t="s">
        <v>21</v>
      </c>
      <c r="F786" t="s">
        <v>125</v>
      </c>
      <c r="G786" t="s">
        <v>37</v>
      </c>
      <c r="H786" s="1">
        <v>45334</v>
      </c>
      <c r="I786" t="s">
        <v>24</v>
      </c>
      <c r="J786" t="s">
        <v>603</v>
      </c>
      <c r="K786">
        <v>1</v>
      </c>
      <c r="N786">
        <v>456</v>
      </c>
      <c r="O786">
        <v>100</v>
      </c>
      <c r="P786" s="1">
        <v>45584</v>
      </c>
      <c r="Q786" s="1"/>
      <c r="R786" t="str">
        <f>IF(Table1[[#This Row],[Actual close date]]="","",Table1[[#This Row],[Actual close date]]-Table1[[#This Row],[Expected close date]])</f>
        <v/>
      </c>
    </row>
    <row r="787" spans="1:18" x14ac:dyDescent="0.25">
      <c r="A787" t="s">
        <v>863</v>
      </c>
      <c r="B787" t="s">
        <v>76</v>
      </c>
      <c r="C787" t="s">
        <v>77</v>
      </c>
      <c r="D787" t="s">
        <v>78</v>
      </c>
      <c r="E787" t="s">
        <v>42</v>
      </c>
      <c r="F787" t="s">
        <v>125</v>
      </c>
      <c r="G787" t="s">
        <v>83</v>
      </c>
      <c r="H787" s="1">
        <v>45423</v>
      </c>
      <c r="I787" t="s">
        <v>24</v>
      </c>
      <c r="J787" t="s">
        <v>603</v>
      </c>
      <c r="K787">
        <v>1</v>
      </c>
      <c r="N787">
        <v>211</v>
      </c>
      <c r="O787">
        <v>30</v>
      </c>
      <c r="P787" s="1">
        <v>45546</v>
      </c>
      <c r="Q787" s="1"/>
      <c r="R787" t="str">
        <f>IF(Table1[[#This Row],[Actual close date]]="","",Table1[[#This Row],[Actual close date]]-Table1[[#This Row],[Expected close date]])</f>
        <v/>
      </c>
    </row>
    <row r="788" spans="1:18" x14ac:dyDescent="0.25">
      <c r="A788" t="s">
        <v>864</v>
      </c>
      <c r="B788" t="s">
        <v>59</v>
      </c>
      <c r="C788" t="s">
        <v>60</v>
      </c>
      <c r="D788" t="s">
        <v>61</v>
      </c>
      <c r="E788" t="s">
        <v>36</v>
      </c>
      <c r="F788" t="s">
        <v>125</v>
      </c>
      <c r="G788" t="s">
        <v>85</v>
      </c>
      <c r="H788" s="1">
        <v>45396</v>
      </c>
      <c r="I788" t="s">
        <v>64</v>
      </c>
      <c r="J788" t="s">
        <v>603</v>
      </c>
      <c r="K788">
        <v>1</v>
      </c>
      <c r="N788">
        <v>345</v>
      </c>
      <c r="O788">
        <v>40</v>
      </c>
      <c r="P788" s="1">
        <v>45679</v>
      </c>
      <c r="Q788" s="1"/>
      <c r="R788" t="str">
        <f>IF(Table1[[#This Row],[Actual close date]]="","",Table1[[#This Row],[Actual close date]]-Table1[[#This Row],[Expected close date]])</f>
        <v/>
      </c>
    </row>
    <row r="789" spans="1:18" x14ac:dyDescent="0.25">
      <c r="A789" t="s">
        <v>865</v>
      </c>
      <c r="B789" t="s">
        <v>27</v>
      </c>
      <c r="C789" t="s">
        <v>28</v>
      </c>
      <c r="D789" t="s">
        <v>29</v>
      </c>
      <c r="E789" t="s">
        <v>62</v>
      </c>
      <c r="F789" t="s">
        <v>125</v>
      </c>
      <c r="G789" t="s">
        <v>57</v>
      </c>
      <c r="H789" s="1">
        <v>45363</v>
      </c>
      <c r="I789" t="s">
        <v>24</v>
      </c>
      <c r="J789" t="s">
        <v>603</v>
      </c>
      <c r="K789">
        <v>1</v>
      </c>
      <c r="N789">
        <v>496</v>
      </c>
      <c r="O789">
        <v>70</v>
      </c>
      <c r="P789" s="1">
        <v>45466</v>
      </c>
      <c r="Q789" s="1"/>
      <c r="R789" t="str">
        <f>IF(Table1[[#This Row],[Actual close date]]="","",Table1[[#This Row],[Actual close date]]-Table1[[#This Row],[Expected close date]])</f>
        <v/>
      </c>
    </row>
    <row r="790" spans="1:18" x14ac:dyDescent="0.25">
      <c r="A790" t="s">
        <v>866</v>
      </c>
      <c r="B790" t="s">
        <v>76</v>
      </c>
      <c r="C790" t="s">
        <v>77</v>
      </c>
      <c r="D790" t="s">
        <v>78</v>
      </c>
      <c r="E790" t="s">
        <v>21</v>
      </c>
      <c r="F790" t="s">
        <v>125</v>
      </c>
      <c r="G790" t="s">
        <v>46</v>
      </c>
      <c r="H790" s="1">
        <v>45426</v>
      </c>
      <c r="I790" t="s">
        <v>24</v>
      </c>
      <c r="J790" t="s">
        <v>603</v>
      </c>
      <c r="K790">
        <v>1</v>
      </c>
      <c r="N790">
        <v>897</v>
      </c>
      <c r="O790">
        <v>50</v>
      </c>
      <c r="P790" s="1">
        <v>45515</v>
      </c>
      <c r="Q790" s="1"/>
      <c r="R790" t="str">
        <f>IF(Table1[[#This Row],[Actual close date]]="","",Table1[[#This Row],[Actual close date]]-Table1[[#This Row],[Expected close date]])</f>
        <v/>
      </c>
    </row>
    <row r="791" spans="1:18" x14ac:dyDescent="0.25">
      <c r="A791" t="s">
        <v>867</v>
      </c>
      <c r="B791" t="s">
        <v>33</v>
      </c>
      <c r="C791" t="s">
        <v>34</v>
      </c>
      <c r="D791" t="s">
        <v>35</v>
      </c>
      <c r="E791" t="s">
        <v>98</v>
      </c>
      <c r="F791" t="s">
        <v>125</v>
      </c>
      <c r="G791" t="s">
        <v>85</v>
      </c>
      <c r="H791" s="1">
        <v>45410</v>
      </c>
      <c r="I791" t="s">
        <v>47</v>
      </c>
      <c r="J791" t="s">
        <v>603</v>
      </c>
      <c r="K791">
        <v>1</v>
      </c>
      <c r="N791">
        <v>244</v>
      </c>
      <c r="O791">
        <v>100</v>
      </c>
      <c r="P791" s="1">
        <v>45767</v>
      </c>
      <c r="Q791" s="1"/>
      <c r="R791" t="str">
        <f>IF(Table1[[#This Row],[Actual close date]]="","",Table1[[#This Row],[Actual close date]]-Table1[[#This Row],[Expected close date]])</f>
        <v/>
      </c>
    </row>
    <row r="792" spans="1:18" x14ac:dyDescent="0.25">
      <c r="A792" t="s">
        <v>868</v>
      </c>
      <c r="B792" t="s">
        <v>18</v>
      </c>
      <c r="C792" t="s">
        <v>19</v>
      </c>
      <c r="D792" t="s">
        <v>20</v>
      </c>
      <c r="E792" t="s">
        <v>118</v>
      </c>
      <c r="F792" t="s">
        <v>125</v>
      </c>
      <c r="G792" t="s">
        <v>23</v>
      </c>
      <c r="H792" s="1">
        <v>45411</v>
      </c>
      <c r="I792" t="s">
        <v>24</v>
      </c>
      <c r="J792" t="s">
        <v>603</v>
      </c>
      <c r="K792">
        <v>1</v>
      </c>
      <c r="N792">
        <v>1181</v>
      </c>
      <c r="O792">
        <v>20</v>
      </c>
      <c r="P792" s="1">
        <v>45456</v>
      </c>
      <c r="Q792" s="1"/>
      <c r="R792" t="str">
        <f>IF(Table1[[#This Row],[Actual close date]]="","",Table1[[#This Row],[Actual close date]]-Table1[[#This Row],[Expected close date]])</f>
        <v/>
      </c>
    </row>
    <row r="793" spans="1:18" x14ac:dyDescent="0.25">
      <c r="A793" t="s">
        <v>869</v>
      </c>
      <c r="B793" t="s">
        <v>54</v>
      </c>
      <c r="C793" t="s">
        <v>55</v>
      </c>
      <c r="D793" t="s">
        <v>56</v>
      </c>
      <c r="E793" t="s">
        <v>45</v>
      </c>
      <c r="F793" t="s">
        <v>125</v>
      </c>
      <c r="G793" t="s">
        <v>83</v>
      </c>
      <c r="H793" s="1">
        <v>45334</v>
      </c>
      <c r="I793" t="s">
        <v>64</v>
      </c>
      <c r="J793" t="s">
        <v>603</v>
      </c>
      <c r="K793">
        <v>1</v>
      </c>
      <c r="N793">
        <v>447</v>
      </c>
      <c r="O793">
        <v>90</v>
      </c>
      <c r="P793" s="1">
        <v>45519</v>
      </c>
      <c r="Q793" s="1"/>
      <c r="R793" t="str">
        <f>IF(Table1[[#This Row],[Actual close date]]="","",Table1[[#This Row],[Actual close date]]-Table1[[#This Row],[Expected close date]])</f>
        <v/>
      </c>
    </row>
    <row r="794" spans="1:18" x14ac:dyDescent="0.25">
      <c r="A794" t="s">
        <v>870</v>
      </c>
      <c r="B794" t="s">
        <v>76</v>
      </c>
      <c r="C794" t="s">
        <v>77</v>
      </c>
      <c r="D794" t="s">
        <v>78</v>
      </c>
      <c r="E794" t="s">
        <v>74</v>
      </c>
      <c r="F794" t="s">
        <v>125</v>
      </c>
      <c r="G794" t="s">
        <v>46</v>
      </c>
      <c r="H794" s="1">
        <v>45420</v>
      </c>
      <c r="I794" t="s">
        <v>64</v>
      </c>
      <c r="J794" t="s">
        <v>603</v>
      </c>
      <c r="K794">
        <v>1</v>
      </c>
      <c r="N794">
        <v>679</v>
      </c>
      <c r="O794">
        <v>80</v>
      </c>
      <c r="P794" s="1">
        <v>45676</v>
      </c>
      <c r="Q794" s="1"/>
      <c r="R794" t="str">
        <f>IF(Table1[[#This Row],[Actual close date]]="","",Table1[[#This Row],[Actual close date]]-Table1[[#This Row],[Expected close date]])</f>
        <v/>
      </c>
    </row>
    <row r="795" spans="1:18" x14ac:dyDescent="0.25">
      <c r="A795" t="s">
        <v>871</v>
      </c>
      <c r="B795" t="s">
        <v>54</v>
      </c>
      <c r="C795" t="s">
        <v>55</v>
      </c>
      <c r="D795" t="s">
        <v>56</v>
      </c>
      <c r="E795" t="s">
        <v>45</v>
      </c>
      <c r="F795" t="s">
        <v>125</v>
      </c>
      <c r="G795" t="s">
        <v>57</v>
      </c>
      <c r="H795" s="1">
        <v>45397</v>
      </c>
      <c r="I795" t="s">
        <v>47</v>
      </c>
      <c r="J795" t="s">
        <v>603</v>
      </c>
      <c r="K795">
        <v>1</v>
      </c>
      <c r="N795">
        <v>705</v>
      </c>
      <c r="O795">
        <v>50</v>
      </c>
      <c r="P795" s="1">
        <v>45480</v>
      </c>
      <c r="Q795" s="1"/>
      <c r="R795" t="str">
        <f>IF(Table1[[#This Row],[Actual close date]]="","",Table1[[#This Row],[Actual close date]]-Table1[[#This Row],[Expected close date]])</f>
        <v/>
      </c>
    </row>
    <row r="796" spans="1:18" x14ac:dyDescent="0.25">
      <c r="A796" t="s">
        <v>872</v>
      </c>
      <c r="B796" t="s">
        <v>18</v>
      </c>
      <c r="C796" t="s">
        <v>19</v>
      </c>
      <c r="D796" t="s">
        <v>20</v>
      </c>
      <c r="E796" t="s">
        <v>62</v>
      </c>
      <c r="F796" t="s">
        <v>125</v>
      </c>
      <c r="G796" t="s">
        <v>37</v>
      </c>
      <c r="H796" s="1">
        <v>45435</v>
      </c>
      <c r="I796" t="s">
        <v>64</v>
      </c>
      <c r="J796" t="s">
        <v>603</v>
      </c>
      <c r="K796">
        <v>1</v>
      </c>
      <c r="N796">
        <v>1155</v>
      </c>
      <c r="O796">
        <v>70</v>
      </c>
      <c r="P796" s="1">
        <v>45513</v>
      </c>
      <c r="Q796" s="1"/>
      <c r="R796" t="str">
        <f>IF(Table1[[#This Row],[Actual close date]]="","",Table1[[#This Row],[Actual close date]]-Table1[[#This Row],[Expected close date]])</f>
        <v/>
      </c>
    </row>
    <row r="797" spans="1:18" x14ac:dyDescent="0.25">
      <c r="A797" t="s">
        <v>873</v>
      </c>
      <c r="B797" t="s">
        <v>18</v>
      </c>
      <c r="C797" t="s">
        <v>19</v>
      </c>
      <c r="D797" t="s">
        <v>20</v>
      </c>
      <c r="E797" t="s">
        <v>74</v>
      </c>
      <c r="F797" t="s">
        <v>125</v>
      </c>
      <c r="G797" t="s">
        <v>57</v>
      </c>
      <c r="H797" s="1">
        <v>45344</v>
      </c>
      <c r="I797" t="s">
        <v>24</v>
      </c>
      <c r="J797" t="s">
        <v>603</v>
      </c>
      <c r="K797">
        <v>1</v>
      </c>
      <c r="N797">
        <v>856</v>
      </c>
      <c r="O797">
        <v>20</v>
      </c>
      <c r="P797" s="1">
        <v>45573</v>
      </c>
      <c r="Q797" s="1"/>
      <c r="R797" t="str">
        <f>IF(Table1[[#This Row],[Actual close date]]="","",Table1[[#This Row],[Actual close date]]-Table1[[#This Row],[Expected close date]])</f>
        <v/>
      </c>
    </row>
    <row r="798" spans="1:18" x14ac:dyDescent="0.25">
      <c r="A798" t="s">
        <v>874</v>
      </c>
      <c r="B798" t="s">
        <v>76</v>
      </c>
      <c r="C798" t="s">
        <v>77</v>
      </c>
      <c r="D798" t="s">
        <v>78</v>
      </c>
      <c r="E798" t="s">
        <v>30</v>
      </c>
      <c r="F798" t="s">
        <v>125</v>
      </c>
      <c r="G798" t="s">
        <v>31</v>
      </c>
      <c r="H798" s="1">
        <v>45337</v>
      </c>
      <c r="I798" t="s">
        <v>24</v>
      </c>
      <c r="J798" t="s">
        <v>603</v>
      </c>
      <c r="K798">
        <v>1</v>
      </c>
      <c r="N798">
        <v>1100</v>
      </c>
      <c r="O798">
        <v>40</v>
      </c>
      <c r="P798" s="1">
        <v>45664</v>
      </c>
      <c r="Q798" s="1"/>
      <c r="R798" t="str">
        <f>IF(Table1[[#This Row],[Actual close date]]="","",Table1[[#This Row],[Actual close date]]-Table1[[#This Row],[Expected close date]])</f>
        <v/>
      </c>
    </row>
    <row r="799" spans="1:18" x14ac:dyDescent="0.25">
      <c r="A799" t="s">
        <v>875</v>
      </c>
      <c r="B799" t="s">
        <v>76</v>
      </c>
      <c r="C799" t="s">
        <v>77</v>
      </c>
      <c r="D799" t="s">
        <v>78</v>
      </c>
      <c r="E799" t="s">
        <v>42</v>
      </c>
      <c r="F799" t="s">
        <v>125</v>
      </c>
      <c r="G799" t="s">
        <v>85</v>
      </c>
      <c r="H799" s="1">
        <v>45317</v>
      </c>
      <c r="I799" t="s">
        <v>64</v>
      </c>
      <c r="J799" t="s">
        <v>603</v>
      </c>
      <c r="K799">
        <v>1</v>
      </c>
      <c r="N799">
        <v>277</v>
      </c>
      <c r="O799">
        <v>30</v>
      </c>
      <c r="P799" s="1">
        <v>45620</v>
      </c>
      <c r="Q799" s="1"/>
      <c r="R799" t="str">
        <f>IF(Table1[[#This Row],[Actual close date]]="","",Table1[[#This Row],[Actual close date]]-Table1[[#This Row],[Expected close date]])</f>
        <v/>
      </c>
    </row>
    <row r="800" spans="1:18" x14ac:dyDescent="0.25">
      <c r="A800" t="s">
        <v>876</v>
      </c>
      <c r="B800" t="s">
        <v>76</v>
      </c>
      <c r="C800" t="s">
        <v>77</v>
      </c>
      <c r="D800" t="s">
        <v>78</v>
      </c>
      <c r="E800" t="s">
        <v>98</v>
      </c>
      <c r="F800" t="s">
        <v>125</v>
      </c>
      <c r="G800" t="s">
        <v>37</v>
      </c>
      <c r="H800" s="1">
        <v>45389</v>
      </c>
      <c r="I800" t="s">
        <v>64</v>
      </c>
      <c r="J800" t="s">
        <v>603</v>
      </c>
      <c r="K800">
        <v>1</v>
      </c>
      <c r="N800">
        <v>597</v>
      </c>
      <c r="O800">
        <v>90</v>
      </c>
      <c r="P800" s="1">
        <v>45470</v>
      </c>
      <c r="Q800" s="1"/>
      <c r="R800" t="str">
        <f>IF(Table1[[#This Row],[Actual close date]]="","",Table1[[#This Row],[Actual close date]]-Table1[[#This Row],[Expected close date]])</f>
        <v/>
      </c>
    </row>
    <row r="801" spans="1:18" x14ac:dyDescent="0.25">
      <c r="A801" t="s">
        <v>877</v>
      </c>
      <c r="B801" t="s">
        <v>69</v>
      </c>
      <c r="C801" t="s">
        <v>70</v>
      </c>
      <c r="D801" t="s">
        <v>71</v>
      </c>
      <c r="E801" t="s">
        <v>66</v>
      </c>
      <c r="F801" t="s">
        <v>125</v>
      </c>
      <c r="G801" t="s">
        <v>57</v>
      </c>
      <c r="H801" s="1">
        <v>45434</v>
      </c>
      <c r="I801" t="s">
        <v>64</v>
      </c>
      <c r="J801" t="s">
        <v>603</v>
      </c>
      <c r="K801">
        <v>1</v>
      </c>
      <c r="N801">
        <v>618</v>
      </c>
      <c r="O801">
        <v>90</v>
      </c>
      <c r="P801" s="1">
        <v>45487</v>
      </c>
      <c r="Q801" s="1"/>
      <c r="R801" t="str">
        <f>IF(Table1[[#This Row],[Actual close date]]="","",Table1[[#This Row],[Actual close date]]-Table1[[#This Row],[Expected close date]])</f>
        <v/>
      </c>
    </row>
    <row r="802" spans="1:18" x14ac:dyDescent="0.25">
      <c r="A802" t="s">
        <v>878</v>
      </c>
      <c r="B802" t="s">
        <v>49</v>
      </c>
      <c r="C802" t="s">
        <v>50</v>
      </c>
      <c r="D802" t="s">
        <v>51</v>
      </c>
      <c r="E802" t="s">
        <v>101</v>
      </c>
      <c r="F802" t="s">
        <v>125</v>
      </c>
      <c r="G802" t="s">
        <v>46</v>
      </c>
      <c r="H802" s="1">
        <v>45421</v>
      </c>
      <c r="I802" t="s">
        <v>24</v>
      </c>
      <c r="J802" t="s">
        <v>603</v>
      </c>
      <c r="K802">
        <v>1</v>
      </c>
      <c r="N802">
        <v>960</v>
      </c>
      <c r="O802">
        <v>20</v>
      </c>
      <c r="P802" s="1">
        <v>45770</v>
      </c>
      <c r="Q802" s="1"/>
      <c r="R802" t="str">
        <f>IF(Table1[[#This Row],[Actual close date]]="","",Table1[[#This Row],[Actual close date]]-Table1[[#This Row],[Expected close date]])</f>
        <v/>
      </c>
    </row>
    <row r="803" spans="1:18" x14ac:dyDescent="0.25">
      <c r="A803" t="s">
        <v>879</v>
      </c>
      <c r="B803" t="s">
        <v>18</v>
      </c>
      <c r="C803" t="s">
        <v>19</v>
      </c>
      <c r="D803" t="s">
        <v>20</v>
      </c>
      <c r="E803" t="s">
        <v>42</v>
      </c>
      <c r="F803" t="s">
        <v>125</v>
      </c>
      <c r="G803" t="s">
        <v>57</v>
      </c>
      <c r="H803" s="1">
        <v>45324</v>
      </c>
      <c r="I803" t="s">
        <v>24</v>
      </c>
      <c r="J803" t="s">
        <v>603</v>
      </c>
      <c r="K803">
        <v>1</v>
      </c>
      <c r="N803">
        <v>944</v>
      </c>
      <c r="O803">
        <v>30</v>
      </c>
      <c r="P803" s="1">
        <v>45668</v>
      </c>
      <c r="Q803" s="1"/>
      <c r="R803" t="str">
        <f>IF(Table1[[#This Row],[Actual close date]]="","",Table1[[#This Row],[Actual close date]]-Table1[[#This Row],[Expected close date]])</f>
        <v/>
      </c>
    </row>
    <row r="804" spans="1:18" x14ac:dyDescent="0.25">
      <c r="A804" t="s">
        <v>880</v>
      </c>
      <c r="B804" t="s">
        <v>33</v>
      </c>
      <c r="C804" t="s">
        <v>34</v>
      </c>
      <c r="D804" t="s">
        <v>35</v>
      </c>
      <c r="E804" t="s">
        <v>74</v>
      </c>
      <c r="F804" t="s">
        <v>125</v>
      </c>
      <c r="G804" t="s">
        <v>46</v>
      </c>
      <c r="H804" s="1">
        <v>45353</v>
      </c>
      <c r="I804" t="s">
        <v>24</v>
      </c>
      <c r="J804" t="s">
        <v>603</v>
      </c>
      <c r="K804">
        <v>1</v>
      </c>
      <c r="N804">
        <v>343</v>
      </c>
      <c r="O804">
        <v>100</v>
      </c>
      <c r="P804" s="1">
        <v>45425</v>
      </c>
      <c r="Q804" s="1"/>
      <c r="R804" t="str">
        <f>IF(Table1[[#This Row],[Actual close date]]="","",Table1[[#This Row],[Actual close date]]-Table1[[#This Row],[Expected close date]])</f>
        <v/>
      </c>
    </row>
    <row r="805" spans="1:18" x14ac:dyDescent="0.25">
      <c r="A805" t="s">
        <v>881</v>
      </c>
      <c r="B805" t="s">
        <v>54</v>
      </c>
      <c r="C805" t="s">
        <v>55</v>
      </c>
      <c r="D805" t="s">
        <v>56</v>
      </c>
      <c r="E805" t="s">
        <v>101</v>
      </c>
      <c r="F805" t="s">
        <v>125</v>
      </c>
      <c r="G805" t="s">
        <v>57</v>
      </c>
      <c r="H805" s="1">
        <v>45297</v>
      </c>
      <c r="I805" t="s">
        <v>24</v>
      </c>
      <c r="J805" t="s">
        <v>603</v>
      </c>
      <c r="K805">
        <v>1</v>
      </c>
      <c r="N805">
        <v>272</v>
      </c>
      <c r="O805">
        <v>100</v>
      </c>
      <c r="P805" s="1">
        <v>45630</v>
      </c>
      <c r="Q805" s="1"/>
      <c r="R805" t="str">
        <f>IF(Table1[[#This Row],[Actual close date]]="","",Table1[[#This Row],[Actual close date]]-Table1[[#This Row],[Expected close date]])</f>
        <v/>
      </c>
    </row>
    <row r="806" spans="1:18" x14ac:dyDescent="0.25">
      <c r="A806" t="s">
        <v>882</v>
      </c>
      <c r="B806" t="s">
        <v>59</v>
      </c>
      <c r="C806" t="s">
        <v>60</v>
      </c>
      <c r="D806" t="s">
        <v>61</v>
      </c>
      <c r="E806" t="s">
        <v>21</v>
      </c>
      <c r="F806" t="s">
        <v>125</v>
      </c>
      <c r="G806" t="s">
        <v>57</v>
      </c>
      <c r="H806" s="1">
        <v>45329</v>
      </c>
      <c r="I806" t="s">
        <v>24</v>
      </c>
      <c r="J806" t="s">
        <v>603</v>
      </c>
      <c r="K806">
        <v>1</v>
      </c>
      <c r="N806">
        <v>946</v>
      </c>
      <c r="O806">
        <v>30</v>
      </c>
      <c r="P806" s="1">
        <v>45630</v>
      </c>
      <c r="Q806" s="1"/>
      <c r="R806" t="str">
        <f>IF(Table1[[#This Row],[Actual close date]]="","",Table1[[#This Row],[Actual close date]]-Table1[[#This Row],[Expected close date]])</f>
        <v/>
      </c>
    </row>
    <row r="807" spans="1:18" x14ac:dyDescent="0.25">
      <c r="A807" t="s">
        <v>883</v>
      </c>
      <c r="B807" t="s">
        <v>76</v>
      </c>
      <c r="C807" t="s">
        <v>77</v>
      </c>
      <c r="D807" t="s">
        <v>78</v>
      </c>
      <c r="E807" t="s">
        <v>118</v>
      </c>
      <c r="F807" t="s">
        <v>125</v>
      </c>
      <c r="G807" t="s">
        <v>37</v>
      </c>
      <c r="H807" s="1">
        <v>45360</v>
      </c>
      <c r="I807" t="s">
        <v>64</v>
      </c>
      <c r="J807" t="s">
        <v>603</v>
      </c>
      <c r="K807">
        <v>1</v>
      </c>
      <c r="N807">
        <v>720</v>
      </c>
      <c r="O807">
        <v>40</v>
      </c>
      <c r="P807" s="1">
        <v>45570</v>
      </c>
      <c r="Q807" s="1"/>
      <c r="R807" t="str">
        <f>IF(Table1[[#This Row],[Actual close date]]="","",Table1[[#This Row],[Actual close date]]-Table1[[#This Row],[Expected close date]])</f>
        <v/>
      </c>
    </row>
    <row r="808" spans="1:18" x14ac:dyDescent="0.25">
      <c r="A808" t="s">
        <v>884</v>
      </c>
      <c r="B808" t="s">
        <v>49</v>
      </c>
      <c r="C808" t="s">
        <v>50</v>
      </c>
      <c r="D808" t="s">
        <v>51</v>
      </c>
      <c r="E808" t="s">
        <v>74</v>
      </c>
      <c r="F808" t="s">
        <v>125</v>
      </c>
      <c r="G808" t="s">
        <v>37</v>
      </c>
      <c r="H808" s="1">
        <v>45329</v>
      </c>
      <c r="I808" t="s">
        <v>64</v>
      </c>
      <c r="J808" t="s">
        <v>603</v>
      </c>
      <c r="K808">
        <v>1</v>
      </c>
      <c r="N808">
        <v>1196</v>
      </c>
      <c r="O808">
        <v>50</v>
      </c>
      <c r="P808" s="1">
        <v>45412</v>
      </c>
      <c r="Q808" s="1"/>
      <c r="R808" t="str">
        <f>IF(Table1[[#This Row],[Actual close date]]="","",Table1[[#This Row],[Actual close date]]-Table1[[#This Row],[Expected close date]])</f>
        <v/>
      </c>
    </row>
    <row r="809" spans="1:18" x14ac:dyDescent="0.25">
      <c r="A809" t="s">
        <v>885</v>
      </c>
      <c r="B809" t="s">
        <v>76</v>
      </c>
      <c r="C809" t="s">
        <v>77</v>
      </c>
      <c r="D809" t="s">
        <v>78</v>
      </c>
      <c r="E809" t="s">
        <v>66</v>
      </c>
      <c r="F809" t="s">
        <v>125</v>
      </c>
      <c r="G809" t="s">
        <v>57</v>
      </c>
      <c r="H809" s="1">
        <v>45380</v>
      </c>
      <c r="I809" t="s">
        <v>47</v>
      </c>
      <c r="J809" t="s">
        <v>603</v>
      </c>
      <c r="K809">
        <v>1</v>
      </c>
      <c r="N809">
        <v>429</v>
      </c>
      <c r="O809">
        <v>20</v>
      </c>
      <c r="P809" s="1">
        <v>45696</v>
      </c>
      <c r="Q809" s="1"/>
      <c r="R809" t="str">
        <f>IF(Table1[[#This Row],[Actual close date]]="","",Table1[[#This Row],[Actual close date]]-Table1[[#This Row],[Expected close date]])</f>
        <v/>
      </c>
    </row>
    <row r="810" spans="1:18" x14ac:dyDescent="0.25">
      <c r="A810" t="s">
        <v>886</v>
      </c>
      <c r="B810" t="s">
        <v>49</v>
      </c>
      <c r="C810" t="s">
        <v>50</v>
      </c>
      <c r="D810" t="s">
        <v>51</v>
      </c>
      <c r="E810" t="s">
        <v>52</v>
      </c>
      <c r="F810" t="s">
        <v>167</v>
      </c>
      <c r="G810" t="s">
        <v>37</v>
      </c>
      <c r="H810" s="1">
        <v>45339</v>
      </c>
      <c r="I810" t="s">
        <v>24</v>
      </c>
      <c r="J810" t="s">
        <v>603</v>
      </c>
      <c r="K810">
        <v>1</v>
      </c>
      <c r="N810">
        <v>2023</v>
      </c>
      <c r="O810">
        <v>40</v>
      </c>
      <c r="P810" s="1">
        <v>45559</v>
      </c>
      <c r="Q810" s="1"/>
      <c r="R810" t="str">
        <f>IF(Table1[[#This Row],[Actual close date]]="","",Table1[[#This Row],[Actual close date]]-Table1[[#This Row],[Expected close date]])</f>
        <v/>
      </c>
    </row>
    <row r="811" spans="1:18" x14ac:dyDescent="0.25">
      <c r="A811" t="s">
        <v>887</v>
      </c>
      <c r="B811" t="s">
        <v>39</v>
      </c>
      <c r="C811" t="s">
        <v>40</v>
      </c>
      <c r="D811" t="s">
        <v>41</v>
      </c>
      <c r="E811" t="s">
        <v>42</v>
      </c>
      <c r="F811" t="s">
        <v>167</v>
      </c>
      <c r="G811" t="s">
        <v>37</v>
      </c>
      <c r="H811" s="1">
        <v>45388</v>
      </c>
      <c r="I811" t="s">
        <v>64</v>
      </c>
      <c r="J811" t="s">
        <v>603</v>
      </c>
      <c r="K811">
        <v>1</v>
      </c>
      <c r="N811">
        <v>7694</v>
      </c>
      <c r="O811">
        <v>60</v>
      </c>
      <c r="P811" s="1">
        <v>45512</v>
      </c>
      <c r="Q811" s="1"/>
      <c r="R811" t="str">
        <f>IF(Table1[[#This Row],[Actual close date]]="","",Table1[[#This Row],[Actual close date]]-Table1[[#This Row],[Expected close date]])</f>
        <v/>
      </c>
    </row>
    <row r="812" spans="1:18" x14ac:dyDescent="0.25">
      <c r="A812" t="s">
        <v>888</v>
      </c>
      <c r="B812" t="s">
        <v>18</v>
      </c>
      <c r="C812" t="s">
        <v>19</v>
      </c>
      <c r="D812" t="s">
        <v>20</v>
      </c>
      <c r="E812" t="s">
        <v>66</v>
      </c>
      <c r="F812" t="s">
        <v>167</v>
      </c>
      <c r="G812" t="s">
        <v>31</v>
      </c>
      <c r="H812" s="1">
        <v>45394</v>
      </c>
      <c r="I812" t="s">
        <v>64</v>
      </c>
      <c r="J812" t="s">
        <v>603</v>
      </c>
      <c r="K812">
        <v>1</v>
      </c>
      <c r="N812">
        <v>3165</v>
      </c>
      <c r="O812">
        <v>20</v>
      </c>
      <c r="P812" s="1">
        <v>45450</v>
      </c>
      <c r="Q812" s="1"/>
      <c r="R812" t="str">
        <f>IF(Table1[[#This Row],[Actual close date]]="","",Table1[[#This Row],[Actual close date]]-Table1[[#This Row],[Expected close date]])</f>
        <v/>
      </c>
    </row>
    <row r="813" spans="1:18" x14ac:dyDescent="0.25">
      <c r="A813" t="s">
        <v>889</v>
      </c>
      <c r="B813" t="s">
        <v>69</v>
      </c>
      <c r="C813" t="s">
        <v>70</v>
      </c>
      <c r="D813" t="s">
        <v>71</v>
      </c>
      <c r="E813" t="s">
        <v>122</v>
      </c>
      <c r="F813" t="s">
        <v>167</v>
      </c>
      <c r="G813" t="s">
        <v>23</v>
      </c>
      <c r="H813" s="1">
        <v>45334</v>
      </c>
      <c r="I813" t="s">
        <v>24</v>
      </c>
      <c r="J813" t="s">
        <v>603</v>
      </c>
      <c r="K813">
        <v>1</v>
      </c>
      <c r="N813">
        <v>7131</v>
      </c>
      <c r="O813">
        <v>40</v>
      </c>
      <c r="P813" s="1">
        <v>45608</v>
      </c>
      <c r="Q813" s="1"/>
      <c r="R813" t="str">
        <f>IF(Table1[[#This Row],[Actual close date]]="","",Table1[[#This Row],[Actual close date]]-Table1[[#This Row],[Expected close date]])</f>
        <v/>
      </c>
    </row>
    <row r="814" spans="1:18" x14ac:dyDescent="0.25">
      <c r="A814" t="s">
        <v>890</v>
      </c>
      <c r="B814" t="s">
        <v>33</v>
      </c>
      <c r="C814" t="s">
        <v>34</v>
      </c>
      <c r="D814" t="s">
        <v>35</v>
      </c>
      <c r="E814" t="s">
        <v>52</v>
      </c>
      <c r="F814" t="s">
        <v>167</v>
      </c>
      <c r="G814" t="s">
        <v>46</v>
      </c>
      <c r="H814" s="1">
        <v>45375</v>
      </c>
      <c r="I814" t="s">
        <v>64</v>
      </c>
      <c r="J814" t="s">
        <v>603</v>
      </c>
      <c r="K814">
        <v>1</v>
      </c>
      <c r="N814">
        <v>648</v>
      </c>
      <c r="O814">
        <v>60</v>
      </c>
      <c r="P814" s="1">
        <v>45467</v>
      </c>
      <c r="Q814" s="1"/>
      <c r="R814" t="str">
        <f>IF(Table1[[#This Row],[Actual close date]]="","",Table1[[#This Row],[Actual close date]]-Table1[[#This Row],[Expected close date]])</f>
        <v/>
      </c>
    </row>
    <row r="815" spans="1:18" x14ac:dyDescent="0.25">
      <c r="A815" t="s">
        <v>891</v>
      </c>
      <c r="B815" t="s">
        <v>39</v>
      </c>
      <c r="C815" t="s">
        <v>40</v>
      </c>
      <c r="D815" t="s">
        <v>41</v>
      </c>
      <c r="E815" t="s">
        <v>82</v>
      </c>
      <c r="F815" t="s">
        <v>167</v>
      </c>
      <c r="G815" t="s">
        <v>37</v>
      </c>
      <c r="H815" s="1">
        <v>45340</v>
      </c>
      <c r="I815" t="s">
        <v>64</v>
      </c>
      <c r="J815" t="s">
        <v>603</v>
      </c>
      <c r="K815">
        <v>1</v>
      </c>
      <c r="N815">
        <v>3927</v>
      </c>
      <c r="O815">
        <v>60</v>
      </c>
      <c r="P815" s="1">
        <v>45396</v>
      </c>
      <c r="Q815" s="1"/>
      <c r="R815" t="str">
        <f>IF(Table1[[#This Row],[Actual close date]]="","",Table1[[#This Row],[Actual close date]]-Table1[[#This Row],[Expected close date]])</f>
        <v/>
      </c>
    </row>
    <row r="816" spans="1:18" x14ac:dyDescent="0.25">
      <c r="A816" t="s">
        <v>892</v>
      </c>
      <c r="B816" t="s">
        <v>54</v>
      </c>
      <c r="C816" t="s">
        <v>55</v>
      </c>
      <c r="D816" t="s">
        <v>56</v>
      </c>
      <c r="E816" t="s">
        <v>52</v>
      </c>
      <c r="F816" t="s">
        <v>167</v>
      </c>
      <c r="G816" t="s">
        <v>37</v>
      </c>
      <c r="H816" s="1">
        <v>45374</v>
      </c>
      <c r="I816" t="s">
        <v>24</v>
      </c>
      <c r="J816" t="s">
        <v>603</v>
      </c>
      <c r="K816">
        <v>1</v>
      </c>
      <c r="N816">
        <v>4421</v>
      </c>
      <c r="O816">
        <v>30</v>
      </c>
      <c r="P816" s="1">
        <v>45656</v>
      </c>
      <c r="Q816" s="1"/>
      <c r="R816" t="str">
        <f>IF(Table1[[#This Row],[Actual close date]]="","",Table1[[#This Row],[Actual close date]]-Table1[[#This Row],[Expected close date]])</f>
        <v/>
      </c>
    </row>
    <row r="817" spans="1:18" x14ac:dyDescent="0.25">
      <c r="A817" t="s">
        <v>893</v>
      </c>
      <c r="B817" t="s">
        <v>27</v>
      </c>
      <c r="C817" t="s">
        <v>28</v>
      </c>
      <c r="D817" t="s">
        <v>29</v>
      </c>
      <c r="E817" t="s">
        <v>21</v>
      </c>
      <c r="F817" t="s">
        <v>167</v>
      </c>
      <c r="G817" t="s">
        <v>37</v>
      </c>
      <c r="H817" s="1">
        <v>45427</v>
      </c>
      <c r="I817" t="s">
        <v>64</v>
      </c>
      <c r="J817" t="s">
        <v>603</v>
      </c>
      <c r="K817">
        <v>1</v>
      </c>
      <c r="N817">
        <v>290</v>
      </c>
      <c r="O817">
        <v>20</v>
      </c>
      <c r="P817" s="1">
        <v>45680</v>
      </c>
      <c r="Q817" s="1"/>
      <c r="R817" t="str">
        <f>IF(Table1[[#This Row],[Actual close date]]="","",Table1[[#This Row],[Actual close date]]-Table1[[#This Row],[Expected close date]])</f>
        <v/>
      </c>
    </row>
    <row r="818" spans="1:18" x14ac:dyDescent="0.25">
      <c r="A818" t="s">
        <v>894</v>
      </c>
      <c r="B818" t="s">
        <v>54</v>
      </c>
      <c r="C818" t="s">
        <v>55</v>
      </c>
      <c r="D818" t="s">
        <v>56</v>
      </c>
      <c r="E818" t="s">
        <v>45</v>
      </c>
      <c r="F818" t="s">
        <v>167</v>
      </c>
      <c r="G818" t="s">
        <v>57</v>
      </c>
      <c r="H818" s="1">
        <v>45362</v>
      </c>
      <c r="I818" t="s">
        <v>24</v>
      </c>
      <c r="J818" t="s">
        <v>603</v>
      </c>
      <c r="K818">
        <v>1</v>
      </c>
      <c r="N818">
        <v>2699</v>
      </c>
      <c r="O818">
        <v>80</v>
      </c>
      <c r="P818" s="1">
        <v>45401</v>
      </c>
      <c r="Q818" s="1"/>
      <c r="R818" t="str">
        <f>IF(Table1[[#This Row],[Actual close date]]="","",Table1[[#This Row],[Actual close date]]-Table1[[#This Row],[Expected close date]])</f>
        <v/>
      </c>
    </row>
    <row r="819" spans="1:18" x14ac:dyDescent="0.25">
      <c r="A819" t="s">
        <v>895</v>
      </c>
      <c r="B819" t="s">
        <v>54</v>
      </c>
      <c r="C819" t="s">
        <v>55</v>
      </c>
      <c r="D819" t="s">
        <v>56</v>
      </c>
      <c r="E819" t="s">
        <v>21</v>
      </c>
      <c r="F819" t="s">
        <v>167</v>
      </c>
      <c r="G819" t="s">
        <v>85</v>
      </c>
      <c r="H819" s="1">
        <v>45297</v>
      </c>
      <c r="I819" t="s">
        <v>24</v>
      </c>
      <c r="J819" t="s">
        <v>603</v>
      </c>
      <c r="K819">
        <v>1</v>
      </c>
      <c r="N819">
        <v>3195</v>
      </c>
      <c r="O819">
        <v>100</v>
      </c>
      <c r="P819" s="1">
        <v>45339</v>
      </c>
      <c r="Q819" s="1"/>
      <c r="R819" t="str">
        <f>IF(Table1[[#This Row],[Actual close date]]="","",Table1[[#This Row],[Actual close date]]-Table1[[#This Row],[Expected close date]])</f>
        <v/>
      </c>
    </row>
    <row r="820" spans="1:18" x14ac:dyDescent="0.25">
      <c r="A820" t="s">
        <v>896</v>
      </c>
      <c r="B820" t="s">
        <v>27</v>
      </c>
      <c r="C820" t="s">
        <v>28</v>
      </c>
      <c r="D820" t="s">
        <v>29</v>
      </c>
      <c r="E820" t="s">
        <v>62</v>
      </c>
      <c r="F820" t="s">
        <v>167</v>
      </c>
      <c r="G820" t="s">
        <v>37</v>
      </c>
      <c r="H820" s="1">
        <v>45356</v>
      </c>
      <c r="I820" t="s">
        <v>64</v>
      </c>
      <c r="J820" t="s">
        <v>603</v>
      </c>
      <c r="K820">
        <v>1</v>
      </c>
      <c r="N820">
        <v>1765</v>
      </c>
      <c r="O820">
        <v>50</v>
      </c>
      <c r="P820" s="1">
        <v>45396</v>
      </c>
      <c r="Q820" s="1"/>
      <c r="R820" t="str">
        <f>IF(Table1[[#This Row],[Actual close date]]="","",Table1[[#This Row],[Actual close date]]-Table1[[#This Row],[Expected close date]])</f>
        <v/>
      </c>
    </row>
    <row r="821" spans="1:18" x14ac:dyDescent="0.25">
      <c r="A821" t="s">
        <v>897</v>
      </c>
      <c r="B821" t="s">
        <v>39</v>
      </c>
      <c r="C821" t="s">
        <v>40</v>
      </c>
      <c r="D821" t="s">
        <v>41</v>
      </c>
      <c r="E821" t="s">
        <v>66</v>
      </c>
      <c r="F821" t="s">
        <v>167</v>
      </c>
      <c r="G821" t="s">
        <v>72</v>
      </c>
      <c r="H821" s="1">
        <v>45390</v>
      </c>
      <c r="I821" t="s">
        <v>24</v>
      </c>
      <c r="J821" t="s">
        <v>603</v>
      </c>
      <c r="K821">
        <v>1</v>
      </c>
      <c r="N821">
        <v>7602</v>
      </c>
      <c r="O821">
        <v>30</v>
      </c>
      <c r="P821" s="1">
        <v>45697</v>
      </c>
      <c r="Q821" s="1"/>
      <c r="R821" t="str">
        <f>IF(Table1[[#This Row],[Actual close date]]="","",Table1[[#This Row],[Actual close date]]-Table1[[#This Row],[Expected close date]])</f>
        <v/>
      </c>
    </row>
    <row r="822" spans="1:18" x14ac:dyDescent="0.25">
      <c r="A822" t="s">
        <v>898</v>
      </c>
      <c r="B822" t="s">
        <v>33</v>
      </c>
      <c r="C822" t="s">
        <v>34</v>
      </c>
      <c r="D822" t="s">
        <v>35</v>
      </c>
      <c r="E822" t="s">
        <v>36</v>
      </c>
      <c r="F822" t="s">
        <v>167</v>
      </c>
      <c r="G822" t="s">
        <v>85</v>
      </c>
      <c r="H822" s="1">
        <v>45347</v>
      </c>
      <c r="I822" t="s">
        <v>24</v>
      </c>
      <c r="J822" t="s">
        <v>603</v>
      </c>
      <c r="K822">
        <v>1</v>
      </c>
      <c r="N822">
        <v>3872</v>
      </c>
      <c r="O822">
        <v>20</v>
      </c>
      <c r="P822" s="1">
        <v>45467</v>
      </c>
      <c r="Q822" s="1"/>
      <c r="R822" t="str">
        <f>IF(Table1[[#This Row],[Actual close date]]="","",Table1[[#This Row],[Actual close date]]-Table1[[#This Row],[Expected close date]])</f>
        <v/>
      </c>
    </row>
    <row r="823" spans="1:18" x14ac:dyDescent="0.25">
      <c r="A823" t="s">
        <v>899</v>
      </c>
      <c r="B823" t="s">
        <v>59</v>
      </c>
      <c r="C823" t="s">
        <v>60</v>
      </c>
      <c r="D823" t="s">
        <v>61</v>
      </c>
      <c r="E823" t="s">
        <v>21</v>
      </c>
      <c r="F823" t="s">
        <v>167</v>
      </c>
      <c r="G823" t="s">
        <v>37</v>
      </c>
      <c r="H823" s="1">
        <v>45443</v>
      </c>
      <c r="I823" t="s">
        <v>64</v>
      </c>
      <c r="J823" t="s">
        <v>603</v>
      </c>
      <c r="K823">
        <v>1</v>
      </c>
      <c r="N823">
        <v>6817</v>
      </c>
      <c r="O823">
        <v>20</v>
      </c>
      <c r="P823" s="1">
        <v>45531</v>
      </c>
      <c r="Q823" s="1"/>
      <c r="R823" t="str">
        <f>IF(Table1[[#This Row],[Actual close date]]="","",Table1[[#This Row],[Actual close date]]-Table1[[#This Row],[Expected close date]])</f>
        <v/>
      </c>
    </row>
    <row r="824" spans="1:18" x14ac:dyDescent="0.25">
      <c r="A824" t="s">
        <v>900</v>
      </c>
      <c r="B824" t="s">
        <v>39</v>
      </c>
      <c r="C824" t="s">
        <v>40</v>
      </c>
      <c r="D824" t="s">
        <v>41</v>
      </c>
      <c r="E824" t="s">
        <v>45</v>
      </c>
      <c r="F824" t="s">
        <v>167</v>
      </c>
      <c r="G824" t="s">
        <v>57</v>
      </c>
      <c r="H824" s="1">
        <v>45370</v>
      </c>
      <c r="I824" t="s">
        <v>24</v>
      </c>
      <c r="J824" t="s">
        <v>603</v>
      </c>
      <c r="K824">
        <v>1</v>
      </c>
      <c r="N824">
        <v>686</v>
      </c>
      <c r="O824">
        <v>60</v>
      </c>
      <c r="P824" s="1">
        <v>45695</v>
      </c>
      <c r="Q824" s="1"/>
      <c r="R824" t="str">
        <f>IF(Table1[[#This Row],[Actual close date]]="","",Table1[[#This Row],[Actual close date]]-Table1[[#This Row],[Expected close date]])</f>
        <v/>
      </c>
    </row>
    <row r="825" spans="1:18" x14ac:dyDescent="0.25">
      <c r="A825" t="s">
        <v>901</v>
      </c>
      <c r="B825" t="s">
        <v>59</v>
      </c>
      <c r="C825" t="s">
        <v>60</v>
      </c>
      <c r="D825" t="s">
        <v>61</v>
      </c>
      <c r="E825" t="s">
        <v>122</v>
      </c>
      <c r="F825" t="s">
        <v>167</v>
      </c>
      <c r="G825" t="s">
        <v>37</v>
      </c>
      <c r="H825" s="1">
        <v>45419</v>
      </c>
      <c r="I825" t="s">
        <v>64</v>
      </c>
      <c r="J825" t="s">
        <v>603</v>
      </c>
      <c r="K825">
        <v>1</v>
      </c>
      <c r="N825">
        <v>7489</v>
      </c>
      <c r="O825">
        <v>40</v>
      </c>
      <c r="P825" s="1">
        <v>45501</v>
      </c>
      <c r="Q825" s="1"/>
      <c r="R825" t="str">
        <f>IF(Table1[[#This Row],[Actual close date]]="","",Table1[[#This Row],[Actual close date]]-Table1[[#This Row],[Expected close date]])</f>
        <v/>
      </c>
    </row>
    <row r="826" spans="1:18" x14ac:dyDescent="0.25">
      <c r="A826" t="s">
        <v>902</v>
      </c>
      <c r="B826" t="s">
        <v>59</v>
      </c>
      <c r="C826" t="s">
        <v>60</v>
      </c>
      <c r="D826" t="s">
        <v>61</v>
      </c>
      <c r="E826" t="s">
        <v>74</v>
      </c>
      <c r="F826" t="s">
        <v>167</v>
      </c>
      <c r="G826" t="s">
        <v>46</v>
      </c>
      <c r="H826" s="1">
        <v>45323</v>
      </c>
      <c r="I826" t="s">
        <v>64</v>
      </c>
      <c r="J826" t="s">
        <v>603</v>
      </c>
      <c r="K826">
        <v>1</v>
      </c>
      <c r="N826">
        <v>361</v>
      </c>
      <c r="O826">
        <v>20</v>
      </c>
      <c r="P826" s="1">
        <v>45506</v>
      </c>
      <c r="Q826" s="1"/>
      <c r="R826" t="str">
        <f>IF(Table1[[#This Row],[Actual close date]]="","",Table1[[#This Row],[Actual close date]]-Table1[[#This Row],[Expected close date]])</f>
        <v/>
      </c>
    </row>
    <row r="827" spans="1:18" x14ac:dyDescent="0.25">
      <c r="A827" t="s">
        <v>903</v>
      </c>
      <c r="B827" t="s">
        <v>59</v>
      </c>
      <c r="C827" t="s">
        <v>60</v>
      </c>
      <c r="D827" t="s">
        <v>61</v>
      </c>
      <c r="E827" t="s">
        <v>45</v>
      </c>
      <c r="F827" t="s">
        <v>167</v>
      </c>
      <c r="G827" t="s">
        <v>85</v>
      </c>
      <c r="H827" s="1">
        <v>45320</v>
      </c>
      <c r="I827" t="s">
        <v>24</v>
      </c>
      <c r="J827" t="s">
        <v>603</v>
      </c>
      <c r="K827">
        <v>1</v>
      </c>
      <c r="N827">
        <v>6737</v>
      </c>
      <c r="O827">
        <v>80</v>
      </c>
      <c r="P827" s="1">
        <v>45496</v>
      </c>
      <c r="Q827" s="1"/>
      <c r="R827" t="str">
        <f>IF(Table1[[#This Row],[Actual close date]]="","",Table1[[#This Row],[Actual close date]]-Table1[[#This Row],[Expected close date]])</f>
        <v/>
      </c>
    </row>
    <row r="828" spans="1:18" x14ac:dyDescent="0.25">
      <c r="A828" t="s">
        <v>904</v>
      </c>
      <c r="B828" t="s">
        <v>54</v>
      </c>
      <c r="C828" t="s">
        <v>55</v>
      </c>
      <c r="D828" t="s">
        <v>56</v>
      </c>
      <c r="E828" t="s">
        <v>36</v>
      </c>
      <c r="F828" t="s">
        <v>167</v>
      </c>
      <c r="G828" t="s">
        <v>46</v>
      </c>
      <c r="H828" s="1">
        <v>45299</v>
      </c>
      <c r="I828" t="s">
        <v>47</v>
      </c>
      <c r="J828" t="s">
        <v>603</v>
      </c>
      <c r="K828">
        <v>1</v>
      </c>
      <c r="N828">
        <v>3058</v>
      </c>
      <c r="O828">
        <v>10</v>
      </c>
      <c r="P828" s="1">
        <v>45376</v>
      </c>
      <c r="Q828" s="1"/>
      <c r="R828" t="str">
        <f>IF(Table1[[#This Row],[Actual close date]]="","",Table1[[#This Row],[Actual close date]]-Table1[[#This Row],[Expected close date]])</f>
        <v/>
      </c>
    </row>
    <row r="829" spans="1:18" x14ac:dyDescent="0.25">
      <c r="A829" t="s">
        <v>905</v>
      </c>
      <c r="B829" t="s">
        <v>69</v>
      </c>
      <c r="C829" t="s">
        <v>70</v>
      </c>
      <c r="D829" t="s">
        <v>71</v>
      </c>
      <c r="E829" t="s">
        <v>82</v>
      </c>
      <c r="F829" t="s">
        <v>167</v>
      </c>
      <c r="G829" t="s">
        <v>31</v>
      </c>
      <c r="H829" s="1">
        <v>45404</v>
      </c>
      <c r="I829" t="s">
        <v>24</v>
      </c>
      <c r="J829" t="s">
        <v>603</v>
      </c>
      <c r="K829">
        <v>1</v>
      </c>
      <c r="N829">
        <v>6586</v>
      </c>
      <c r="O829">
        <v>40</v>
      </c>
      <c r="P829" s="1">
        <v>45691</v>
      </c>
      <c r="Q829" s="1"/>
      <c r="R829" t="str">
        <f>IF(Table1[[#This Row],[Actual close date]]="","",Table1[[#This Row],[Actual close date]]-Table1[[#This Row],[Expected close date]])</f>
        <v/>
      </c>
    </row>
    <row r="830" spans="1:18" x14ac:dyDescent="0.25">
      <c r="A830" t="s">
        <v>906</v>
      </c>
      <c r="B830" t="s">
        <v>33</v>
      </c>
      <c r="C830" t="s">
        <v>34</v>
      </c>
      <c r="D830" t="s">
        <v>35</v>
      </c>
      <c r="E830" t="s">
        <v>101</v>
      </c>
      <c r="F830" t="s">
        <v>167</v>
      </c>
      <c r="G830" t="s">
        <v>46</v>
      </c>
      <c r="H830" s="1">
        <v>45430</v>
      </c>
      <c r="I830" t="s">
        <v>64</v>
      </c>
      <c r="J830" t="s">
        <v>603</v>
      </c>
      <c r="K830">
        <v>1</v>
      </c>
      <c r="N830">
        <v>3108</v>
      </c>
      <c r="O830">
        <v>40</v>
      </c>
      <c r="P830" s="1">
        <v>45771</v>
      </c>
      <c r="Q830" s="1"/>
      <c r="R830" t="str">
        <f>IF(Table1[[#This Row],[Actual close date]]="","",Table1[[#This Row],[Actual close date]]-Table1[[#This Row],[Expected close date]])</f>
        <v/>
      </c>
    </row>
    <row r="831" spans="1:18" x14ac:dyDescent="0.25">
      <c r="A831" t="s">
        <v>907</v>
      </c>
      <c r="B831" t="s">
        <v>69</v>
      </c>
      <c r="C831" t="s">
        <v>70</v>
      </c>
      <c r="D831" t="s">
        <v>71</v>
      </c>
      <c r="E831" t="s">
        <v>30</v>
      </c>
      <c r="F831" t="s">
        <v>167</v>
      </c>
      <c r="G831" t="s">
        <v>57</v>
      </c>
      <c r="H831" s="1">
        <v>45431</v>
      </c>
      <c r="I831" t="s">
        <v>24</v>
      </c>
      <c r="J831" t="s">
        <v>603</v>
      </c>
      <c r="K831">
        <v>1</v>
      </c>
      <c r="N831">
        <v>2864</v>
      </c>
      <c r="O831">
        <v>20</v>
      </c>
      <c r="P831" s="1">
        <v>45601</v>
      </c>
      <c r="Q831" s="1"/>
      <c r="R831" t="str">
        <f>IF(Table1[[#This Row],[Actual close date]]="","",Table1[[#This Row],[Actual close date]]-Table1[[#This Row],[Expected close date]])</f>
        <v/>
      </c>
    </row>
    <row r="832" spans="1:18" x14ac:dyDescent="0.25">
      <c r="A832" t="s">
        <v>908</v>
      </c>
      <c r="B832" t="s">
        <v>49</v>
      </c>
      <c r="C832" t="s">
        <v>50</v>
      </c>
      <c r="D832" t="s">
        <v>51</v>
      </c>
      <c r="E832" t="s">
        <v>52</v>
      </c>
      <c r="F832" t="s">
        <v>167</v>
      </c>
      <c r="G832" t="s">
        <v>72</v>
      </c>
      <c r="H832" s="1">
        <v>45389</v>
      </c>
      <c r="I832" t="s">
        <v>64</v>
      </c>
      <c r="J832" t="s">
        <v>603</v>
      </c>
      <c r="K832">
        <v>1</v>
      </c>
      <c r="N832">
        <v>2513</v>
      </c>
      <c r="O832">
        <v>20</v>
      </c>
      <c r="P832" s="1">
        <v>45604</v>
      </c>
      <c r="Q832" s="1"/>
      <c r="R832" t="str">
        <f>IF(Table1[[#This Row],[Actual close date]]="","",Table1[[#This Row],[Actual close date]]-Table1[[#This Row],[Expected close date]])</f>
        <v/>
      </c>
    </row>
    <row r="833" spans="1:18" x14ac:dyDescent="0.25">
      <c r="A833" t="s">
        <v>909</v>
      </c>
      <c r="B833" t="s">
        <v>33</v>
      </c>
      <c r="C833" t="s">
        <v>34</v>
      </c>
      <c r="D833" t="s">
        <v>35</v>
      </c>
      <c r="E833" t="s">
        <v>45</v>
      </c>
      <c r="F833" t="s">
        <v>167</v>
      </c>
      <c r="G833" t="s">
        <v>57</v>
      </c>
      <c r="H833" s="1">
        <v>45301</v>
      </c>
      <c r="I833" t="s">
        <v>24</v>
      </c>
      <c r="J833" t="s">
        <v>603</v>
      </c>
      <c r="K833">
        <v>1</v>
      </c>
      <c r="N833">
        <v>2504</v>
      </c>
      <c r="O833">
        <v>30</v>
      </c>
      <c r="P833" s="1">
        <v>45474</v>
      </c>
      <c r="Q833" s="1"/>
      <c r="R833" t="str">
        <f>IF(Table1[[#This Row],[Actual close date]]="","",Table1[[#This Row],[Actual close date]]-Table1[[#This Row],[Expected close date]])</f>
        <v/>
      </c>
    </row>
    <row r="834" spans="1:18" x14ac:dyDescent="0.25">
      <c r="A834" t="s">
        <v>910</v>
      </c>
      <c r="B834" t="s">
        <v>69</v>
      </c>
      <c r="C834" t="s">
        <v>70</v>
      </c>
      <c r="D834" t="s">
        <v>71</v>
      </c>
      <c r="E834" t="s">
        <v>45</v>
      </c>
      <c r="F834" t="s">
        <v>167</v>
      </c>
      <c r="G834" t="s">
        <v>83</v>
      </c>
      <c r="H834" s="1">
        <v>45306</v>
      </c>
      <c r="I834" t="s">
        <v>64</v>
      </c>
      <c r="J834" t="s">
        <v>603</v>
      </c>
      <c r="K834">
        <v>1</v>
      </c>
      <c r="N834">
        <v>3666</v>
      </c>
      <c r="O834">
        <v>40</v>
      </c>
      <c r="P834" s="1">
        <v>45655</v>
      </c>
      <c r="Q834" s="1"/>
      <c r="R834" t="str">
        <f>IF(Table1[[#This Row],[Actual close date]]="","",Table1[[#This Row],[Actual close date]]-Table1[[#This Row],[Expected close date]])</f>
        <v/>
      </c>
    </row>
    <row r="835" spans="1:18" x14ac:dyDescent="0.25">
      <c r="A835" t="s">
        <v>911</v>
      </c>
      <c r="B835" t="s">
        <v>59</v>
      </c>
      <c r="C835" t="s">
        <v>60</v>
      </c>
      <c r="D835" t="s">
        <v>61</v>
      </c>
      <c r="E835" t="s">
        <v>82</v>
      </c>
      <c r="F835" t="s">
        <v>167</v>
      </c>
      <c r="G835" t="s">
        <v>46</v>
      </c>
      <c r="H835" s="1">
        <v>45421</v>
      </c>
      <c r="I835" t="s">
        <v>64</v>
      </c>
      <c r="J835" t="s">
        <v>603</v>
      </c>
      <c r="K835">
        <v>1</v>
      </c>
      <c r="N835">
        <v>5438</v>
      </c>
      <c r="O835">
        <v>60</v>
      </c>
      <c r="P835" s="1">
        <v>45607</v>
      </c>
      <c r="Q835" s="1"/>
      <c r="R835" t="str">
        <f>IF(Table1[[#This Row],[Actual close date]]="","",Table1[[#This Row],[Actual close date]]-Table1[[#This Row],[Expected close date]])</f>
        <v/>
      </c>
    </row>
    <row r="836" spans="1:18" x14ac:dyDescent="0.25">
      <c r="A836" t="s">
        <v>912</v>
      </c>
      <c r="B836" t="s">
        <v>18</v>
      </c>
      <c r="C836" t="s">
        <v>19</v>
      </c>
      <c r="D836" t="s">
        <v>20</v>
      </c>
      <c r="E836" t="s">
        <v>45</v>
      </c>
      <c r="F836" t="s">
        <v>167</v>
      </c>
      <c r="G836" t="s">
        <v>46</v>
      </c>
      <c r="H836" s="1">
        <v>45434</v>
      </c>
      <c r="I836" t="s">
        <v>64</v>
      </c>
      <c r="J836" t="s">
        <v>603</v>
      </c>
      <c r="K836">
        <v>1</v>
      </c>
      <c r="N836">
        <v>1631</v>
      </c>
      <c r="O836">
        <v>20</v>
      </c>
      <c r="P836" s="1">
        <v>45635</v>
      </c>
      <c r="Q836" s="1"/>
      <c r="R836" t="str">
        <f>IF(Table1[[#This Row],[Actual close date]]="","",Table1[[#This Row],[Actual close date]]-Table1[[#This Row],[Expected close date]])</f>
        <v/>
      </c>
    </row>
    <row r="837" spans="1:18" x14ac:dyDescent="0.25">
      <c r="A837" t="s">
        <v>913</v>
      </c>
      <c r="B837" t="s">
        <v>59</v>
      </c>
      <c r="C837" t="s">
        <v>60</v>
      </c>
      <c r="D837" t="s">
        <v>61</v>
      </c>
      <c r="E837" t="s">
        <v>36</v>
      </c>
      <c r="F837" t="s">
        <v>167</v>
      </c>
      <c r="G837" t="s">
        <v>85</v>
      </c>
      <c r="H837" s="1">
        <v>45315</v>
      </c>
      <c r="I837" t="s">
        <v>24</v>
      </c>
      <c r="J837" t="s">
        <v>603</v>
      </c>
      <c r="K837">
        <v>1</v>
      </c>
      <c r="N837">
        <v>926</v>
      </c>
      <c r="O837">
        <v>20</v>
      </c>
      <c r="P837" s="1">
        <v>45400</v>
      </c>
      <c r="Q837" s="1"/>
      <c r="R837" t="str">
        <f>IF(Table1[[#This Row],[Actual close date]]="","",Table1[[#This Row],[Actual close date]]-Table1[[#This Row],[Expected close date]])</f>
        <v/>
      </c>
    </row>
    <row r="838" spans="1:18" x14ac:dyDescent="0.25">
      <c r="A838" t="s">
        <v>914</v>
      </c>
      <c r="B838" t="s">
        <v>59</v>
      </c>
      <c r="C838" t="s">
        <v>60</v>
      </c>
      <c r="D838" t="s">
        <v>61</v>
      </c>
      <c r="E838" t="s">
        <v>62</v>
      </c>
      <c r="F838" t="s">
        <v>167</v>
      </c>
      <c r="G838" t="s">
        <v>57</v>
      </c>
      <c r="H838" s="1">
        <v>45304</v>
      </c>
      <c r="I838" t="s">
        <v>24</v>
      </c>
      <c r="J838" t="s">
        <v>603</v>
      </c>
      <c r="K838">
        <v>1</v>
      </c>
      <c r="N838">
        <v>4198</v>
      </c>
      <c r="O838">
        <v>90</v>
      </c>
      <c r="P838" s="1">
        <v>45341</v>
      </c>
      <c r="Q838" s="1"/>
      <c r="R838" t="str">
        <f>IF(Table1[[#This Row],[Actual close date]]="","",Table1[[#This Row],[Actual close date]]-Table1[[#This Row],[Expected close date]])</f>
        <v/>
      </c>
    </row>
    <row r="839" spans="1:18" x14ac:dyDescent="0.25">
      <c r="A839" t="s">
        <v>915</v>
      </c>
      <c r="B839" t="s">
        <v>59</v>
      </c>
      <c r="C839" t="s">
        <v>60</v>
      </c>
      <c r="D839" t="s">
        <v>61</v>
      </c>
      <c r="E839" t="s">
        <v>62</v>
      </c>
      <c r="F839" t="s">
        <v>167</v>
      </c>
      <c r="G839" t="s">
        <v>57</v>
      </c>
      <c r="H839" s="1">
        <v>45415</v>
      </c>
      <c r="I839" t="s">
        <v>47</v>
      </c>
      <c r="J839" t="s">
        <v>603</v>
      </c>
      <c r="K839">
        <v>1</v>
      </c>
      <c r="N839">
        <v>6604</v>
      </c>
      <c r="O839">
        <v>50</v>
      </c>
      <c r="P839" s="1">
        <v>45730</v>
      </c>
      <c r="Q839" s="1"/>
      <c r="R839" t="str">
        <f>IF(Table1[[#This Row],[Actual close date]]="","",Table1[[#This Row],[Actual close date]]-Table1[[#This Row],[Expected close date]])</f>
        <v/>
      </c>
    </row>
    <row r="840" spans="1:18" x14ac:dyDescent="0.25">
      <c r="A840" t="s">
        <v>916</v>
      </c>
      <c r="B840" t="s">
        <v>76</v>
      </c>
      <c r="C840" t="s">
        <v>77</v>
      </c>
      <c r="D840" t="s">
        <v>78</v>
      </c>
      <c r="E840" t="s">
        <v>45</v>
      </c>
      <c r="F840" t="s">
        <v>167</v>
      </c>
      <c r="G840" t="s">
        <v>57</v>
      </c>
      <c r="H840" s="1">
        <v>45357</v>
      </c>
      <c r="I840" t="s">
        <v>24</v>
      </c>
      <c r="J840" t="s">
        <v>603</v>
      </c>
      <c r="K840">
        <v>1</v>
      </c>
      <c r="N840">
        <v>959</v>
      </c>
      <c r="O840">
        <v>50</v>
      </c>
      <c r="P840" s="1">
        <v>45717</v>
      </c>
      <c r="Q840" s="1"/>
      <c r="R840" t="str">
        <f>IF(Table1[[#This Row],[Actual close date]]="","",Table1[[#This Row],[Actual close date]]-Table1[[#This Row],[Expected close date]])</f>
        <v/>
      </c>
    </row>
    <row r="841" spans="1:18" x14ac:dyDescent="0.25">
      <c r="A841" t="s">
        <v>917</v>
      </c>
      <c r="B841" t="s">
        <v>18</v>
      </c>
      <c r="C841" t="s">
        <v>19</v>
      </c>
      <c r="D841" t="s">
        <v>20</v>
      </c>
      <c r="E841" t="s">
        <v>30</v>
      </c>
      <c r="F841" t="s">
        <v>167</v>
      </c>
      <c r="G841" t="s">
        <v>31</v>
      </c>
      <c r="H841" s="1">
        <v>45303</v>
      </c>
      <c r="I841" t="s">
        <v>24</v>
      </c>
      <c r="J841" t="s">
        <v>603</v>
      </c>
      <c r="K841">
        <v>1</v>
      </c>
      <c r="N841">
        <v>2332</v>
      </c>
      <c r="O841">
        <v>20</v>
      </c>
      <c r="P841" s="1">
        <v>45367</v>
      </c>
      <c r="Q841" s="1"/>
      <c r="R841" t="str">
        <f>IF(Table1[[#This Row],[Actual close date]]="","",Table1[[#This Row],[Actual close date]]-Table1[[#This Row],[Expected close date]])</f>
        <v/>
      </c>
    </row>
    <row r="842" spans="1:18" x14ac:dyDescent="0.25">
      <c r="A842" t="s">
        <v>918</v>
      </c>
      <c r="B842" t="s">
        <v>39</v>
      </c>
      <c r="C842" t="s">
        <v>40</v>
      </c>
      <c r="D842" t="s">
        <v>41</v>
      </c>
      <c r="E842" t="s">
        <v>45</v>
      </c>
      <c r="F842" t="s">
        <v>167</v>
      </c>
      <c r="G842" t="s">
        <v>46</v>
      </c>
      <c r="H842" s="1">
        <v>45311</v>
      </c>
      <c r="I842" t="s">
        <v>64</v>
      </c>
      <c r="J842" t="s">
        <v>603</v>
      </c>
      <c r="K842">
        <v>1</v>
      </c>
      <c r="N842">
        <v>5288</v>
      </c>
      <c r="O842">
        <v>40</v>
      </c>
      <c r="P842" s="1">
        <v>45476</v>
      </c>
      <c r="Q842" s="1"/>
      <c r="R842" t="str">
        <f>IF(Table1[[#This Row],[Actual close date]]="","",Table1[[#This Row],[Actual close date]]-Table1[[#This Row],[Expected close date]])</f>
        <v/>
      </c>
    </row>
    <row r="843" spans="1:18" x14ac:dyDescent="0.25">
      <c r="A843" t="s">
        <v>919</v>
      </c>
      <c r="B843" t="s">
        <v>33</v>
      </c>
      <c r="C843" t="s">
        <v>34</v>
      </c>
      <c r="D843" t="s">
        <v>35</v>
      </c>
      <c r="E843" t="s">
        <v>21</v>
      </c>
      <c r="F843" t="s">
        <v>167</v>
      </c>
      <c r="G843" t="s">
        <v>46</v>
      </c>
      <c r="H843" s="1">
        <v>45359</v>
      </c>
      <c r="I843" t="s">
        <v>47</v>
      </c>
      <c r="J843" t="s">
        <v>603</v>
      </c>
      <c r="K843">
        <v>1</v>
      </c>
      <c r="N843">
        <v>2839</v>
      </c>
      <c r="O843">
        <v>30</v>
      </c>
      <c r="P843" s="1">
        <v>45680</v>
      </c>
      <c r="Q843" s="1"/>
      <c r="R843" t="str">
        <f>IF(Table1[[#This Row],[Actual close date]]="","",Table1[[#This Row],[Actual close date]]-Table1[[#This Row],[Expected close date]])</f>
        <v/>
      </c>
    </row>
    <row r="844" spans="1:18" x14ac:dyDescent="0.25">
      <c r="A844" t="s">
        <v>920</v>
      </c>
      <c r="B844" t="s">
        <v>54</v>
      </c>
      <c r="C844" t="s">
        <v>55</v>
      </c>
      <c r="D844" t="s">
        <v>56</v>
      </c>
      <c r="E844" t="s">
        <v>36</v>
      </c>
      <c r="F844" t="s">
        <v>167</v>
      </c>
      <c r="G844" t="s">
        <v>37</v>
      </c>
      <c r="H844" s="1">
        <v>45395</v>
      </c>
      <c r="I844" t="s">
        <v>24</v>
      </c>
      <c r="J844" t="s">
        <v>603</v>
      </c>
      <c r="K844">
        <v>1</v>
      </c>
      <c r="N844">
        <v>3677</v>
      </c>
      <c r="O844">
        <v>70</v>
      </c>
      <c r="P844" s="1">
        <v>45437</v>
      </c>
      <c r="Q844" s="1"/>
      <c r="R844" t="str">
        <f>IF(Table1[[#This Row],[Actual close date]]="","",Table1[[#This Row],[Actual close date]]-Table1[[#This Row],[Expected close date]])</f>
        <v/>
      </c>
    </row>
    <row r="845" spans="1:18" x14ac:dyDescent="0.25">
      <c r="A845" t="s">
        <v>921</v>
      </c>
      <c r="B845" t="s">
        <v>18</v>
      </c>
      <c r="C845" t="s">
        <v>19</v>
      </c>
      <c r="D845" t="s">
        <v>20</v>
      </c>
      <c r="E845" t="s">
        <v>122</v>
      </c>
      <c r="F845" t="s">
        <v>167</v>
      </c>
      <c r="G845" t="s">
        <v>46</v>
      </c>
      <c r="H845" s="1">
        <v>45338</v>
      </c>
      <c r="I845" t="s">
        <v>47</v>
      </c>
      <c r="J845" t="s">
        <v>603</v>
      </c>
      <c r="K845">
        <v>1</v>
      </c>
      <c r="N845">
        <v>6388</v>
      </c>
      <c r="O845">
        <v>90</v>
      </c>
      <c r="P845" s="1">
        <v>45470</v>
      </c>
      <c r="Q845" s="1"/>
      <c r="R845" t="str">
        <f>IF(Table1[[#This Row],[Actual close date]]="","",Table1[[#This Row],[Actual close date]]-Table1[[#This Row],[Expected close date]])</f>
        <v/>
      </c>
    </row>
    <row r="846" spans="1:18" x14ac:dyDescent="0.25">
      <c r="A846" t="s">
        <v>922</v>
      </c>
      <c r="B846" t="s">
        <v>39</v>
      </c>
      <c r="C846" t="s">
        <v>40</v>
      </c>
      <c r="D846" t="s">
        <v>41</v>
      </c>
      <c r="E846" t="s">
        <v>98</v>
      </c>
      <c r="F846" t="s">
        <v>167</v>
      </c>
      <c r="G846" t="s">
        <v>83</v>
      </c>
      <c r="H846" s="1">
        <v>45318</v>
      </c>
      <c r="I846" t="s">
        <v>64</v>
      </c>
      <c r="J846" t="s">
        <v>603</v>
      </c>
      <c r="K846">
        <v>1</v>
      </c>
      <c r="N846">
        <v>4941</v>
      </c>
      <c r="O846">
        <v>40</v>
      </c>
      <c r="P846" s="1">
        <v>45385</v>
      </c>
      <c r="Q846" s="1"/>
      <c r="R846" t="str">
        <f>IF(Table1[[#This Row],[Actual close date]]="","",Table1[[#This Row],[Actual close date]]-Table1[[#This Row],[Expected close date]])</f>
        <v/>
      </c>
    </row>
    <row r="847" spans="1:18" x14ac:dyDescent="0.25">
      <c r="A847" t="s">
        <v>923</v>
      </c>
      <c r="B847" t="s">
        <v>76</v>
      </c>
      <c r="C847" t="s">
        <v>77</v>
      </c>
      <c r="D847" t="s">
        <v>78</v>
      </c>
      <c r="E847" t="s">
        <v>66</v>
      </c>
      <c r="F847" t="s">
        <v>167</v>
      </c>
      <c r="G847" t="s">
        <v>57</v>
      </c>
      <c r="H847" s="1">
        <v>45365</v>
      </c>
      <c r="I847" t="s">
        <v>64</v>
      </c>
      <c r="J847" t="s">
        <v>603</v>
      </c>
      <c r="K847">
        <v>1</v>
      </c>
      <c r="N847">
        <v>1652</v>
      </c>
      <c r="O847">
        <v>40</v>
      </c>
      <c r="P847" s="1">
        <v>45714</v>
      </c>
      <c r="Q847" s="1"/>
      <c r="R847" t="str">
        <f>IF(Table1[[#This Row],[Actual close date]]="","",Table1[[#This Row],[Actual close date]]-Table1[[#This Row],[Expected close date]])</f>
        <v/>
      </c>
    </row>
    <row r="848" spans="1:18" x14ac:dyDescent="0.25">
      <c r="A848" t="s">
        <v>924</v>
      </c>
      <c r="B848" t="s">
        <v>18</v>
      </c>
      <c r="C848" t="s">
        <v>19</v>
      </c>
      <c r="D848" t="s">
        <v>20</v>
      </c>
      <c r="E848" t="s">
        <v>42</v>
      </c>
      <c r="F848" t="s">
        <v>167</v>
      </c>
      <c r="G848" t="s">
        <v>37</v>
      </c>
      <c r="H848" s="1">
        <v>45398</v>
      </c>
      <c r="I848" t="s">
        <v>64</v>
      </c>
      <c r="J848" t="s">
        <v>603</v>
      </c>
      <c r="K848">
        <v>1</v>
      </c>
      <c r="N848">
        <v>1813</v>
      </c>
      <c r="O848">
        <v>50</v>
      </c>
      <c r="P848" s="1">
        <v>45546</v>
      </c>
      <c r="Q848" s="1"/>
      <c r="R848" t="str">
        <f>IF(Table1[[#This Row],[Actual close date]]="","",Table1[[#This Row],[Actual close date]]-Table1[[#This Row],[Expected close date]])</f>
        <v/>
      </c>
    </row>
    <row r="849" spans="1:18" x14ac:dyDescent="0.25">
      <c r="A849" t="s">
        <v>925</v>
      </c>
      <c r="B849" t="s">
        <v>59</v>
      </c>
      <c r="C849" t="s">
        <v>60</v>
      </c>
      <c r="D849" t="s">
        <v>61</v>
      </c>
      <c r="E849" t="s">
        <v>82</v>
      </c>
      <c r="F849" t="s">
        <v>167</v>
      </c>
      <c r="G849" t="s">
        <v>57</v>
      </c>
      <c r="H849" s="1">
        <v>45378</v>
      </c>
      <c r="I849" t="s">
        <v>64</v>
      </c>
      <c r="J849" t="s">
        <v>603</v>
      </c>
      <c r="K849">
        <v>1</v>
      </c>
      <c r="N849">
        <v>4568</v>
      </c>
      <c r="O849">
        <v>20</v>
      </c>
      <c r="P849" s="1">
        <v>45528</v>
      </c>
      <c r="Q849" s="1"/>
      <c r="R849" t="str">
        <f>IF(Table1[[#This Row],[Actual close date]]="","",Table1[[#This Row],[Actual close date]]-Table1[[#This Row],[Expected close date]])</f>
        <v/>
      </c>
    </row>
    <row r="850" spans="1:18" x14ac:dyDescent="0.25">
      <c r="A850" t="s">
        <v>926</v>
      </c>
      <c r="B850" t="s">
        <v>27</v>
      </c>
      <c r="C850" t="s">
        <v>28</v>
      </c>
      <c r="D850" t="s">
        <v>29</v>
      </c>
      <c r="E850" t="s">
        <v>52</v>
      </c>
      <c r="F850" t="s">
        <v>167</v>
      </c>
      <c r="G850" t="s">
        <v>37</v>
      </c>
      <c r="H850" s="1">
        <v>45342</v>
      </c>
      <c r="I850" t="s">
        <v>47</v>
      </c>
      <c r="J850" t="s">
        <v>603</v>
      </c>
      <c r="K850">
        <v>1</v>
      </c>
      <c r="N850">
        <v>761</v>
      </c>
      <c r="O850">
        <v>40</v>
      </c>
      <c r="P850" s="1">
        <v>45689</v>
      </c>
      <c r="Q850" s="1"/>
      <c r="R850" t="str">
        <f>IF(Table1[[#This Row],[Actual close date]]="","",Table1[[#This Row],[Actual close date]]-Table1[[#This Row],[Expected close date]])</f>
        <v/>
      </c>
    </row>
    <row r="851" spans="1:18" x14ac:dyDescent="0.25">
      <c r="A851" t="s">
        <v>927</v>
      </c>
      <c r="B851" t="s">
        <v>69</v>
      </c>
      <c r="C851" t="s">
        <v>70</v>
      </c>
      <c r="D851" t="s">
        <v>71</v>
      </c>
      <c r="E851" t="s">
        <v>21</v>
      </c>
      <c r="F851" t="s">
        <v>167</v>
      </c>
      <c r="G851" t="s">
        <v>46</v>
      </c>
      <c r="H851" s="1">
        <v>45417</v>
      </c>
      <c r="I851" t="s">
        <v>47</v>
      </c>
      <c r="J851" t="s">
        <v>603</v>
      </c>
      <c r="K851">
        <v>1</v>
      </c>
      <c r="N851">
        <v>6194</v>
      </c>
      <c r="O851">
        <v>50</v>
      </c>
      <c r="P851" s="1">
        <v>45727</v>
      </c>
      <c r="Q851" s="1"/>
      <c r="R851" t="str">
        <f>IF(Table1[[#This Row],[Actual close date]]="","",Table1[[#This Row],[Actual close date]]-Table1[[#This Row],[Expected close date]])</f>
        <v/>
      </c>
    </row>
    <row r="852" spans="1:18" x14ac:dyDescent="0.25">
      <c r="A852" t="s">
        <v>928</v>
      </c>
      <c r="B852" t="s">
        <v>69</v>
      </c>
      <c r="C852" t="s">
        <v>70</v>
      </c>
      <c r="D852" t="s">
        <v>71</v>
      </c>
      <c r="E852" t="s">
        <v>30</v>
      </c>
      <c r="F852" t="s">
        <v>167</v>
      </c>
      <c r="G852" t="s">
        <v>72</v>
      </c>
      <c r="H852" s="1">
        <v>45339</v>
      </c>
      <c r="I852" t="s">
        <v>24</v>
      </c>
      <c r="J852" t="s">
        <v>603</v>
      </c>
      <c r="K852">
        <v>1</v>
      </c>
      <c r="N852">
        <v>1538</v>
      </c>
      <c r="O852">
        <v>30</v>
      </c>
      <c r="P852" s="1">
        <v>45443</v>
      </c>
      <c r="Q852" s="1"/>
      <c r="R852" t="str">
        <f>IF(Table1[[#This Row],[Actual close date]]="","",Table1[[#This Row],[Actual close date]]-Table1[[#This Row],[Expected close date]])</f>
        <v/>
      </c>
    </row>
    <row r="853" spans="1:18" x14ac:dyDescent="0.25">
      <c r="A853" t="s">
        <v>929</v>
      </c>
      <c r="B853" t="s">
        <v>54</v>
      </c>
      <c r="C853" t="s">
        <v>55</v>
      </c>
      <c r="D853" t="s">
        <v>56</v>
      </c>
      <c r="E853" t="s">
        <v>66</v>
      </c>
      <c r="F853" t="s">
        <v>167</v>
      </c>
      <c r="G853" t="s">
        <v>46</v>
      </c>
      <c r="H853" s="1">
        <v>45377</v>
      </c>
      <c r="I853" t="s">
        <v>64</v>
      </c>
      <c r="J853" t="s">
        <v>603</v>
      </c>
      <c r="K853">
        <v>1</v>
      </c>
      <c r="N853">
        <v>5141</v>
      </c>
      <c r="O853">
        <v>80</v>
      </c>
      <c r="P853" s="1">
        <v>45479</v>
      </c>
      <c r="Q853" s="1"/>
      <c r="R853" t="str">
        <f>IF(Table1[[#This Row],[Actual close date]]="","",Table1[[#This Row],[Actual close date]]-Table1[[#This Row],[Expected close date]])</f>
        <v/>
      </c>
    </row>
    <row r="854" spans="1:18" x14ac:dyDescent="0.25">
      <c r="A854" t="s">
        <v>930</v>
      </c>
      <c r="B854" t="s">
        <v>59</v>
      </c>
      <c r="C854" t="s">
        <v>60</v>
      </c>
      <c r="D854" t="s">
        <v>61</v>
      </c>
      <c r="E854" t="s">
        <v>52</v>
      </c>
      <c r="F854" t="s">
        <v>167</v>
      </c>
      <c r="G854" t="s">
        <v>46</v>
      </c>
      <c r="H854" s="1">
        <v>45403</v>
      </c>
      <c r="I854" t="s">
        <v>64</v>
      </c>
      <c r="J854" t="s">
        <v>603</v>
      </c>
      <c r="K854">
        <v>1</v>
      </c>
      <c r="N854">
        <v>4067</v>
      </c>
      <c r="O854">
        <v>50</v>
      </c>
      <c r="P854" s="1">
        <v>45600</v>
      </c>
      <c r="Q854" s="1"/>
      <c r="R854" t="str">
        <f>IF(Table1[[#This Row],[Actual close date]]="","",Table1[[#This Row],[Actual close date]]-Table1[[#This Row],[Expected close date]])</f>
        <v/>
      </c>
    </row>
    <row r="855" spans="1:18" x14ac:dyDescent="0.25">
      <c r="A855" t="s">
        <v>931</v>
      </c>
      <c r="B855" t="s">
        <v>69</v>
      </c>
      <c r="C855" t="s">
        <v>70</v>
      </c>
      <c r="D855" t="s">
        <v>71</v>
      </c>
      <c r="E855" t="s">
        <v>74</v>
      </c>
      <c r="F855" t="s">
        <v>167</v>
      </c>
      <c r="G855" t="s">
        <v>83</v>
      </c>
      <c r="H855" s="1">
        <v>45440</v>
      </c>
      <c r="I855" t="s">
        <v>64</v>
      </c>
      <c r="J855" t="s">
        <v>603</v>
      </c>
      <c r="K855">
        <v>1</v>
      </c>
      <c r="N855">
        <v>2214</v>
      </c>
      <c r="O855">
        <v>60</v>
      </c>
      <c r="P855" s="1">
        <v>45555</v>
      </c>
      <c r="Q855" s="1"/>
      <c r="R855" t="str">
        <f>IF(Table1[[#This Row],[Actual close date]]="","",Table1[[#This Row],[Actual close date]]-Table1[[#This Row],[Expected close date]])</f>
        <v/>
      </c>
    </row>
    <row r="856" spans="1:18" x14ac:dyDescent="0.25">
      <c r="A856" t="s">
        <v>932</v>
      </c>
      <c r="B856" t="s">
        <v>59</v>
      </c>
      <c r="C856" t="s">
        <v>60</v>
      </c>
      <c r="D856" t="s">
        <v>61</v>
      </c>
      <c r="E856" t="s">
        <v>98</v>
      </c>
      <c r="F856" t="s">
        <v>167</v>
      </c>
      <c r="G856" t="s">
        <v>46</v>
      </c>
      <c r="H856" s="1">
        <v>45385</v>
      </c>
      <c r="I856" t="s">
        <v>24</v>
      </c>
      <c r="J856" t="s">
        <v>603</v>
      </c>
      <c r="K856">
        <v>1</v>
      </c>
      <c r="N856">
        <v>7441</v>
      </c>
      <c r="O856">
        <v>20</v>
      </c>
      <c r="P856" s="1">
        <v>45557</v>
      </c>
      <c r="Q856" s="1"/>
      <c r="R856" t="str">
        <f>IF(Table1[[#This Row],[Actual close date]]="","",Table1[[#This Row],[Actual close date]]-Table1[[#This Row],[Expected close date]])</f>
        <v/>
      </c>
    </row>
    <row r="857" spans="1:18" x14ac:dyDescent="0.25">
      <c r="A857" t="s">
        <v>933</v>
      </c>
      <c r="B857" t="s">
        <v>69</v>
      </c>
      <c r="C857" t="s">
        <v>70</v>
      </c>
      <c r="D857" t="s">
        <v>71</v>
      </c>
      <c r="E857" t="s">
        <v>21</v>
      </c>
      <c r="F857" t="s">
        <v>167</v>
      </c>
      <c r="G857" t="s">
        <v>72</v>
      </c>
      <c r="H857" s="1">
        <v>45325</v>
      </c>
      <c r="I857" t="s">
        <v>47</v>
      </c>
      <c r="J857" t="s">
        <v>603</v>
      </c>
      <c r="K857">
        <v>1</v>
      </c>
      <c r="N857">
        <v>2263</v>
      </c>
      <c r="O857">
        <v>20</v>
      </c>
      <c r="P857" s="1">
        <v>45447</v>
      </c>
      <c r="Q857" s="1"/>
      <c r="R857" t="str">
        <f>IF(Table1[[#This Row],[Actual close date]]="","",Table1[[#This Row],[Actual close date]]-Table1[[#This Row],[Expected close date]])</f>
        <v/>
      </c>
    </row>
    <row r="858" spans="1:18" x14ac:dyDescent="0.25">
      <c r="A858" t="s">
        <v>934</v>
      </c>
      <c r="B858" t="s">
        <v>18</v>
      </c>
      <c r="C858" t="s">
        <v>19</v>
      </c>
      <c r="D858" t="s">
        <v>20</v>
      </c>
      <c r="E858" t="s">
        <v>21</v>
      </c>
      <c r="F858" t="s">
        <v>167</v>
      </c>
      <c r="G858" t="s">
        <v>85</v>
      </c>
      <c r="H858" s="1">
        <v>45305</v>
      </c>
      <c r="I858" t="s">
        <v>24</v>
      </c>
      <c r="J858" t="s">
        <v>603</v>
      </c>
      <c r="K858">
        <v>1</v>
      </c>
      <c r="N858">
        <v>4085</v>
      </c>
      <c r="O858">
        <v>50</v>
      </c>
      <c r="P858" s="1">
        <v>45441</v>
      </c>
      <c r="Q858" s="1"/>
      <c r="R858" t="str">
        <f>IF(Table1[[#This Row],[Actual close date]]="","",Table1[[#This Row],[Actual close date]]-Table1[[#This Row],[Expected close date]])</f>
        <v/>
      </c>
    </row>
    <row r="859" spans="1:18" x14ac:dyDescent="0.25">
      <c r="A859" t="s">
        <v>935</v>
      </c>
      <c r="B859" t="s">
        <v>33</v>
      </c>
      <c r="C859" t="s">
        <v>34</v>
      </c>
      <c r="D859" t="s">
        <v>35</v>
      </c>
      <c r="E859" t="s">
        <v>118</v>
      </c>
      <c r="F859" t="s">
        <v>167</v>
      </c>
      <c r="G859" t="s">
        <v>72</v>
      </c>
      <c r="H859" s="1">
        <v>45401</v>
      </c>
      <c r="I859" t="s">
        <v>24</v>
      </c>
      <c r="J859" t="s">
        <v>603</v>
      </c>
      <c r="K859">
        <v>1</v>
      </c>
      <c r="N859">
        <v>6749</v>
      </c>
      <c r="O859">
        <v>20</v>
      </c>
      <c r="P859" s="1">
        <v>45518</v>
      </c>
      <c r="Q859" s="1"/>
      <c r="R859" t="str">
        <f>IF(Table1[[#This Row],[Actual close date]]="","",Table1[[#This Row],[Actual close date]]-Table1[[#This Row],[Expected close date]])</f>
        <v/>
      </c>
    </row>
    <row r="860" spans="1:18" x14ac:dyDescent="0.25">
      <c r="A860" t="s">
        <v>936</v>
      </c>
      <c r="B860" t="s">
        <v>69</v>
      </c>
      <c r="C860" t="s">
        <v>70</v>
      </c>
      <c r="D860" t="s">
        <v>71</v>
      </c>
      <c r="E860" t="s">
        <v>74</v>
      </c>
      <c r="F860" t="s">
        <v>167</v>
      </c>
      <c r="G860" t="s">
        <v>37</v>
      </c>
      <c r="H860" s="1">
        <v>45307</v>
      </c>
      <c r="I860" t="s">
        <v>24</v>
      </c>
      <c r="J860" t="s">
        <v>603</v>
      </c>
      <c r="K860">
        <v>1</v>
      </c>
      <c r="N860">
        <v>422</v>
      </c>
      <c r="O860">
        <v>40</v>
      </c>
      <c r="P860" s="1">
        <v>45372</v>
      </c>
      <c r="Q860" s="1"/>
      <c r="R860" t="str">
        <f>IF(Table1[[#This Row],[Actual close date]]="","",Table1[[#This Row],[Actual close date]]-Table1[[#This Row],[Expected close date]])</f>
        <v/>
      </c>
    </row>
    <row r="861" spans="1:18" x14ac:dyDescent="0.25">
      <c r="A861" t="s">
        <v>937</v>
      </c>
      <c r="B861" t="s">
        <v>33</v>
      </c>
      <c r="C861" t="s">
        <v>34</v>
      </c>
      <c r="D861" t="s">
        <v>35</v>
      </c>
      <c r="E861" t="s">
        <v>30</v>
      </c>
      <c r="F861" t="s">
        <v>167</v>
      </c>
      <c r="G861" t="s">
        <v>57</v>
      </c>
      <c r="H861" s="1">
        <v>45442</v>
      </c>
      <c r="I861" t="s">
        <v>47</v>
      </c>
      <c r="J861" t="s">
        <v>603</v>
      </c>
      <c r="K861">
        <v>1</v>
      </c>
      <c r="N861">
        <v>3211</v>
      </c>
      <c r="O861">
        <v>30</v>
      </c>
      <c r="P861" s="1">
        <v>45713</v>
      </c>
      <c r="Q861" s="1"/>
      <c r="R861" t="str">
        <f>IF(Table1[[#This Row],[Actual close date]]="","",Table1[[#This Row],[Actual close date]]-Table1[[#This Row],[Expected close date]])</f>
        <v/>
      </c>
    </row>
    <row r="862" spans="1:18" x14ac:dyDescent="0.25">
      <c r="A862" t="s">
        <v>938</v>
      </c>
      <c r="B862" t="s">
        <v>39</v>
      </c>
      <c r="C862" t="s">
        <v>40</v>
      </c>
      <c r="D862" t="s">
        <v>41</v>
      </c>
      <c r="E862" t="s">
        <v>45</v>
      </c>
      <c r="F862" t="s">
        <v>167</v>
      </c>
      <c r="G862" t="s">
        <v>57</v>
      </c>
      <c r="H862" s="1">
        <v>45304</v>
      </c>
      <c r="I862" t="s">
        <v>24</v>
      </c>
      <c r="J862" t="s">
        <v>603</v>
      </c>
      <c r="K862">
        <v>1</v>
      </c>
      <c r="N862">
        <v>1894</v>
      </c>
      <c r="O862">
        <v>20</v>
      </c>
      <c r="P862" s="1">
        <v>45419</v>
      </c>
      <c r="Q862" s="1"/>
      <c r="R862" t="str">
        <f>IF(Table1[[#This Row],[Actual close date]]="","",Table1[[#This Row],[Actual close date]]-Table1[[#This Row],[Expected close date]])</f>
        <v/>
      </c>
    </row>
    <row r="863" spans="1:18" x14ac:dyDescent="0.25">
      <c r="A863" t="s">
        <v>939</v>
      </c>
      <c r="B863" t="s">
        <v>49</v>
      </c>
      <c r="C863" t="s">
        <v>50</v>
      </c>
      <c r="D863" t="s">
        <v>51</v>
      </c>
      <c r="E863" t="s">
        <v>42</v>
      </c>
      <c r="F863" t="s">
        <v>167</v>
      </c>
      <c r="G863" t="s">
        <v>31</v>
      </c>
      <c r="H863" s="1">
        <v>45376</v>
      </c>
      <c r="I863" t="s">
        <v>64</v>
      </c>
      <c r="J863" t="s">
        <v>603</v>
      </c>
      <c r="K863">
        <v>1</v>
      </c>
      <c r="N863">
        <v>6133</v>
      </c>
      <c r="O863">
        <v>30</v>
      </c>
      <c r="P863" s="1">
        <v>45478</v>
      </c>
      <c r="Q863" s="1"/>
      <c r="R863" t="str">
        <f>IF(Table1[[#This Row],[Actual close date]]="","",Table1[[#This Row],[Actual close date]]-Table1[[#This Row],[Expected close date]])</f>
        <v/>
      </c>
    </row>
    <row r="864" spans="1:18" x14ac:dyDescent="0.25">
      <c r="A864" t="s">
        <v>940</v>
      </c>
      <c r="B864" t="s">
        <v>59</v>
      </c>
      <c r="C864" t="s">
        <v>60</v>
      </c>
      <c r="D864" t="s">
        <v>61</v>
      </c>
      <c r="E864" t="s">
        <v>45</v>
      </c>
      <c r="F864" t="s">
        <v>167</v>
      </c>
      <c r="G864" t="s">
        <v>31</v>
      </c>
      <c r="H864" s="1">
        <v>45323</v>
      </c>
      <c r="I864" t="s">
        <v>64</v>
      </c>
      <c r="J864" t="s">
        <v>603</v>
      </c>
      <c r="K864">
        <v>1</v>
      </c>
      <c r="N864">
        <v>3536</v>
      </c>
      <c r="O864">
        <v>50</v>
      </c>
      <c r="P864" s="1">
        <v>45387</v>
      </c>
      <c r="Q864" s="1"/>
      <c r="R864" t="str">
        <f>IF(Table1[[#This Row],[Actual close date]]="","",Table1[[#This Row],[Actual close date]]-Table1[[#This Row],[Expected close date]])</f>
        <v/>
      </c>
    </row>
    <row r="865" spans="1:18" x14ac:dyDescent="0.25">
      <c r="A865" t="s">
        <v>941</v>
      </c>
      <c r="B865" t="s">
        <v>33</v>
      </c>
      <c r="C865" t="s">
        <v>34</v>
      </c>
      <c r="D865" t="s">
        <v>35</v>
      </c>
      <c r="E865" t="s">
        <v>21</v>
      </c>
      <c r="F865" t="s">
        <v>167</v>
      </c>
      <c r="G865" t="s">
        <v>83</v>
      </c>
      <c r="H865" s="1">
        <v>45443</v>
      </c>
      <c r="I865" t="s">
        <v>47</v>
      </c>
      <c r="J865" t="s">
        <v>603</v>
      </c>
      <c r="K865">
        <v>1</v>
      </c>
      <c r="N865">
        <v>6276</v>
      </c>
      <c r="O865">
        <v>20</v>
      </c>
      <c r="P865" s="1">
        <v>45700</v>
      </c>
      <c r="Q865" s="1"/>
      <c r="R865" t="str">
        <f>IF(Table1[[#This Row],[Actual close date]]="","",Table1[[#This Row],[Actual close date]]-Table1[[#This Row],[Expected close date]])</f>
        <v/>
      </c>
    </row>
    <row r="866" spans="1:18" x14ac:dyDescent="0.25">
      <c r="A866" t="s">
        <v>942</v>
      </c>
      <c r="B866" t="s">
        <v>59</v>
      </c>
      <c r="C866" t="s">
        <v>60</v>
      </c>
      <c r="D866" t="s">
        <v>61</v>
      </c>
      <c r="E866" t="s">
        <v>66</v>
      </c>
      <c r="F866" t="s">
        <v>167</v>
      </c>
      <c r="G866" t="s">
        <v>46</v>
      </c>
      <c r="H866" s="1">
        <v>45423</v>
      </c>
      <c r="I866" t="s">
        <v>64</v>
      </c>
      <c r="J866" t="s">
        <v>603</v>
      </c>
      <c r="K866">
        <v>1</v>
      </c>
      <c r="N866">
        <v>5423</v>
      </c>
      <c r="O866">
        <v>50</v>
      </c>
      <c r="P866" s="1">
        <v>45649</v>
      </c>
      <c r="Q866" s="1"/>
      <c r="R866" t="str">
        <f>IF(Table1[[#This Row],[Actual close date]]="","",Table1[[#This Row],[Actual close date]]-Table1[[#This Row],[Expected close date]])</f>
        <v/>
      </c>
    </row>
    <row r="867" spans="1:18" x14ac:dyDescent="0.25">
      <c r="A867" t="s">
        <v>943</v>
      </c>
      <c r="B867" t="s">
        <v>39</v>
      </c>
      <c r="C867" t="s">
        <v>40</v>
      </c>
      <c r="D867" t="s">
        <v>41</v>
      </c>
      <c r="E867" t="s">
        <v>118</v>
      </c>
      <c r="F867" t="s">
        <v>167</v>
      </c>
      <c r="G867" t="s">
        <v>57</v>
      </c>
      <c r="H867" s="1">
        <v>45402</v>
      </c>
      <c r="I867" t="s">
        <v>64</v>
      </c>
      <c r="J867" t="s">
        <v>603</v>
      </c>
      <c r="K867">
        <v>1</v>
      </c>
      <c r="N867">
        <v>1217</v>
      </c>
      <c r="O867">
        <v>20</v>
      </c>
      <c r="P867" s="1">
        <v>45712</v>
      </c>
      <c r="Q867" s="1"/>
      <c r="R867" t="str">
        <f>IF(Table1[[#This Row],[Actual close date]]="","",Table1[[#This Row],[Actual close date]]-Table1[[#This Row],[Expected close date]])</f>
        <v/>
      </c>
    </row>
    <row r="868" spans="1:18" x14ac:dyDescent="0.25">
      <c r="A868" t="s">
        <v>944</v>
      </c>
      <c r="B868" t="s">
        <v>39</v>
      </c>
      <c r="C868" t="s">
        <v>40</v>
      </c>
      <c r="D868" t="s">
        <v>41</v>
      </c>
      <c r="E868" t="s">
        <v>42</v>
      </c>
      <c r="F868" t="s">
        <v>167</v>
      </c>
      <c r="G868" t="s">
        <v>37</v>
      </c>
      <c r="H868" s="1">
        <v>45322</v>
      </c>
      <c r="I868" t="s">
        <v>64</v>
      </c>
      <c r="J868" t="s">
        <v>603</v>
      </c>
      <c r="K868">
        <v>1</v>
      </c>
      <c r="N868">
        <v>4737</v>
      </c>
      <c r="O868">
        <v>80</v>
      </c>
      <c r="P868" s="1">
        <v>45434</v>
      </c>
      <c r="Q868" s="1"/>
      <c r="R868" t="str">
        <f>IF(Table1[[#This Row],[Actual close date]]="","",Table1[[#This Row],[Actual close date]]-Table1[[#This Row],[Expected close date]])</f>
        <v/>
      </c>
    </row>
    <row r="869" spans="1:18" x14ac:dyDescent="0.25">
      <c r="A869" t="s">
        <v>945</v>
      </c>
      <c r="B869" t="s">
        <v>54</v>
      </c>
      <c r="C869" t="s">
        <v>55</v>
      </c>
      <c r="D869" t="s">
        <v>56</v>
      </c>
      <c r="E869" t="s">
        <v>45</v>
      </c>
      <c r="F869" t="s">
        <v>167</v>
      </c>
      <c r="G869" t="s">
        <v>23</v>
      </c>
      <c r="H869" s="1">
        <v>45411</v>
      </c>
      <c r="I869" t="s">
        <v>24</v>
      </c>
      <c r="J869" t="s">
        <v>603</v>
      </c>
      <c r="K869">
        <v>1</v>
      </c>
      <c r="N869">
        <v>5200</v>
      </c>
      <c r="O869">
        <v>20</v>
      </c>
      <c r="P869" s="1">
        <v>45771</v>
      </c>
      <c r="Q869" s="1"/>
      <c r="R869" t="str">
        <f>IF(Table1[[#This Row],[Actual close date]]="","",Table1[[#This Row],[Actual close date]]-Table1[[#This Row],[Expected close date]])</f>
        <v/>
      </c>
    </row>
    <row r="870" spans="1:18" x14ac:dyDescent="0.25">
      <c r="A870" t="s">
        <v>946</v>
      </c>
      <c r="B870" t="s">
        <v>33</v>
      </c>
      <c r="C870" t="s">
        <v>34</v>
      </c>
      <c r="D870" t="s">
        <v>35</v>
      </c>
      <c r="E870" t="s">
        <v>52</v>
      </c>
      <c r="F870" t="s">
        <v>167</v>
      </c>
      <c r="G870" t="s">
        <v>72</v>
      </c>
      <c r="H870" s="1">
        <v>45301</v>
      </c>
      <c r="I870" t="s">
        <v>47</v>
      </c>
      <c r="J870" t="s">
        <v>603</v>
      </c>
      <c r="K870">
        <v>1</v>
      </c>
      <c r="N870">
        <v>6127</v>
      </c>
      <c r="O870">
        <v>60</v>
      </c>
      <c r="P870" s="1">
        <v>45475</v>
      </c>
      <c r="Q870" s="1"/>
      <c r="R870" t="str">
        <f>IF(Table1[[#This Row],[Actual close date]]="","",Table1[[#This Row],[Actual close date]]-Table1[[#This Row],[Expected close date]])</f>
        <v/>
      </c>
    </row>
    <row r="871" spans="1:18" x14ac:dyDescent="0.25">
      <c r="A871" t="s">
        <v>947</v>
      </c>
      <c r="B871" t="s">
        <v>54</v>
      </c>
      <c r="C871" t="s">
        <v>55</v>
      </c>
      <c r="D871" t="s">
        <v>56</v>
      </c>
      <c r="E871" t="s">
        <v>82</v>
      </c>
      <c r="F871" t="s">
        <v>167</v>
      </c>
      <c r="G871" t="s">
        <v>46</v>
      </c>
      <c r="H871" s="1">
        <v>45294</v>
      </c>
      <c r="I871" t="s">
        <v>47</v>
      </c>
      <c r="J871" t="s">
        <v>603</v>
      </c>
      <c r="K871">
        <v>1</v>
      </c>
      <c r="N871">
        <v>1449</v>
      </c>
      <c r="O871">
        <v>10</v>
      </c>
      <c r="P871" s="1">
        <v>45496</v>
      </c>
      <c r="Q871" s="1"/>
      <c r="R871" t="str">
        <f>IF(Table1[[#This Row],[Actual close date]]="","",Table1[[#This Row],[Actual close date]]-Table1[[#This Row],[Expected close date]])</f>
        <v/>
      </c>
    </row>
    <row r="872" spans="1:18" x14ac:dyDescent="0.25">
      <c r="A872" t="s">
        <v>948</v>
      </c>
      <c r="B872" t="s">
        <v>59</v>
      </c>
      <c r="C872" t="s">
        <v>60</v>
      </c>
      <c r="D872" t="s">
        <v>61</v>
      </c>
      <c r="E872" t="s">
        <v>66</v>
      </c>
      <c r="F872" t="s">
        <v>167</v>
      </c>
      <c r="G872" t="s">
        <v>85</v>
      </c>
      <c r="H872" s="1">
        <v>45371</v>
      </c>
      <c r="I872" t="s">
        <v>64</v>
      </c>
      <c r="J872" t="s">
        <v>603</v>
      </c>
      <c r="K872">
        <v>1</v>
      </c>
      <c r="N872">
        <v>4897</v>
      </c>
      <c r="O872">
        <v>40</v>
      </c>
      <c r="P872" s="1">
        <v>45644</v>
      </c>
      <c r="Q872" s="1"/>
      <c r="R872" t="str">
        <f>IF(Table1[[#This Row],[Actual close date]]="","",Table1[[#This Row],[Actual close date]]-Table1[[#This Row],[Expected close date]])</f>
        <v/>
      </c>
    </row>
    <row r="873" spans="1:18" x14ac:dyDescent="0.25">
      <c r="A873" t="s">
        <v>949</v>
      </c>
      <c r="B873" t="s">
        <v>76</v>
      </c>
      <c r="C873" t="s">
        <v>77</v>
      </c>
      <c r="D873" t="s">
        <v>78</v>
      </c>
      <c r="E873" t="s">
        <v>122</v>
      </c>
      <c r="F873" t="s">
        <v>167</v>
      </c>
      <c r="G873" t="s">
        <v>57</v>
      </c>
      <c r="H873" s="1">
        <v>45366</v>
      </c>
      <c r="I873" t="s">
        <v>24</v>
      </c>
      <c r="J873" t="s">
        <v>603</v>
      </c>
      <c r="K873">
        <v>1</v>
      </c>
      <c r="N873">
        <v>2131</v>
      </c>
      <c r="O873">
        <v>20</v>
      </c>
      <c r="P873" s="1">
        <v>45436</v>
      </c>
      <c r="Q873" s="1"/>
      <c r="R873" t="str">
        <f>IF(Table1[[#This Row],[Actual close date]]="","",Table1[[#This Row],[Actual close date]]-Table1[[#This Row],[Expected close date]])</f>
        <v/>
      </c>
    </row>
    <row r="874" spans="1:18" x14ac:dyDescent="0.25">
      <c r="A874" t="s">
        <v>950</v>
      </c>
      <c r="B874" t="s">
        <v>59</v>
      </c>
      <c r="C874" t="s">
        <v>60</v>
      </c>
      <c r="D874" t="s">
        <v>61</v>
      </c>
      <c r="E874" t="s">
        <v>45</v>
      </c>
      <c r="F874" t="s">
        <v>167</v>
      </c>
      <c r="G874" t="s">
        <v>46</v>
      </c>
      <c r="H874" s="1">
        <v>45342</v>
      </c>
      <c r="I874" t="s">
        <v>24</v>
      </c>
      <c r="J874" t="s">
        <v>603</v>
      </c>
      <c r="K874">
        <v>1</v>
      </c>
      <c r="N874">
        <v>3412</v>
      </c>
      <c r="O874">
        <v>50</v>
      </c>
      <c r="P874" s="1">
        <v>45665</v>
      </c>
      <c r="Q874" s="1"/>
      <c r="R874" t="str">
        <f>IF(Table1[[#This Row],[Actual close date]]="","",Table1[[#This Row],[Actual close date]]-Table1[[#This Row],[Expected close date]])</f>
        <v/>
      </c>
    </row>
    <row r="875" spans="1:18" x14ac:dyDescent="0.25">
      <c r="A875" t="s">
        <v>951</v>
      </c>
      <c r="B875" t="s">
        <v>54</v>
      </c>
      <c r="C875" t="s">
        <v>55</v>
      </c>
      <c r="D875" t="s">
        <v>56</v>
      </c>
      <c r="E875" t="s">
        <v>52</v>
      </c>
      <c r="F875" t="s">
        <v>167</v>
      </c>
      <c r="G875" t="s">
        <v>31</v>
      </c>
      <c r="H875" s="1">
        <v>45295</v>
      </c>
      <c r="I875" t="s">
        <v>47</v>
      </c>
      <c r="J875" t="s">
        <v>603</v>
      </c>
      <c r="K875">
        <v>1</v>
      </c>
      <c r="N875">
        <v>6066</v>
      </c>
      <c r="O875">
        <v>40</v>
      </c>
      <c r="P875" s="1">
        <v>45430</v>
      </c>
      <c r="Q875" s="1"/>
      <c r="R875" t="str">
        <f>IF(Table1[[#This Row],[Actual close date]]="","",Table1[[#This Row],[Actual close date]]-Table1[[#This Row],[Expected close date]])</f>
        <v/>
      </c>
    </row>
    <row r="876" spans="1:18" x14ac:dyDescent="0.25">
      <c r="A876" t="s">
        <v>952</v>
      </c>
      <c r="B876" t="s">
        <v>69</v>
      </c>
      <c r="C876" t="s">
        <v>70</v>
      </c>
      <c r="D876" t="s">
        <v>71</v>
      </c>
      <c r="E876" t="s">
        <v>30</v>
      </c>
      <c r="F876" t="s">
        <v>167</v>
      </c>
      <c r="G876" t="s">
        <v>57</v>
      </c>
      <c r="H876" s="1">
        <v>45334</v>
      </c>
      <c r="I876" t="s">
        <v>64</v>
      </c>
      <c r="J876" t="s">
        <v>603</v>
      </c>
      <c r="K876">
        <v>1</v>
      </c>
      <c r="N876">
        <v>7000</v>
      </c>
      <c r="O876">
        <v>40</v>
      </c>
      <c r="P876" s="1">
        <v>45396</v>
      </c>
      <c r="Q876" s="1"/>
      <c r="R876" t="str">
        <f>IF(Table1[[#This Row],[Actual close date]]="","",Table1[[#This Row],[Actual close date]]-Table1[[#This Row],[Expected close date]])</f>
        <v/>
      </c>
    </row>
    <row r="877" spans="1:18" x14ac:dyDescent="0.25">
      <c r="A877" t="s">
        <v>953</v>
      </c>
      <c r="B877" t="s">
        <v>49</v>
      </c>
      <c r="C877" t="s">
        <v>50</v>
      </c>
      <c r="D877" t="s">
        <v>51</v>
      </c>
      <c r="E877" t="s">
        <v>118</v>
      </c>
      <c r="F877" t="s">
        <v>167</v>
      </c>
      <c r="G877" t="s">
        <v>46</v>
      </c>
      <c r="H877" s="1">
        <v>45334</v>
      </c>
      <c r="I877" t="s">
        <v>47</v>
      </c>
      <c r="J877" t="s">
        <v>603</v>
      </c>
      <c r="K877">
        <v>1</v>
      </c>
      <c r="N877">
        <v>5247</v>
      </c>
      <c r="O877">
        <v>50</v>
      </c>
      <c r="P877" s="1">
        <v>45685</v>
      </c>
      <c r="Q877" s="1"/>
      <c r="R877" t="str">
        <f>IF(Table1[[#This Row],[Actual close date]]="","",Table1[[#This Row],[Actual close date]]-Table1[[#This Row],[Expected close date]])</f>
        <v/>
      </c>
    </row>
    <row r="878" spans="1:18" x14ac:dyDescent="0.25">
      <c r="A878" t="s">
        <v>954</v>
      </c>
      <c r="B878" t="s">
        <v>59</v>
      </c>
      <c r="C878" t="s">
        <v>60</v>
      </c>
      <c r="D878" t="s">
        <v>61</v>
      </c>
      <c r="E878" t="s">
        <v>82</v>
      </c>
      <c r="F878" t="s">
        <v>167</v>
      </c>
      <c r="G878" t="s">
        <v>46</v>
      </c>
      <c r="H878" s="1">
        <v>45392</v>
      </c>
      <c r="I878" t="s">
        <v>64</v>
      </c>
      <c r="J878" t="s">
        <v>603</v>
      </c>
      <c r="K878">
        <v>1</v>
      </c>
      <c r="N878">
        <v>6449</v>
      </c>
      <c r="O878">
        <v>10</v>
      </c>
      <c r="P878" s="1">
        <v>45700</v>
      </c>
      <c r="Q878" s="1"/>
      <c r="R878" t="str">
        <f>IF(Table1[[#This Row],[Actual close date]]="","",Table1[[#This Row],[Actual close date]]-Table1[[#This Row],[Expected close date]])</f>
        <v/>
      </c>
    </row>
    <row r="879" spans="1:18" x14ac:dyDescent="0.25">
      <c r="A879" t="s">
        <v>955</v>
      </c>
      <c r="B879" t="s">
        <v>76</v>
      </c>
      <c r="C879" t="s">
        <v>77</v>
      </c>
      <c r="D879" t="s">
        <v>78</v>
      </c>
      <c r="E879" t="s">
        <v>21</v>
      </c>
      <c r="F879" t="s">
        <v>167</v>
      </c>
      <c r="G879" t="s">
        <v>72</v>
      </c>
      <c r="H879" s="1">
        <v>45441</v>
      </c>
      <c r="I879" t="s">
        <v>24</v>
      </c>
      <c r="J879" t="s">
        <v>603</v>
      </c>
      <c r="K879">
        <v>1</v>
      </c>
      <c r="N879">
        <v>774</v>
      </c>
      <c r="O879">
        <v>70</v>
      </c>
      <c r="P879" s="1">
        <v>45785</v>
      </c>
      <c r="Q879" s="1"/>
      <c r="R879" t="str">
        <f>IF(Table1[[#This Row],[Actual close date]]="","",Table1[[#This Row],[Actual close date]]-Table1[[#This Row],[Expected close date]])</f>
        <v/>
      </c>
    </row>
    <row r="880" spans="1:18" x14ac:dyDescent="0.25">
      <c r="A880" t="s">
        <v>956</v>
      </c>
      <c r="B880" t="s">
        <v>59</v>
      </c>
      <c r="C880" t="s">
        <v>60</v>
      </c>
      <c r="D880" t="s">
        <v>61</v>
      </c>
      <c r="E880" t="s">
        <v>42</v>
      </c>
      <c r="F880" t="s">
        <v>167</v>
      </c>
      <c r="G880" t="s">
        <v>57</v>
      </c>
      <c r="H880" s="1">
        <v>45382</v>
      </c>
      <c r="I880" t="s">
        <v>64</v>
      </c>
      <c r="J880" t="s">
        <v>603</v>
      </c>
      <c r="K880">
        <v>1</v>
      </c>
      <c r="N880">
        <v>3600</v>
      </c>
      <c r="O880">
        <v>70</v>
      </c>
      <c r="P880" s="1">
        <v>45432</v>
      </c>
      <c r="Q880" s="1"/>
      <c r="R880" t="str">
        <f>IF(Table1[[#This Row],[Actual close date]]="","",Table1[[#This Row],[Actual close date]]-Table1[[#This Row],[Expected close date]])</f>
        <v/>
      </c>
    </row>
    <row r="881" spans="1:18" x14ac:dyDescent="0.25">
      <c r="A881" t="s">
        <v>957</v>
      </c>
      <c r="B881" t="s">
        <v>33</v>
      </c>
      <c r="C881" t="s">
        <v>34</v>
      </c>
      <c r="D881" t="s">
        <v>35</v>
      </c>
      <c r="E881" t="s">
        <v>62</v>
      </c>
      <c r="F881" t="s">
        <v>167</v>
      </c>
      <c r="G881" t="s">
        <v>85</v>
      </c>
      <c r="H881" s="1">
        <v>45362</v>
      </c>
      <c r="I881" t="s">
        <v>64</v>
      </c>
      <c r="J881" t="s">
        <v>603</v>
      </c>
      <c r="K881">
        <v>1</v>
      </c>
      <c r="N881">
        <v>478</v>
      </c>
      <c r="O881">
        <v>20</v>
      </c>
      <c r="P881" s="1">
        <v>45690</v>
      </c>
      <c r="Q881" s="1"/>
      <c r="R881" t="str">
        <f>IF(Table1[[#This Row],[Actual close date]]="","",Table1[[#This Row],[Actual close date]]-Table1[[#This Row],[Expected close date]])</f>
        <v/>
      </c>
    </row>
    <row r="882" spans="1:18" x14ac:dyDescent="0.25">
      <c r="A882" t="s">
        <v>958</v>
      </c>
      <c r="B882" t="s">
        <v>33</v>
      </c>
      <c r="C882" t="s">
        <v>34</v>
      </c>
      <c r="D882" t="s">
        <v>35</v>
      </c>
      <c r="E882" t="s">
        <v>45</v>
      </c>
      <c r="F882" t="s">
        <v>167</v>
      </c>
      <c r="G882" t="s">
        <v>46</v>
      </c>
      <c r="H882" s="1">
        <v>45431</v>
      </c>
      <c r="I882" t="s">
        <v>64</v>
      </c>
      <c r="J882" t="s">
        <v>603</v>
      </c>
      <c r="K882">
        <v>1</v>
      </c>
      <c r="N882">
        <v>6164</v>
      </c>
      <c r="O882">
        <v>40</v>
      </c>
      <c r="P882" s="1">
        <v>45694</v>
      </c>
      <c r="Q882" s="1"/>
      <c r="R882" t="str">
        <f>IF(Table1[[#This Row],[Actual close date]]="","",Table1[[#This Row],[Actual close date]]-Table1[[#This Row],[Expected close date]])</f>
        <v/>
      </c>
    </row>
    <row r="883" spans="1:18" x14ac:dyDescent="0.25">
      <c r="A883" t="s">
        <v>959</v>
      </c>
      <c r="B883" t="s">
        <v>49</v>
      </c>
      <c r="C883" t="s">
        <v>50</v>
      </c>
      <c r="D883" t="s">
        <v>51</v>
      </c>
      <c r="E883" t="s">
        <v>74</v>
      </c>
      <c r="F883" t="s">
        <v>167</v>
      </c>
      <c r="G883" t="s">
        <v>83</v>
      </c>
      <c r="H883" s="1">
        <v>45384</v>
      </c>
      <c r="I883" t="s">
        <v>24</v>
      </c>
      <c r="J883" t="s">
        <v>603</v>
      </c>
      <c r="K883">
        <v>1</v>
      </c>
      <c r="N883">
        <v>1794</v>
      </c>
      <c r="O883">
        <v>50</v>
      </c>
      <c r="P883" s="1">
        <v>45441</v>
      </c>
      <c r="Q883" s="1"/>
      <c r="R883" t="str">
        <f>IF(Table1[[#This Row],[Actual close date]]="","",Table1[[#This Row],[Actual close date]]-Table1[[#This Row],[Expected close date]])</f>
        <v/>
      </c>
    </row>
    <row r="884" spans="1:18" x14ac:dyDescent="0.25">
      <c r="A884" t="s">
        <v>960</v>
      </c>
      <c r="B884" t="s">
        <v>33</v>
      </c>
      <c r="C884" t="s">
        <v>34</v>
      </c>
      <c r="D884" t="s">
        <v>35</v>
      </c>
      <c r="E884" t="s">
        <v>52</v>
      </c>
      <c r="F884" t="s">
        <v>167</v>
      </c>
      <c r="G884" t="s">
        <v>83</v>
      </c>
      <c r="H884" s="1">
        <v>45293</v>
      </c>
      <c r="I884" t="s">
        <v>47</v>
      </c>
      <c r="J884" t="s">
        <v>603</v>
      </c>
      <c r="K884">
        <v>1</v>
      </c>
      <c r="N884">
        <v>6881</v>
      </c>
      <c r="O884">
        <v>20</v>
      </c>
      <c r="P884" s="1">
        <v>45513</v>
      </c>
      <c r="Q884" s="1"/>
      <c r="R884" t="str">
        <f>IF(Table1[[#This Row],[Actual close date]]="","",Table1[[#This Row],[Actual close date]]-Table1[[#This Row],[Expected close date]])</f>
        <v/>
      </c>
    </row>
    <row r="885" spans="1:18" x14ac:dyDescent="0.25">
      <c r="A885" t="s">
        <v>961</v>
      </c>
      <c r="B885" t="s">
        <v>33</v>
      </c>
      <c r="C885" t="s">
        <v>34</v>
      </c>
      <c r="D885" t="s">
        <v>35</v>
      </c>
      <c r="E885" t="s">
        <v>74</v>
      </c>
      <c r="F885" t="s">
        <v>167</v>
      </c>
      <c r="G885" t="s">
        <v>37</v>
      </c>
      <c r="H885" s="1">
        <v>45404</v>
      </c>
      <c r="I885" t="s">
        <v>47</v>
      </c>
      <c r="J885" t="s">
        <v>603</v>
      </c>
      <c r="K885">
        <v>1</v>
      </c>
      <c r="N885">
        <v>1580</v>
      </c>
      <c r="O885">
        <v>10</v>
      </c>
      <c r="P885" s="1">
        <v>45759</v>
      </c>
      <c r="Q885" s="1"/>
      <c r="R885" t="str">
        <f>IF(Table1[[#This Row],[Actual close date]]="","",Table1[[#This Row],[Actual close date]]-Table1[[#This Row],[Expected close date]])</f>
        <v/>
      </c>
    </row>
    <row r="886" spans="1:18" x14ac:dyDescent="0.25">
      <c r="A886" t="s">
        <v>962</v>
      </c>
      <c r="B886" t="s">
        <v>33</v>
      </c>
      <c r="C886" t="s">
        <v>34</v>
      </c>
      <c r="D886" t="s">
        <v>35</v>
      </c>
      <c r="E886" t="s">
        <v>36</v>
      </c>
      <c r="F886" t="s">
        <v>167</v>
      </c>
      <c r="G886" t="s">
        <v>37</v>
      </c>
      <c r="H886" s="1">
        <v>45360</v>
      </c>
      <c r="I886" t="s">
        <v>24</v>
      </c>
      <c r="J886" t="s">
        <v>603</v>
      </c>
      <c r="K886">
        <v>1</v>
      </c>
      <c r="N886">
        <v>4840</v>
      </c>
      <c r="O886">
        <v>10</v>
      </c>
      <c r="P886" s="1">
        <v>45587</v>
      </c>
      <c r="Q886" s="1"/>
      <c r="R886" t="str">
        <f>IF(Table1[[#This Row],[Actual close date]]="","",Table1[[#This Row],[Actual close date]]-Table1[[#This Row],[Expected close date]])</f>
        <v/>
      </c>
    </row>
    <row r="887" spans="1:18" x14ac:dyDescent="0.25">
      <c r="A887" t="s">
        <v>963</v>
      </c>
      <c r="B887" t="s">
        <v>27</v>
      </c>
      <c r="C887" t="s">
        <v>28</v>
      </c>
      <c r="D887" t="s">
        <v>29</v>
      </c>
      <c r="E887" t="s">
        <v>98</v>
      </c>
      <c r="F887" t="s">
        <v>167</v>
      </c>
      <c r="G887" t="s">
        <v>46</v>
      </c>
      <c r="H887" s="1">
        <v>45322</v>
      </c>
      <c r="I887" t="s">
        <v>64</v>
      </c>
      <c r="J887" t="s">
        <v>603</v>
      </c>
      <c r="K887">
        <v>1</v>
      </c>
      <c r="N887">
        <v>5943</v>
      </c>
      <c r="O887">
        <v>30</v>
      </c>
      <c r="P887" s="1">
        <v>45483</v>
      </c>
      <c r="Q887" s="1"/>
      <c r="R887" t="str">
        <f>IF(Table1[[#This Row],[Actual close date]]="","",Table1[[#This Row],[Actual close date]]-Table1[[#This Row],[Expected close date]])</f>
        <v/>
      </c>
    </row>
    <row r="888" spans="1:18" x14ac:dyDescent="0.25">
      <c r="A888" t="s">
        <v>964</v>
      </c>
      <c r="B888" t="s">
        <v>54</v>
      </c>
      <c r="C888" t="s">
        <v>55</v>
      </c>
      <c r="D888" t="s">
        <v>56</v>
      </c>
      <c r="E888" t="s">
        <v>21</v>
      </c>
      <c r="F888" t="s">
        <v>167</v>
      </c>
      <c r="G888" t="s">
        <v>46</v>
      </c>
      <c r="H888" s="1">
        <v>45322</v>
      </c>
      <c r="I888" t="s">
        <v>24</v>
      </c>
      <c r="J888" t="s">
        <v>603</v>
      </c>
      <c r="K888">
        <v>1</v>
      </c>
      <c r="N888">
        <v>4116</v>
      </c>
      <c r="O888">
        <v>90</v>
      </c>
      <c r="P888" s="1">
        <v>45602</v>
      </c>
      <c r="Q888" s="1"/>
      <c r="R888" t="str">
        <f>IF(Table1[[#This Row],[Actual close date]]="","",Table1[[#This Row],[Actual close date]]-Table1[[#This Row],[Expected close date]])</f>
        <v/>
      </c>
    </row>
    <row r="889" spans="1:18" x14ac:dyDescent="0.25">
      <c r="A889" t="s">
        <v>965</v>
      </c>
      <c r="B889" t="s">
        <v>33</v>
      </c>
      <c r="C889" t="s">
        <v>34</v>
      </c>
      <c r="D889" t="s">
        <v>35</v>
      </c>
      <c r="E889" t="s">
        <v>42</v>
      </c>
      <c r="F889" t="s">
        <v>167</v>
      </c>
      <c r="G889" t="s">
        <v>46</v>
      </c>
      <c r="H889" s="1">
        <v>45418</v>
      </c>
      <c r="I889" t="s">
        <v>24</v>
      </c>
      <c r="J889" t="s">
        <v>603</v>
      </c>
      <c r="K889">
        <v>1</v>
      </c>
      <c r="N889">
        <v>4588</v>
      </c>
      <c r="O889">
        <v>30</v>
      </c>
      <c r="P889" s="1">
        <v>45722</v>
      </c>
      <c r="Q889" s="1"/>
      <c r="R889" t="str">
        <f>IF(Table1[[#This Row],[Actual close date]]="","",Table1[[#This Row],[Actual close date]]-Table1[[#This Row],[Expected close date]])</f>
        <v/>
      </c>
    </row>
    <row r="890" spans="1:18" x14ac:dyDescent="0.25">
      <c r="A890" t="s">
        <v>966</v>
      </c>
      <c r="B890" t="s">
        <v>39</v>
      </c>
      <c r="C890" t="s">
        <v>40</v>
      </c>
      <c r="D890" t="s">
        <v>41</v>
      </c>
      <c r="E890" t="s">
        <v>21</v>
      </c>
      <c r="F890" t="s">
        <v>167</v>
      </c>
      <c r="G890" t="s">
        <v>37</v>
      </c>
      <c r="H890" s="1">
        <v>45321</v>
      </c>
      <c r="I890" t="s">
        <v>24</v>
      </c>
      <c r="J890" t="s">
        <v>603</v>
      </c>
      <c r="K890">
        <v>1</v>
      </c>
      <c r="N890">
        <v>7420</v>
      </c>
      <c r="O890">
        <v>80</v>
      </c>
      <c r="P890" s="1">
        <v>45552</v>
      </c>
      <c r="Q890" s="1"/>
      <c r="R890" t="str">
        <f>IF(Table1[[#This Row],[Actual close date]]="","",Table1[[#This Row],[Actual close date]]-Table1[[#This Row],[Expected close date]])</f>
        <v/>
      </c>
    </row>
    <row r="891" spans="1:18" x14ac:dyDescent="0.25">
      <c r="A891" t="s">
        <v>967</v>
      </c>
      <c r="B891" t="s">
        <v>76</v>
      </c>
      <c r="C891" t="s">
        <v>77</v>
      </c>
      <c r="D891" t="s">
        <v>78</v>
      </c>
      <c r="E891" t="s">
        <v>52</v>
      </c>
      <c r="F891" t="s">
        <v>167</v>
      </c>
      <c r="G891" t="s">
        <v>37</v>
      </c>
      <c r="H891" s="1">
        <v>45357</v>
      </c>
      <c r="I891" t="s">
        <v>24</v>
      </c>
      <c r="J891" t="s">
        <v>603</v>
      </c>
      <c r="K891">
        <v>1</v>
      </c>
      <c r="N891">
        <v>1956</v>
      </c>
      <c r="O891">
        <v>40</v>
      </c>
      <c r="P891" s="1">
        <v>45514</v>
      </c>
      <c r="Q891" s="1"/>
      <c r="R891" t="str">
        <f>IF(Table1[[#This Row],[Actual close date]]="","",Table1[[#This Row],[Actual close date]]-Table1[[#This Row],[Expected close date]])</f>
        <v/>
      </c>
    </row>
    <row r="892" spans="1:18" x14ac:dyDescent="0.25">
      <c r="A892" t="s">
        <v>968</v>
      </c>
      <c r="B892" t="s">
        <v>54</v>
      </c>
      <c r="C892" t="s">
        <v>55</v>
      </c>
      <c r="D892" t="s">
        <v>56</v>
      </c>
      <c r="E892" t="s">
        <v>21</v>
      </c>
      <c r="F892" t="s">
        <v>167</v>
      </c>
      <c r="G892" t="s">
        <v>83</v>
      </c>
      <c r="H892" s="1">
        <v>45428</v>
      </c>
      <c r="I892" t="s">
        <v>24</v>
      </c>
      <c r="J892" t="s">
        <v>603</v>
      </c>
      <c r="K892">
        <v>1</v>
      </c>
      <c r="N892">
        <v>3137</v>
      </c>
      <c r="O892">
        <v>30</v>
      </c>
      <c r="P892" s="1">
        <v>45448</v>
      </c>
      <c r="Q892" s="1"/>
      <c r="R892" t="str">
        <f>IF(Table1[[#This Row],[Actual close date]]="","",Table1[[#This Row],[Actual close date]]-Table1[[#This Row],[Expected close date]])</f>
        <v/>
      </c>
    </row>
    <row r="893" spans="1:18" x14ac:dyDescent="0.25">
      <c r="A893" t="s">
        <v>969</v>
      </c>
      <c r="B893" t="s">
        <v>27</v>
      </c>
      <c r="C893" t="s">
        <v>28</v>
      </c>
      <c r="D893" t="s">
        <v>29</v>
      </c>
      <c r="E893" t="s">
        <v>45</v>
      </c>
      <c r="F893" t="s">
        <v>167</v>
      </c>
      <c r="G893" t="s">
        <v>46</v>
      </c>
      <c r="H893" s="1">
        <v>45382</v>
      </c>
      <c r="I893" t="s">
        <v>64</v>
      </c>
      <c r="J893" t="s">
        <v>603</v>
      </c>
      <c r="K893">
        <v>1</v>
      </c>
      <c r="N893">
        <v>3915</v>
      </c>
      <c r="O893">
        <v>20</v>
      </c>
      <c r="P893" s="1">
        <v>45415</v>
      </c>
      <c r="Q893" s="1"/>
      <c r="R893" t="str">
        <f>IF(Table1[[#This Row],[Actual close date]]="","",Table1[[#This Row],[Actual close date]]-Table1[[#This Row],[Expected close date]])</f>
        <v/>
      </c>
    </row>
    <row r="894" spans="1:18" x14ac:dyDescent="0.25">
      <c r="A894" t="s">
        <v>970</v>
      </c>
      <c r="B894" t="s">
        <v>54</v>
      </c>
      <c r="C894" t="s">
        <v>55</v>
      </c>
      <c r="D894" t="s">
        <v>56</v>
      </c>
      <c r="E894" t="s">
        <v>66</v>
      </c>
      <c r="F894" t="s">
        <v>167</v>
      </c>
      <c r="G894" t="s">
        <v>83</v>
      </c>
      <c r="H894" s="1">
        <v>45434</v>
      </c>
      <c r="I894" t="s">
        <v>24</v>
      </c>
      <c r="J894" t="s">
        <v>603</v>
      </c>
      <c r="K894">
        <v>1</v>
      </c>
      <c r="N894">
        <v>764</v>
      </c>
      <c r="O894">
        <v>90</v>
      </c>
      <c r="P894" s="1">
        <v>45619</v>
      </c>
      <c r="Q894" s="1"/>
      <c r="R894" t="str">
        <f>IF(Table1[[#This Row],[Actual close date]]="","",Table1[[#This Row],[Actual close date]]-Table1[[#This Row],[Expected close date]])</f>
        <v/>
      </c>
    </row>
    <row r="895" spans="1:18" x14ac:dyDescent="0.25">
      <c r="A895" t="s">
        <v>971</v>
      </c>
      <c r="B895" t="s">
        <v>39</v>
      </c>
      <c r="C895" t="s">
        <v>40</v>
      </c>
      <c r="D895" t="s">
        <v>41</v>
      </c>
      <c r="E895" t="s">
        <v>101</v>
      </c>
      <c r="F895" t="s">
        <v>167</v>
      </c>
      <c r="G895" t="s">
        <v>46</v>
      </c>
      <c r="H895" s="1">
        <v>45402</v>
      </c>
      <c r="I895" t="s">
        <v>64</v>
      </c>
      <c r="J895" t="s">
        <v>603</v>
      </c>
      <c r="K895">
        <v>1</v>
      </c>
      <c r="N895">
        <v>3298</v>
      </c>
      <c r="O895">
        <v>20</v>
      </c>
      <c r="P895" s="1">
        <v>45605</v>
      </c>
      <c r="Q895" s="1"/>
      <c r="R895" t="str">
        <f>IF(Table1[[#This Row],[Actual close date]]="","",Table1[[#This Row],[Actual close date]]-Table1[[#This Row],[Expected close date]])</f>
        <v/>
      </c>
    </row>
    <row r="896" spans="1:18" x14ac:dyDescent="0.25">
      <c r="A896" t="s">
        <v>972</v>
      </c>
      <c r="B896" t="s">
        <v>18</v>
      </c>
      <c r="C896" t="s">
        <v>19</v>
      </c>
      <c r="D896" t="s">
        <v>20</v>
      </c>
      <c r="E896" t="s">
        <v>45</v>
      </c>
      <c r="F896" t="s">
        <v>167</v>
      </c>
      <c r="G896" t="s">
        <v>23</v>
      </c>
      <c r="H896" s="1">
        <v>45440</v>
      </c>
      <c r="I896" t="s">
        <v>64</v>
      </c>
      <c r="J896" t="s">
        <v>603</v>
      </c>
      <c r="K896">
        <v>1</v>
      </c>
      <c r="N896">
        <v>5766</v>
      </c>
      <c r="O896">
        <v>20</v>
      </c>
      <c r="P896" s="1">
        <v>45496</v>
      </c>
      <c r="Q896" s="1"/>
      <c r="R896" t="str">
        <f>IF(Table1[[#This Row],[Actual close date]]="","",Table1[[#This Row],[Actual close date]]-Table1[[#This Row],[Expected close date]])</f>
        <v/>
      </c>
    </row>
    <row r="897" spans="1:18" x14ac:dyDescent="0.25">
      <c r="A897" t="s">
        <v>973</v>
      </c>
      <c r="B897" t="s">
        <v>69</v>
      </c>
      <c r="C897" t="s">
        <v>70</v>
      </c>
      <c r="D897" t="s">
        <v>71</v>
      </c>
      <c r="E897" t="s">
        <v>45</v>
      </c>
      <c r="F897" t="s">
        <v>167</v>
      </c>
      <c r="G897" t="s">
        <v>37</v>
      </c>
      <c r="H897" s="1">
        <v>45415</v>
      </c>
      <c r="I897" t="s">
        <v>64</v>
      </c>
      <c r="J897" t="s">
        <v>603</v>
      </c>
      <c r="K897">
        <v>1</v>
      </c>
      <c r="N897">
        <v>1937</v>
      </c>
      <c r="O897">
        <v>30</v>
      </c>
      <c r="P897" s="1">
        <v>45469</v>
      </c>
      <c r="Q897" s="1"/>
      <c r="R897" t="str">
        <f>IF(Table1[[#This Row],[Actual close date]]="","",Table1[[#This Row],[Actual close date]]-Table1[[#This Row],[Expected close date]])</f>
        <v/>
      </c>
    </row>
    <row r="898" spans="1:18" x14ac:dyDescent="0.25">
      <c r="A898" t="s">
        <v>974</v>
      </c>
      <c r="B898" t="s">
        <v>18</v>
      </c>
      <c r="C898" t="s">
        <v>19</v>
      </c>
      <c r="D898" t="s">
        <v>20</v>
      </c>
      <c r="E898" t="s">
        <v>52</v>
      </c>
      <c r="F898" t="s">
        <v>167</v>
      </c>
      <c r="G898" t="s">
        <v>31</v>
      </c>
      <c r="H898" s="1">
        <v>45333</v>
      </c>
      <c r="I898" t="s">
        <v>64</v>
      </c>
      <c r="J898" t="s">
        <v>603</v>
      </c>
      <c r="K898">
        <v>1</v>
      </c>
      <c r="N898">
        <v>6782</v>
      </c>
      <c r="O898">
        <v>60</v>
      </c>
      <c r="P898" s="1">
        <v>45383</v>
      </c>
      <c r="Q898" s="1"/>
      <c r="R898" t="str">
        <f>IF(Table1[[#This Row],[Actual close date]]="","",Table1[[#This Row],[Actual close date]]-Table1[[#This Row],[Expected close date]])</f>
        <v/>
      </c>
    </row>
    <row r="899" spans="1:18" x14ac:dyDescent="0.25">
      <c r="A899" t="s">
        <v>975</v>
      </c>
      <c r="B899" t="s">
        <v>18</v>
      </c>
      <c r="C899" t="s">
        <v>19</v>
      </c>
      <c r="D899" t="s">
        <v>20</v>
      </c>
      <c r="E899" t="s">
        <v>101</v>
      </c>
      <c r="F899" t="s">
        <v>167</v>
      </c>
      <c r="G899" t="s">
        <v>31</v>
      </c>
      <c r="H899" s="1">
        <v>45368</v>
      </c>
      <c r="I899" t="s">
        <v>64</v>
      </c>
      <c r="J899" t="s">
        <v>603</v>
      </c>
      <c r="K899">
        <v>1</v>
      </c>
      <c r="N899">
        <v>2270</v>
      </c>
      <c r="O899">
        <v>10</v>
      </c>
      <c r="P899" s="1">
        <v>45553</v>
      </c>
      <c r="Q899" s="1"/>
      <c r="R899" t="str">
        <f>IF(Table1[[#This Row],[Actual close date]]="","",Table1[[#This Row],[Actual close date]]-Table1[[#This Row],[Expected close date]])</f>
        <v/>
      </c>
    </row>
    <row r="900" spans="1:18" x14ac:dyDescent="0.25">
      <c r="A900" t="s">
        <v>976</v>
      </c>
      <c r="B900" t="s">
        <v>39</v>
      </c>
      <c r="C900" t="s">
        <v>40</v>
      </c>
      <c r="D900" t="s">
        <v>41</v>
      </c>
      <c r="E900" t="s">
        <v>118</v>
      </c>
      <c r="F900" t="s">
        <v>167</v>
      </c>
      <c r="G900" t="s">
        <v>37</v>
      </c>
      <c r="H900" s="1">
        <v>45380</v>
      </c>
      <c r="I900" t="s">
        <v>64</v>
      </c>
      <c r="J900" t="s">
        <v>603</v>
      </c>
      <c r="K900">
        <v>1</v>
      </c>
      <c r="N900">
        <v>7722</v>
      </c>
      <c r="O900">
        <v>80</v>
      </c>
      <c r="P900" s="1">
        <v>45544</v>
      </c>
      <c r="Q900" s="1"/>
      <c r="R900" t="str">
        <f>IF(Table1[[#This Row],[Actual close date]]="","",Table1[[#This Row],[Actual close date]]-Table1[[#This Row],[Expected close date]])</f>
        <v/>
      </c>
    </row>
    <row r="901" spans="1:18" x14ac:dyDescent="0.25">
      <c r="A901" t="s">
        <v>977</v>
      </c>
      <c r="B901" t="s">
        <v>49</v>
      </c>
      <c r="C901" t="s">
        <v>50</v>
      </c>
      <c r="D901" t="s">
        <v>51</v>
      </c>
      <c r="E901" t="s">
        <v>45</v>
      </c>
      <c r="F901" t="s">
        <v>167</v>
      </c>
      <c r="G901" t="s">
        <v>72</v>
      </c>
      <c r="H901" s="1">
        <v>45430</v>
      </c>
      <c r="I901" t="s">
        <v>64</v>
      </c>
      <c r="J901" t="s">
        <v>603</v>
      </c>
      <c r="K901">
        <v>1</v>
      </c>
      <c r="N901">
        <v>3419</v>
      </c>
      <c r="O901">
        <v>90</v>
      </c>
      <c r="P901" s="1">
        <v>45707</v>
      </c>
      <c r="Q901" s="1"/>
      <c r="R901" t="str">
        <f>IF(Table1[[#This Row],[Actual close date]]="","",Table1[[#This Row],[Actual close date]]-Table1[[#This Row],[Expected close date]])</f>
        <v/>
      </c>
    </row>
    <row r="902" spans="1:18" x14ac:dyDescent="0.25">
      <c r="A902" t="s">
        <v>978</v>
      </c>
      <c r="B902" t="s">
        <v>39</v>
      </c>
      <c r="C902" t="s">
        <v>40</v>
      </c>
      <c r="D902" t="s">
        <v>41</v>
      </c>
      <c r="E902" t="s">
        <v>36</v>
      </c>
      <c r="F902" t="s">
        <v>167</v>
      </c>
      <c r="G902" t="s">
        <v>83</v>
      </c>
      <c r="H902" s="1">
        <v>45351</v>
      </c>
      <c r="I902" t="s">
        <v>24</v>
      </c>
      <c r="J902" t="s">
        <v>603</v>
      </c>
      <c r="K902">
        <v>1</v>
      </c>
      <c r="N902">
        <v>7103</v>
      </c>
      <c r="O902">
        <v>50</v>
      </c>
      <c r="P902" s="1">
        <v>45661</v>
      </c>
      <c r="Q902" s="1"/>
      <c r="R902" t="str">
        <f>IF(Table1[[#This Row],[Actual close date]]="","",Table1[[#This Row],[Actual close date]]-Table1[[#This Row],[Expected close date]])</f>
        <v/>
      </c>
    </row>
    <row r="903" spans="1:18" x14ac:dyDescent="0.25">
      <c r="A903" t="s">
        <v>979</v>
      </c>
      <c r="B903" t="s">
        <v>33</v>
      </c>
      <c r="C903" t="s">
        <v>34</v>
      </c>
      <c r="D903" t="s">
        <v>35</v>
      </c>
      <c r="E903" t="s">
        <v>52</v>
      </c>
      <c r="F903" t="s">
        <v>167</v>
      </c>
      <c r="G903" t="s">
        <v>46</v>
      </c>
      <c r="H903" s="1">
        <v>45371</v>
      </c>
      <c r="I903" t="s">
        <v>64</v>
      </c>
      <c r="J903" t="s">
        <v>603</v>
      </c>
      <c r="K903">
        <v>1</v>
      </c>
      <c r="N903">
        <v>7155</v>
      </c>
      <c r="O903">
        <v>40</v>
      </c>
      <c r="P903" s="1">
        <v>45703</v>
      </c>
      <c r="Q903" s="1"/>
      <c r="R903" t="str">
        <f>IF(Table1[[#This Row],[Actual close date]]="","",Table1[[#This Row],[Actual close date]]-Table1[[#This Row],[Expected close date]])</f>
        <v/>
      </c>
    </row>
    <row r="904" spans="1:18" x14ac:dyDescent="0.25">
      <c r="A904" t="s">
        <v>980</v>
      </c>
      <c r="B904" t="s">
        <v>54</v>
      </c>
      <c r="C904" t="s">
        <v>55</v>
      </c>
      <c r="D904" t="s">
        <v>56</v>
      </c>
      <c r="E904" t="s">
        <v>98</v>
      </c>
      <c r="F904" t="s">
        <v>167</v>
      </c>
      <c r="G904" t="s">
        <v>31</v>
      </c>
      <c r="H904" s="1">
        <v>45293</v>
      </c>
      <c r="I904" t="s">
        <v>24</v>
      </c>
      <c r="J904" t="s">
        <v>603</v>
      </c>
      <c r="K904">
        <v>1</v>
      </c>
      <c r="N904">
        <v>7505</v>
      </c>
      <c r="O904">
        <v>50</v>
      </c>
      <c r="P904" s="1">
        <v>45529</v>
      </c>
      <c r="Q904" s="1"/>
      <c r="R904" t="str">
        <f>IF(Table1[[#This Row],[Actual close date]]="","",Table1[[#This Row],[Actual close date]]-Table1[[#This Row],[Expected close date]])</f>
        <v/>
      </c>
    </row>
    <row r="905" spans="1:18" x14ac:dyDescent="0.25">
      <c r="A905" t="s">
        <v>981</v>
      </c>
      <c r="B905" t="s">
        <v>33</v>
      </c>
      <c r="C905" t="s">
        <v>34</v>
      </c>
      <c r="D905" t="s">
        <v>35</v>
      </c>
      <c r="E905" t="s">
        <v>21</v>
      </c>
      <c r="F905" t="s">
        <v>167</v>
      </c>
      <c r="G905" t="s">
        <v>31</v>
      </c>
      <c r="H905" s="1">
        <v>45418</v>
      </c>
      <c r="I905" t="s">
        <v>24</v>
      </c>
      <c r="J905" t="s">
        <v>603</v>
      </c>
      <c r="K905">
        <v>1</v>
      </c>
      <c r="N905">
        <v>1076</v>
      </c>
      <c r="O905">
        <v>20</v>
      </c>
      <c r="P905" s="1">
        <v>45508</v>
      </c>
      <c r="Q905" s="1"/>
      <c r="R905" t="str">
        <f>IF(Table1[[#This Row],[Actual close date]]="","",Table1[[#This Row],[Actual close date]]-Table1[[#This Row],[Expected close date]])</f>
        <v/>
      </c>
    </row>
    <row r="906" spans="1:18" x14ac:dyDescent="0.25">
      <c r="A906" t="s">
        <v>982</v>
      </c>
      <c r="B906" t="s">
        <v>39</v>
      </c>
      <c r="C906" t="s">
        <v>40</v>
      </c>
      <c r="D906" t="s">
        <v>41</v>
      </c>
      <c r="E906" t="s">
        <v>45</v>
      </c>
      <c r="F906" t="s">
        <v>167</v>
      </c>
      <c r="G906" t="s">
        <v>46</v>
      </c>
      <c r="H906" s="1">
        <v>45340</v>
      </c>
      <c r="I906" t="s">
        <v>24</v>
      </c>
      <c r="J906" t="s">
        <v>603</v>
      </c>
      <c r="K906">
        <v>1</v>
      </c>
      <c r="N906">
        <v>3880</v>
      </c>
      <c r="O906">
        <v>20</v>
      </c>
      <c r="P906" s="1">
        <v>45421</v>
      </c>
      <c r="Q906" s="1"/>
      <c r="R906" t="str">
        <f>IF(Table1[[#This Row],[Actual close date]]="","",Table1[[#This Row],[Actual close date]]-Table1[[#This Row],[Expected close date]])</f>
        <v/>
      </c>
    </row>
    <row r="907" spans="1:18" x14ac:dyDescent="0.25">
      <c r="A907" t="s">
        <v>983</v>
      </c>
      <c r="B907" t="s">
        <v>59</v>
      </c>
      <c r="C907" t="s">
        <v>60</v>
      </c>
      <c r="D907" t="s">
        <v>61</v>
      </c>
      <c r="E907" t="s">
        <v>101</v>
      </c>
      <c r="F907" t="s">
        <v>167</v>
      </c>
      <c r="G907" t="s">
        <v>37</v>
      </c>
      <c r="H907" s="1">
        <v>45349</v>
      </c>
      <c r="I907" t="s">
        <v>47</v>
      </c>
      <c r="J907" t="s">
        <v>603</v>
      </c>
      <c r="K907">
        <v>1</v>
      </c>
      <c r="N907">
        <v>1854</v>
      </c>
      <c r="O907">
        <v>20</v>
      </c>
      <c r="P907" s="1">
        <v>45546</v>
      </c>
      <c r="Q907" s="1"/>
      <c r="R907" t="str">
        <f>IF(Table1[[#This Row],[Actual close date]]="","",Table1[[#This Row],[Actual close date]]-Table1[[#This Row],[Expected close date]])</f>
        <v/>
      </c>
    </row>
    <row r="908" spans="1:18" x14ac:dyDescent="0.25">
      <c r="A908" t="s">
        <v>984</v>
      </c>
      <c r="B908" t="s">
        <v>76</v>
      </c>
      <c r="C908" t="s">
        <v>77</v>
      </c>
      <c r="D908" t="s">
        <v>78</v>
      </c>
      <c r="E908" t="s">
        <v>82</v>
      </c>
      <c r="F908" t="s">
        <v>167</v>
      </c>
      <c r="G908" t="s">
        <v>72</v>
      </c>
      <c r="H908" s="1">
        <v>45390</v>
      </c>
      <c r="I908" t="s">
        <v>64</v>
      </c>
      <c r="J908" t="s">
        <v>603</v>
      </c>
      <c r="K908">
        <v>1</v>
      </c>
      <c r="N908">
        <v>6316</v>
      </c>
      <c r="O908">
        <v>40</v>
      </c>
      <c r="P908" s="1">
        <v>45649</v>
      </c>
      <c r="Q908" s="1"/>
      <c r="R908" t="str">
        <f>IF(Table1[[#This Row],[Actual close date]]="","",Table1[[#This Row],[Actual close date]]-Table1[[#This Row],[Expected close date]])</f>
        <v/>
      </c>
    </row>
    <row r="909" spans="1:18" x14ac:dyDescent="0.25">
      <c r="A909" t="s">
        <v>985</v>
      </c>
      <c r="B909" t="s">
        <v>33</v>
      </c>
      <c r="C909" t="s">
        <v>34</v>
      </c>
      <c r="D909" t="s">
        <v>35</v>
      </c>
      <c r="E909" t="s">
        <v>21</v>
      </c>
      <c r="F909" t="s">
        <v>167</v>
      </c>
      <c r="G909" t="s">
        <v>46</v>
      </c>
      <c r="H909" s="1">
        <v>45422</v>
      </c>
      <c r="I909" t="s">
        <v>64</v>
      </c>
      <c r="J909" t="s">
        <v>603</v>
      </c>
      <c r="K909">
        <v>1</v>
      </c>
      <c r="N909">
        <v>7557</v>
      </c>
      <c r="O909">
        <v>90</v>
      </c>
      <c r="P909" s="1">
        <v>45696</v>
      </c>
      <c r="Q909" s="1"/>
      <c r="R909" t="str">
        <f>IF(Table1[[#This Row],[Actual close date]]="","",Table1[[#This Row],[Actual close date]]-Table1[[#This Row],[Expected close date]])</f>
        <v/>
      </c>
    </row>
    <row r="910" spans="1:18" x14ac:dyDescent="0.25">
      <c r="A910" t="s">
        <v>986</v>
      </c>
      <c r="B910" t="s">
        <v>49</v>
      </c>
      <c r="C910" t="s">
        <v>50</v>
      </c>
      <c r="D910" t="s">
        <v>51</v>
      </c>
      <c r="E910" t="s">
        <v>21</v>
      </c>
      <c r="F910" t="s">
        <v>167</v>
      </c>
      <c r="G910" t="s">
        <v>85</v>
      </c>
      <c r="H910" s="1">
        <v>45380</v>
      </c>
      <c r="I910" t="s">
        <v>64</v>
      </c>
      <c r="J910" t="s">
        <v>603</v>
      </c>
      <c r="K910">
        <v>1</v>
      </c>
      <c r="N910">
        <v>5533</v>
      </c>
      <c r="O910">
        <v>60</v>
      </c>
      <c r="P910" s="1">
        <v>45656</v>
      </c>
      <c r="Q910" s="1"/>
      <c r="R910" t="str">
        <f>IF(Table1[[#This Row],[Actual close date]]="","",Table1[[#This Row],[Actual close date]]-Table1[[#This Row],[Expected close date]])</f>
        <v/>
      </c>
    </row>
    <row r="911" spans="1:18" x14ac:dyDescent="0.25">
      <c r="A911" t="s">
        <v>987</v>
      </c>
      <c r="B911" t="s">
        <v>59</v>
      </c>
      <c r="C911" t="s">
        <v>60</v>
      </c>
      <c r="D911" t="s">
        <v>61</v>
      </c>
      <c r="E911" t="s">
        <v>30</v>
      </c>
      <c r="F911" t="s">
        <v>167</v>
      </c>
      <c r="G911" t="s">
        <v>83</v>
      </c>
      <c r="H911" s="1">
        <v>45363</v>
      </c>
      <c r="I911" t="s">
        <v>64</v>
      </c>
      <c r="J911" t="s">
        <v>603</v>
      </c>
      <c r="K911">
        <v>1</v>
      </c>
      <c r="N911">
        <v>3045</v>
      </c>
      <c r="O911">
        <v>20</v>
      </c>
      <c r="P911" s="1">
        <v>45411</v>
      </c>
      <c r="Q911" s="1"/>
      <c r="R911" t="str">
        <f>IF(Table1[[#This Row],[Actual close date]]="","",Table1[[#This Row],[Actual close date]]-Table1[[#This Row],[Expected close date]])</f>
        <v/>
      </c>
    </row>
    <row r="912" spans="1:18" x14ac:dyDescent="0.25">
      <c r="A912" t="s">
        <v>988</v>
      </c>
      <c r="B912" t="s">
        <v>39</v>
      </c>
      <c r="C912" t="s">
        <v>40</v>
      </c>
      <c r="D912" t="s">
        <v>41</v>
      </c>
      <c r="E912" t="s">
        <v>52</v>
      </c>
      <c r="F912" t="s">
        <v>167</v>
      </c>
      <c r="G912" t="s">
        <v>57</v>
      </c>
      <c r="H912" s="1">
        <v>45352</v>
      </c>
      <c r="I912" t="s">
        <v>64</v>
      </c>
      <c r="J912" t="s">
        <v>603</v>
      </c>
      <c r="K912">
        <v>1</v>
      </c>
      <c r="N912">
        <v>6633</v>
      </c>
      <c r="O912">
        <v>100</v>
      </c>
      <c r="P912" s="1">
        <v>45586</v>
      </c>
      <c r="Q912" s="1"/>
      <c r="R912" t="str">
        <f>IF(Table1[[#This Row],[Actual close date]]="","",Table1[[#This Row],[Actual close date]]-Table1[[#This Row],[Expected close date]])</f>
        <v/>
      </c>
    </row>
    <row r="913" spans="1:18" x14ac:dyDescent="0.25">
      <c r="A913" t="s">
        <v>989</v>
      </c>
      <c r="B913" t="s">
        <v>76</v>
      </c>
      <c r="C913" t="s">
        <v>77</v>
      </c>
      <c r="D913" t="s">
        <v>78</v>
      </c>
      <c r="E913" t="s">
        <v>45</v>
      </c>
      <c r="F913" t="s">
        <v>167</v>
      </c>
      <c r="G913" t="s">
        <v>31</v>
      </c>
      <c r="H913" s="1">
        <v>45331</v>
      </c>
      <c r="I913" t="s">
        <v>47</v>
      </c>
      <c r="J913" t="s">
        <v>603</v>
      </c>
      <c r="K913">
        <v>1</v>
      </c>
      <c r="N913">
        <v>707</v>
      </c>
      <c r="O913">
        <v>30</v>
      </c>
      <c r="P913" s="1">
        <v>45351</v>
      </c>
      <c r="Q913" s="1"/>
      <c r="R913" t="str">
        <f>IF(Table1[[#This Row],[Actual close date]]="","",Table1[[#This Row],[Actual close date]]-Table1[[#This Row],[Expected close date]])</f>
        <v/>
      </c>
    </row>
    <row r="914" spans="1:18" x14ac:dyDescent="0.25">
      <c r="A914" t="s">
        <v>990</v>
      </c>
      <c r="B914" t="s">
        <v>33</v>
      </c>
      <c r="C914" t="s">
        <v>34</v>
      </c>
      <c r="D914" t="s">
        <v>35</v>
      </c>
      <c r="E914" t="s">
        <v>45</v>
      </c>
      <c r="F914" t="s">
        <v>167</v>
      </c>
      <c r="G914" t="s">
        <v>46</v>
      </c>
      <c r="H914" s="1">
        <v>45347</v>
      </c>
      <c r="I914" t="s">
        <v>24</v>
      </c>
      <c r="J914" t="s">
        <v>603</v>
      </c>
      <c r="K914">
        <v>1</v>
      </c>
      <c r="N914">
        <v>2422</v>
      </c>
      <c r="O914">
        <v>30</v>
      </c>
      <c r="P914" s="1">
        <v>45645</v>
      </c>
      <c r="Q914" s="1"/>
      <c r="R914" t="str">
        <f>IF(Table1[[#This Row],[Actual close date]]="","",Table1[[#This Row],[Actual close date]]-Table1[[#This Row],[Expected close date]])</f>
        <v/>
      </c>
    </row>
    <row r="915" spans="1:18" x14ac:dyDescent="0.25">
      <c r="A915" t="s">
        <v>991</v>
      </c>
      <c r="B915" t="s">
        <v>49</v>
      </c>
      <c r="C915" t="s">
        <v>50</v>
      </c>
      <c r="D915" t="s">
        <v>51</v>
      </c>
      <c r="E915" t="s">
        <v>45</v>
      </c>
      <c r="F915" t="s">
        <v>167</v>
      </c>
      <c r="G915" t="s">
        <v>46</v>
      </c>
      <c r="H915" s="1">
        <v>45345</v>
      </c>
      <c r="I915" t="s">
        <v>64</v>
      </c>
      <c r="J915" t="s">
        <v>603</v>
      </c>
      <c r="K915">
        <v>1</v>
      </c>
      <c r="N915">
        <v>4070</v>
      </c>
      <c r="O915">
        <v>60</v>
      </c>
      <c r="P915" s="1">
        <v>45386</v>
      </c>
      <c r="Q915" s="1"/>
      <c r="R915" t="str">
        <f>IF(Table1[[#This Row],[Actual close date]]="","",Table1[[#This Row],[Actual close date]]-Table1[[#This Row],[Expected close date]])</f>
        <v/>
      </c>
    </row>
    <row r="916" spans="1:18" x14ac:dyDescent="0.25">
      <c r="A916" t="s">
        <v>992</v>
      </c>
      <c r="B916" t="s">
        <v>18</v>
      </c>
      <c r="C916" t="s">
        <v>19</v>
      </c>
      <c r="D916" t="s">
        <v>20</v>
      </c>
      <c r="E916" t="s">
        <v>21</v>
      </c>
      <c r="F916" t="s">
        <v>167</v>
      </c>
      <c r="G916" t="s">
        <v>46</v>
      </c>
      <c r="H916" s="1">
        <v>45308</v>
      </c>
      <c r="I916" t="s">
        <v>64</v>
      </c>
      <c r="J916" t="s">
        <v>603</v>
      </c>
      <c r="K916">
        <v>1</v>
      </c>
      <c r="N916">
        <v>2596</v>
      </c>
      <c r="O916">
        <v>20</v>
      </c>
      <c r="P916" s="1">
        <v>45448</v>
      </c>
      <c r="Q916" s="1"/>
      <c r="R916" t="str">
        <f>IF(Table1[[#This Row],[Actual close date]]="","",Table1[[#This Row],[Actual close date]]-Table1[[#This Row],[Expected close date]])</f>
        <v/>
      </c>
    </row>
    <row r="917" spans="1:18" x14ac:dyDescent="0.25">
      <c r="A917" t="s">
        <v>993</v>
      </c>
      <c r="B917" t="s">
        <v>39</v>
      </c>
      <c r="C917" t="s">
        <v>40</v>
      </c>
      <c r="D917" t="s">
        <v>41</v>
      </c>
      <c r="E917" t="s">
        <v>45</v>
      </c>
      <c r="F917" t="s">
        <v>167</v>
      </c>
      <c r="G917" t="s">
        <v>85</v>
      </c>
      <c r="H917" s="1">
        <v>45337</v>
      </c>
      <c r="I917" t="s">
        <v>24</v>
      </c>
      <c r="J917" t="s">
        <v>603</v>
      </c>
      <c r="K917">
        <v>1</v>
      </c>
      <c r="N917">
        <v>4915</v>
      </c>
      <c r="O917">
        <v>40</v>
      </c>
      <c r="P917" s="1">
        <v>45625</v>
      </c>
      <c r="Q917" s="1"/>
      <c r="R917" t="str">
        <f>IF(Table1[[#This Row],[Actual close date]]="","",Table1[[#This Row],[Actual close date]]-Table1[[#This Row],[Expected close date]])</f>
        <v/>
      </c>
    </row>
    <row r="918" spans="1:18" x14ac:dyDescent="0.25">
      <c r="A918" t="s">
        <v>994</v>
      </c>
      <c r="B918" t="s">
        <v>33</v>
      </c>
      <c r="C918" t="s">
        <v>34</v>
      </c>
      <c r="D918" t="s">
        <v>35</v>
      </c>
      <c r="E918" t="s">
        <v>42</v>
      </c>
      <c r="F918" t="s">
        <v>167</v>
      </c>
      <c r="G918" t="s">
        <v>57</v>
      </c>
      <c r="H918" s="1">
        <v>45375</v>
      </c>
      <c r="I918" t="s">
        <v>47</v>
      </c>
      <c r="J918" t="s">
        <v>603</v>
      </c>
      <c r="K918">
        <v>1</v>
      </c>
      <c r="N918">
        <v>7272</v>
      </c>
      <c r="O918">
        <v>60</v>
      </c>
      <c r="P918" s="1">
        <v>45713</v>
      </c>
      <c r="Q918" s="1"/>
      <c r="R918" t="str">
        <f>IF(Table1[[#This Row],[Actual close date]]="","",Table1[[#This Row],[Actual close date]]-Table1[[#This Row],[Expected close date]])</f>
        <v/>
      </c>
    </row>
    <row r="919" spans="1:18" x14ac:dyDescent="0.25">
      <c r="A919" t="s">
        <v>995</v>
      </c>
      <c r="B919" t="s">
        <v>33</v>
      </c>
      <c r="C919" t="s">
        <v>34</v>
      </c>
      <c r="D919" t="s">
        <v>35</v>
      </c>
      <c r="E919" t="s">
        <v>45</v>
      </c>
      <c r="F919" t="s">
        <v>167</v>
      </c>
      <c r="G919" t="s">
        <v>85</v>
      </c>
      <c r="H919" s="1">
        <v>45379</v>
      </c>
      <c r="I919" t="s">
        <v>64</v>
      </c>
      <c r="J919" t="s">
        <v>603</v>
      </c>
      <c r="K919">
        <v>1</v>
      </c>
      <c r="N919">
        <v>2908</v>
      </c>
      <c r="O919">
        <v>40</v>
      </c>
      <c r="P919" s="1">
        <v>45574</v>
      </c>
      <c r="Q919" s="1"/>
      <c r="R919" t="str">
        <f>IF(Table1[[#This Row],[Actual close date]]="","",Table1[[#This Row],[Actual close date]]-Table1[[#This Row],[Expected close date]])</f>
        <v/>
      </c>
    </row>
    <row r="920" spans="1:18" x14ac:dyDescent="0.25">
      <c r="A920" t="s">
        <v>996</v>
      </c>
      <c r="B920" t="s">
        <v>54</v>
      </c>
      <c r="C920" t="s">
        <v>55</v>
      </c>
      <c r="D920" t="s">
        <v>56</v>
      </c>
      <c r="E920" t="s">
        <v>21</v>
      </c>
      <c r="F920" t="s">
        <v>167</v>
      </c>
      <c r="G920" t="s">
        <v>46</v>
      </c>
      <c r="H920" s="1">
        <v>45416</v>
      </c>
      <c r="I920" t="s">
        <v>24</v>
      </c>
      <c r="J920" t="s">
        <v>603</v>
      </c>
      <c r="K920">
        <v>1</v>
      </c>
      <c r="N920">
        <v>1508</v>
      </c>
      <c r="O920">
        <v>50</v>
      </c>
      <c r="P920" s="1">
        <v>45578</v>
      </c>
      <c r="Q920" s="1"/>
      <c r="R920" t="str">
        <f>IF(Table1[[#This Row],[Actual close date]]="","",Table1[[#This Row],[Actual close date]]-Table1[[#This Row],[Expected close date]])</f>
        <v/>
      </c>
    </row>
    <row r="921" spans="1:18" x14ac:dyDescent="0.25">
      <c r="A921" t="s">
        <v>997</v>
      </c>
      <c r="B921" t="s">
        <v>59</v>
      </c>
      <c r="C921" t="s">
        <v>60</v>
      </c>
      <c r="D921" t="s">
        <v>61</v>
      </c>
      <c r="E921" t="s">
        <v>82</v>
      </c>
      <c r="F921" t="s">
        <v>167</v>
      </c>
      <c r="G921" t="s">
        <v>46</v>
      </c>
      <c r="H921" s="1">
        <v>45363</v>
      </c>
      <c r="I921" t="s">
        <v>24</v>
      </c>
      <c r="J921" t="s">
        <v>603</v>
      </c>
      <c r="K921">
        <v>1</v>
      </c>
      <c r="N921">
        <v>349</v>
      </c>
      <c r="O921">
        <v>60</v>
      </c>
      <c r="P921" s="1">
        <v>45700</v>
      </c>
      <c r="Q921" s="1"/>
      <c r="R921" t="str">
        <f>IF(Table1[[#This Row],[Actual close date]]="","",Table1[[#This Row],[Actual close date]]-Table1[[#This Row],[Expected close date]])</f>
        <v/>
      </c>
    </row>
    <row r="922" spans="1:18" x14ac:dyDescent="0.25">
      <c r="A922" t="s">
        <v>998</v>
      </c>
      <c r="B922" t="s">
        <v>59</v>
      </c>
      <c r="C922" t="s">
        <v>60</v>
      </c>
      <c r="D922" t="s">
        <v>61</v>
      </c>
      <c r="E922" t="s">
        <v>21</v>
      </c>
      <c r="F922" t="s">
        <v>167</v>
      </c>
      <c r="G922" t="s">
        <v>37</v>
      </c>
      <c r="H922" s="1">
        <v>45352</v>
      </c>
      <c r="I922" t="s">
        <v>64</v>
      </c>
      <c r="J922" t="s">
        <v>603</v>
      </c>
      <c r="K922">
        <v>1</v>
      </c>
      <c r="N922">
        <v>6829</v>
      </c>
      <c r="O922">
        <v>40</v>
      </c>
      <c r="P922" s="1">
        <v>45518</v>
      </c>
      <c r="Q922" s="1"/>
      <c r="R922" t="str">
        <f>IF(Table1[[#This Row],[Actual close date]]="","",Table1[[#This Row],[Actual close date]]-Table1[[#This Row],[Expected close date]])</f>
        <v/>
      </c>
    </row>
    <row r="923" spans="1:18" x14ac:dyDescent="0.25">
      <c r="A923" t="s">
        <v>999</v>
      </c>
      <c r="B923" t="s">
        <v>33</v>
      </c>
      <c r="C923" t="s">
        <v>34</v>
      </c>
      <c r="D923" t="s">
        <v>35</v>
      </c>
      <c r="E923" t="s">
        <v>118</v>
      </c>
      <c r="F923" t="s">
        <v>167</v>
      </c>
      <c r="G923" t="s">
        <v>31</v>
      </c>
      <c r="H923" s="1">
        <v>45371</v>
      </c>
      <c r="I923" t="s">
        <v>64</v>
      </c>
      <c r="J923" t="s">
        <v>603</v>
      </c>
      <c r="K923">
        <v>1</v>
      </c>
      <c r="N923">
        <v>1866</v>
      </c>
      <c r="O923">
        <v>20</v>
      </c>
      <c r="P923" s="1">
        <v>45578</v>
      </c>
      <c r="Q923" s="1"/>
      <c r="R923" t="str">
        <f>IF(Table1[[#This Row],[Actual close date]]="","",Table1[[#This Row],[Actual close date]]-Table1[[#This Row],[Expected close date]])</f>
        <v/>
      </c>
    </row>
    <row r="924" spans="1:18" x14ac:dyDescent="0.25">
      <c r="A924" t="s">
        <v>1000</v>
      </c>
      <c r="B924" t="s">
        <v>39</v>
      </c>
      <c r="C924" t="s">
        <v>40</v>
      </c>
      <c r="D924" t="s">
        <v>41</v>
      </c>
      <c r="E924" t="s">
        <v>74</v>
      </c>
      <c r="F924" t="s">
        <v>167</v>
      </c>
      <c r="G924" t="s">
        <v>37</v>
      </c>
      <c r="H924" s="1">
        <v>45371</v>
      </c>
      <c r="I924" t="s">
        <v>64</v>
      </c>
      <c r="J924" t="s">
        <v>603</v>
      </c>
      <c r="K924">
        <v>1</v>
      </c>
      <c r="N924">
        <v>2334</v>
      </c>
      <c r="O924">
        <v>60</v>
      </c>
      <c r="P924" s="1">
        <v>45496</v>
      </c>
      <c r="Q924" s="1"/>
      <c r="R924" t="str">
        <f>IF(Table1[[#This Row],[Actual close date]]="","",Table1[[#This Row],[Actual close date]]-Table1[[#This Row],[Expected close date]])</f>
        <v/>
      </c>
    </row>
    <row r="925" spans="1:18" x14ac:dyDescent="0.25">
      <c r="A925" t="s">
        <v>1001</v>
      </c>
      <c r="B925" t="s">
        <v>49</v>
      </c>
      <c r="C925" t="s">
        <v>50</v>
      </c>
      <c r="D925" t="s">
        <v>51</v>
      </c>
      <c r="E925" t="s">
        <v>62</v>
      </c>
      <c r="F925" t="s">
        <v>167</v>
      </c>
      <c r="G925" t="s">
        <v>72</v>
      </c>
      <c r="H925" s="1">
        <v>45330</v>
      </c>
      <c r="I925" t="s">
        <v>64</v>
      </c>
      <c r="J925" t="s">
        <v>603</v>
      </c>
      <c r="K925">
        <v>1</v>
      </c>
      <c r="N925">
        <v>612</v>
      </c>
      <c r="O925">
        <v>30</v>
      </c>
      <c r="P925" s="1">
        <v>45466</v>
      </c>
      <c r="Q925" s="1"/>
      <c r="R925" t="str">
        <f>IF(Table1[[#This Row],[Actual close date]]="","",Table1[[#This Row],[Actual close date]]-Table1[[#This Row],[Expected close date]])</f>
        <v/>
      </c>
    </row>
    <row r="926" spans="1:18" x14ac:dyDescent="0.25">
      <c r="A926" t="s">
        <v>1002</v>
      </c>
      <c r="B926" t="s">
        <v>76</v>
      </c>
      <c r="C926" t="s">
        <v>77</v>
      </c>
      <c r="D926" t="s">
        <v>78</v>
      </c>
      <c r="E926" t="s">
        <v>62</v>
      </c>
      <c r="F926" t="s">
        <v>167</v>
      </c>
      <c r="G926" t="s">
        <v>37</v>
      </c>
      <c r="H926" s="1">
        <v>45423</v>
      </c>
      <c r="I926" t="s">
        <v>24</v>
      </c>
      <c r="J926" t="s">
        <v>603</v>
      </c>
      <c r="K926">
        <v>1</v>
      </c>
      <c r="N926">
        <v>1780</v>
      </c>
      <c r="O926">
        <v>40</v>
      </c>
      <c r="P926" s="1">
        <v>45569</v>
      </c>
      <c r="Q926" s="1"/>
      <c r="R926" t="str">
        <f>IF(Table1[[#This Row],[Actual close date]]="","",Table1[[#This Row],[Actual close date]]-Table1[[#This Row],[Expected close date]])</f>
        <v/>
      </c>
    </row>
    <row r="927" spans="1:18" x14ac:dyDescent="0.25">
      <c r="A927" t="s">
        <v>1003</v>
      </c>
      <c r="B927" t="s">
        <v>39</v>
      </c>
      <c r="C927" t="s">
        <v>40</v>
      </c>
      <c r="D927" t="s">
        <v>41</v>
      </c>
      <c r="E927" t="s">
        <v>74</v>
      </c>
      <c r="F927" t="s">
        <v>167</v>
      </c>
      <c r="G927" t="s">
        <v>85</v>
      </c>
      <c r="H927" s="1">
        <v>45375</v>
      </c>
      <c r="I927" t="s">
        <v>64</v>
      </c>
      <c r="J927" t="s">
        <v>603</v>
      </c>
      <c r="K927">
        <v>1</v>
      </c>
      <c r="N927">
        <v>1157</v>
      </c>
      <c r="O927">
        <v>30</v>
      </c>
      <c r="P927" s="1">
        <v>45502</v>
      </c>
      <c r="Q927" s="1"/>
      <c r="R927" t="str">
        <f>IF(Table1[[#This Row],[Actual close date]]="","",Table1[[#This Row],[Actual close date]]-Table1[[#This Row],[Expected close date]])</f>
        <v/>
      </c>
    </row>
    <row r="928" spans="1:18" x14ac:dyDescent="0.25">
      <c r="A928" t="s">
        <v>1004</v>
      </c>
      <c r="B928" t="s">
        <v>33</v>
      </c>
      <c r="C928" t="s">
        <v>34</v>
      </c>
      <c r="D928" t="s">
        <v>35</v>
      </c>
      <c r="E928" t="s">
        <v>21</v>
      </c>
      <c r="F928" t="s">
        <v>167</v>
      </c>
      <c r="G928" t="s">
        <v>46</v>
      </c>
      <c r="H928" s="1">
        <v>45358</v>
      </c>
      <c r="I928" t="s">
        <v>64</v>
      </c>
      <c r="J928" t="s">
        <v>603</v>
      </c>
      <c r="K928">
        <v>1</v>
      </c>
      <c r="N928">
        <v>7851</v>
      </c>
      <c r="O928">
        <v>30</v>
      </c>
      <c r="P928" s="1">
        <v>45576</v>
      </c>
      <c r="Q928" s="1"/>
      <c r="R928" t="str">
        <f>IF(Table1[[#This Row],[Actual close date]]="","",Table1[[#This Row],[Actual close date]]-Table1[[#This Row],[Expected close date]])</f>
        <v/>
      </c>
    </row>
    <row r="929" spans="1:18" x14ac:dyDescent="0.25">
      <c r="A929" t="s">
        <v>1005</v>
      </c>
      <c r="B929" t="s">
        <v>59</v>
      </c>
      <c r="C929" t="s">
        <v>60</v>
      </c>
      <c r="D929" t="s">
        <v>61</v>
      </c>
      <c r="E929" t="s">
        <v>74</v>
      </c>
      <c r="F929" t="s">
        <v>167</v>
      </c>
      <c r="G929" t="s">
        <v>83</v>
      </c>
      <c r="H929" s="1">
        <v>45312</v>
      </c>
      <c r="I929" t="s">
        <v>64</v>
      </c>
      <c r="J929" t="s">
        <v>603</v>
      </c>
      <c r="K929">
        <v>1</v>
      </c>
      <c r="N929">
        <v>1721</v>
      </c>
      <c r="O929">
        <v>50</v>
      </c>
      <c r="P929" s="1">
        <v>45513</v>
      </c>
      <c r="Q929" s="1"/>
      <c r="R929" t="str">
        <f>IF(Table1[[#This Row],[Actual close date]]="","",Table1[[#This Row],[Actual close date]]-Table1[[#This Row],[Expected close date]])</f>
        <v/>
      </c>
    </row>
    <row r="930" spans="1:18" x14ac:dyDescent="0.25">
      <c r="A930" t="s">
        <v>1006</v>
      </c>
      <c r="B930" t="s">
        <v>54</v>
      </c>
      <c r="C930" t="s">
        <v>55</v>
      </c>
      <c r="D930" t="s">
        <v>56</v>
      </c>
      <c r="E930" t="s">
        <v>122</v>
      </c>
      <c r="F930" t="s">
        <v>167</v>
      </c>
      <c r="G930" t="s">
        <v>85</v>
      </c>
      <c r="H930" s="1">
        <v>45353</v>
      </c>
      <c r="I930" t="s">
        <v>24</v>
      </c>
      <c r="J930" t="s">
        <v>603</v>
      </c>
      <c r="K930">
        <v>1</v>
      </c>
      <c r="N930">
        <v>3474</v>
      </c>
      <c r="O930">
        <v>40</v>
      </c>
      <c r="P930" s="1">
        <v>45396</v>
      </c>
      <c r="Q930" s="1"/>
      <c r="R930" t="str">
        <f>IF(Table1[[#This Row],[Actual close date]]="","",Table1[[#This Row],[Actual close date]]-Table1[[#This Row],[Expected close date]])</f>
        <v/>
      </c>
    </row>
    <row r="931" spans="1:18" x14ac:dyDescent="0.25">
      <c r="A931" t="s">
        <v>1007</v>
      </c>
      <c r="B931" t="s">
        <v>39</v>
      </c>
      <c r="C931" t="s">
        <v>40</v>
      </c>
      <c r="D931" t="s">
        <v>41</v>
      </c>
      <c r="E931" t="s">
        <v>30</v>
      </c>
      <c r="F931" t="s">
        <v>167</v>
      </c>
      <c r="G931" t="s">
        <v>72</v>
      </c>
      <c r="H931" s="1">
        <v>45395</v>
      </c>
      <c r="I931" t="s">
        <v>64</v>
      </c>
      <c r="J931" t="s">
        <v>603</v>
      </c>
      <c r="K931">
        <v>1</v>
      </c>
      <c r="N931">
        <v>1249</v>
      </c>
      <c r="O931">
        <v>30</v>
      </c>
      <c r="P931" s="1">
        <v>45671</v>
      </c>
      <c r="Q931" s="1"/>
      <c r="R931" t="str">
        <f>IF(Table1[[#This Row],[Actual close date]]="","",Table1[[#This Row],[Actual close date]]-Table1[[#This Row],[Expected close date]])</f>
        <v/>
      </c>
    </row>
    <row r="932" spans="1:18" x14ac:dyDescent="0.25">
      <c r="A932" t="s">
        <v>1008</v>
      </c>
      <c r="B932" t="s">
        <v>27</v>
      </c>
      <c r="C932" t="s">
        <v>28</v>
      </c>
      <c r="D932" t="s">
        <v>29</v>
      </c>
      <c r="E932" t="s">
        <v>66</v>
      </c>
      <c r="F932" t="s">
        <v>167</v>
      </c>
      <c r="G932" t="s">
        <v>31</v>
      </c>
      <c r="H932" s="1">
        <v>45378</v>
      </c>
      <c r="I932" t="s">
        <v>24</v>
      </c>
      <c r="J932" t="s">
        <v>603</v>
      </c>
      <c r="K932">
        <v>1</v>
      </c>
      <c r="N932">
        <v>2734</v>
      </c>
      <c r="O932">
        <v>40</v>
      </c>
      <c r="P932" s="1">
        <v>45687</v>
      </c>
      <c r="Q932" s="1"/>
      <c r="R932" t="str">
        <f>IF(Table1[[#This Row],[Actual close date]]="","",Table1[[#This Row],[Actual close date]]-Table1[[#This Row],[Expected close date]])</f>
        <v/>
      </c>
    </row>
    <row r="933" spans="1:18" x14ac:dyDescent="0.25">
      <c r="A933" t="s">
        <v>1009</v>
      </c>
      <c r="B933" t="s">
        <v>49</v>
      </c>
      <c r="C933" t="s">
        <v>50</v>
      </c>
      <c r="D933" t="s">
        <v>51</v>
      </c>
      <c r="E933" t="s">
        <v>45</v>
      </c>
      <c r="F933" t="s">
        <v>167</v>
      </c>
      <c r="G933" t="s">
        <v>72</v>
      </c>
      <c r="H933" s="1">
        <v>45418</v>
      </c>
      <c r="I933" t="s">
        <v>64</v>
      </c>
      <c r="J933" t="s">
        <v>603</v>
      </c>
      <c r="K933">
        <v>1</v>
      </c>
      <c r="N933">
        <v>6083</v>
      </c>
      <c r="O933">
        <v>40</v>
      </c>
      <c r="P933" s="1">
        <v>45489</v>
      </c>
      <c r="Q933" s="1"/>
      <c r="R933" t="str">
        <f>IF(Table1[[#This Row],[Actual close date]]="","",Table1[[#This Row],[Actual close date]]-Table1[[#This Row],[Expected close date]])</f>
        <v/>
      </c>
    </row>
    <row r="934" spans="1:18" x14ac:dyDescent="0.25">
      <c r="A934" t="s">
        <v>1010</v>
      </c>
      <c r="B934" t="s">
        <v>49</v>
      </c>
      <c r="C934" t="s">
        <v>50</v>
      </c>
      <c r="D934" t="s">
        <v>51</v>
      </c>
      <c r="E934" t="s">
        <v>45</v>
      </c>
      <c r="F934" t="s">
        <v>167</v>
      </c>
      <c r="G934" t="s">
        <v>46</v>
      </c>
      <c r="H934" s="1">
        <v>45296</v>
      </c>
      <c r="I934" t="s">
        <v>64</v>
      </c>
      <c r="J934" t="s">
        <v>603</v>
      </c>
      <c r="K934">
        <v>1</v>
      </c>
      <c r="N934">
        <v>2744</v>
      </c>
      <c r="O934">
        <v>70</v>
      </c>
      <c r="P934" s="1">
        <v>45656</v>
      </c>
      <c r="Q934" s="1"/>
      <c r="R934" t="str">
        <f>IF(Table1[[#This Row],[Actual close date]]="","",Table1[[#This Row],[Actual close date]]-Table1[[#This Row],[Expected close date]])</f>
        <v/>
      </c>
    </row>
    <row r="935" spans="1:18" x14ac:dyDescent="0.25">
      <c r="A935" t="s">
        <v>1011</v>
      </c>
      <c r="B935" t="s">
        <v>76</v>
      </c>
      <c r="C935" t="s">
        <v>77</v>
      </c>
      <c r="D935" t="s">
        <v>78</v>
      </c>
      <c r="E935" t="s">
        <v>62</v>
      </c>
      <c r="F935" t="s">
        <v>167</v>
      </c>
      <c r="G935" t="s">
        <v>85</v>
      </c>
      <c r="H935" s="1">
        <v>45306</v>
      </c>
      <c r="I935" t="s">
        <v>24</v>
      </c>
      <c r="J935" t="s">
        <v>603</v>
      </c>
      <c r="K935">
        <v>1</v>
      </c>
      <c r="N935">
        <v>2259</v>
      </c>
      <c r="O935">
        <v>80</v>
      </c>
      <c r="P935" s="1">
        <v>45503</v>
      </c>
      <c r="Q935" s="1"/>
      <c r="R935" t="str">
        <f>IF(Table1[[#This Row],[Actual close date]]="","",Table1[[#This Row],[Actual close date]]-Table1[[#This Row],[Expected close date]])</f>
        <v/>
      </c>
    </row>
    <row r="936" spans="1:18" x14ac:dyDescent="0.25">
      <c r="A936" t="s">
        <v>1012</v>
      </c>
      <c r="B936" t="s">
        <v>54</v>
      </c>
      <c r="C936" t="s">
        <v>55</v>
      </c>
      <c r="D936" t="s">
        <v>56</v>
      </c>
      <c r="E936" t="s">
        <v>21</v>
      </c>
      <c r="F936" t="s">
        <v>167</v>
      </c>
      <c r="G936" t="s">
        <v>57</v>
      </c>
      <c r="H936" s="1">
        <v>45432</v>
      </c>
      <c r="I936" t="s">
        <v>24</v>
      </c>
      <c r="J936" t="s">
        <v>603</v>
      </c>
      <c r="K936">
        <v>1</v>
      </c>
      <c r="N936">
        <v>1092</v>
      </c>
      <c r="O936">
        <v>40</v>
      </c>
      <c r="P936" s="1">
        <v>45770</v>
      </c>
      <c r="Q936" s="1"/>
      <c r="R936" t="str">
        <f>IF(Table1[[#This Row],[Actual close date]]="","",Table1[[#This Row],[Actual close date]]-Table1[[#This Row],[Expected close date]])</f>
        <v/>
      </c>
    </row>
    <row r="937" spans="1:18" x14ac:dyDescent="0.25">
      <c r="A937" t="s">
        <v>1013</v>
      </c>
      <c r="B937" t="s">
        <v>76</v>
      </c>
      <c r="C937" t="s">
        <v>77</v>
      </c>
      <c r="D937" t="s">
        <v>78</v>
      </c>
      <c r="E937" t="s">
        <v>45</v>
      </c>
      <c r="F937" t="s">
        <v>167</v>
      </c>
      <c r="G937" t="s">
        <v>37</v>
      </c>
      <c r="H937" s="1">
        <v>45328</v>
      </c>
      <c r="I937" t="s">
        <v>24</v>
      </c>
      <c r="J937" t="s">
        <v>603</v>
      </c>
      <c r="K937">
        <v>1</v>
      </c>
      <c r="N937">
        <v>6678</v>
      </c>
      <c r="O937">
        <v>100</v>
      </c>
      <c r="P937" s="1">
        <v>45541</v>
      </c>
      <c r="Q937" s="1"/>
      <c r="R937" t="str">
        <f>IF(Table1[[#This Row],[Actual close date]]="","",Table1[[#This Row],[Actual close date]]-Table1[[#This Row],[Expected close date]])</f>
        <v/>
      </c>
    </row>
    <row r="938" spans="1:18" x14ac:dyDescent="0.25">
      <c r="A938" t="s">
        <v>1014</v>
      </c>
      <c r="B938" t="s">
        <v>59</v>
      </c>
      <c r="C938" t="s">
        <v>60</v>
      </c>
      <c r="D938" t="s">
        <v>61</v>
      </c>
      <c r="E938" t="s">
        <v>52</v>
      </c>
      <c r="F938" t="s">
        <v>167</v>
      </c>
      <c r="G938" t="s">
        <v>37</v>
      </c>
      <c r="H938" s="1">
        <v>45387</v>
      </c>
      <c r="I938" t="s">
        <v>47</v>
      </c>
      <c r="J938" t="s">
        <v>603</v>
      </c>
      <c r="K938">
        <v>1</v>
      </c>
      <c r="N938">
        <v>2005</v>
      </c>
      <c r="O938">
        <v>30</v>
      </c>
      <c r="P938" s="1">
        <v>45492</v>
      </c>
      <c r="Q938" s="1"/>
      <c r="R938" t="str">
        <f>IF(Table1[[#This Row],[Actual close date]]="","",Table1[[#This Row],[Actual close date]]-Table1[[#This Row],[Expected close date]])</f>
        <v/>
      </c>
    </row>
    <row r="939" spans="1:18" x14ac:dyDescent="0.25">
      <c r="A939" t="s">
        <v>1015</v>
      </c>
      <c r="B939" t="s">
        <v>27</v>
      </c>
      <c r="C939" t="s">
        <v>28</v>
      </c>
      <c r="D939" t="s">
        <v>29</v>
      </c>
      <c r="E939" t="s">
        <v>42</v>
      </c>
      <c r="F939" t="s">
        <v>167</v>
      </c>
      <c r="G939" t="s">
        <v>85</v>
      </c>
      <c r="H939" s="1">
        <v>45330</v>
      </c>
      <c r="I939" t="s">
        <v>47</v>
      </c>
      <c r="J939" t="s">
        <v>603</v>
      </c>
      <c r="K939">
        <v>1</v>
      </c>
      <c r="N939">
        <v>7677</v>
      </c>
      <c r="O939">
        <v>10</v>
      </c>
      <c r="P939" s="1">
        <v>45493</v>
      </c>
      <c r="Q939" s="1"/>
      <c r="R939" t="str">
        <f>IF(Table1[[#This Row],[Actual close date]]="","",Table1[[#This Row],[Actual close date]]-Table1[[#This Row],[Expected close date]])</f>
        <v/>
      </c>
    </row>
    <row r="940" spans="1:18" x14ac:dyDescent="0.25">
      <c r="A940" t="s">
        <v>1016</v>
      </c>
      <c r="B940" t="s">
        <v>54</v>
      </c>
      <c r="C940" t="s">
        <v>55</v>
      </c>
      <c r="D940" t="s">
        <v>56</v>
      </c>
      <c r="E940" t="s">
        <v>45</v>
      </c>
      <c r="F940" t="s">
        <v>167</v>
      </c>
      <c r="G940" t="s">
        <v>72</v>
      </c>
      <c r="H940" s="1">
        <v>45364</v>
      </c>
      <c r="I940" t="s">
        <v>64</v>
      </c>
      <c r="J940" t="s">
        <v>603</v>
      </c>
      <c r="K940">
        <v>1</v>
      </c>
      <c r="N940">
        <v>6331</v>
      </c>
      <c r="O940">
        <v>80</v>
      </c>
      <c r="P940" s="1">
        <v>45503</v>
      </c>
      <c r="Q940" s="1"/>
      <c r="R940" t="str">
        <f>IF(Table1[[#This Row],[Actual close date]]="","",Table1[[#This Row],[Actual close date]]-Table1[[#This Row],[Expected close date]])</f>
        <v/>
      </c>
    </row>
    <row r="941" spans="1:18" x14ac:dyDescent="0.25">
      <c r="A941" t="s">
        <v>1017</v>
      </c>
      <c r="B941" t="s">
        <v>76</v>
      </c>
      <c r="C941" t="s">
        <v>77</v>
      </c>
      <c r="D941" t="s">
        <v>78</v>
      </c>
      <c r="E941" t="s">
        <v>82</v>
      </c>
      <c r="F941" t="s">
        <v>167</v>
      </c>
      <c r="G941" t="s">
        <v>72</v>
      </c>
      <c r="H941" s="1">
        <v>45318</v>
      </c>
      <c r="I941" t="s">
        <v>64</v>
      </c>
      <c r="J941" t="s">
        <v>603</v>
      </c>
      <c r="K941">
        <v>1</v>
      </c>
      <c r="N941">
        <v>3130</v>
      </c>
      <c r="O941">
        <v>20</v>
      </c>
      <c r="P941" s="1">
        <v>45379</v>
      </c>
      <c r="Q941" s="1"/>
      <c r="R941" t="str">
        <f>IF(Table1[[#This Row],[Actual close date]]="","",Table1[[#This Row],[Actual close date]]-Table1[[#This Row],[Expected close date]])</f>
        <v/>
      </c>
    </row>
    <row r="942" spans="1:18" x14ac:dyDescent="0.25">
      <c r="A942" t="s">
        <v>1018</v>
      </c>
      <c r="B942" t="s">
        <v>33</v>
      </c>
      <c r="C942" t="s">
        <v>34</v>
      </c>
      <c r="D942" t="s">
        <v>35</v>
      </c>
      <c r="E942" t="s">
        <v>82</v>
      </c>
      <c r="F942" t="s">
        <v>167</v>
      </c>
      <c r="G942" t="s">
        <v>83</v>
      </c>
      <c r="H942" s="1">
        <v>45328</v>
      </c>
      <c r="I942" t="s">
        <v>24</v>
      </c>
      <c r="J942" t="s">
        <v>603</v>
      </c>
      <c r="K942">
        <v>1</v>
      </c>
      <c r="N942">
        <v>7247</v>
      </c>
      <c r="O942">
        <v>60</v>
      </c>
      <c r="P942" s="1">
        <v>45440</v>
      </c>
      <c r="Q942" s="1"/>
      <c r="R942" t="str">
        <f>IF(Table1[[#This Row],[Actual close date]]="","",Table1[[#This Row],[Actual close date]]-Table1[[#This Row],[Expected close date]])</f>
        <v/>
      </c>
    </row>
    <row r="943" spans="1:18" x14ac:dyDescent="0.25">
      <c r="A943" t="s">
        <v>1019</v>
      </c>
      <c r="B943" t="s">
        <v>39</v>
      </c>
      <c r="C943" t="s">
        <v>40</v>
      </c>
      <c r="D943" t="s">
        <v>41</v>
      </c>
      <c r="E943" t="s">
        <v>74</v>
      </c>
      <c r="F943" t="s">
        <v>167</v>
      </c>
      <c r="G943" t="s">
        <v>46</v>
      </c>
      <c r="H943" s="1">
        <v>45401</v>
      </c>
      <c r="I943" t="s">
        <v>64</v>
      </c>
      <c r="J943" t="s">
        <v>603</v>
      </c>
      <c r="K943">
        <v>1</v>
      </c>
      <c r="N943">
        <v>5609</v>
      </c>
      <c r="O943">
        <v>90</v>
      </c>
      <c r="P943" s="1">
        <v>45743</v>
      </c>
      <c r="Q943" s="1"/>
      <c r="R943" t="str">
        <f>IF(Table1[[#This Row],[Actual close date]]="","",Table1[[#This Row],[Actual close date]]-Table1[[#This Row],[Expected close date]])</f>
        <v/>
      </c>
    </row>
    <row r="944" spans="1:18" x14ac:dyDescent="0.25">
      <c r="A944" t="s">
        <v>1020</v>
      </c>
      <c r="B944" t="s">
        <v>33</v>
      </c>
      <c r="C944" t="s">
        <v>34</v>
      </c>
      <c r="D944" t="s">
        <v>35</v>
      </c>
      <c r="E944" t="s">
        <v>45</v>
      </c>
      <c r="F944" t="s">
        <v>167</v>
      </c>
      <c r="G944" t="s">
        <v>31</v>
      </c>
      <c r="H944" s="1">
        <v>45400</v>
      </c>
      <c r="I944" t="s">
        <v>64</v>
      </c>
      <c r="J944" t="s">
        <v>603</v>
      </c>
      <c r="K944">
        <v>1</v>
      </c>
      <c r="N944">
        <v>4369</v>
      </c>
      <c r="O944">
        <v>50</v>
      </c>
      <c r="P944" s="1">
        <v>45729</v>
      </c>
      <c r="Q944" s="1"/>
      <c r="R944" t="str">
        <f>IF(Table1[[#This Row],[Actual close date]]="","",Table1[[#This Row],[Actual close date]]-Table1[[#This Row],[Expected close date]])</f>
        <v/>
      </c>
    </row>
    <row r="945" spans="1:18" x14ac:dyDescent="0.25">
      <c r="A945" t="s">
        <v>1021</v>
      </c>
      <c r="B945" t="s">
        <v>54</v>
      </c>
      <c r="C945" t="s">
        <v>55</v>
      </c>
      <c r="D945" t="s">
        <v>56</v>
      </c>
      <c r="E945" t="s">
        <v>45</v>
      </c>
      <c r="F945" t="s">
        <v>167</v>
      </c>
      <c r="G945" t="s">
        <v>57</v>
      </c>
      <c r="H945" s="1">
        <v>45378</v>
      </c>
      <c r="I945" t="s">
        <v>47</v>
      </c>
      <c r="J945" t="s">
        <v>603</v>
      </c>
      <c r="K945">
        <v>1</v>
      </c>
      <c r="N945">
        <v>4214</v>
      </c>
      <c r="O945">
        <v>50</v>
      </c>
      <c r="P945" s="1">
        <v>45508</v>
      </c>
      <c r="Q945" s="1"/>
      <c r="R945" t="str">
        <f>IF(Table1[[#This Row],[Actual close date]]="","",Table1[[#This Row],[Actual close date]]-Table1[[#This Row],[Expected close date]])</f>
        <v/>
      </c>
    </row>
    <row r="946" spans="1:18" x14ac:dyDescent="0.25">
      <c r="A946" t="s">
        <v>1022</v>
      </c>
      <c r="B946" t="s">
        <v>54</v>
      </c>
      <c r="C946" t="s">
        <v>55</v>
      </c>
      <c r="D946" t="s">
        <v>56</v>
      </c>
      <c r="E946" t="s">
        <v>36</v>
      </c>
      <c r="F946" t="s">
        <v>167</v>
      </c>
      <c r="G946" t="s">
        <v>57</v>
      </c>
      <c r="H946" s="1">
        <v>45443</v>
      </c>
      <c r="I946" t="s">
        <v>24</v>
      </c>
      <c r="J946" t="s">
        <v>603</v>
      </c>
      <c r="K946">
        <v>1</v>
      </c>
      <c r="N946">
        <v>824</v>
      </c>
      <c r="O946">
        <v>80</v>
      </c>
      <c r="P946" s="1">
        <v>45797</v>
      </c>
      <c r="Q946" s="1"/>
      <c r="R946" t="str">
        <f>IF(Table1[[#This Row],[Actual close date]]="","",Table1[[#This Row],[Actual close date]]-Table1[[#This Row],[Expected close date]])</f>
        <v/>
      </c>
    </row>
    <row r="947" spans="1:18" x14ac:dyDescent="0.25">
      <c r="A947" t="s">
        <v>1023</v>
      </c>
      <c r="B947" t="s">
        <v>69</v>
      </c>
      <c r="C947" t="s">
        <v>70</v>
      </c>
      <c r="D947" t="s">
        <v>71</v>
      </c>
      <c r="E947" t="s">
        <v>21</v>
      </c>
      <c r="F947" t="s">
        <v>167</v>
      </c>
      <c r="G947" t="s">
        <v>46</v>
      </c>
      <c r="H947" s="1">
        <v>45395</v>
      </c>
      <c r="I947" t="s">
        <v>24</v>
      </c>
      <c r="J947" t="s">
        <v>603</v>
      </c>
      <c r="K947">
        <v>1</v>
      </c>
      <c r="N947">
        <v>639</v>
      </c>
      <c r="O947">
        <v>40</v>
      </c>
      <c r="P947" s="1">
        <v>45580</v>
      </c>
      <c r="Q947" s="1"/>
      <c r="R947" t="str">
        <f>IF(Table1[[#This Row],[Actual close date]]="","",Table1[[#This Row],[Actual close date]]-Table1[[#This Row],[Expected close date]])</f>
        <v/>
      </c>
    </row>
    <row r="948" spans="1:18" x14ac:dyDescent="0.25">
      <c r="A948" t="s">
        <v>1024</v>
      </c>
      <c r="B948" t="s">
        <v>49</v>
      </c>
      <c r="C948" t="s">
        <v>50</v>
      </c>
      <c r="D948" t="s">
        <v>51</v>
      </c>
      <c r="E948" t="s">
        <v>21</v>
      </c>
      <c r="F948" t="s">
        <v>167</v>
      </c>
      <c r="G948" t="s">
        <v>85</v>
      </c>
      <c r="H948" s="1">
        <v>45420</v>
      </c>
      <c r="I948" t="s">
        <v>64</v>
      </c>
      <c r="J948" t="s">
        <v>603</v>
      </c>
      <c r="K948">
        <v>1</v>
      </c>
      <c r="N948">
        <v>2686</v>
      </c>
      <c r="O948">
        <v>20</v>
      </c>
      <c r="P948" s="1">
        <v>45707</v>
      </c>
      <c r="Q948" s="1"/>
      <c r="R948" t="str">
        <f>IF(Table1[[#This Row],[Actual close date]]="","",Table1[[#This Row],[Actual close date]]-Table1[[#This Row],[Expected close date]])</f>
        <v/>
      </c>
    </row>
    <row r="949" spans="1:18" x14ac:dyDescent="0.25">
      <c r="A949" t="s">
        <v>1025</v>
      </c>
      <c r="B949" t="s">
        <v>18</v>
      </c>
      <c r="C949" t="s">
        <v>19</v>
      </c>
      <c r="D949" t="s">
        <v>20</v>
      </c>
      <c r="E949" t="s">
        <v>66</v>
      </c>
      <c r="F949" t="s">
        <v>167</v>
      </c>
      <c r="G949" t="s">
        <v>72</v>
      </c>
      <c r="H949" s="1">
        <v>45413</v>
      </c>
      <c r="I949" t="s">
        <v>24</v>
      </c>
      <c r="J949" t="s">
        <v>603</v>
      </c>
      <c r="K949">
        <v>1</v>
      </c>
      <c r="N949">
        <v>465</v>
      </c>
      <c r="O949">
        <v>20</v>
      </c>
      <c r="P949" s="1">
        <v>45654</v>
      </c>
      <c r="Q949" s="1"/>
      <c r="R949" t="str">
        <f>IF(Table1[[#This Row],[Actual close date]]="","",Table1[[#This Row],[Actual close date]]-Table1[[#This Row],[Expected close date]])</f>
        <v/>
      </c>
    </row>
    <row r="950" spans="1:18" x14ac:dyDescent="0.25">
      <c r="A950" t="s">
        <v>1026</v>
      </c>
      <c r="B950" t="s">
        <v>69</v>
      </c>
      <c r="C950" t="s">
        <v>70</v>
      </c>
      <c r="D950" t="s">
        <v>71</v>
      </c>
      <c r="E950" t="s">
        <v>66</v>
      </c>
      <c r="F950" t="s">
        <v>167</v>
      </c>
      <c r="G950" t="s">
        <v>83</v>
      </c>
      <c r="H950" s="1">
        <v>45312</v>
      </c>
      <c r="I950" t="s">
        <v>64</v>
      </c>
      <c r="J950" t="s">
        <v>603</v>
      </c>
      <c r="K950">
        <v>1</v>
      </c>
      <c r="N950">
        <v>2049</v>
      </c>
      <c r="O950">
        <v>90</v>
      </c>
      <c r="P950" s="1">
        <v>45543</v>
      </c>
      <c r="Q950" s="1"/>
      <c r="R950" t="str">
        <f>IF(Table1[[#This Row],[Actual close date]]="","",Table1[[#This Row],[Actual close date]]-Table1[[#This Row],[Expected close date]])</f>
        <v/>
      </c>
    </row>
    <row r="951" spans="1:18" x14ac:dyDescent="0.25">
      <c r="A951" t="s">
        <v>1027</v>
      </c>
      <c r="B951" t="s">
        <v>33</v>
      </c>
      <c r="C951" t="s">
        <v>34</v>
      </c>
      <c r="D951" t="s">
        <v>35</v>
      </c>
      <c r="E951" t="s">
        <v>62</v>
      </c>
      <c r="F951" t="s">
        <v>167</v>
      </c>
      <c r="G951" t="s">
        <v>83</v>
      </c>
      <c r="H951" s="1">
        <v>45400</v>
      </c>
      <c r="I951" t="s">
        <v>64</v>
      </c>
      <c r="J951" t="s">
        <v>603</v>
      </c>
      <c r="K951">
        <v>1</v>
      </c>
      <c r="N951">
        <v>5160</v>
      </c>
      <c r="O951">
        <v>20</v>
      </c>
      <c r="P951" s="1">
        <v>45513</v>
      </c>
      <c r="Q951" s="1"/>
      <c r="R951" t="str">
        <f>IF(Table1[[#This Row],[Actual close date]]="","",Table1[[#This Row],[Actual close date]]-Table1[[#This Row],[Expected close date]])</f>
        <v/>
      </c>
    </row>
    <row r="952" spans="1:18" x14ac:dyDescent="0.25">
      <c r="A952" t="s">
        <v>1028</v>
      </c>
      <c r="B952" t="s">
        <v>18</v>
      </c>
      <c r="C952" t="s">
        <v>19</v>
      </c>
      <c r="D952" t="s">
        <v>20</v>
      </c>
      <c r="E952" t="s">
        <v>52</v>
      </c>
      <c r="F952" t="s">
        <v>167</v>
      </c>
      <c r="G952" t="s">
        <v>37</v>
      </c>
      <c r="H952" s="1">
        <v>45297</v>
      </c>
      <c r="I952" t="s">
        <v>64</v>
      </c>
      <c r="J952" t="s">
        <v>603</v>
      </c>
      <c r="K952">
        <v>1</v>
      </c>
      <c r="N952">
        <v>2783</v>
      </c>
      <c r="O952">
        <v>60</v>
      </c>
      <c r="P952" s="1">
        <v>45373</v>
      </c>
      <c r="Q952" s="1"/>
      <c r="R952" t="str">
        <f>IF(Table1[[#This Row],[Actual close date]]="","",Table1[[#This Row],[Actual close date]]-Table1[[#This Row],[Expected close date]])</f>
        <v/>
      </c>
    </row>
    <row r="953" spans="1:18" x14ac:dyDescent="0.25">
      <c r="A953" t="s">
        <v>1029</v>
      </c>
      <c r="B953" t="s">
        <v>59</v>
      </c>
      <c r="C953" t="s">
        <v>60</v>
      </c>
      <c r="D953" t="s">
        <v>61</v>
      </c>
      <c r="E953" t="s">
        <v>66</v>
      </c>
      <c r="F953" t="s">
        <v>167</v>
      </c>
      <c r="G953" t="s">
        <v>31</v>
      </c>
      <c r="H953" s="1">
        <v>45306</v>
      </c>
      <c r="I953" t="s">
        <v>64</v>
      </c>
      <c r="J953" t="s">
        <v>603</v>
      </c>
      <c r="K953">
        <v>1</v>
      </c>
      <c r="N953">
        <v>727</v>
      </c>
      <c r="O953">
        <v>40</v>
      </c>
      <c r="P953" s="1">
        <v>45608</v>
      </c>
      <c r="Q953" s="1"/>
      <c r="R953" t="str">
        <f>IF(Table1[[#This Row],[Actual close date]]="","",Table1[[#This Row],[Actual close date]]-Table1[[#This Row],[Expected close date]])</f>
        <v/>
      </c>
    </row>
    <row r="954" spans="1:18" x14ac:dyDescent="0.25">
      <c r="A954" t="s">
        <v>1030</v>
      </c>
      <c r="B954" t="s">
        <v>69</v>
      </c>
      <c r="C954" t="s">
        <v>70</v>
      </c>
      <c r="D954" t="s">
        <v>71</v>
      </c>
      <c r="E954" t="s">
        <v>42</v>
      </c>
      <c r="F954" t="s">
        <v>167</v>
      </c>
      <c r="G954" t="s">
        <v>46</v>
      </c>
      <c r="H954" s="1">
        <v>45352</v>
      </c>
      <c r="I954" t="s">
        <v>24</v>
      </c>
      <c r="J954" t="s">
        <v>603</v>
      </c>
      <c r="K954">
        <v>1</v>
      </c>
      <c r="N954">
        <v>6977</v>
      </c>
      <c r="O954">
        <v>40</v>
      </c>
      <c r="P954" s="1">
        <v>45519</v>
      </c>
      <c r="Q954" s="1"/>
      <c r="R954" t="str">
        <f>IF(Table1[[#This Row],[Actual close date]]="","",Table1[[#This Row],[Actual close date]]-Table1[[#This Row],[Expected close date]])</f>
        <v/>
      </c>
    </row>
    <row r="955" spans="1:18" x14ac:dyDescent="0.25">
      <c r="A955" t="s">
        <v>1031</v>
      </c>
      <c r="B955" t="s">
        <v>33</v>
      </c>
      <c r="C955" t="s">
        <v>34</v>
      </c>
      <c r="D955" t="s">
        <v>35</v>
      </c>
      <c r="E955" t="s">
        <v>118</v>
      </c>
      <c r="F955" t="s">
        <v>167</v>
      </c>
      <c r="G955" t="s">
        <v>85</v>
      </c>
      <c r="H955" s="1">
        <v>45440</v>
      </c>
      <c r="I955" t="s">
        <v>64</v>
      </c>
      <c r="J955" t="s">
        <v>603</v>
      </c>
      <c r="K955">
        <v>1</v>
      </c>
      <c r="N955">
        <v>5086</v>
      </c>
      <c r="O955">
        <v>60</v>
      </c>
      <c r="P955" s="1">
        <v>45707</v>
      </c>
      <c r="Q955" s="1"/>
      <c r="R955" t="str">
        <f>IF(Table1[[#This Row],[Actual close date]]="","",Table1[[#This Row],[Actual close date]]-Table1[[#This Row],[Expected close date]])</f>
        <v/>
      </c>
    </row>
    <row r="956" spans="1:18" x14ac:dyDescent="0.25">
      <c r="A956" t="s">
        <v>1032</v>
      </c>
      <c r="B956" t="s">
        <v>54</v>
      </c>
      <c r="C956" t="s">
        <v>55</v>
      </c>
      <c r="D956" t="s">
        <v>56</v>
      </c>
      <c r="E956" t="s">
        <v>74</v>
      </c>
      <c r="F956" t="s">
        <v>167</v>
      </c>
      <c r="G956" t="s">
        <v>37</v>
      </c>
      <c r="H956" s="1">
        <v>45318</v>
      </c>
      <c r="I956" t="s">
        <v>47</v>
      </c>
      <c r="J956" t="s">
        <v>603</v>
      </c>
      <c r="K956">
        <v>1</v>
      </c>
      <c r="N956">
        <v>7919</v>
      </c>
      <c r="O956">
        <v>90</v>
      </c>
      <c r="P956" s="1">
        <v>45668</v>
      </c>
      <c r="Q956" s="1"/>
      <c r="R956" t="str">
        <f>IF(Table1[[#This Row],[Actual close date]]="","",Table1[[#This Row],[Actual close date]]-Table1[[#This Row],[Expected close date]])</f>
        <v/>
      </c>
    </row>
    <row r="957" spans="1:18" x14ac:dyDescent="0.25">
      <c r="A957" t="s">
        <v>1033</v>
      </c>
      <c r="B957" t="s">
        <v>49</v>
      </c>
      <c r="C957" t="s">
        <v>50</v>
      </c>
      <c r="D957" t="s">
        <v>51</v>
      </c>
      <c r="E957" t="s">
        <v>45</v>
      </c>
      <c r="F957" t="s">
        <v>167</v>
      </c>
      <c r="G957" t="s">
        <v>85</v>
      </c>
      <c r="H957" s="1">
        <v>45336</v>
      </c>
      <c r="I957" t="s">
        <v>47</v>
      </c>
      <c r="J957" t="s">
        <v>603</v>
      </c>
      <c r="K957">
        <v>1</v>
      </c>
      <c r="N957">
        <v>7875</v>
      </c>
      <c r="O957">
        <v>10</v>
      </c>
      <c r="P957" s="1">
        <v>45580</v>
      </c>
      <c r="Q957" s="1"/>
      <c r="R957" t="str">
        <f>IF(Table1[[#This Row],[Actual close date]]="","",Table1[[#This Row],[Actual close date]]-Table1[[#This Row],[Expected close date]])</f>
        <v/>
      </c>
    </row>
    <row r="958" spans="1:18" x14ac:dyDescent="0.25">
      <c r="A958" t="s">
        <v>1034</v>
      </c>
      <c r="B958" t="s">
        <v>49</v>
      </c>
      <c r="C958" t="s">
        <v>50</v>
      </c>
      <c r="D958" t="s">
        <v>51</v>
      </c>
      <c r="E958" t="s">
        <v>98</v>
      </c>
      <c r="F958" t="s">
        <v>167</v>
      </c>
      <c r="G958" t="s">
        <v>31</v>
      </c>
      <c r="H958" s="1">
        <v>45425</v>
      </c>
      <c r="I958" t="s">
        <v>24</v>
      </c>
      <c r="J958" t="s">
        <v>603</v>
      </c>
      <c r="K958">
        <v>1</v>
      </c>
      <c r="N958">
        <v>3763</v>
      </c>
      <c r="O958">
        <v>20</v>
      </c>
      <c r="P958" s="1">
        <v>45575</v>
      </c>
      <c r="Q958" s="1"/>
      <c r="R958" t="str">
        <f>IF(Table1[[#This Row],[Actual close date]]="","",Table1[[#This Row],[Actual close date]]-Table1[[#This Row],[Expected close date]])</f>
        <v/>
      </c>
    </row>
    <row r="959" spans="1:18" x14ac:dyDescent="0.25">
      <c r="A959" t="s">
        <v>1035</v>
      </c>
      <c r="B959" t="s">
        <v>39</v>
      </c>
      <c r="C959" t="s">
        <v>40</v>
      </c>
      <c r="D959" t="s">
        <v>41</v>
      </c>
      <c r="E959" t="s">
        <v>101</v>
      </c>
      <c r="F959" t="s">
        <v>167</v>
      </c>
      <c r="G959" t="s">
        <v>57</v>
      </c>
      <c r="H959" s="1">
        <v>45293</v>
      </c>
      <c r="I959" t="s">
        <v>24</v>
      </c>
      <c r="J959" t="s">
        <v>603</v>
      </c>
      <c r="K959">
        <v>1</v>
      </c>
      <c r="N959">
        <v>6783</v>
      </c>
      <c r="O959">
        <v>20</v>
      </c>
      <c r="P959" s="1">
        <v>45355</v>
      </c>
      <c r="Q959" s="1"/>
      <c r="R959" t="str">
        <f>IF(Table1[[#This Row],[Actual close date]]="","",Table1[[#This Row],[Actual close date]]-Table1[[#This Row],[Expected close date]])</f>
        <v/>
      </c>
    </row>
    <row r="960" spans="1:18" x14ac:dyDescent="0.25">
      <c r="A960" t="s">
        <v>1036</v>
      </c>
      <c r="B960" t="s">
        <v>18</v>
      </c>
      <c r="C960" t="s">
        <v>19</v>
      </c>
      <c r="D960" t="s">
        <v>20</v>
      </c>
      <c r="E960" t="s">
        <v>74</v>
      </c>
      <c r="F960" t="s">
        <v>167</v>
      </c>
      <c r="G960" t="s">
        <v>46</v>
      </c>
      <c r="H960" s="1">
        <v>45356</v>
      </c>
      <c r="I960" t="s">
        <v>47</v>
      </c>
      <c r="J960" t="s">
        <v>603</v>
      </c>
      <c r="K960">
        <v>1</v>
      </c>
      <c r="N960">
        <v>5323</v>
      </c>
      <c r="O960">
        <v>50</v>
      </c>
      <c r="P960" s="1">
        <v>45586</v>
      </c>
      <c r="Q960" s="1"/>
      <c r="R960" t="str">
        <f>IF(Table1[[#This Row],[Actual close date]]="","",Table1[[#This Row],[Actual close date]]-Table1[[#This Row],[Expected close date]])</f>
        <v/>
      </c>
    </row>
    <row r="961" spans="1:18" x14ac:dyDescent="0.25">
      <c r="A961" t="s">
        <v>1037</v>
      </c>
      <c r="B961" t="s">
        <v>27</v>
      </c>
      <c r="C961" t="s">
        <v>28</v>
      </c>
      <c r="D961" t="s">
        <v>29</v>
      </c>
      <c r="E961" t="s">
        <v>21</v>
      </c>
      <c r="F961" t="s">
        <v>167</v>
      </c>
      <c r="G961" t="s">
        <v>31</v>
      </c>
      <c r="H961" s="1">
        <v>45376</v>
      </c>
      <c r="I961" t="s">
        <v>64</v>
      </c>
      <c r="J961" t="s">
        <v>603</v>
      </c>
      <c r="K961">
        <v>1</v>
      </c>
      <c r="N961">
        <v>6797</v>
      </c>
      <c r="O961">
        <v>40</v>
      </c>
      <c r="P961" s="1">
        <v>45457</v>
      </c>
      <c r="Q961" s="1"/>
      <c r="R961" t="str">
        <f>IF(Table1[[#This Row],[Actual close date]]="","",Table1[[#This Row],[Actual close date]]-Table1[[#This Row],[Expected close date]])</f>
        <v/>
      </c>
    </row>
    <row r="962" spans="1:18" x14ac:dyDescent="0.25">
      <c r="A962" t="s">
        <v>1038</v>
      </c>
      <c r="B962" t="s">
        <v>33</v>
      </c>
      <c r="C962" t="s">
        <v>34</v>
      </c>
      <c r="D962" t="s">
        <v>35</v>
      </c>
      <c r="E962" t="s">
        <v>45</v>
      </c>
      <c r="F962" t="s">
        <v>167</v>
      </c>
      <c r="G962" t="s">
        <v>46</v>
      </c>
      <c r="H962" s="1">
        <v>45401</v>
      </c>
      <c r="I962" t="s">
        <v>64</v>
      </c>
      <c r="J962" t="s">
        <v>603</v>
      </c>
      <c r="K962">
        <v>1</v>
      </c>
      <c r="N962">
        <v>5063</v>
      </c>
      <c r="O962">
        <v>20</v>
      </c>
      <c r="P962" s="1">
        <v>45478</v>
      </c>
      <c r="Q962" s="1"/>
      <c r="R962" t="str">
        <f>IF(Table1[[#This Row],[Actual close date]]="","",Table1[[#This Row],[Actual close date]]-Table1[[#This Row],[Expected close date]])</f>
        <v/>
      </c>
    </row>
    <row r="963" spans="1:18" x14ac:dyDescent="0.25">
      <c r="A963" t="s">
        <v>1039</v>
      </c>
      <c r="B963" t="s">
        <v>39</v>
      </c>
      <c r="C963" t="s">
        <v>40</v>
      </c>
      <c r="D963" t="s">
        <v>41</v>
      </c>
      <c r="E963" t="s">
        <v>118</v>
      </c>
      <c r="F963" t="s">
        <v>167</v>
      </c>
      <c r="G963" t="s">
        <v>46</v>
      </c>
      <c r="H963" s="1">
        <v>45419</v>
      </c>
      <c r="I963" t="s">
        <v>24</v>
      </c>
      <c r="J963" t="s">
        <v>603</v>
      </c>
      <c r="K963">
        <v>1</v>
      </c>
      <c r="N963">
        <v>7039</v>
      </c>
      <c r="O963">
        <v>20</v>
      </c>
      <c r="P963" s="1">
        <v>45612</v>
      </c>
      <c r="Q963" s="1"/>
      <c r="R963" t="str">
        <f>IF(Table1[[#This Row],[Actual close date]]="","",Table1[[#This Row],[Actual close date]]-Table1[[#This Row],[Expected close date]])</f>
        <v/>
      </c>
    </row>
    <row r="964" spans="1:18" x14ac:dyDescent="0.25">
      <c r="A964" t="s">
        <v>1040</v>
      </c>
      <c r="B964" t="s">
        <v>49</v>
      </c>
      <c r="C964" t="s">
        <v>50</v>
      </c>
      <c r="D964" t="s">
        <v>51</v>
      </c>
      <c r="E964" t="s">
        <v>21</v>
      </c>
      <c r="F964" t="s">
        <v>167</v>
      </c>
      <c r="G964" t="s">
        <v>85</v>
      </c>
      <c r="H964" s="1">
        <v>45336</v>
      </c>
      <c r="I964" t="s">
        <v>24</v>
      </c>
      <c r="J964" t="s">
        <v>603</v>
      </c>
      <c r="K964">
        <v>1</v>
      </c>
      <c r="N964">
        <v>4498</v>
      </c>
      <c r="O964">
        <v>90</v>
      </c>
      <c r="P964" s="1">
        <v>45475</v>
      </c>
      <c r="Q964" s="1"/>
      <c r="R964" t="str">
        <f>IF(Table1[[#This Row],[Actual close date]]="","",Table1[[#This Row],[Actual close date]]-Table1[[#This Row],[Expected close date]])</f>
        <v/>
      </c>
    </row>
    <row r="965" spans="1:18" x14ac:dyDescent="0.25">
      <c r="A965" t="s">
        <v>1041</v>
      </c>
      <c r="B965" t="s">
        <v>49</v>
      </c>
      <c r="C965" t="s">
        <v>50</v>
      </c>
      <c r="D965" t="s">
        <v>51</v>
      </c>
      <c r="E965" t="s">
        <v>52</v>
      </c>
      <c r="F965" t="s">
        <v>167</v>
      </c>
      <c r="G965" t="s">
        <v>83</v>
      </c>
      <c r="H965" s="1">
        <v>45306</v>
      </c>
      <c r="I965" t="s">
        <v>24</v>
      </c>
      <c r="J965" t="s">
        <v>603</v>
      </c>
      <c r="K965">
        <v>1</v>
      </c>
      <c r="N965">
        <v>6073</v>
      </c>
      <c r="O965">
        <v>70</v>
      </c>
      <c r="P965" s="1">
        <v>45354</v>
      </c>
      <c r="Q965" s="1"/>
      <c r="R965" t="str">
        <f>IF(Table1[[#This Row],[Actual close date]]="","",Table1[[#This Row],[Actual close date]]-Table1[[#This Row],[Expected close date]])</f>
        <v/>
      </c>
    </row>
    <row r="966" spans="1:18" x14ac:dyDescent="0.25">
      <c r="A966" t="s">
        <v>1042</v>
      </c>
      <c r="B966" t="s">
        <v>33</v>
      </c>
      <c r="C966" t="s">
        <v>34</v>
      </c>
      <c r="D966" t="s">
        <v>35</v>
      </c>
      <c r="E966" t="s">
        <v>21</v>
      </c>
      <c r="F966" t="s">
        <v>167</v>
      </c>
      <c r="G966" t="s">
        <v>85</v>
      </c>
      <c r="H966" s="1">
        <v>45403</v>
      </c>
      <c r="I966" t="s">
        <v>24</v>
      </c>
      <c r="J966" t="s">
        <v>603</v>
      </c>
      <c r="K966">
        <v>1</v>
      </c>
      <c r="N966">
        <v>4800</v>
      </c>
      <c r="O966">
        <v>20</v>
      </c>
      <c r="P966" s="1">
        <v>45734</v>
      </c>
      <c r="Q966" s="1"/>
      <c r="R966" t="str">
        <f>IF(Table1[[#This Row],[Actual close date]]="","",Table1[[#This Row],[Actual close date]]-Table1[[#This Row],[Expected close date]])</f>
        <v/>
      </c>
    </row>
    <row r="967" spans="1:18" x14ac:dyDescent="0.25">
      <c r="A967" t="s">
        <v>1043</v>
      </c>
      <c r="B967" t="s">
        <v>59</v>
      </c>
      <c r="C967" t="s">
        <v>60</v>
      </c>
      <c r="D967" t="s">
        <v>61</v>
      </c>
      <c r="E967" t="s">
        <v>21</v>
      </c>
      <c r="F967" t="s">
        <v>167</v>
      </c>
      <c r="G967" t="s">
        <v>83</v>
      </c>
      <c r="H967" s="1">
        <v>45296</v>
      </c>
      <c r="I967" t="s">
        <v>47</v>
      </c>
      <c r="J967" t="s">
        <v>603</v>
      </c>
      <c r="K967">
        <v>1</v>
      </c>
      <c r="N967">
        <v>3325</v>
      </c>
      <c r="O967">
        <v>30</v>
      </c>
      <c r="P967" s="1">
        <v>45597</v>
      </c>
      <c r="Q967" s="1"/>
      <c r="R967" t="str">
        <f>IF(Table1[[#This Row],[Actual close date]]="","",Table1[[#This Row],[Actual close date]]-Table1[[#This Row],[Expected close date]])</f>
        <v/>
      </c>
    </row>
    <row r="968" spans="1:18" x14ac:dyDescent="0.25">
      <c r="A968" t="s">
        <v>1044</v>
      </c>
      <c r="B968" t="s">
        <v>59</v>
      </c>
      <c r="C968" t="s">
        <v>60</v>
      </c>
      <c r="D968" t="s">
        <v>61</v>
      </c>
      <c r="E968" t="s">
        <v>21</v>
      </c>
      <c r="F968" t="s">
        <v>167</v>
      </c>
      <c r="G968" t="s">
        <v>23</v>
      </c>
      <c r="H968" s="1">
        <v>45366</v>
      </c>
      <c r="I968" t="s">
        <v>24</v>
      </c>
      <c r="J968" t="s">
        <v>603</v>
      </c>
      <c r="K968">
        <v>1</v>
      </c>
      <c r="N968">
        <v>1199</v>
      </c>
      <c r="O968">
        <v>100</v>
      </c>
      <c r="P968" s="1">
        <v>45649</v>
      </c>
      <c r="Q968" s="1"/>
      <c r="R968" t="str">
        <f>IF(Table1[[#This Row],[Actual close date]]="","",Table1[[#This Row],[Actual close date]]-Table1[[#This Row],[Expected close date]])</f>
        <v/>
      </c>
    </row>
    <row r="969" spans="1:18" x14ac:dyDescent="0.25">
      <c r="A969" t="s">
        <v>1045</v>
      </c>
      <c r="B969" t="s">
        <v>59</v>
      </c>
      <c r="C969" t="s">
        <v>60</v>
      </c>
      <c r="D969" t="s">
        <v>61</v>
      </c>
      <c r="E969" t="s">
        <v>52</v>
      </c>
      <c r="F969" t="s">
        <v>167</v>
      </c>
      <c r="G969" t="s">
        <v>83</v>
      </c>
      <c r="H969" s="1">
        <v>45383</v>
      </c>
      <c r="I969" t="s">
        <v>64</v>
      </c>
      <c r="J969" t="s">
        <v>603</v>
      </c>
      <c r="K969">
        <v>1</v>
      </c>
      <c r="N969">
        <v>5621</v>
      </c>
      <c r="O969">
        <v>40</v>
      </c>
      <c r="P969" s="1">
        <v>45694</v>
      </c>
      <c r="Q969" s="1"/>
      <c r="R969" t="str">
        <f>IF(Table1[[#This Row],[Actual close date]]="","",Table1[[#This Row],[Actual close date]]-Table1[[#This Row],[Expected close date]])</f>
        <v/>
      </c>
    </row>
    <row r="970" spans="1:18" x14ac:dyDescent="0.25">
      <c r="A970" t="s">
        <v>1046</v>
      </c>
      <c r="B970" t="s">
        <v>54</v>
      </c>
      <c r="C970" t="s">
        <v>55</v>
      </c>
      <c r="D970" t="s">
        <v>56</v>
      </c>
      <c r="E970" t="s">
        <v>42</v>
      </c>
      <c r="F970" t="s">
        <v>167</v>
      </c>
      <c r="G970" t="s">
        <v>57</v>
      </c>
      <c r="H970" s="1">
        <v>45314</v>
      </c>
      <c r="I970" t="s">
        <v>24</v>
      </c>
      <c r="J970" t="s">
        <v>603</v>
      </c>
      <c r="K970">
        <v>1</v>
      </c>
      <c r="N970">
        <v>2549</v>
      </c>
      <c r="O970">
        <v>60</v>
      </c>
      <c r="P970" s="1">
        <v>45596</v>
      </c>
      <c r="Q970" s="1"/>
      <c r="R970" t="str">
        <f>IF(Table1[[#This Row],[Actual close date]]="","",Table1[[#This Row],[Actual close date]]-Table1[[#This Row],[Expected close date]])</f>
        <v/>
      </c>
    </row>
    <row r="971" spans="1:18" x14ac:dyDescent="0.25">
      <c r="A971" t="s">
        <v>1047</v>
      </c>
      <c r="B971" t="s">
        <v>76</v>
      </c>
      <c r="C971" t="s">
        <v>77</v>
      </c>
      <c r="D971" t="s">
        <v>78</v>
      </c>
      <c r="E971" t="s">
        <v>42</v>
      </c>
      <c r="F971" t="s">
        <v>167</v>
      </c>
      <c r="G971" t="s">
        <v>57</v>
      </c>
      <c r="H971" s="1">
        <v>45392</v>
      </c>
      <c r="I971" t="s">
        <v>64</v>
      </c>
      <c r="J971" t="s">
        <v>603</v>
      </c>
      <c r="K971">
        <v>1</v>
      </c>
      <c r="N971">
        <v>3219</v>
      </c>
      <c r="O971">
        <v>40</v>
      </c>
      <c r="P971" s="1">
        <v>45529</v>
      </c>
      <c r="Q971" s="1"/>
      <c r="R971" t="str">
        <f>IF(Table1[[#This Row],[Actual close date]]="","",Table1[[#This Row],[Actual close date]]-Table1[[#This Row],[Expected close date]])</f>
        <v/>
      </c>
    </row>
    <row r="972" spans="1:18" x14ac:dyDescent="0.25">
      <c r="A972" t="s">
        <v>1048</v>
      </c>
      <c r="B972" t="s">
        <v>39</v>
      </c>
      <c r="C972" t="s">
        <v>40</v>
      </c>
      <c r="D972" t="s">
        <v>41</v>
      </c>
      <c r="E972" t="s">
        <v>74</v>
      </c>
      <c r="F972" t="s">
        <v>167</v>
      </c>
      <c r="G972" t="s">
        <v>85</v>
      </c>
      <c r="H972" s="1">
        <v>45370</v>
      </c>
      <c r="I972" t="s">
        <v>64</v>
      </c>
      <c r="J972" t="s">
        <v>603</v>
      </c>
      <c r="K972">
        <v>1</v>
      </c>
      <c r="N972">
        <v>2160</v>
      </c>
      <c r="O972">
        <v>50</v>
      </c>
      <c r="P972" s="1">
        <v>45500</v>
      </c>
      <c r="Q972" s="1"/>
      <c r="R972" t="str">
        <f>IF(Table1[[#This Row],[Actual close date]]="","",Table1[[#This Row],[Actual close date]]-Table1[[#This Row],[Expected close date]])</f>
        <v/>
      </c>
    </row>
    <row r="973" spans="1:18" x14ac:dyDescent="0.25">
      <c r="A973" t="s">
        <v>1049</v>
      </c>
      <c r="B973" t="s">
        <v>18</v>
      </c>
      <c r="C973" t="s">
        <v>19</v>
      </c>
      <c r="D973" t="s">
        <v>20</v>
      </c>
      <c r="E973" t="s">
        <v>52</v>
      </c>
      <c r="F973" t="s">
        <v>167</v>
      </c>
      <c r="G973" t="s">
        <v>23</v>
      </c>
      <c r="H973" s="1">
        <v>45333</v>
      </c>
      <c r="I973" t="s">
        <v>24</v>
      </c>
      <c r="J973" t="s">
        <v>603</v>
      </c>
      <c r="K973">
        <v>1</v>
      </c>
      <c r="N973">
        <v>1545</v>
      </c>
      <c r="O973">
        <v>20</v>
      </c>
      <c r="P973" s="1">
        <v>45373</v>
      </c>
      <c r="Q973" s="1"/>
      <c r="R973" t="str">
        <f>IF(Table1[[#This Row],[Actual close date]]="","",Table1[[#This Row],[Actual close date]]-Table1[[#This Row],[Expected close date]])</f>
        <v/>
      </c>
    </row>
    <row r="974" spans="1:18" x14ac:dyDescent="0.25">
      <c r="A974" t="s">
        <v>1050</v>
      </c>
      <c r="B974" t="s">
        <v>76</v>
      </c>
      <c r="C974" t="s">
        <v>77</v>
      </c>
      <c r="D974" t="s">
        <v>78</v>
      </c>
      <c r="E974" t="s">
        <v>122</v>
      </c>
      <c r="F974" t="s">
        <v>167</v>
      </c>
      <c r="G974" t="s">
        <v>57</v>
      </c>
      <c r="H974" s="1">
        <v>45409</v>
      </c>
      <c r="I974" t="s">
        <v>24</v>
      </c>
      <c r="J974" t="s">
        <v>603</v>
      </c>
      <c r="K974">
        <v>1</v>
      </c>
      <c r="N974">
        <v>229</v>
      </c>
      <c r="O974">
        <v>50</v>
      </c>
      <c r="P974" s="1">
        <v>45665</v>
      </c>
      <c r="Q974" s="1"/>
      <c r="R974" t="str">
        <f>IF(Table1[[#This Row],[Actual close date]]="","",Table1[[#This Row],[Actual close date]]-Table1[[#This Row],[Expected close date]])</f>
        <v/>
      </c>
    </row>
    <row r="975" spans="1:18" x14ac:dyDescent="0.25">
      <c r="A975" t="s">
        <v>1051</v>
      </c>
      <c r="B975" t="s">
        <v>27</v>
      </c>
      <c r="C975" t="s">
        <v>28</v>
      </c>
      <c r="D975" t="s">
        <v>29</v>
      </c>
      <c r="E975" t="s">
        <v>101</v>
      </c>
      <c r="F975" t="s">
        <v>167</v>
      </c>
      <c r="G975" t="s">
        <v>37</v>
      </c>
      <c r="H975" s="1">
        <v>45378</v>
      </c>
      <c r="I975" t="s">
        <v>64</v>
      </c>
      <c r="J975" t="s">
        <v>603</v>
      </c>
      <c r="K975">
        <v>1</v>
      </c>
      <c r="N975">
        <v>285</v>
      </c>
      <c r="O975">
        <v>20</v>
      </c>
      <c r="P975" s="1">
        <v>45640</v>
      </c>
      <c r="Q975" s="1"/>
      <c r="R975" t="str">
        <f>IF(Table1[[#This Row],[Actual close date]]="","",Table1[[#This Row],[Actual close date]]-Table1[[#This Row],[Expected close date]])</f>
        <v/>
      </c>
    </row>
    <row r="976" spans="1:18" x14ac:dyDescent="0.25">
      <c r="A976" t="s">
        <v>1052</v>
      </c>
      <c r="B976" t="s">
        <v>76</v>
      </c>
      <c r="C976" t="s">
        <v>77</v>
      </c>
      <c r="D976" t="s">
        <v>78</v>
      </c>
      <c r="E976" t="s">
        <v>98</v>
      </c>
      <c r="F976" t="s">
        <v>167</v>
      </c>
      <c r="G976" t="s">
        <v>31</v>
      </c>
      <c r="H976" s="1">
        <v>45438</v>
      </c>
      <c r="I976" t="s">
        <v>47</v>
      </c>
      <c r="J976" t="s">
        <v>603</v>
      </c>
      <c r="K976">
        <v>1</v>
      </c>
      <c r="N976">
        <v>6838</v>
      </c>
      <c r="O976">
        <v>90</v>
      </c>
      <c r="P976" s="1">
        <v>45694</v>
      </c>
      <c r="Q976" s="1"/>
      <c r="R976" t="str">
        <f>IF(Table1[[#This Row],[Actual close date]]="","",Table1[[#This Row],[Actual close date]]-Table1[[#This Row],[Expected close date]])</f>
        <v/>
      </c>
    </row>
    <row r="977" spans="1:18" x14ac:dyDescent="0.25">
      <c r="A977" t="s">
        <v>1053</v>
      </c>
      <c r="B977" t="s">
        <v>39</v>
      </c>
      <c r="C977" t="s">
        <v>40</v>
      </c>
      <c r="D977" t="s">
        <v>41</v>
      </c>
      <c r="E977" t="s">
        <v>45</v>
      </c>
      <c r="F977" t="s">
        <v>167</v>
      </c>
      <c r="G977" t="s">
        <v>85</v>
      </c>
      <c r="H977" s="1">
        <v>45309</v>
      </c>
      <c r="I977" t="s">
        <v>24</v>
      </c>
      <c r="J977" t="s">
        <v>603</v>
      </c>
      <c r="K977">
        <v>1</v>
      </c>
      <c r="N977">
        <v>4339</v>
      </c>
      <c r="O977">
        <v>30</v>
      </c>
      <c r="P977" s="1">
        <v>45562</v>
      </c>
      <c r="Q977" s="1"/>
      <c r="R977" t="str">
        <f>IF(Table1[[#This Row],[Actual close date]]="","",Table1[[#This Row],[Actual close date]]-Table1[[#This Row],[Expected close date]])</f>
        <v/>
      </c>
    </row>
    <row r="978" spans="1:18" x14ac:dyDescent="0.25">
      <c r="A978" t="s">
        <v>1054</v>
      </c>
      <c r="B978" t="s">
        <v>27</v>
      </c>
      <c r="C978" t="s">
        <v>28</v>
      </c>
      <c r="D978" t="s">
        <v>29</v>
      </c>
      <c r="E978" t="s">
        <v>52</v>
      </c>
      <c r="F978" t="s">
        <v>167</v>
      </c>
      <c r="G978" t="s">
        <v>46</v>
      </c>
      <c r="H978" s="1">
        <v>45318</v>
      </c>
      <c r="I978" t="s">
        <v>64</v>
      </c>
      <c r="J978" t="s">
        <v>603</v>
      </c>
      <c r="K978">
        <v>1</v>
      </c>
      <c r="N978">
        <v>3405</v>
      </c>
      <c r="O978">
        <v>10</v>
      </c>
      <c r="P978" s="1">
        <v>45455</v>
      </c>
      <c r="Q978" s="1"/>
      <c r="R978" t="str">
        <f>IF(Table1[[#This Row],[Actual close date]]="","",Table1[[#This Row],[Actual close date]]-Table1[[#This Row],[Expected close date]])</f>
        <v/>
      </c>
    </row>
    <row r="979" spans="1:18" x14ac:dyDescent="0.25">
      <c r="A979" t="s">
        <v>1055</v>
      </c>
      <c r="B979" t="s">
        <v>76</v>
      </c>
      <c r="C979" t="s">
        <v>77</v>
      </c>
      <c r="D979" t="s">
        <v>78</v>
      </c>
      <c r="E979" t="s">
        <v>21</v>
      </c>
      <c r="F979" t="s">
        <v>167</v>
      </c>
      <c r="G979" t="s">
        <v>37</v>
      </c>
      <c r="H979" s="1">
        <v>45423</v>
      </c>
      <c r="I979" t="s">
        <v>24</v>
      </c>
      <c r="J979" t="s">
        <v>603</v>
      </c>
      <c r="K979">
        <v>1</v>
      </c>
      <c r="N979">
        <v>2221</v>
      </c>
      <c r="O979">
        <v>90</v>
      </c>
      <c r="P979" s="1">
        <v>45469</v>
      </c>
      <c r="Q979" s="1"/>
      <c r="R979" t="str">
        <f>IF(Table1[[#This Row],[Actual close date]]="","",Table1[[#This Row],[Actual close date]]-Table1[[#This Row],[Expected close date]])</f>
        <v/>
      </c>
    </row>
    <row r="980" spans="1:18" x14ac:dyDescent="0.25">
      <c r="A980" t="s">
        <v>1056</v>
      </c>
      <c r="B980" t="s">
        <v>39</v>
      </c>
      <c r="C980" t="s">
        <v>40</v>
      </c>
      <c r="D980" t="s">
        <v>41</v>
      </c>
      <c r="E980" t="s">
        <v>45</v>
      </c>
      <c r="F980" t="s">
        <v>167</v>
      </c>
      <c r="G980" t="s">
        <v>37</v>
      </c>
      <c r="H980" s="1">
        <v>45362</v>
      </c>
      <c r="I980" t="s">
        <v>24</v>
      </c>
      <c r="J980" t="s">
        <v>603</v>
      </c>
      <c r="K980">
        <v>1</v>
      </c>
      <c r="N980">
        <v>4404</v>
      </c>
      <c r="O980">
        <v>20</v>
      </c>
      <c r="P980" s="1">
        <v>45579</v>
      </c>
      <c r="Q980" s="1"/>
      <c r="R980" t="str">
        <f>IF(Table1[[#This Row],[Actual close date]]="","",Table1[[#This Row],[Actual close date]]-Table1[[#This Row],[Expected close date]])</f>
        <v/>
      </c>
    </row>
    <row r="981" spans="1:18" x14ac:dyDescent="0.25">
      <c r="A981" t="s">
        <v>1057</v>
      </c>
      <c r="B981" t="s">
        <v>59</v>
      </c>
      <c r="C981" t="s">
        <v>60</v>
      </c>
      <c r="D981" t="s">
        <v>61</v>
      </c>
      <c r="E981" t="s">
        <v>122</v>
      </c>
      <c r="F981" t="s">
        <v>167</v>
      </c>
      <c r="G981" t="s">
        <v>72</v>
      </c>
      <c r="H981" s="1">
        <v>45400</v>
      </c>
      <c r="I981" t="s">
        <v>47</v>
      </c>
      <c r="J981" t="s">
        <v>603</v>
      </c>
      <c r="K981">
        <v>1</v>
      </c>
      <c r="N981">
        <v>6369</v>
      </c>
      <c r="O981">
        <v>30</v>
      </c>
      <c r="P981" s="1">
        <v>45463</v>
      </c>
      <c r="Q981" s="1"/>
      <c r="R981" t="str">
        <f>IF(Table1[[#This Row],[Actual close date]]="","",Table1[[#This Row],[Actual close date]]-Table1[[#This Row],[Expected close date]])</f>
        <v/>
      </c>
    </row>
    <row r="982" spans="1:18" x14ac:dyDescent="0.25">
      <c r="A982" t="s">
        <v>1058</v>
      </c>
      <c r="B982" t="s">
        <v>39</v>
      </c>
      <c r="C982" t="s">
        <v>40</v>
      </c>
      <c r="D982" t="s">
        <v>41</v>
      </c>
      <c r="E982" t="s">
        <v>21</v>
      </c>
      <c r="F982" t="s">
        <v>167</v>
      </c>
      <c r="G982" t="s">
        <v>83</v>
      </c>
      <c r="H982" s="1">
        <v>45296</v>
      </c>
      <c r="I982" t="s">
        <v>24</v>
      </c>
      <c r="J982" t="s">
        <v>603</v>
      </c>
      <c r="K982">
        <v>1</v>
      </c>
      <c r="N982">
        <v>799</v>
      </c>
      <c r="O982">
        <v>30</v>
      </c>
      <c r="P982" s="1">
        <v>45371</v>
      </c>
      <c r="Q982" s="1"/>
      <c r="R982" t="str">
        <f>IF(Table1[[#This Row],[Actual close date]]="","",Table1[[#This Row],[Actual close date]]-Table1[[#This Row],[Expected close date]])</f>
        <v/>
      </c>
    </row>
    <row r="983" spans="1:18" x14ac:dyDescent="0.25">
      <c r="A983" t="s">
        <v>1059</v>
      </c>
      <c r="B983" t="s">
        <v>27</v>
      </c>
      <c r="C983" t="s">
        <v>28</v>
      </c>
      <c r="D983" t="s">
        <v>29</v>
      </c>
      <c r="E983" t="s">
        <v>66</v>
      </c>
      <c r="F983" t="s">
        <v>167</v>
      </c>
      <c r="G983" t="s">
        <v>83</v>
      </c>
      <c r="H983" s="1">
        <v>45303</v>
      </c>
      <c r="I983" t="s">
        <v>24</v>
      </c>
      <c r="J983" t="s">
        <v>603</v>
      </c>
      <c r="K983">
        <v>1</v>
      </c>
      <c r="N983">
        <v>2740</v>
      </c>
      <c r="O983">
        <v>80</v>
      </c>
      <c r="P983" s="1">
        <v>45430</v>
      </c>
      <c r="Q983" s="1"/>
      <c r="R983" t="str">
        <f>IF(Table1[[#This Row],[Actual close date]]="","",Table1[[#This Row],[Actual close date]]-Table1[[#This Row],[Expected close date]])</f>
        <v/>
      </c>
    </row>
    <row r="984" spans="1:18" x14ac:dyDescent="0.25">
      <c r="A984" t="s">
        <v>1060</v>
      </c>
      <c r="B984" t="s">
        <v>27</v>
      </c>
      <c r="C984" t="s">
        <v>28</v>
      </c>
      <c r="D984" t="s">
        <v>29</v>
      </c>
      <c r="E984" t="s">
        <v>36</v>
      </c>
      <c r="F984" t="s">
        <v>167</v>
      </c>
      <c r="G984" t="s">
        <v>57</v>
      </c>
      <c r="H984" s="1">
        <v>45360</v>
      </c>
      <c r="I984" t="s">
        <v>24</v>
      </c>
      <c r="J984" t="s">
        <v>603</v>
      </c>
      <c r="K984">
        <v>1</v>
      </c>
      <c r="N984">
        <v>4124</v>
      </c>
      <c r="O984">
        <v>40</v>
      </c>
      <c r="P984" s="1">
        <v>45438</v>
      </c>
      <c r="Q984" s="1"/>
      <c r="R984" t="str">
        <f>IF(Table1[[#This Row],[Actual close date]]="","",Table1[[#This Row],[Actual close date]]-Table1[[#This Row],[Expected close date]])</f>
        <v/>
      </c>
    </row>
    <row r="985" spans="1:18" x14ac:dyDescent="0.25">
      <c r="A985" t="s">
        <v>1061</v>
      </c>
      <c r="B985" t="s">
        <v>49</v>
      </c>
      <c r="C985" t="s">
        <v>50</v>
      </c>
      <c r="D985" t="s">
        <v>51</v>
      </c>
      <c r="E985" t="s">
        <v>45</v>
      </c>
      <c r="F985" t="s">
        <v>167</v>
      </c>
      <c r="G985" t="s">
        <v>46</v>
      </c>
      <c r="H985" s="1">
        <v>45365</v>
      </c>
      <c r="I985" t="s">
        <v>64</v>
      </c>
      <c r="J985" t="s">
        <v>603</v>
      </c>
      <c r="K985">
        <v>1</v>
      </c>
      <c r="N985">
        <v>3431</v>
      </c>
      <c r="O985">
        <v>20</v>
      </c>
      <c r="P985" s="1">
        <v>45399</v>
      </c>
      <c r="Q985" s="1"/>
      <c r="R985" t="str">
        <f>IF(Table1[[#This Row],[Actual close date]]="","",Table1[[#This Row],[Actual close date]]-Table1[[#This Row],[Expected close date]])</f>
        <v/>
      </c>
    </row>
    <row r="986" spans="1:18" x14ac:dyDescent="0.25">
      <c r="A986" t="s">
        <v>1062</v>
      </c>
      <c r="B986" t="s">
        <v>33</v>
      </c>
      <c r="C986" t="s">
        <v>34</v>
      </c>
      <c r="D986" t="s">
        <v>35</v>
      </c>
      <c r="E986" t="s">
        <v>21</v>
      </c>
      <c r="F986" t="s">
        <v>167</v>
      </c>
      <c r="G986" t="s">
        <v>46</v>
      </c>
      <c r="H986" s="1">
        <v>45408</v>
      </c>
      <c r="I986" t="s">
        <v>24</v>
      </c>
      <c r="J986" t="s">
        <v>603</v>
      </c>
      <c r="K986">
        <v>1</v>
      </c>
      <c r="N986">
        <v>4306</v>
      </c>
      <c r="O986">
        <v>60</v>
      </c>
      <c r="P986" s="1">
        <v>45615</v>
      </c>
      <c r="Q986" s="1"/>
      <c r="R986" t="str">
        <f>IF(Table1[[#This Row],[Actual close date]]="","",Table1[[#This Row],[Actual close date]]-Table1[[#This Row],[Expected close date]])</f>
        <v/>
      </c>
    </row>
    <row r="987" spans="1:18" x14ac:dyDescent="0.25">
      <c r="A987" t="s">
        <v>1063</v>
      </c>
      <c r="B987" t="s">
        <v>54</v>
      </c>
      <c r="C987" t="s">
        <v>55</v>
      </c>
      <c r="D987" t="s">
        <v>56</v>
      </c>
      <c r="E987" t="s">
        <v>101</v>
      </c>
      <c r="F987" t="s">
        <v>167</v>
      </c>
      <c r="G987" t="s">
        <v>37</v>
      </c>
      <c r="H987" s="1">
        <v>45330</v>
      </c>
      <c r="I987" t="s">
        <v>64</v>
      </c>
      <c r="J987" t="s">
        <v>603</v>
      </c>
      <c r="K987">
        <v>1</v>
      </c>
      <c r="N987">
        <v>2988</v>
      </c>
      <c r="O987">
        <v>50</v>
      </c>
      <c r="P987" s="1">
        <v>45624</v>
      </c>
      <c r="Q987" s="1"/>
      <c r="R987" t="str">
        <f>IF(Table1[[#This Row],[Actual close date]]="","",Table1[[#This Row],[Actual close date]]-Table1[[#This Row],[Expected close date]])</f>
        <v/>
      </c>
    </row>
    <row r="988" spans="1:18" x14ac:dyDescent="0.25">
      <c r="A988" t="s">
        <v>1064</v>
      </c>
      <c r="B988" t="s">
        <v>76</v>
      </c>
      <c r="C988" t="s">
        <v>77</v>
      </c>
      <c r="D988" t="s">
        <v>78</v>
      </c>
      <c r="E988" t="s">
        <v>52</v>
      </c>
      <c r="F988" t="s">
        <v>167</v>
      </c>
      <c r="G988" t="s">
        <v>57</v>
      </c>
      <c r="H988" s="1">
        <v>45378</v>
      </c>
      <c r="I988" t="s">
        <v>24</v>
      </c>
      <c r="J988" t="s">
        <v>603</v>
      </c>
      <c r="K988">
        <v>1</v>
      </c>
      <c r="N988">
        <v>1307</v>
      </c>
      <c r="O988">
        <v>30</v>
      </c>
      <c r="P988" s="1">
        <v>45490</v>
      </c>
      <c r="Q988" s="1"/>
      <c r="R988" t="str">
        <f>IF(Table1[[#This Row],[Actual close date]]="","",Table1[[#This Row],[Actual close date]]-Table1[[#This Row],[Expected close date]])</f>
        <v/>
      </c>
    </row>
    <row r="989" spans="1:18" x14ac:dyDescent="0.25">
      <c r="A989" t="s">
        <v>1065</v>
      </c>
      <c r="B989" t="s">
        <v>69</v>
      </c>
      <c r="C989" t="s">
        <v>70</v>
      </c>
      <c r="D989" t="s">
        <v>71</v>
      </c>
      <c r="E989" t="s">
        <v>52</v>
      </c>
      <c r="F989" t="s">
        <v>167</v>
      </c>
      <c r="G989" t="s">
        <v>46</v>
      </c>
      <c r="H989" s="1">
        <v>45316</v>
      </c>
      <c r="I989" t="s">
        <v>64</v>
      </c>
      <c r="J989" t="s">
        <v>603</v>
      </c>
      <c r="K989">
        <v>1</v>
      </c>
      <c r="N989">
        <v>4757</v>
      </c>
      <c r="O989">
        <v>30</v>
      </c>
      <c r="P989" s="1">
        <v>45444</v>
      </c>
      <c r="Q989" s="1"/>
      <c r="R989" t="str">
        <f>IF(Table1[[#This Row],[Actual close date]]="","",Table1[[#This Row],[Actual close date]]-Table1[[#This Row],[Expected close date]])</f>
        <v/>
      </c>
    </row>
    <row r="990" spans="1:18" x14ac:dyDescent="0.25">
      <c r="A990" t="s">
        <v>1066</v>
      </c>
      <c r="B990" t="s">
        <v>76</v>
      </c>
      <c r="C990" t="s">
        <v>77</v>
      </c>
      <c r="D990" t="s">
        <v>78</v>
      </c>
      <c r="E990" t="s">
        <v>74</v>
      </c>
      <c r="F990" t="s">
        <v>167</v>
      </c>
      <c r="G990" t="s">
        <v>85</v>
      </c>
      <c r="H990" s="1">
        <v>45426</v>
      </c>
      <c r="I990" t="s">
        <v>24</v>
      </c>
      <c r="J990" t="s">
        <v>603</v>
      </c>
      <c r="K990">
        <v>1</v>
      </c>
      <c r="N990">
        <v>3458</v>
      </c>
      <c r="O990">
        <v>40</v>
      </c>
      <c r="P990" s="1">
        <v>45566</v>
      </c>
      <c r="Q990" s="1"/>
      <c r="R990" t="str">
        <f>IF(Table1[[#This Row],[Actual close date]]="","",Table1[[#This Row],[Actual close date]]-Table1[[#This Row],[Expected close date]])</f>
        <v/>
      </c>
    </row>
    <row r="991" spans="1:18" x14ac:dyDescent="0.25">
      <c r="A991" t="s">
        <v>1067</v>
      </c>
      <c r="B991" t="s">
        <v>59</v>
      </c>
      <c r="C991" t="s">
        <v>60</v>
      </c>
      <c r="D991" t="s">
        <v>61</v>
      </c>
      <c r="E991" t="s">
        <v>36</v>
      </c>
      <c r="F991" t="s">
        <v>167</v>
      </c>
      <c r="G991" t="s">
        <v>46</v>
      </c>
      <c r="H991" s="1">
        <v>45414</v>
      </c>
      <c r="I991" t="s">
        <v>64</v>
      </c>
      <c r="J991" t="s">
        <v>603</v>
      </c>
      <c r="K991">
        <v>1</v>
      </c>
      <c r="N991">
        <v>5921</v>
      </c>
      <c r="O991">
        <v>40</v>
      </c>
      <c r="P991" s="1">
        <v>45486</v>
      </c>
      <c r="Q991" s="1"/>
      <c r="R991" t="str">
        <f>IF(Table1[[#This Row],[Actual close date]]="","",Table1[[#This Row],[Actual close date]]-Table1[[#This Row],[Expected close date]])</f>
        <v/>
      </c>
    </row>
    <row r="992" spans="1:18" x14ac:dyDescent="0.25">
      <c r="A992" t="s">
        <v>1068</v>
      </c>
      <c r="B992" t="s">
        <v>54</v>
      </c>
      <c r="C992" t="s">
        <v>55</v>
      </c>
      <c r="D992" t="s">
        <v>56</v>
      </c>
      <c r="E992" t="s">
        <v>101</v>
      </c>
      <c r="F992" t="s">
        <v>167</v>
      </c>
      <c r="G992" t="s">
        <v>23</v>
      </c>
      <c r="H992" s="1">
        <v>45434</v>
      </c>
      <c r="I992" t="s">
        <v>24</v>
      </c>
      <c r="J992" t="s">
        <v>603</v>
      </c>
      <c r="K992">
        <v>1</v>
      </c>
      <c r="N992">
        <v>2305</v>
      </c>
      <c r="O992">
        <v>40</v>
      </c>
      <c r="P992" s="1">
        <v>45734</v>
      </c>
      <c r="Q992" s="1"/>
      <c r="R992" t="str">
        <f>IF(Table1[[#This Row],[Actual close date]]="","",Table1[[#This Row],[Actual close date]]-Table1[[#This Row],[Expected close date]])</f>
        <v/>
      </c>
    </row>
    <row r="993" spans="1:18" x14ac:dyDescent="0.25">
      <c r="A993" t="s">
        <v>1069</v>
      </c>
      <c r="B993" t="s">
        <v>33</v>
      </c>
      <c r="C993" t="s">
        <v>34</v>
      </c>
      <c r="D993" t="s">
        <v>35</v>
      </c>
      <c r="E993" t="s">
        <v>42</v>
      </c>
      <c r="F993" t="s">
        <v>167</v>
      </c>
      <c r="G993" t="s">
        <v>31</v>
      </c>
      <c r="H993" s="1">
        <v>45312</v>
      </c>
      <c r="I993" t="s">
        <v>47</v>
      </c>
      <c r="J993" t="s">
        <v>603</v>
      </c>
      <c r="K993">
        <v>1</v>
      </c>
      <c r="N993">
        <v>2764</v>
      </c>
      <c r="O993">
        <v>30</v>
      </c>
      <c r="P993" s="1">
        <v>45391</v>
      </c>
      <c r="Q993" s="1"/>
      <c r="R993" t="str">
        <f>IF(Table1[[#This Row],[Actual close date]]="","",Table1[[#This Row],[Actual close date]]-Table1[[#This Row],[Expected close date]])</f>
        <v/>
      </c>
    </row>
    <row r="994" spans="1:18" x14ac:dyDescent="0.25">
      <c r="A994" t="s">
        <v>1070</v>
      </c>
      <c r="B994" t="s">
        <v>39</v>
      </c>
      <c r="C994" t="s">
        <v>40</v>
      </c>
      <c r="D994" t="s">
        <v>41</v>
      </c>
      <c r="E994" t="s">
        <v>21</v>
      </c>
      <c r="F994" t="s">
        <v>167</v>
      </c>
      <c r="G994" t="s">
        <v>46</v>
      </c>
      <c r="H994" s="1">
        <v>45435</v>
      </c>
      <c r="I994" t="s">
        <v>64</v>
      </c>
      <c r="J994" t="s">
        <v>603</v>
      </c>
      <c r="K994">
        <v>1</v>
      </c>
      <c r="N994">
        <v>7311</v>
      </c>
      <c r="O994">
        <v>10</v>
      </c>
      <c r="P994" s="1">
        <v>45538</v>
      </c>
      <c r="Q994" s="1"/>
      <c r="R994" t="str">
        <f>IF(Table1[[#This Row],[Actual close date]]="","",Table1[[#This Row],[Actual close date]]-Table1[[#This Row],[Expected close date]])</f>
        <v/>
      </c>
    </row>
    <row r="995" spans="1:18" x14ac:dyDescent="0.25">
      <c r="A995" t="s">
        <v>1071</v>
      </c>
      <c r="B995" t="s">
        <v>76</v>
      </c>
      <c r="C995" t="s">
        <v>77</v>
      </c>
      <c r="D995" t="s">
        <v>78</v>
      </c>
      <c r="E995" t="s">
        <v>82</v>
      </c>
      <c r="F995" t="s">
        <v>167</v>
      </c>
      <c r="G995" t="s">
        <v>57</v>
      </c>
      <c r="H995" s="1">
        <v>45395</v>
      </c>
      <c r="I995" t="s">
        <v>24</v>
      </c>
      <c r="J995" t="s">
        <v>603</v>
      </c>
      <c r="K995">
        <v>1</v>
      </c>
      <c r="N995">
        <v>1828</v>
      </c>
      <c r="O995">
        <v>80</v>
      </c>
      <c r="P995" s="1">
        <v>45433</v>
      </c>
      <c r="Q995" s="1"/>
      <c r="R995" t="str">
        <f>IF(Table1[[#This Row],[Actual close date]]="","",Table1[[#This Row],[Actual close date]]-Table1[[#This Row],[Expected close date]])</f>
        <v/>
      </c>
    </row>
    <row r="996" spans="1:18" x14ac:dyDescent="0.25">
      <c r="A996" t="s">
        <v>1072</v>
      </c>
      <c r="B996" t="s">
        <v>39</v>
      </c>
      <c r="C996" t="s">
        <v>40</v>
      </c>
      <c r="D996" t="s">
        <v>41</v>
      </c>
      <c r="E996" t="s">
        <v>52</v>
      </c>
      <c r="F996" t="s">
        <v>167</v>
      </c>
      <c r="G996" t="s">
        <v>23</v>
      </c>
      <c r="H996" s="1">
        <v>45371</v>
      </c>
      <c r="I996" t="s">
        <v>24</v>
      </c>
      <c r="J996" t="s">
        <v>603</v>
      </c>
      <c r="K996">
        <v>1</v>
      </c>
      <c r="N996">
        <v>1846</v>
      </c>
      <c r="O996">
        <v>30</v>
      </c>
      <c r="P996" s="1">
        <v>45592</v>
      </c>
      <c r="Q996" s="1"/>
      <c r="R996" t="str">
        <f>IF(Table1[[#This Row],[Actual close date]]="","",Table1[[#This Row],[Actual close date]]-Table1[[#This Row],[Expected close date]])</f>
        <v/>
      </c>
    </row>
    <row r="997" spans="1:18" x14ac:dyDescent="0.25">
      <c r="A997" t="s">
        <v>1073</v>
      </c>
      <c r="B997" t="s">
        <v>33</v>
      </c>
      <c r="C997" t="s">
        <v>34</v>
      </c>
      <c r="D997" t="s">
        <v>35</v>
      </c>
      <c r="E997" t="s">
        <v>82</v>
      </c>
      <c r="F997" t="s">
        <v>167</v>
      </c>
      <c r="G997" t="s">
        <v>83</v>
      </c>
      <c r="H997" s="1">
        <v>45342</v>
      </c>
      <c r="I997" t="s">
        <v>47</v>
      </c>
      <c r="J997" t="s">
        <v>603</v>
      </c>
      <c r="K997">
        <v>1</v>
      </c>
      <c r="N997">
        <v>6929</v>
      </c>
      <c r="O997">
        <v>20</v>
      </c>
      <c r="P997" s="1">
        <v>45492</v>
      </c>
      <c r="Q997" s="1"/>
      <c r="R997" t="str">
        <f>IF(Table1[[#This Row],[Actual close date]]="","",Table1[[#This Row],[Actual close date]]-Table1[[#This Row],[Expected close date]])</f>
        <v/>
      </c>
    </row>
    <row r="998" spans="1:18" x14ac:dyDescent="0.25">
      <c r="A998" t="s">
        <v>1074</v>
      </c>
      <c r="B998" t="s">
        <v>54</v>
      </c>
      <c r="C998" t="s">
        <v>55</v>
      </c>
      <c r="D998" t="s">
        <v>56</v>
      </c>
      <c r="E998" t="s">
        <v>45</v>
      </c>
      <c r="F998" t="s">
        <v>167</v>
      </c>
      <c r="G998" t="s">
        <v>57</v>
      </c>
      <c r="H998" s="1">
        <v>45420</v>
      </c>
      <c r="I998" t="s">
        <v>64</v>
      </c>
      <c r="J998" t="s">
        <v>603</v>
      </c>
      <c r="K998">
        <v>1</v>
      </c>
      <c r="N998">
        <v>1720</v>
      </c>
      <c r="O998">
        <v>60</v>
      </c>
      <c r="P998" s="1">
        <v>45444</v>
      </c>
      <c r="Q998" s="1"/>
      <c r="R998" t="str">
        <f>IF(Table1[[#This Row],[Actual close date]]="","",Table1[[#This Row],[Actual close date]]-Table1[[#This Row],[Expected close date]])</f>
        <v/>
      </c>
    </row>
    <row r="999" spans="1:18" x14ac:dyDescent="0.25">
      <c r="A999" t="s">
        <v>1075</v>
      </c>
      <c r="B999" t="s">
        <v>33</v>
      </c>
      <c r="C999" t="s">
        <v>34</v>
      </c>
      <c r="D999" t="s">
        <v>35</v>
      </c>
      <c r="E999" t="s">
        <v>36</v>
      </c>
      <c r="F999" t="s">
        <v>167</v>
      </c>
      <c r="G999" t="s">
        <v>46</v>
      </c>
      <c r="H999" s="1">
        <v>45359</v>
      </c>
      <c r="I999" t="s">
        <v>24</v>
      </c>
      <c r="J999" t="s">
        <v>603</v>
      </c>
      <c r="K999">
        <v>1</v>
      </c>
      <c r="N999">
        <v>6119</v>
      </c>
      <c r="O999">
        <v>30</v>
      </c>
      <c r="P999" s="1">
        <v>45590</v>
      </c>
      <c r="Q999" s="1"/>
      <c r="R999" t="str">
        <f>IF(Table1[[#This Row],[Actual close date]]="","",Table1[[#This Row],[Actual close date]]-Table1[[#This Row],[Expected close date]])</f>
        <v/>
      </c>
    </row>
    <row r="1000" spans="1:18" x14ac:dyDescent="0.25">
      <c r="A1000" t="s">
        <v>1076</v>
      </c>
      <c r="B1000" t="s">
        <v>33</v>
      </c>
      <c r="C1000" t="s">
        <v>34</v>
      </c>
      <c r="D1000" t="s">
        <v>35</v>
      </c>
      <c r="E1000" t="s">
        <v>45</v>
      </c>
      <c r="F1000" t="s">
        <v>167</v>
      </c>
      <c r="G1000" t="s">
        <v>72</v>
      </c>
      <c r="H1000" s="1">
        <v>45396</v>
      </c>
      <c r="I1000" t="s">
        <v>64</v>
      </c>
      <c r="J1000" t="s">
        <v>603</v>
      </c>
      <c r="K1000">
        <v>1</v>
      </c>
      <c r="N1000">
        <v>1087</v>
      </c>
      <c r="O1000">
        <v>40</v>
      </c>
      <c r="P1000" s="1">
        <v>45460</v>
      </c>
      <c r="Q1000" s="1"/>
      <c r="R1000" t="str">
        <f>IF(Table1[[#This Row],[Actual close date]]="","",Table1[[#This Row],[Actual close date]]-Table1[[#This Row],[Expected close date]])</f>
        <v/>
      </c>
    </row>
    <row r="1001" spans="1:18" x14ac:dyDescent="0.25">
      <c r="A1001" t="s">
        <v>1077</v>
      </c>
      <c r="B1001" t="s">
        <v>54</v>
      </c>
      <c r="C1001" t="s">
        <v>55</v>
      </c>
      <c r="D1001" t="s">
        <v>56</v>
      </c>
      <c r="E1001" t="s">
        <v>45</v>
      </c>
      <c r="F1001" t="s">
        <v>167</v>
      </c>
      <c r="G1001" t="s">
        <v>37</v>
      </c>
      <c r="H1001" s="1">
        <v>45329</v>
      </c>
      <c r="I1001" t="s">
        <v>64</v>
      </c>
      <c r="J1001" t="s">
        <v>603</v>
      </c>
      <c r="K1001">
        <v>1</v>
      </c>
      <c r="N1001">
        <v>1358</v>
      </c>
      <c r="O1001">
        <v>30</v>
      </c>
      <c r="P1001" s="1">
        <v>45656</v>
      </c>
      <c r="Q1001" s="1"/>
      <c r="R1001" t="str">
        <f>IF(Table1[[#This Row],[Actual close date]]="","",Table1[[#This Row],[Actual close date]]-Table1[[#This Row],[Expected close date]])</f>
        <v/>
      </c>
    </row>
    <row r="1002" spans="1:18" x14ac:dyDescent="0.25">
      <c r="A1002" t="s">
        <v>1078</v>
      </c>
      <c r="B1002" t="s">
        <v>54</v>
      </c>
      <c r="C1002" t="s">
        <v>55</v>
      </c>
      <c r="D1002" t="s">
        <v>56</v>
      </c>
      <c r="E1002" t="s">
        <v>74</v>
      </c>
      <c r="F1002" t="s">
        <v>167</v>
      </c>
      <c r="G1002" t="s">
        <v>46</v>
      </c>
      <c r="H1002" s="1">
        <v>45302</v>
      </c>
      <c r="I1002" t="s">
        <v>64</v>
      </c>
      <c r="J1002" t="s">
        <v>603</v>
      </c>
      <c r="K1002">
        <v>1</v>
      </c>
      <c r="N1002">
        <v>3463</v>
      </c>
      <c r="O1002">
        <v>20</v>
      </c>
      <c r="P1002" s="1">
        <v>45536</v>
      </c>
      <c r="Q1002" s="1"/>
      <c r="R1002" t="str">
        <f>IF(Table1[[#This Row],[Actual close date]]="","",Table1[[#This Row],[Actual close date]]-Table1[[#This Row],[Expected close date]])</f>
        <v/>
      </c>
    </row>
    <row r="1003" spans="1:18" x14ac:dyDescent="0.25">
      <c r="A1003" t="s">
        <v>1079</v>
      </c>
      <c r="B1003" t="s">
        <v>39</v>
      </c>
      <c r="C1003" t="s">
        <v>40</v>
      </c>
      <c r="D1003" t="s">
        <v>41</v>
      </c>
      <c r="E1003" t="s">
        <v>21</v>
      </c>
      <c r="F1003" t="s">
        <v>167</v>
      </c>
      <c r="G1003" t="s">
        <v>85</v>
      </c>
      <c r="H1003" s="1">
        <v>45347</v>
      </c>
      <c r="I1003" t="s">
        <v>24</v>
      </c>
      <c r="J1003" t="s">
        <v>603</v>
      </c>
      <c r="K1003">
        <v>1</v>
      </c>
      <c r="N1003">
        <v>2395</v>
      </c>
      <c r="O1003">
        <v>30</v>
      </c>
      <c r="P1003" s="1">
        <v>45385</v>
      </c>
      <c r="Q1003" s="1"/>
      <c r="R1003" t="str">
        <f>IF(Table1[[#This Row],[Actual close date]]="","",Table1[[#This Row],[Actual close date]]-Table1[[#This Row],[Expected close date]])</f>
        <v/>
      </c>
    </row>
    <row r="1004" spans="1:18" x14ac:dyDescent="0.25">
      <c r="A1004" t="s">
        <v>1080</v>
      </c>
      <c r="B1004" t="s">
        <v>76</v>
      </c>
      <c r="C1004" t="s">
        <v>77</v>
      </c>
      <c r="D1004" t="s">
        <v>78</v>
      </c>
      <c r="E1004" t="s">
        <v>42</v>
      </c>
      <c r="F1004" t="s">
        <v>167</v>
      </c>
      <c r="G1004" t="s">
        <v>23</v>
      </c>
      <c r="H1004" s="1">
        <v>45400</v>
      </c>
      <c r="I1004" t="s">
        <v>64</v>
      </c>
      <c r="J1004" t="s">
        <v>603</v>
      </c>
      <c r="K1004">
        <v>1</v>
      </c>
      <c r="N1004">
        <v>2547</v>
      </c>
      <c r="O1004">
        <v>40</v>
      </c>
      <c r="P1004" s="1">
        <v>45466</v>
      </c>
      <c r="Q1004" s="1"/>
      <c r="R1004" t="str">
        <f>IF(Table1[[#This Row],[Actual close date]]="","",Table1[[#This Row],[Actual close date]]-Table1[[#This Row],[Expected close date]])</f>
        <v/>
      </c>
    </row>
    <row r="1005" spans="1:18" x14ac:dyDescent="0.25">
      <c r="A1005" t="s">
        <v>1081</v>
      </c>
      <c r="B1005" t="s">
        <v>54</v>
      </c>
      <c r="C1005" t="s">
        <v>55</v>
      </c>
      <c r="D1005" t="s">
        <v>56</v>
      </c>
      <c r="E1005" t="s">
        <v>82</v>
      </c>
      <c r="F1005" t="s">
        <v>167</v>
      </c>
      <c r="G1005" t="s">
        <v>31</v>
      </c>
      <c r="H1005" s="1">
        <v>45375</v>
      </c>
      <c r="I1005" t="s">
        <v>24</v>
      </c>
      <c r="J1005" t="s">
        <v>603</v>
      </c>
      <c r="K1005">
        <v>1</v>
      </c>
      <c r="N1005">
        <v>1557</v>
      </c>
      <c r="O1005">
        <v>20</v>
      </c>
      <c r="P1005" s="1">
        <v>45481</v>
      </c>
      <c r="Q1005" s="1"/>
      <c r="R1005" t="str">
        <f>IF(Table1[[#This Row],[Actual close date]]="","",Table1[[#This Row],[Actual close date]]-Table1[[#This Row],[Expected close date]])</f>
        <v/>
      </c>
    </row>
    <row r="1006" spans="1:18" x14ac:dyDescent="0.25">
      <c r="A1006" t="s">
        <v>1082</v>
      </c>
      <c r="B1006" t="s">
        <v>49</v>
      </c>
      <c r="C1006" t="s">
        <v>50</v>
      </c>
      <c r="D1006" t="s">
        <v>51</v>
      </c>
      <c r="E1006" t="s">
        <v>118</v>
      </c>
      <c r="F1006" t="s">
        <v>167</v>
      </c>
      <c r="G1006" t="s">
        <v>57</v>
      </c>
      <c r="H1006" s="1">
        <v>45375</v>
      </c>
      <c r="I1006" t="s">
        <v>24</v>
      </c>
      <c r="J1006" t="s">
        <v>603</v>
      </c>
      <c r="K1006">
        <v>1</v>
      </c>
      <c r="N1006">
        <v>6040</v>
      </c>
      <c r="O1006">
        <v>40</v>
      </c>
      <c r="P1006" s="1">
        <v>45427</v>
      </c>
      <c r="Q1006" s="1"/>
      <c r="R1006" t="str">
        <f>IF(Table1[[#This Row],[Actual close date]]="","",Table1[[#This Row],[Actual close date]]-Table1[[#This Row],[Expected close date]])</f>
        <v/>
      </c>
    </row>
    <row r="1007" spans="1:18" x14ac:dyDescent="0.25">
      <c r="A1007" t="s">
        <v>1083</v>
      </c>
      <c r="B1007" t="s">
        <v>76</v>
      </c>
      <c r="C1007" t="s">
        <v>77</v>
      </c>
      <c r="D1007" t="s">
        <v>78</v>
      </c>
      <c r="E1007" t="s">
        <v>21</v>
      </c>
      <c r="F1007" t="s">
        <v>167</v>
      </c>
      <c r="G1007" t="s">
        <v>83</v>
      </c>
      <c r="H1007" s="1">
        <v>45392</v>
      </c>
      <c r="I1007" t="s">
        <v>24</v>
      </c>
      <c r="J1007" t="s">
        <v>603</v>
      </c>
      <c r="K1007">
        <v>1</v>
      </c>
      <c r="N1007">
        <v>2867</v>
      </c>
      <c r="O1007">
        <v>80</v>
      </c>
      <c r="P1007" s="1">
        <v>45469</v>
      </c>
      <c r="Q1007" s="1"/>
      <c r="R1007" t="str">
        <f>IF(Table1[[#This Row],[Actual close date]]="","",Table1[[#This Row],[Actual close date]]-Table1[[#This Row],[Expected close date]])</f>
        <v/>
      </c>
    </row>
    <row r="1008" spans="1:18" x14ac:dyDescent="0.25">
      <c r="A1008" t="s">
        <v>1084</v>
      </c>
      <c r="B1008" t="s">
        <v>69</v>
      </c>
      <c r="C1008" t="s">
        <v>70</v>
      </c>
      <c r="D1008" t="s">
        <v>71</v>
      </c>
      <c r="E1008" t="s">
        <v>62</v>
      </c>
      <c r="F1008" t="s">
        <v>167</v>
      </c>
      <c r="G1008" t="s">
        <v>37</v>
      </c>
      <c r="H1008" s="1">
        <v>45303</v>
      </c>
      <c r="I1008" t="s">
        <v>24</v>
      </c>
      <c r="J1008" t="s">
        <v>603</v>
      </c>
      <c r="K1008">
        <v>1</v>
      </c>
      <c r="N1008">
        <v>5894</v>
      </c>
      <c r="O1008">
        <v>30</v>
      </c>
      <c r="P1008" s="1">
        <v>45391</v>
      </c>
      <c r="Q1008" s="1"/>
      <c r="R1008" t="str">
        <f>IF(Table1[[#This Row],[Actual close date]]="","",Table1[[#This Row],[Actual close date]]-Table1[[#This Row],[Expected close date]])</f>
        <v/>
      </c>
    </row>
    <row r="1009" spans="1:18" x14ac:dyDescent="0.25">
      <c r="A1009" t="s">
        <v>1085</v>
      </c>
      <c r="B1009" t="s">
        <v>76</v>
      </c>
      <c r="C1009" t="s">
        <v>77</v>
      </c>
      <c r="D1009" t="s">
        <v>78</v>
      </c>
      <c r="E1009" t="s">
        <v>45</v>
      </c>
      <c r="F1009" t="s">
        <v>167</v>
      </c>
      <c r="G1009" t="s">
        <v>57</v>
      </c>
      <c r="H1009" s="1">
        <v>45302</v>
      </c>
      <c r="I1009" t="s">
        <v>64</v>
      </c>
      <c r="J1009" t="s">
        <v>603</v>
      </c>
      <c r="K1009">
        <v>1</v>
      </c>
      <c r="N1009">
        <v>1595</v>
      </c>
      <c r="O1009">
        <v>30</v>
      </c>
      <c r="P1009" s="1">
        <v>45421</v>
      </c>
      <c r="Q1009" s="1"/>
      <c r="R1009" t="str">
        <f>IF(Table1[[#This Row],[Actual close date]]="","",Table1[[#This Row],[Actual close date]]-Table1[[#This Row],[Expected close date]])</f>
        <v/>
      </c>
    </row>
    <row r="1010" spans="1:18" x14ac:dyDescent="0.25">
      <c r="A1010" t="s">
        <v>1086</v>
      </c>
      <c r="B1010" t="s">
        <v>59</v>
      </c>
      <c r="C1010" t="s">
        <v>60</v>
      </c>
      <c r="D1010" t="s">
        <v>61</v>
      </c>
      <c r="E1010" t="s">
        <v>62</v>
      </c>
      <c r="F1010" t="s">
        <v>167</v>
      </c>
      <c r="G1010" t="s">
        <v>37</v>
      </c>
      <c r="H1010" s="1">
        <v>45436</v>
      </c>
      <c r="I1010" t="s">
        <v>24</v>
      </c>
      <c r="J1010" t="s">
        <v>603</v>
      </c>
      <c r="K1010">
        <v>1</v>
      </c>
      <c r="N1010">
        <v>4690</v>
      </c>
      <c r="O1010">
        <v>100</v>
      </c>
      <c r="P1010" s="1">
        <v>45586</v>
      </c>
      <c r="Q1010" s="1"/>
      <c r="R1010" t="str">
        <f>IF(Table1[[#This Row],[Actual close date]]="","",Table1[[#This Row],[Actual close date]]-Table1[[#This Row],[Expected close date]])</f>
        <v/>
      </c>
    </row>
    <row r="1011" spans="1:18" x14ac:dyDescent="0.25">
      <c r="A1011" t="s">
        <v>1087</v>
      </c>
      <c r="B1011" t="s">
        <v>39</v>
      </c>
      <c r="C1011" t="s">
        <v>40</v>
      </c>
      <c r="D1011" t="s">
        <v>41</v>
      </c>
      <c r="E1011" t="s">
        <v>45</v>
      </c>
      <c r="F1011" t="s">
        <v>167</v>
      </c>
      <c r="G1011" t="s">
        <v>83</v>
      </c>
      <c r="H1011" s="1">
        <v>45393</v>
      </c>
      <c r="I1011" t="s">
        <v>64</v>
      </c>
      <c r="J1011" t="s">
        <v>603</v>
      </c>
      <c r="K1011">
        <v>1</v>
      </c>
      <c r="N1011">
        <v>6578</v>
      </c>
      <c r="O1011">
        <v>30</v>
      </c>
      <c r="P1011" s="1">
        <v>45636</v>
      </c>
      <c r="Q1011" s="1"/>
      <c r="R1011" t="str">
        <f>IF(Table1[[#This Row],[Actual close date]]="","",Table1[[#This Row],[Actual close date]]-Table1[[#This Row],[Expected close date]])</f>
        <v/>
      </c>
    </row>
    <row r="1012" spans="1:18" x14ac:dyDescent="0.25">
      <c r="A1012" t="s">
        <v>1088</v>
      </c>
      <c r="B1012" t="s">
        <v>76</v>
      </c>
      <c r="C1012" t="s">
        <v>77</v>
      </c>
      <c r="D1012" t="s">
        <v>78</v>
      </c>
      <c r="E1012" t="s">
        <v>45</v>
      </c>
      <c r="F1012" t="s">
        <v>167</v>
      </c>
      <c r="G1012" t="s">
        <v>46</v>
      </c>
      <c r="H1012" s="1">
        <v>45395</v>
      </c>
      <c r="I1012" t="s">
        <v>64</v>
      </c>
      <c r="J1012" t="s">
        <v>603</v>
      </c>
      <c r="K1012">
        <v>1</v>
      </c>
      <c r="N1012">
        <v>6308</v>
      </c>
      <c r="O1012">
        <v>20</v>
      </c>
      <c r="P1012" s="1">
        <v>45580</v>
      </c>
      <c r="Q1012" s="1"/>
      <c r="R1012" t="str">
        <f>IF(Table1[[#This Row],[Actual close date]]="","",Table1[[#This Row],[Actual close date]]-Table1[[#This Row],[Expected close date]])</f>
        <v/>
      </c>
    </row>
    <row r="1013" spans="1:18" x14ac:dyDescent="0.25">
      <c r="A1013" t="s">
        <v>1089</v>
      </c>
      <c r="B1013" t="s">
        <v>33</v>
      </c>
      <c r="C1013" t="s">
        <v>34</v>
      </c>
      <c r="D1013" t="s">
        <v>35</v>
      </c>
      <c r="E1013" t="s">
        <v>82</v>
      </c>
      <c r="F1013" t="s">
        <v>239</v>
      </c>
      <c r="G1013" t="s">
        <v>46</v>
      </c>
      <c r="H1013" s="1">
        <v>45293</v>
      </c>
      <c r="I1013" t="s">
        <v>64</v>
      </c>
      <c r="J1013" t="s">
        <v>603</v>
      </c>
      <c r="K1013">
        <v>1</v>
      </c>
      <c r="N1013">
        <v>5166</v>
      </c>
      <c r="O1013">
        <v>30</v>
      </c>
      <c r="P1013" s="1">
        <v>45317</v>
      </c>
      <c r="Q1013" s="1"/>
      <c r="R1013" t="str">
        <f>IF(Table1[[#This Row],[Actual close date]]="","",Table1[[#This Row],[Actual close date]]-Table1[[#This Row],[Expected close date]])</f>
        <v/>
      </c>
    </row>
    <row r="1014" spans="1:18" x14ac:dyDescent="0.25">
      <c r="A1014" t="s">
        <v>1090</v>
      </c>
      <c r="B1014" t="s">
        <v>39</v>
      </c>
      <c r="C1014" t="s">
        <v>40</v>
      </c>
      <c r="D1014" t="s">
        <v>41</v>
      </c>
      <c r="E1014" t="s">
        <v>82</v>
      </c>
      <c r="F1014" t="s">
        <v>239</v>
      </c>
      <c r="G1014" t="s">
        <v>72</v>
      </c>
      <c r="H1014" s="1">
        <v>45377</v>
      </c>
      <c r="I1014" t="s">
        <v>64</v>
      </c>
      <c r="J1014" t="s">
        <v>603</v>
      </c>
      <c r="K1014">
        <v>1</v>
      </c>
      <c r="N1014">
        <v>14523</v>
      </c>
      <c r="O1014">
        <v>30</v>
      </c>
      <c r="P1014" s="1">
        <v>45509</v>
      </c>
      <c r="Q1014" s="1"/>
      <c r="R1014" t="str">
        <f>IF(Table1[[#This Row],[Actual close date]]="","",Table1[[#This Row],[Actual close date]]-Table1[[#This Row],[Expected close date]])</f>
        <v/>
      </c>
    </row>
    <row r="1015" spans="1:18" x14ac:dyDescent="0.25">
      <c r="A1015" t="s">
        <v>1091</v>
      </c>
      <c r="B1015" t="s">
        <v>39</v>
      </c>
      <c r="C1015" t="s">
        <v>40</v>
      </c>
      <c r="D1015" t="s">
        <v>41</v>
      </c>
      <c r="E1015" t="s">
        <v>45</v>
      </c>
      <c r="F1015" t="s">
        <v>239</v>
      </c>
      <c r="G1015" t="s">
        <v>23</v>
      </c>
      <c r="H1015" s="1">
        <v>45383</v>
      </c>
      <c r="I1015" t="s">
        <v>47</v>
      </c>
      <c r="J1015" t="s">
        <v>603</v>
      </c>
      <c r="K1015">
        <v>1</v>
      </c>
      <c r="N1015">
        <v>5375</v>
      </c>
      <c r="O1015">
        <v>20</v>
      </c>
      <c r="P1015" s="1">
        <v>45691</v>
      </c>
      <c r="Q1015" s="1"/>
      <c r="R1015" t="str">
        <f>IF(Table1[[#This Row],[Actual close date]]="","",Table1[[#This Row],[Actual close date]]-Table1[[#This Row],[Expected close date]])</f>
        <v/>
      </c>
    </row>
    <row r="1016" spans="1:18" x14ac:dyDescent="0.25">
      <c r="A1016" t="s">
        <v>1092</v>
      </c>
      <c r="B1016" t="s">
        <v>54</v>
      </c>
      <c r="C1016" t="s">
        <v>55</v>
      </c>
      <c r="D1016" t="s">
        <v>56</v>
      </c>
      <c r="E1016" t="s">
        <v>21</v>
      </c>
      <c r="F1016" t="s">
        <v>239</v>
      </c>
      <c r="G1016" t="s">
        <v>37</v>
      </c>
      <c r="H1016" s="1">
        <v>45370</v>
      </c>
      <c r="I1016" t="s">
        <v>24</v>
      </c>
      <c r="J1016" t="s">
        <v>603</v>
      </c>
      <c r="K1016">
        <v>1</v>
      </c>
      <c r="N1016">
        <v>13128</v>
      </c>
      <c r="O1016">
        <v>60</v>
      </c>
      <c r="P1016" s="1">
        <v>45734</v>
      </c>
      <c r="Q1016" s="1"/>
      <c r="R1016" t="str">
        <f>IF(Table1[[#This Row],[Actual close date]]="","",Table1[[#This Row],[Actual close date]]-Table1[[#This Row],[Expected close date]])</f>
        <v/>
      </c>
    </row>
    <row r="1017" spans="1:18" x14ac:dyDescent="0.25">
      <c r="A1017" t="s">
        <v>1093</v>
      </c>
      <c r="B1017" t="s">
        <v>59</v>
      </c>
      <c r="C1017" t="s">
        <v>60</v>
      </c>
      <c r="D1017" t="s">
        <v>61</v>
      </c>
      <c r="E1017" t="s">
        <v>45</v>
      </c>
      <c r="F1017" t="s">
        <v>239</v>
      </c>
      <c r="G1017" t="s">
        <v>46</v>
      </c>
      <c r="H1017" s="1">
        <v>45427</v>
      </c>
      <c r="I1017" t="s">
        <v>24</v>
      </c>
      <c r="J1017" t="s">
        <v>603</v>
      </c>
      <c r="K1017">
        <v>1</v>
      </c>
      <c r="N1017">
        <v>18904</v>
      </c>
      <c r="O1017">
        <v>30</v>
      </c>
      <c r="P1017" s="1">
        <v>45470</v>
      </c>
      <c r="Q1017" s="1"/>
      <c r="R1017" t="str">
        <f>IF(Table1[[#This Row],[Actual close date]]="","",Table1[[#This Row],[Actual close date]]-Table1[[#This Row],[Expected close date]])</f>
        <v/>
      </c>
    </row>
    <row r="1018" spans="1:18" x14ac:dyDescent="0.25">
      <c r="A1018" t="s">
        <v>1094</v>
      </c>
      <c r="B1018" t="s">
        <v>18</v>
      </c>
      <c r="C1018" t="s">
        <v>19</v>
      </c>
      <c r="D1018" t="s">
        <v>20</v>
      </c>
      <c r="E1018" t="s">
        <v>45</v>
      </c>
      <c r="F1018" t="s">
        <v>239</v>
      </c>
      <c r="G1018" t="s">
        <v>31</v>
      </c>
      <c r="H1018" s="1">
        <v>45416</v>
      </c>
      <c r="I1018" t="s">
        <v>24</v>
      </c>
      <c r="J1018" t="s">
        <v>603</v>
      </c>
      <c r="K1018">
        <v>1</v>
      </c>
      <c r="N1018">
        <v>11566</v>
      </c>
      <c r="O1018">
        <v>40</v>
      </c>
      <c r="P1018" s="1">
        <v>45449</v>
      </c>
      <c r="Q1018" s="1"/>
      <c r="R1018" t="str">
        <f>IF(Table1[[#This Row],[Actual close date]]="","",Table1[[#This Row],[Actual close date]]-Table1[[#This Row],[Expected close date]])</f>
        <v/>
      </c>
    </row>
    <row r="1019" spans="1:18" x14ac:dyDescent="0.25">
      <c r="A1019" t="s">
        <v>1095</v>
      </c>
      <c r="B1019" t="s">
        <v>33</v>
      </c>
      <c r="C1019" t="s">
        <v>34</v>
      </c>
      <c r="D1019" t="s">
        <v>35</v>
      </c>
      <c r="E1019" t="s">
        <v>42</v>
      </c>
      <c r="F1019" t="s">
        <v>239</v>
      </c>
      <c r="G1019" t="s">
        <v>57</v>
      </c>
      <c r="H1019" s="1">
        <v>45301</v>
      </c>
      <c r="I1019" t="s">
        <v>47</v>
      </c>
      <c r="J1019" t="s">
        <v>603</v>
      </c>
      <c r="K1019">
        <v>1</v>
      </c>
      <c r="N1019">
        <v>7949</v>
      </c>
      <c r="O1019">
        <v>20</v>
      </c>
      <c r="P1019" s="1">
        <v>45644</v>
      </c>
      <c r="Q1019" s="1"/>
      <c r="R1019" t="str">
        <f>IF(Table1[[#This Row],[Actual close date]]="","",Table1[[#This Row],[Actual close date]]-Table1[[#This Row],[Expected close date]])</f>
        <v/>
      </c>
    </row>
    <row r="1020" spans="1:18" x14ac:dyDescent="0.25">
      <c r="A1020" t="s">
        <v>1096</v>
      </c>
      <c r="B1020" t="s">
        <v>69</v>
      </c>
      <c r="C1020" t="s">
        <v>70</v>
      </c>
      <c r="D1020" t="s">
        <v>71</v>
      </c>
      <c r="E1020" t="s">
        <v>101</v>
      </c>
      <c r="F1020" t="s">
        <v>239</v>
      </c>
      <c r="G1020" t="s">
        <v>46</v>
      </c>
      <c r="H1020" s="1">
        <v>45383</v>
      </c>
      <c r="I1020" t="s">
        <v>47</v>
      </c>
      <c r="J1020" t="s">
        <v>603</v>
      </c>
      <c r="K1020">
        <v>1</v>
      </c>
      <c r="N1020">
        <v>6542</v>
      </c>
      <c r="O1020">
        <v>40</v>
      </c>
      <c r="P1020" s="1">
        <v>45570</v>
      </c>
      <c r="Q1020" s="1"/>
      <c r="R1020" t="str">
        <f>IF(Table1[[#This Row],[Actual close date]]="","",Table1[[#This Row],[Actual close date]]-Table1[[#This Row],[Expected close date]])</f>
        <v/>
      </c>
    </row>
    <row r="1021" spans="1:18" x14ac:dyDescent="0.25">
      <c r="A1021" t="s">
        <v>1097</v>
      </c>
      <c r="B1021" t="s">
        <v>54</v>
      </c>
      <c r="C1021" t="s">
        <v>55</v>
      </c>
      <c r="D1021" t="s">
        <v>56</v>
      </c>
      <c r="E1021" t="s">
        <v>52</v>
      </c>
      <c r="F1021" t="s">
        <v>239</v>
      </c>
      <c r="G1021" t="s">
        <v>57</v>
      </c>
      <c r="H1021" s="1">
        <v>45352</v>
      </c>
      <c r="I1021" t="s">
        <v>64</v>
      </c>
      <c r="J1021" t="s">
        <v>603</v>
      </c>
      <c r="K1021">
        <v>1</v>
      </c>
      <c r="N1021">
        <v>16150</v>
      </c>
      <c r="O1021">
        <v>40</v>
      </c>
      <c r="P1021" s="1">
        <v>45441</v>
      </c>
      <c r="Q1021" s="1"/>
      <c r="R1021" t="str">
        <f>IF(Table1[[#This Row],[Actual close date]]="","",Table1[[#This Row],[Actual close date]]-Table1[[#This Row],[Expected close date]])</f>
        <v/>
      </c>
    </row>
    <row r="1022" spans="1:18" x14ac:dyDescent="0.25">
      <c r="A1022" t="s">
        <v>1098</v>
      </c>
      <c r="B1022" t="s">
        <v>39</v>
      </c>
      <c r="C1022" t="s">
        <v>40</v>
      </c>
      <c r="D1022" t="s">
        <v>41</v>
      </c>
      <c r="E1022" t="s">
        <v>74</v>
      </c>
      <c r="F1022" t="s">
        <v>239</v>
      </c>
      <c r="G1022" t="s">
        <v>83</v>
      </c>
      <c r="H1022" s="1">
        <v>45297</v>
      </c>
      <c r="I1022" t="s">
        <v>24</v>
      </c>
      <c r="J1022" t="s">
        <v>603</v>
      </c>
      <c r="K1022">
        <v>1</v>
      </c>
      <c r="N1022">
        <v>12331</v>
      </c>
      <c r="O1022">
        <v>40</v>
      </c>
      <c r="P1022" s="1">
        <v>45627</v>
      </c>
      <c r="Q1022" s="1"/>
      <c r="R1022" t="str">
        <f>IF(Table1[[#This Row],[Actual close date]]="","",Table1[[#This Row],[Actual close date]]-Table1[[#This Row],[Expected close date]])</f>
        <v/>
      </c>
    </row>
    <row r="1023" spans="1:18" x14ac:dyDescent="0.25">
      <c r="A1023" t="s">
        <v>1099</v>
      </c>
      <c r="B1023" t="s">
        <v>76</v>
      </c>
      <c r="C1023" t="s">
        <v>77</v>
      </c>
      <c r="D1023" t="s">
        <v>78</v>
      </c>
      <c r="E1023" t="s">
        <v>30</v>
      </c>
      <c r="F1023" t="s">
        <v>246</v>
      </c>
      <c r="G1023" t="s">
        <v>37</v>
      </c>
      <c r="H1023" s="1">
        <v>45390</v>
      </c>
      <c r="I1023" t="s">
        <v>64</v>
      </c>
      <c r="J1023" t="s">
        <v>603</v>
      </c>
      <c r="K1023">
        <v>1</v>
      </c>
      <c r="N1023">
        <v>5559</v>
      </c>
      <c r="O1023">
        <v>50</v>
      </c>
      <c r="P1023" s="1">
        <v>45495</v>
      </c>
      <c r="Q1023" s="1"/>
      <c r="R1023" t="str">
        <f>IF(Table1[[#This Row],[Actual close date]]="","",Table1[[#This Row],[Actual close date]]-Table1[[#This Row],[Expected close date]])</f>
        <v/>
      </c>
    </row>
    <row r="1024" spans="1:18" x14ac:dyDescent="0.25">
      <c r="A1024" t="s">
        <v>1100</v>
      </c>
      <c r="B1024" t="s">
        <v>59</v>
      </c>
      <c r="C1024" t="s">
        <v>60</v>
      </c>
      <c r="D1024" t="s">
        <v>61</v>
      </c>
      <c r="E1024" t="s">
        <v>66</v>
      </c>
      <c r="F1024" t="s">
        <v>246</v>
      </c>
      <c r="G1024" t="s">
        <v>37</v>
      </c>
      <c r="H1024" s="1">
        <v>45379</v>
      </c>
      <c r="I1024" t="s">
        <v>64</v>
      </c>
      <c r="J1024" t="s">
        <v>603</v>
      </c>
      <c r="K1024">
        <v>1</v>
      </c>
      <c r="N1024">
        <v>17695</v>
      </c>
      <c r="O1024">
        <v>80</v>
      </c>
      <c r="P1024" s="1">
        <v>45721</v>
      </c>
      <c r="Q1024" s="1"/>
      <c r="R1024" t="str">
        <f>IF(Table1[[#This Row],[Actual close date]]="","",Table1[[#This Row],[Actual close date]]-Table1[[#This Row],[Expected close date]])</f>
        <v/>
      </c>
    </row>
    <row r="1025" spans="1:18" x14ac:dyDescent="0.25">
      <c r="A1025" t="s">
        <v>1101</v>
      </c>
      <c r="B1025" t="s">
        <v>33</v>
      </c>
      <c r="C1025" t="s">
        <v>34</v>
      </c>
      <c r="D1025" t="s">
        <v>35</v>
      </c>
      <c r="E1025" t="s">
        <v>101</v>
      </c>
      <c r="F1025" t="s">
        <v>246</v>
      </c>
      <c r="G1025" t="s">
        <v>31</v>
      </c>
      <c r="H1025" s="1">
        <v>45378</v>
      </c>
      <c r="I1025" t="s">
        <v>47</v>
      </c>
      <c r="J1025" t="s">
        <v>603</v>
      </c>
      <c r="K1025">
        <v>1</v>
      </c>
      <c r="N1025">
        <v>18405</v>
      </c>
      <c r="O1025">
        <v>70</v>
      </c>
      <c r="P1025" s="1">
        <v>45546</v>
      </c>
      <c r="Q1025" s="1"/>
      <c r="R1025" t="str">
        <f>IF(Table1[[#This Row],[Actual close date]]="","",Table1[[#This Row],[Actual close date]]-Table1[[#This Row],[Expected close date]])</f>
        <v/>
      </c>
    </row>
    <row r="1026" spans="1:18" x14ac:dyDescent="0.25">
      <c r="A1026" t="s">
        <v>1102</v>
      </c>
      <c r="B1026" t="s">
        <v>27</v>
      </c>
      <c r="C1026" t="s">
        <v>28</v>
      </c>
      <c r="D1026" t="s">
        <v>29</v>
      </c>
      <c r="E1026" t="s">
        <v>101</v>
      </c>
      <c r="F1026" t="s">
        <v>246</v>
      </c>
      <c r="G1026" t="s">
        <v>46</v>
      </c>
      <c r="H1026" s="1">
        <v>45349</v>
      </c>
      <c r="I1026" t="s">
        <v>47</v>
      </c>
      <c r="J1026" t="s">
        <v>603</v>
      </c>
      <c r="K1026">
        <v>1</v>
      </c>
      <c r="N1026">
        <v>17424</v>
      </c>
      <c r="O1026">
        <v>40</v>
      </c>
      <c r="P1026" s="1">
        <v>45600</v>
      </c>
      <c r="Q1026" s="1"/>
      <c r="R1026" t="str">
        <f>IF(Table1[[#This Row],[Actual close date]]="","",Table1[[#This Row],[Actual close date]]-Table1[[#This Row],[Expected close date]])</f>
        <v/>
      </c>
    </row>
    <row r="1027" spans="1:18" x14ac:dyDescent="0.25">
      <c r="A1027" t="s">
        <v>1103</v>
      </c>
      <c r="B1027" t="s">
        <v>27</v>
      </c>
      <c r="C1027" t="s">
        <v>28</v>
      </c>
      <c r="D1027" t="s">
        <v>29</v>
      </c>
      <c r="E1027" t="s">
        <v>101</v>
      </c>
      <c r="F1027" t="s">
        <v>246</v>
      </c>
      <c r="G1027" t="s">
        <v>46</v>
      </c>
      <c r="H1027" s="1">
        <v>45309</v>
      </c>
      <c r="I1027" t="s">
        <v>64</v>
      </c>
      <c r="J1027" t="s">
        <v>603</v>
      </c>
      <c r="K1027">
        <v>1</v>
      </c>
      <c r="N1027">
        <v>4132</v>
      </c>
      <c r="O1027">
        <v>60</v>
      </c>
      <c r="P1027" s="1">
        <v>45465</v>
      </c>
      <c r="Q1027" s="1"/>
      <c r="R1027" t="str">
        <f>IF(Table1[[#This Row],[Actual close date]]="","",Table1[[#This Row],[Actual close date]]-Table1[[#This Row],[Expected close date]])</f>
        <v/>
      </c>
    </row>
    <row r="1028" spans="1:18" x14ac:dyDescent="0.25">
      <c r="A1028" t="s">
        <v>1104</v>
      </c>
      <c r="B1028" t="s">
        <v>54</v>
      </c>
      <c r="C1028" t="s">
        <v>55</v>
      </c>
      <c r="D1028" t="s">
        <v>56</v>
      </c>
      <c r="E1028" t="s">
        <v>74</v>
      </c>
      <c r="F1028" t="s">
        <v>246</v>
      </c>
      <c r="G1028" t="s">
        <v>46</v>
      </c>
      <c r="H1028" s="1">
        <v>45357</v>
      </c>
      <c r="I1028" t="s">
        <v>47</v>
      </c>
      <c r="J1028" t="s">
        <v>603</v>
      </c>
      <c r="K1028">
        <v>1</v>
      </c>
      <c r="N1028">
        <v>3394</v>
      </c>
      <c r="O1028">
        <v>50</v>
      </c>
      <c r="P1028" s="1">
        <v>45648</v>
      </c>
      <c r="Q1028" s="1"/>
      <c r="R1028" t="str">
        <f>IF(Table1[[#This Row],[Actual close date]]="","",Table1[[#This Row],[Actual close date]]-Table1[[#This Row],[Expected close date]])</f>
        <v/>
      </c>
    </row>
    <row r="1029" spans="1:18" x14ac:dyDescent="0.25">
      <c r="A1029" t="s">
        <v>1105</v>
      </c>
      <c r="B1029" t="s">
        <v>54</v>
      </c>
      <c r="C1029" t="s">
        <v>55</v>
      </c>
      <c r="D1029" t="s">
        <v>56</v>
      </c>
      <c r="E1029" t="s">
        <v>52</v>
      </c>
      <c r="F1029" t="s">
        <v>246</v>
      </c>
      <c r="G1029" t="s">
        <v>31</v>
      </c>
      <c r="H1029" s="1">
        <v>45337</v>
      </c>
      <c r="I1029" t="s">
        <v>47</v>
      </c>
      <c r="J1029" t="s">
        <v>603</v>
      </c>
      <c r="K1029">
        <v>1</v>
      </c>
      <c r="N1029">
        <v>9437</v>
      </c>
      <c r="O1029">
        <v>20</v>
      </c>
      <c r="P1029" s="1">
        <v>45525</v>
      </c>
      <c r="Q1029" s="1"/>
      <c r="R1029" t="str">
        <f>IF(Table1[[#This Row],[Actual close date]]="","",Table1[[#This Row],[Actual close date]]-Table1[[#This Row],[Expected close date]])</f>
        <v/>
      </c>
    </row>
    <row r="1030" spans="1:18" x14ac:dyDescent="0.25">
      <c r="A1030" t="s">
        <v>1106</v>
      </c>
      <c r="B1030" t="s">
        <v>69</v>
      </c>
      <c r="C1030" t="s">
        <v>70</v>
      </c>
      <c r="D1030" t="s">
        <v>71</v>
      </c>
      <c r="E1030" t="s">
        <v>45</v>
      </c>
      <c r="F1030" t="s">
        <v>246</v>
      </c>
      <c r="G1030" t="s">
        <v>46</v>
      </c>
      <c r="H1030" s="1">
        <v>45353</v>
      </c>
      <c r="I1030" t="s">
        <v>47</v>
      </c>
      <c r="J1030" t="s">
        <v>603</v>
      </c>
      <c r="K1030">
        <v>1</v>
      </c>
      <c r="N1030">
        <v>5064</v>
      </c>
      <c r="O1030">
        <v>80</v>
      </c>
      <c r="P1030" s="1">
        <v>45390</v>
      </c>
      <c r="Q1030" s="1"/>
      <c r="R1030" t="str">
        <f>IF(Table1[[#This Row],[Actual close date]]="","",Table1[[#This Row],[Actual close date]]-Table1[[#This Row],[Expected close date]])</f>
        <v/>
      </c>
    </row>
    <row r="1031" spans="1:18" x14ac:dyDescent="0.25">
      <c r="A1031" t="s">
        <v>1107</v>
      </c>
      <c r="B1031" t="s">
        <v>76</v>
      </c>
      <c r="C1031" t="s">
        <v>77</v>
      </c>
      <c r="D1031" t="s">
        <v>78</v>
      </c>
      <c r="E1031" t="s">
        <v>122</v>
      </c>
      <c r="F1031" t="s">
        <v>246</v>
      </c>
      <c r="G1031" t="s">
        <v>46</v>
      </c>
      <c r="H1031" s="1">
        <v>45438</v>
      </c>
      <c r="I1031" t="s">
        <v>64</v>
      </c>
      <c r="J1031" t="s">
        <v>603</v>
      </c>
      <c r="K1031">
        <v>1</v>
      </c>
      <c r="N1031">
        <v>19446</v>
      </c>
      <c r="O1031">
        <v>30</v>
      </c>
      <c r="P1031" s="1">
        <v>45526</v>
      </c>
      <c r="Q1031" s="1"/>
      <c r="R1031" t="str">
        <f>IF(Table1[[#This Row],[Actual close date]]="","",Table1[[#This Row],[Actual close date]]-Table1[[#This Row],[Expected close date]])</f>
        <v/>
      </c>
    </row>
    <row r="1032" spans="1:18" x14ac:dyDescent="0.25">
      <c r="A1032" t="s">
        <v>1108</v>
      </c>
      <c r="B1032" t="s">
        <v>39</v>
      </c>
      <c r="C1032" t="s">
        <v>40</v>
      </c>
      <c r="D1032" t="s">
        <v>41</v>
      </c>
      <c r="E1032" t="s">
        <v>82</v>
      </c>
      <c r="F1032" t="s">
        <v>246</v>
      </c>
      <c r="G1032" t="s">
        <v>31</v>
      </c>
      <c r="H1032" s="1">
        <v>45418</v>
      </c>
      <c r="I1032" t="s">
        <v>64</v>
      </c>
      <c r="J1032" t="s">
        <v>603</v>
      </c>
      <c r="K1032">
        <v>1</v>
      </c>
      <c r="N1032">
        <v>18343</v>
      </c>
      <c r="O1032">
        <v>30</v>
      </c>
      <c r="P1032" s="1">
        <v>45539</v>
      </c>
      <c r="Q1032" s="1"/>
      <c r="R1032" t="str">
        <f>IF(Table1[[#This Row],[Actual close date]]="","",Table1[[#This Row],[Actual close date]]-Table1[[#This Row],[Expected close date]])</f>
        <v/>
      </c>
    </row>
    <row r="1033" spans="1:18" x14ac:dyDescent="0.25">
      <c r="A1033" t="s">
        <v>1109</v>
      </c>
      <c r="B1033" t="s">
        <v>76</v>
      </c>
      <c r="C1033" t="s">
        <v>77</v>
      </c>
      <c r="D1033" t="s">
        <v>78</v>
      </c>
      <c r="E1033" t="s">
        <v>36</v>
      </c>
      <c r="F1033" t="s">
        <v>246</v>
      </c>
      <c r="G1033" t="s">
        <v>57</v>
      </c>
      <c r="H1033" s="1">
        <v>45423</v>
      </c>
      <c r="I1033" t="s">
        <v>47</v>
      </c>
      <c r="J1033" t="s">
        <v>603</v>
      </c>
      <c r="K1033">
        <v>1</v>
      </c>
      <c r="N1033">
        <v>6617</v>
      </c>
      <c r="O1033">
        <v>100</v>
      </c>
      <c r="P1033" s="1">
        <v>45648</v>
      </c>
      <c r="Q1033" s="1"/>
      <c r="R1033" t="str">
        <f>IF(Table1[[#This Row],[Actual close date]]="","",Table1[[#This Row],[Actual close date]]-Table1[[#This Row],[Expected close date]])</f>
        <v/>
      </c>
    </row>
    <row r="1034" spans="1:18" x14ac:dyDescent="0.25">
      <c r="A1034" t="s">
        <v>1110</v>
      </c>
      <c r="B1034" t="s">
        <v>33</v>
      </c>
      <c r="C1034" t="s">
        <v>34</v>
      </c>
      <c r="D1034" t="s">
        <v>35</v>
      </c>
      <c r="E1034" t="s">
        <v>66</v>
      </c>
      <c r="F1034" t="s">
        <v>246</v>
      </c>
      <c r="G1034" t="s">
        <v>72</v>
      </c>
      <c r="H1034" s="1">
        <v>45438</v>
      </c>
      <c r="I1034" t="s">
        <v>64</v>
      </c>
      <c r="J1034" t="s">
        <v>603</v>
      </c>
      <c r="K1034">
        <v>1</v>
      </c>
      <c r="N1034">
        <v>18700</v>
      </c>
      <c r="O1034">
        <v>20</v>
      </c>
      <c r="P1034" s="1">
        <v>45715</v>
      </c>
      <c r="Q1034" s="1"/>
      <c r="R1034" t="str">
        <f>IF(Table1[[#This Row],[Actual close date]]="","",Table1[[#This Row],[Actual close date]]-Table1[[#This Row],[Expected close date]])</f>
        <v/>
      </c>
    </row>
    <row r="1035" spans="1:18" x14ac:dyDescent="0.25">
      <c r="A1035" t="s">
        <v>1111</v>
      </c>
      <c r="B1035" t="s">
        <v>59</v>
      </c>
      <c r="C1035" t="s">
        <v>60</v>
      </c>
      <c r="D1035" t="s">
        <v>61</v>
      </c>
      <c r="E1035" t="s">
        <v>118</v>
      </c>
      <c r="F1035" t="s">
        <v>246</v>
      </c>
      <c r="G1035" t="s">
        <v>31</v>
      </c>
      <c r="H1035" s="1">
        <v>45296</v>
      </c>
      <c r="I1035" t="s">
        <v>64</v>
      </c>
      <c r="J1035" t="s">
        <v>603</v>
      </c>
      <c r="K1035">
        <v>1</v>
      </c>
      <c r="N1035">
        <v>8157</v>
      </c>
      <c r="O1035">
        <v>20</v>
      </c>
      <c r="P1035" s="1">
        <v>45460</v>
      </c>
      <c r="Q1035" s="1"/>
      <c r="R1035" t="str">
        <f>IF(Table1[[#This Row],[Actual close date]]="","",Table1[[#This Row],[Actual close date]]-Table1[[#This Row],[Expected close date]])</f>
        <v/>
      </c>
    </row>
    <row r="1036" spans="1:18" x14ac:dyDescent="0.25">
      <c r="A1036" t="s">
        <v>1112</v>
      </c>
      <c r="B1036" t="s">
        <v>39</v>
      </c>
      <c r="C1036" t="s">
        <v>40</v>
      </c>
      <c r="D1036" t="s">
        <v>41</v>
      </c>
      <c r="E1036" t="s">
        <v>45</v>
      </c>
      <c r="F1036" t="s">
        <v>246</v>
      </c>
      <c r="G1036" t="s">
        <v>37</v>
      </c>
      <c r="H1036" s="1">
        <v>45396</v>
      </c>
      <c r="I1036" t="s">
        <v>64</v>
      </c>
      <c r="J1036" t="s">
        <v>603</v>
      </c>
      <c r="K1036">
        <v>1</v>
      </c>
      <c r="N1036">
        <v>14502</v>
      </c>
      <c r="O1036">
        <v>20</v>
      </c>
      <c r="P1036" s="1">
        <v>45608</v>
      </c>
      <c r="Q1036" s="1"/>
      <c r="R1036" t="str">
        <f>IF(Table1[[#This Row],[Actual close date]]="","",Table1[[#This Row],[Actual close date]]-Table1[[#This Row],[Expected close date]])</f>
        <v/>
      </c>
    </row>
    <row r="1037" spans="1:18" x14ac:dyDescent="0.25">
      <c r="A1037" t="s">
        <v>1113</v>
      </c>
      <c r="B1037" t="s">
        <v>59</v>
      </c>
      <c r="C1037" t="s">
        <v>60</v>
      </c>
      <c r="D1037" t="s">
        <v>61</v>
      </c>
      <c r="E1037" t="s">
        <v>98</v>
      </c>
      <c r="F1037" t="s">
        <v>246</v>
      </c>
      <c r="G1037" t="s">
        <v>57</v>
      </c>
      <c r="H1037" s="1">
        <v>45335</v>
      </c>
      <c r="I1037" t="s">
        <v>64</v>
      </c>
      <c r="J1037" t="s">
        <v>603</v>
      </c>
      <c r="K1037">
        <v>1</v>
      </c>
      <c r="N1037">
        <v>14344</v>
      </c>
      <c r="O1037">
        <v>100</v>
      </c>
      <c r="P1037" s="1">
        <v>45381</v>
      </c>
      <c r="Q1037" s="1"/>
      <c r="R1037" t="str">
        <f>IF(Table1[[#This Row],[Actual close date]]="","",Table1[[#This Row],[Actual close date]]-Table1[[#This Row],[Expected close date]])</f>
        <v/>
      </c>
    </row>
    <row r="1038" spans="1:18" x14ac:dyDescent="0.25">
      <c r="A1038" t="s">
        <v>1114</v>
      </c>
      <c r="B1038" t="s">
        <v>54</v>
      </c>
      <c r="C1038" t="s">
        <v>55</v>
      </c>
      <c r="D1038" t="s">
        <v>56</v>
      </c>
      <c r="E1038" t="s">
        <v>45</v>
      </c>
      <c r="F1038" t="s">
        <v>246</v>
      </c>
      <c r="G1038" t="s">
        <v>31</v>
      </c>
      <c r="H1038" s="1">
        <v>45397</v>
      </c>
      <c r="I1038" t="s">
        <v>24</v>
      </c>
      <c r="J1038" t="s">
        <v>603</v>
      </c>
      <c r="K1038">
        <v>1</v>
      </c>
      <c r="N1038">
        <v>19863</v>
      </c>
      <c r="O1038">
        <v>40</v>
      </c>
      <c r="P1038" s="1">
        <v>45600</v>
      </c>
      <c r="Q1038" s="1"/>
      <c r="R1038" t="str">
        <f>IF(Table1[[#This Row],[Actual close date]]="","",Table1[[#This Row],[Actual close date]]-Table1[[#This Row],[Expected close date]])</f>
        <v/>
      </c>
    </row>
    <row r="1039" spans="1:18" x14ac:dyDescent="0.25">
      <c r="A1039" t="s">
        <v>1115</v>
      </c>
      <c r="B1039" t="s">
        <v>59</v>
      </c>
      <c r="C1039" t="s">
        <v>60</v>
      </c>
      <c r="D1039" t="s">
        <v>61</v>
      </c>
      <c r="E1039" t="s">
        <v>52</v>
      </c>
      <c r="F1039" t="s">
        <v>246</v>
      </c>
      <c r="G1039" t="s">
        <v>37</v>
      </c>
      <c r="H1039" s="1">
        <v>45351</v>
      </c>
      <c r="I1039" t="s">
        <v>64</v>
      </c>
      <c r="J1039" t="s">
        <v>603</v>
      </c>
      <c r="K1039">
        <v>1</v>
      </c>
      <c r="N1039">
        <v>14666</v>
      </c>
      <c r="O1039">
        <v>60</v>
      </c>
      <c r="P1039" s="1">
        <v>45564</v>
      </c>
      <c r="Q1039" s="1"/>
      <c r="R1039" t="str">
        <f>IF(Table1[[#This Row],[Actual close date]]="","",Table1[[#This Row],[Actual close date]]-Table1[[#This Row],[Expected close date]])</f>
        <v/>
      </c>
    </row>
    <row r="1040" spans="1:18" x14ac:dyDescent="0.25">
      <c r="A1040" t="s">
        <v>1208</v>
      </c>
      <c r="B1040" t="s">
        <v>39</v>
      </c>
      <c r="C1040" t="s">
        <v>40</v>
      </c>
      <c r="D1040" t="s">
        <v>41</v>
      </c>
      <c r="E1040" t="s">
        <v>45</v>
      </c>
      <c r="F1040" t="s">
        <v>22</v>
      </c>
      <c r="G1040" t="s">
        <v>83</v>
      </c>
      <c r="H1040" s="1">
        <v>45293</v>
      </c>
      <c r="I1040" t="s">
        <v>24</v>
      </c>
      <c r="J1040" t="s">
        <v>1117</v>
      </c>
      <c r="K1040">
        <v>5</v>
      </c>
      <c r="L1040" t="s">
        <v>1118</v>
      </c>
      <c r="M1040">
        <v>2</v>
      </c>
      <c r="N1040">
        <v>1441</v>
      </c>
      <c r="O1040">
        <v>50</v>
      </c>
      <c r="P1040" s="1">
        <v>45378</v>
      </c>
      <c r="Q1040" s="1"/>
      <c r="R1040" t="str">
        <f>IF(Table1[[#This Row],[Actual close date]]="","",Table1[[#This Row],[Actual close date]]-Table1[[#This Row],[Expected close date]])</f>
        <v/>
      </c>
    </row>
    <row r="1041" spans="1:18" x14ac:dyDescent="0.25">
      <c r="A1041" t="s">
        <v>1220</v>
      </c>
      <c r="B1041" t="s">
        <v>59</v>
      </c>
      <c r="C1041" t="s">
        <v>60</v>
      </c>
      <c r="D1041" t="s">
        <v>61</v>
      </c>
      <c r="E1041" t="s">
        <v>74</v>
      </c>
      <c r="F1041" t="s">
        <v>125</v>
      </c>
      <c r="G1041" t="s">
        <v>46</v>
      </c>
      <c r="H1041" s="1">
        <v>45293</v>
      </c>
      <c r="I1041" t="s">
        <v>24</v>
      </c>
      <c r="J1041" t="s">
        <v>1117</v>
      </c>
      <c r="K1041">
        <v>5</v>
      </c>
      <c r="L1041" t="s">
        <v>1118</v>
      </c>
      <c r="M1041">
        <v>2</v>
      </c>
      <c r="N1041">
        <v>488</v>
      </c>
      <c r="O1041">
        <v>40</v>
      </c>
      <c r="P1041" s="1">
        <v>45649</v>
      </c>
      <c r="Q1041" s="1"/>
      <c r="R1041" t="str">
        <f>IF(Table1[[#This Row],[Actual close date]]="","",Table1[[#This Row],[Actual close date]]-Table1[[#This Row],[Expected close date]])</f>
        <v/>
      </c>
    </row>
    <row r="1042" spans="1:18" x14ac:dyDescent="0.25">
      <c r="A1042" t="s">
        <v>1311</v>
      </c>
      <c r="B1042" t="s">
        <v>76</v>
      </c>
      <c r="C1042" t="s">
        <v>77</v>
      </c>
      <c r="D1042" t="s">
        <v>78</v>
      </c>
      <c r="E1042" t="s">
        <v>45</v>
      </c>
      <c r="F1042" t="s">
        <v>167</v>
      </c>
      <c r="G1042" t="s">
        <v>57</v>
      </c>
      <c r="H1042" s="1">
        <v>45293</v>
      </c>
      <c r="I1042" t="s">
        <v>24</v>
      </c>
      <c r="J1042" t="s">
        <v>1117</v>
      </c>
      <c r="K1042">
        <v>5</v>
      </c>
      <c r="L1042" t="s">
        <v>1118</v>
      </c>
      <c r="M1042">
        <v>2</v>
      </c>
      <c r="N1042">
        <v>4682</v>
      </c>
      <c r="O1042">
        <v>20</v>
      </c>
      <c r="P1042" s="1">
        <v>45629</v>
      </c>
      <c r="Q1042" s="1"/>
      <c r="R1042" t="str">
        <f>IF(Table1[[#This Row],[Actual close date]]="","",Table1[[#This Row],[Actual close date]]-Table1[[#This Row],[Expected close date]])</f>
        <v/>
      </c>
    </row>
    <row r="1043" spans="1:18" x14ac:dyDescent="0.25">
      <c r="A1043" t="s">
        <v>1516</v>
      </c>
      <c r="B1043" t="s">
        <v>59</v>
      </c>
      <c r="C1043" t="s">
        <v>60</v>
      </c>
      <c r="D1043" t="s">
        <v>61</v>
      </c>
      <c r="E1043" t="s">
        <v>62</v>
      </c>
      <c r="F1043" t="s">
        <v>22</v>
      </c>
      <c r="G1043" t="s">
        <v>46</v>
      </c>
      <c r="H1043" s="1">
        <v>45293</v>
      </c>
      <c r="I1043" t="s">
        <v>47</v>
      </c>
      <c r="J1043" t="s">
        <v>1117</v>
      </c>
      <c r="K1043">
        <v>5</v>
      </c>
      <c r="L1043" t="s">
        <v>1479</v>
      </c>
      <c r="M1043">
        <v>3</v>
      </c>
      <c r="N1043">
        <v>832</v>
      </c>
      <c r="O1043">
        <v>20</v>
      </c>
      <c r="P1043" s="1">
        <v>45651</v>
      </c>
      <c r="Q1043" s="1"/>
      <c r="R1043" t="str">
        <f>IF(Table1[[#This Row],[Actual close date]]="","",Table1[[#This Row],[Actual close date]]-Table1[[#This Row],[Expected close date]])</f>
        <v/>
      </c>
    </row>
    <row r="1044" spans="1:18" x14ac:dyDescent="0.25">
      <c r="A1044" t="s">
        <v>1627</v>
      </c>
      <c r="B1044" t="s">
        <v>59</v>
      </c>
      <c r="C1044" t="s">
        <v>60</v>
      </c>
      <c r="D1044" t="s">
        <v>61</v>
      </c>
      <c r="E1044" t="s">
        <v>74</v>
      </c>
      <c r="F1044" t="s">
        <v>167</v>
      </c>
      <c r="G1044" t="s">
        <v>83</v>
      </c>
      <c r="H1044" s="1">
        <v>45293</v>
      </c>
      <c r="I1044" t="s">
        <v>64</v>
      </c>
      <c r="J1044" t="s">
        <v>1117</v>
      </c>
      <c r="K1044">
        <v>5</v>
      </c>
      <c r="L1044" t="s">
        <v>1479</v>
      </c>
      <c r="M1044">
        <v>3</v>
      </c>
      <c r="N1044">
        <v>911</v>
      </c>
      <c r="O1044">
        <v>40</v>
      </c>
      <c r="P1044" s="1">
        <v>45607</v>
      </c>
      <c r="Q1044" s="1"/>
      <c r="R1044" t="str">
        <f>IF(Table1[[#This Row],[Actual close date]]="","",Table1[[#This Row],[Actual close date]]-Table1[[#This Row],[Expected close date]])</f>
        <v/>
      </c>
    </row>
    <row r="1045" spans="1:18" x14ac:dyDescent="0.25">
      <c r="A1045" t="s">
        <v>1169</v>
      </c>
      <c r="B1045" t="s">
        <v>27</v>
      </c>
      <c r="C1045" t="s">
        <v>28</v>
      </c>
      <c r="D1045" t="s">
        <v>29</v>
      </c>
      <c r="E1045" t="s">
        <v>36</v>
      </c>
      <c r="F1045" t="s">
        <v>22</v>
      </c>
      <c r="G1045" t="s">
        <v>57</v>
      </c>
      <c r="H1045" s="1">
        <v>45294</v>
      </c>
      <c r="I1045" t="s">
        <v>24</v>
      </c>
      <c r="J1045" t="s">
        <v>1117</v>
      </c>
      <c r="K1045">
        <v>5</v>
      </c>
      <c r="L1045" t="s">
        <v>1118</v>
      </c>
      <c r="M1045">
        <v>2</v>
      </c>
      <c r="N1045">
        <v>218</v>
      </c>
      <c r="O1045">
        <v>30</v>
      </c>
      <c r="P1045" s="1">
        <v>45536</v>
      </c>
      <c r="Q1045" s="1"/>
      <c r="R1045" t="str">
        <f>IF(Table1[[#This Row],[Actual close date]]="","",Table1[[#This Row],[Actual close date]]-Table1[[#This Row],[Expected close date]])</f>
        <v/>
      </c>
    </row>
    <row r="1046" spans="1:18" x14ac:dyDescent="0.25">
      <c r="A1046" t="s">
        <v>1190</v>
      </c>
      <c r="B1046" t="s">
        <v>33</v>
      </c>
      <c r="C1046" t="s">
        <v>34</v>
      </c>
      <c r="D1046" t="s">
        <v>35</v>
      </c>
      <c r="E1046" t="s">
        <v>52</v>
      </c>
      <c r="F1046" t="s">
        <v>22</v>
      </c>
      <c r="G1046" t="s">
        <v>23</v>
      </c>
      <c r="H1046" s="1">
        <v>45294</v>
      </c>
      <c r="I1046" t="s">
        <v>64</v>
      </c>
      <c r="J1046" t="s">
        <v>1117</v>
      </c>
      <c r="K1046">
        <v>5</v>
      </c>
      <c r="L1046" t="s">
        <v>1118</v>
      </c>
      <c r="M1046">
        <v>2</v>
      </c>
      <c r="N1046">
        <v>219</v>
      </c>
      <c r="O1046">
        <v>60</v>
      </c>
      <c r="P1046" s="1">
        <v>45599</v>
      </c>
      <c r="Q1046" s="1"/>
      <c r="R1046" t="str">
        <f>IF(Table1[[#This Row],[Actual close date]]="","",Table1[[#This Row],[Actual close date]]-Table1[[#This Row],[Expected close date]])</f>
        <v/>
      </c>
    </row>
    <row r="1047" spans="1:18" x14ac:dyDescent="0.25">
      <c r="A1047" t="s">
        <v>1350</v>
      </c>
      <c r="B1047" t="s">
        <v>18</v>
      </c>
      <c r="C1047" t="s">
        <v>19</v>
      </c>
      <c r="D1047" t="s">
        <v>20</v>
      </c>
      <c r="E1047" t="s">
        <v>42</v>
      </c>
      <c r="F1047" t="s">
        <v>167</v>
      </c>
      <c r="G1047" t="s">
        <v>83</v>
      </c>
      <c r="H1047" s="1">
        <v>45294</v>
      </c>
      <c r="I1047" t="s">
        <v>24</v>
      </c>
      <c r="J1047" t="s">
        <v>1117</v>
      </c>
      <c r="K1047">
        <v>5</v>
      </c>
      <c r="L1047" t="s">
        <v>1118</v>
      </c>
      <c r="M1047">
        <v>2</v>
      </c>
      <c r="N1047">
        <v>671</v>
      </c>
      <c r="O1047">
        <v>20</v>
      </c>
      <c r="P1047" s="1">
        <v>45328</v>
      </c>
      <c r="Q1047" s="1"/>
      <c r="R1047" t="str">
        <f>IF(Table1[[#This Row],[Actual close date]]="","",Table1[[#This Row],[Actual close date]]-Table1[[#This Row],[Expected close date]])</f>
        <v/>
      </c>
    </row>
    <row r="1048" spans="1:18" x14ac:dyDescent="0.25">
      <c r="A1048" t="s">
        <v>1403</v>
      </c>
      <c r="B1048" t="s">
        <v>76</v>
      </c>
      <c r="C1048" t="s">
        <v>77</v>
      </c>
      <c r="D1048" t="s">
        <v>78</v>
      </c>
      <c r="E1048" t="s">
        <v>62</v>
      </c>
      <c r="F1048" t="s">
        <v>167</v>
      </c>
      <c r="G1048" t="s">
        <v>37</v>
      </c>
      <c r="H1048" s="1">
        <v>45294</v>
      </c>
      <c r="I1048" t="s">
        <v>64</v>
      </c>
      <c r="J1048" t="s">
        <v>1117</v>
      </c>
      <c r="K1048">
        <v>5</v>
      </c>
      <c r="L1048" t="s">
        <v>1118</v>
      </c>
      <c r="M1048">
        <v>2</v>
      </c>
      <c r="N1048">
        <v>5674</v>
      </c>
      <c r="O1048">
        <v>50</v>
      </c>
      <c r="P1048" s="1">
        <v>45367</v>
      </c>
      <c r="Q1048" s="1"/>
      <c r="R1048" t="str">
        <f>IF(Table1[[#This Row],[Actual close date]]="","",Table1[[#This Row],[Actual close date]]-Table1[[#This Row],[Expected close date]])</f>
        <v/>
      </c>
    </row>
    <row r="1049" spans="1:18" x14ac:dyDescent="0.25">
      <c r="A1049" t="s">
        <v>1578</v>
      </c>
      <c r="B1049" t="s">
        <v>39</v>
      </c>
      <c r="C1049" t="s">
        <v>40</v>
      </c>
      <c r="D1049" t="s">
        <v>41</v>
      </c>
      <c r="E1049" t="s">
        <v>45</v>
      </c>
      <c r="F1049" t="s">
        <v>125</v>
      </c>
      <c r="G1049" t="s">
        <v>57</v>
      </c>
      <c r="H1049" s="1">
        <v>45294</v>
      </c>
      <c r="I1049" t="s">
        <v>24</v>
      </c>
      <c r="J1049" t="s">
        <v>1117</v>
      </c>
      <c r="K1049">
        <v>5</v>
      </c>
      <c r="L1049" t="s">
        <v>1479</v>
      </c>
      <c r="M1049">
        <v>3</v>
      </c>
      <c r="N1049">
        <v>1074</v>
      </c>
      <c r="O1049">
        <v>60</v>
      </c>
      <c r="P1049" s="1">
        <v>45378</v>
      </c>
      <c r="Q1049" s="1"/>
      <c r="R1049" t="str">
        <f>IF(Table1[[#This Row],[Actual close date]]="","",Table1[[#This Row],[Actual close date]]-Table1[[#This Row],[Expected close date]])</f>
        <v/>
      </c>
    </row>
    <row r="1050" spans="1:18" x14ac:dyDescent="0.25">
      <c r="A1050" t="s">
        <v>1659</v>
      </c>
      <c r="B1050" t="s">
        <v>54</v>
      </c>
      <c r="C1050" t="s">
        <v>55</v>
      </c>
      <c r="D1050" t="s">
        <v>56</v>
      </c>
      <c r="E1050" t="s">
        <v>45</v>
      </c>
      <c r="F1050" t="s">
        <v>167</v>
      </c>
      <c r="G1050" t="s">
        <v>57</v>
      </c>
      <c r="H1050" s="1">
        <v>45294</v>
      </c>
      <c r="I1050" t="s">
        <v>47</v>
      </c>
      <c r="J1050" t="s">
        <v>1117</v>
      </c>
      <c r="K1050">
        <v>5</v>
      </c>
      <c r="L1050" t="s">
        <v>1479</v>
      </c>
      <c r="M1050">
        <v>3</v>
      </c>
      <c r="N1050">
        <v>1778</v>
      </c>
      <c r="O1050">
        <v>60</v>
      </c>
      <c r="P1050" s="1">
        <v>45623</v>
      </c>
      <c r="Q1050" s="1"/>
      <c r="R1050" t="str">
        <f>IF(Table1[[#This Row],[Actual close date]]="","",Table1[[#This Row],[Actual close date]]-Table1[[#This Row],[Expected close date]])</f>
        <v/>
      </c>
    </row>
    <row r="1051" spans="1:18" x14ac:dyDescent="0.25">
      <c r="A1051" t="s">
        <v>1663</v>
      </c>
      <c r="B1051" t="s">
        <v>76</v>
      </c>
      <c r="C1051" t="s">
        <v>77</v>
      </c>
      <c r="D1051" t="s">
        <v>78</v>
      </c>
      <c r="E1051" t="s">
        <v>98</v>
      </c>
      <c r="F1051" t="s">
        <v>167</v>
      </c>
      <c r="G1051" t="s">
        <v>57</v>
      </c>
      <c r="H1051" s="1">
        <v>45294</v>
      </c>
      <c r="I1051" t="s">
        <v>64</v>
      </c>
      <c r="J1051" t="s">
        <v>1117</v>
      </c>
      <c r="K1051">
        <v>5</v>
      </c>
      <c r="L1051" t="s">
        <v>1479</v>
      </c>
      <c r="M1051">
        <v>3</v>
      </c>
      <c r="N1051">
        <v>1009</v>
      </c>
      <c r="O1051">
        <v>30</v>
      </c>
      <c r="P1051" s="1">
        <v>45532</v>
      </c>
      <c r="Q1051" s="1"/>
      <c r="R1051" t="str">
        <f>IF(Table1[[#This Row],[Actual close date]]="","",Table1[[#This Row],[Actual close date]]-Table1[[#This Row],[Expected close date]])</f>
        <v/>
      </c>
    </row>
    <row r="1052" spans="1:18" x14ac:dyDescent="0.25">
      <c r="A1052" t="s">
        <v>1772</v>
      </c>
      <c r="B1052" t="s">
        <v>54</v>
      </c>
      <c r="C1052" t="s">
        <v>55</v>
      </c>
      <c r="D1052" t="s">
        <v>56</v>
      </c>
      <c r="E1052" t="s">
        <v>122</v>
      </c>
      <c r="F1052" t="s">
        <v>22</v>
      </c>
      <c r="G1052" t="s">
        <v>37</v>
      </c>
      <c r="H1052" s="1">
        <v>45294</v>
      </c>
      <c r="I1052" t="s">
        <v>64</v>
      </c>
      <c r="J1052" t="s">
        <v>1117</v>
      </c>
      <c r="K1052">
        <v>5</v>
      </c>
      <c r="L1052" t="s">
        <v>1766</v>
      </c>
      <c r="M1052">
        <v>4</v>
      </c>
      <c r="N1052">
        <v>1391</v>
      </c>
      <c r="O1052">
        <v>60</v>
      </c>
      <c r="P1052" s="1">
        <v>45481</v>
      </c>
      <c r="Q1052" s="1"/>
      <c r="R1052" t="str">
        <f>IF(Table1[[#This Row],[Actual close date]]="","",Table1[[#This Row],[Actual close date]]-Table1[[#This Row],[Expected close date]])</f>
        <v/>
      </c>
    </row>
    <row r="1053" spans="1:18" x14ac:dyDescent="0.25">
      <c r="A1053" t="s">
        <v>1122</v>
      </c>
      <c r="B1053" t="s">
        <v>54</v>
      </c>
      <c r="C1053" t="s">
        <v>55</v>
      </c>
      <c r="D1053" t="s">
        <v>56</v>
      </c>
      <c r="E1053" t="s">
        <v>45</v>
      </c>
      <c r="F1053" t="s">
        <v>22</v>
      </c>
      <c r="G1053" t="s">
        <v>23</v>
      </c>
      <c r="H1053" s="1">
        <v>45295</v>
      </c>
      <c r="I1053" t="s">
        <v>64</v>
      </c>
      <c r="J1053" t="s">
        <v>1117</v>
      </c>
      <c r="K1053">
        <v>5</v>
      </c>
      <c r="L1053" t="s">
        <v>1118</v>
      </c>
      <c r="M1053">
        <v>2</v>
      </c>
      <c r="N1053">
        <v>785</v>
      </c>
      <c r="O1053">
        <v>60</v>
      </c>
      <c r="P1053" s="1">
        <v>45343</v>
      </c>
      <c r="Q1053" s="1"/>
      <c r="R1053" t="str">
        <f>IF(Table1[[#This Row],[Actual close date]]="","",Table1[[#This Row],[Actual close date]]-Table1[[#This Row],[Expected close date]])</f>
        <v/>
      </c>
    </row>
    <row r="1054" spans="1:18" x14ac:dyDescent="0.25">
      <c r="A1054" t="s">
        <v>1599</v>
      </c>
      <c r="B1054" t="s">
        <v>33</v>
      </c>
      <c r="C1054" t="s">
        <v>34</v>
      </c>
      <c r="D1054" t="s">
        <v>35</v>
      </c>
      <c r="E1054" t="s">
        <v>21</v>
      </c>
      <c r="F1054" t="s">
        <v>125</v>
      </c>
      <c r="G1054" t="s">
        <v>85</v>
      </c>
      <c r="H1054" s="1">
        <v>45295</v>
      </c>
      <c r="I1054" t="s">
        <v>24</v>
      </c>
      <c r="J1054" t="s">
        <v>1117</v>
      </c>
      <c r="K1054">
        <v>5</v>
      </c>
      <c r="L1054" t="s">
        <v>1479</v>
      </c>
      <c r="M1054">
        <v>3</v>
      </c>
      <c r="N1054">
        <v>747</v>
      </c>
      <c r="O1054">
        <v>60</v>
      </c>
      <c r="P1054" s="1">
        <v>45492</v>
      </c>
      <c r="Q1054" s="1"/>
      <c r="R1054" t="str">
        <f>IF(Table1[[#This Row],[Actual close date]]="","",Table1[[#This Row],[Actual close date]]-Table1[[#This Row],[Expected close date]])</f>
        <v/>
      </c>
    </row>
    <row r="1055" spans="1:18" x14ac:dyDescent="0.25">
      <c r="A1055" t="s">
        <v>1744</v>
      </c>
      <c r="B1055" t="s">
        <v>49</v>
      </c>
      <c r="C1055" t="s">
        <v>50</v>
      </c>
      <c r="D1055" t="s">
        <v>51</v>
      </c>
      <c r="E1055" t="s">
        <v>21</v>
      </c>
      <c r="F1055" t="s">
        <v>167</v>
      </c>
      <c r="G1055" t="s">
        <v>72</v>
      </c>
      <c r="H1055" s="1">
        <v>45295</v>
      </c>
      <c r="I1055" t="s">
        <v>64</v>
      </c>
      <c r="J1055" t="s">
        <v>1117</v>
      </c>
      <c r="K1055">
        <v>5</v>
      </c>
      <c r="L1055" t="s">
        <v>1700</v>
      </c>
      <c r="M1055">
        <v>1</v>
      </c>
      <c r="N1055">
        <v>1111</v>
      </c>
      <c r="O1055">
        <v>20</v>
      </c>
      <c r="P1055" s="1">
        <v>45532</v>
      </c>
      <c r="Q1055" s="1"/>
      <c r="R1055" t="str">
        <f>IF(Table1[[#This Row],[Actual close date]]="","",Table1[[#This Row],[Actual close date]]-Table1[[#This Row],[Expected close date]])</f>
        <v/>
      </c>
    </row>
    <row r="1056" spans="1:18" x14ac:dyDescent="0.25">
      <c r="A1056" t="s">
        <v>1301</v>
      </c>
      <c r="B1056" t="s">
        <v>54</v>
      </c>
      <c r="C1056" t="s">
        <v>55</v>
      </c>
      <c r="D1056" t="s">
        <v>56</v>
      </c>
      <c r="E1056" t="s">
        <v>21</v>
      </c>
      <c r="F1056" t="s">
        <v>167</v>
      </c>
      <c r="G1056" t="s">
        <v>57</v>
      </c>
      <c r="H1056" s="1">
        <v>45296</v>
      </c>
      <c r="I1056" t="s">
        <v>64</v>
      </c>
      <c r="J1056" t="s">
        <v>1117</v>
      </c>
      <c r="K1056">
        <v>5</v>
      </c>
      <c r="L1056" t="s">
        <v>1118</v>
      </c>
      <c r="M1056">
        <v>2</v>
      </c>
      <c r="N1056">
        <v>6739</v>
      </c>
      <c r="O1056">
        <v>20</v>
      </c>
      <c r="P1056" s="1">
        <v>45349</v>
      </c>
      <c r="Q1056" s="1"/>
      <c r="R1056" t="str">
        <f>IF(Table1[[#This Row],[Actual close date]]="","",Table1[[#This Row],[Actual close date]]-Table1[[#This Row],[Expected close date]])</f>
        <v/>
      </c>
    </row>
    <row r="1057" spans="1:18" x14ac:dyDescent="0.25">
      <c r="A1057" t="s">
        <v>1551</v>
      </c>
      <c r="B1057" t="s">
        <v>54</v>
      </c>
      <c r="C1057" t="s">
        <v>55</v>
      </c>
      <c r="D1057" t="s">
        <v>56</v>
      </c>
      <c r="E1057" t="s">
        <v>42</v>
      </c>
      <c r="F1057" t="s">
        <v>22</v>
      </c>
      <c r="G1057" t="s">
        <v>37</v>
      </c>
      <c r="H1057" s="1">
        <v>45296</v>
      </c>
      <c r="I1057" t="s">
        <v>64</v>
      </c>
      <c r="J1057" t="s">
        <v>1117</v>
      </c>
      <c r="K1057">
        <v>5</v>
      </c>
      <c r="L1057" t="s">
        <v>1479</v>
      </c>
      <c r="M1057">
        <v>3</v>
      </c>
      <c r="N1057">
        <v>1086</v>
      </c>
      <c r="O1057">
        <v>80</v>
      </c>
      <c r="P1057" s="1">
        <v>45563</v>
      </c>
      <c r="Q1057" s="1"/>
      <c r="R1057" t="str">
        <f>IF(Table1[[#This Row],[Actual close date]]="","",Table1[[#This Row],[Actual close date]]-Table1[[#This Row],[Expected close date]])</f>
        <v/>
      </c>
    </row>
    <row r="1058" spans="1:18" x14ac:dyDescent="0.25">
      <c r="A1058" t="s">
        <v>1647</v>
      </c>
      <c r="B1058" t="s">
        <v>33</v>
      </c>
      <c r="C1058" t="s">
        <v>34</v>
      </c>
      <c r="D1058" t="s">
        <v>35</v>
      </c>
      <c r="E1058" t="s">
        <v>21</v>
      </c>
      <c r="F1058" t="s">
        <v>167</v>
      </c>
      <c r="G1058" t="s">
        <v>83</v>
      </c>
      <c r="H1058" s="1">
        <v>45296</v>
      </c>
      <c r="I1058" t="s">
        <v>64</v>
      </c>
      <c r="J1058" t="s">
        <v>1117</v>
      </c>
      <c r="K1058">
        <v>5</v>
      </c>
      <c r="L1058" t="s">
        <v>1479</v>
      </c>
      <c r="M1058">
        <v>3</v>
      </c>
      <c r="N1058">
        <v>5386</v>
      </c>
      <c r="O1058">
        <v>40</v>
      </c>
      <c r="P1058" s="1">
        <v>45454</v>
      </c>
      <c r="Q1058" s="1"/>
      <c r="R1058" t="str">
        <f>IF(Table1[[#This Row],[Actual close date]]="","",Table1[[#This Row],[Actual close date]]-Table1[[#This Row],[Expected close date]])</f>
        <v/>
      </c>
    </row>
    <row r="1059" spans="1:18" x14ac:dyDescent="0.25">
      <c r="A1059" t="s">
        <v>1736</v>
      </c>
      <c r="B1059" t="s">
        <v>69</v>
      </c>
      <c r="C1059" t="s">
        <v>70</v>
      </c>
      <c r="D1059" t="s">
        <v>71</v>
      </c>
      <c r="E1059" t="s">
        <v>74</v>
      </c>
      <c r="F1059" t="s">
        <v>125</v>
      </c>
      <c r="G1059" t="s">
        <v>37</v>
      </c>
      <c r="H1059" s="1">
        <v>45296</v>
      </c>
      <c r="I1059" t="s">
        <v>47</v>
      </c>
      <c r="J1059" t="s">
        <v>1117</v>
      </c>
      <c r="K1059">
        <v>5</v>
      </c>
      <c r="L1059" t="s">
        <v>1700</v>
      </c>
      <c r="M1059">
        <v>1</v>
      </c>
      <c r="N1059">
        <v>1083</v>
      </c>
      <c r="O1059">
        <v>20</v>
      </c>
      <c r="P1059" s="1">
        <v>45481</v>
      </c>
      <c r="Q1059" s="1"/>
      <c r="R1059" t="str">
        <f>IF(Table1[[#This Row],[Actual close date]]="","",Table1[[#This Row],[Actual close date]]-Table1[[#This Row],[Expected close date]])</f>
        <v/>
      </c>
    </row>
    <row r="1060" spans="1:18" x14ac:dyDescent="0.25">
      <c r="A1060" t="s">
        <v>1267</v>
      </c>
      <c r="B1060" t="s">
        <v>59</v>
      </c>
      <c r="C1060" t="s">
        <v>60</v>
      </c>
      <c r="D1060" t="s">
        <v>61</v>
      </c>
      <c r="E1060" t="s">
        <v>21</v>
      </c>
      <c r="F1060" t="s">
        <v>125</v>
      </c>
      <c r="G1060" t="s">
        <v>37</v>
      </c>
      <c r="H1060" s="1">
        <v>45297</v>
      </c>
      <c r="I1060" t="s">
        <v>24</v>
      </c>
      <c r="J1060" t="s">
        <v>1117</v>
      </c>
      <c r="K1060">
        <v>5</v>
      </c>
      <c r="L1060" t="s">
        <v>1118</v>
      </c>
      <c r="M1060">
        <v>2</v>
      </c>
      <c r="N1060">
        <v>1109</v>
      </c>
      <c r="O1060">
        <v>30</v>
      </c>
      <c r="P1060" s="1">
        <v>45492</v>
      </c>
      <c r="Q1060" s="1"/>
      <c r="R1060" t="str">
        <f>IF(Table1[[#This Row],[Actual close date]]="","",Table1[[#This Row],[Actual close date]]-Table1[[#This Row],[Expected close date]])</f>
        <v/>
      </c>
    </row>
    <row r="1061" spans="1:18" x14ac:dyDescent="0.25">
      <c r="A1061" t="s">
        <v>1514</v>
      </c>
      <c r="B1061" t="s">
        <v>69</v>
      </c>
      <c r="C1061" t="s">
        <v>70</v>
      </c>
      <c r="D1061" t="s">
        <v>71</v>
      </c>
      <c r="E1061" t="s">
        <v>45</v>
      </c>
      <c r="F1061" t="s">
        <v>22</v>
      </c>
      <c r="G1061" t="s">
        <v>85</v>
      </c>
      <c r="H1061" s="1">
        <v>45297</v>
      </c>
      <c r="I1061" t="s">
        <v>64</v>
      </c>
      <c r="J1061" t="s">
        <v>1117</v>
      </c>
      <c r="K1061">
        <v>5</v>
      </c>
      <c r="L1061" t="s">
        <v>1479</v>
      </c>
      <c r="M1061">
        <v>3</v>
      </c>
      <c r="N1061">
        <v>1738</v>
      </c>
      <c r="O1061">
        <v>50</v>
      </c>
      <c r="P1061" s="1">
        <v>45486</v>
      </c>
      <c r="Q1061" s="1"/>
      <c r="R1061" t="str">
        <f>IF(Table1[[#This Row],[Actual close date]]="","",Table1[[#This Row],[Actual close date]]-Table1[[#This Row],[Expected close date]])</f>
        <v/>
      </c>
    </row>
    <row r="1062" spans="1:18" x14ac:dyDescent="0.25">
      <c r="A1062" t="s">
        <v>1158</v>
      </c>
      <c r="B1062" t="s">
        <v>59</v>
      </c>
      <c r="C1062" t="s">
        <v>60</v>
      </c>
      <c r="D1062" t="s">
        <v>61</v>
      </c>
      <c r="E1062" t="s">
        <v>98</v>
      </c>
      <c r="F1062" t="s">
        <v>22</v>
      </c>
      <c r="G1062" t="s">
        <v>57</v>
      </c>
      <c r="H1062" s="1">
        <v>45298</v>
      </c>
      <c r="I1062" t="s">
        <v>64</v>
      </c>
      <c r="J1062" t="s">
        <v>1117</v>
      </c>
      <c r="K1062">
        <v>5</v>
      </c>
      <c r="L1062" t="s">
        <v>1118</v>
      </c>
      <c r="M1062">
        <v>2</v>
      </c>
      <c r="N1062">
        <v>334</v>
      </c>
      <c r="O1062">
        <v>30</v>
      </c>
      <c r="P1062" s="1">
        <v>45450</v>
      </c>
      <c r="Q1062" s="1"/>
      <c r="R1062" t="str">
        <f>IF(Table1[[#This Row],[Actual close date]]="","",Table1[[#This Row],[Actual close date]]-Table1[[#This Row],[Expected close date]])</f>
        <v/>
      </c>
    </row>
    <row r="1063" spans="1:18" x14ac:dyDescent="0.25">
      <c r="A1063" t="s">
        <v>1524</v>
      </c>
      <c r="B1063" t="s">
        <v>27</v>
      </c>
      <c r="C1063" t="s">
        <v>28</v>
      </c>
      <c r="D1063" t="s">
        <v>29</v>
      </c>
      <c r="E1063" t="s">
        <v>42</v>
      </c>
      <c r="F1063" t="s">
        <v>22</v>
      </c>
      <c r="G1063" t="s">
        <v>46</v>
      </c>
      <c r="H1063" s="1">
        <v>45298</v>
      </c>
      <c r="I1063" t="s">
        <v>64</v>
      </c>
      <c r="J1063" t="s">
        <v>1117</v>
      </c>
      <c r="K1063">
        <v>5</v>
      </c>
      <c r="L1063" t="s">
        <v>1479</v>
      </c>
      <c r="M1063">
        <v>3</v>
      </c>
      <c r="N1063">
        <v>1970</v>
      </c>
      <c r="O1063">
        <v>40</v>
      </c>
      <c r="P1063" s="1">
        <v>45607</v>
      </c>
      <c r="Q1063" s="1"/>
      <c r="R1063" t="str">
        <f>IF(Table1[[#This Row],[Actual close date]]="","",Table1[[#This Row],[Actual close date]]-Table1[[#This Row],[Expected close date]])</f>
        <v/>
      </c>
    </row>
    <row r="1064" spans="1:18" x14ac:dyDescent="0.25">
      <c r="A1064" t="s">
        <v>1764</v>
      </c>
      <c r="B1064" t="s">
        <v>49</v>
      </c>
      <c r="C1064" t="s">
        <v>50</v>
      </c>
      <c r="D1064" t="s">
        <v>51</v>
      </c>
      <c r="E1064" t="s">
        <v>101</v>
      </c>
      <c r="F1064" t="s">
        <v>246</v>
      </c>
      <c r="G1064" t="s">
        <v>83</v>
      </c>
      <c r="H1064" s="1">
        <v>45298</v>
      </c>
      <c r="I1064" t="s">
        <v>24</v>
      </c>
      <c r="J1064" t="s">
        <v>1117</v>
      </c>
      <c r="K1064">
        <v>5</v>
      </c>
      <c r="L1064" t="s">
        <v>1700</v>
      </c>
      <c r="M1064">
        <v>1</v>
      </c>
      <c r="N1064">
        <v>5197</v>
      </c>
      <c r="O1064">
        <v>40</v>
      </c>
      <c r="P1064" s="1">
        <v>45451</v>
      </c>
      <c r="Q1064" s="1"/>
      <c r="R1064" t="str">
        <f>IF(Table1[[#This Row],[Actual close date]]="","",Table1[[#This Row],[Actual close date]]-Table1[[#This Row],[Expected close date]])</f>
        <v/>
      </c>
    </row>
    <row r="1065" spans="1:18" x14ac:dyDescent="0.25">
      <c r="A1065" t="s">
        <v>1123</v>
      </c>
      <c r="B1065" t="s">
        <v>59</v>
      </c>
      <c r="C1065" t="s">
        <v>60</v>
      </c>
      <c r="D1065" t="s">
        <v>61</v>
      </c>
      <c r="E1065" t="s">
        <v>122</v>
      </c>
      <c r="F1065" t="s">
        <v>22</v>
      </c>
      <c r="G1065" t="s">
        <v>46</v>
      </c>
      <c r="H1065" s="1">
        <v>45299</v>
      </c>
      <c r="I1065" t="s">
        <v>64</v>
      </c>
      <c r="J1065" t="s">
        <v>1117</v>
      </c>
      <c r="K1065">
        <v>5</v>
      </c>
      <c r="L1065" t="s">
        <v>1118</v>
      </c>
      <c r="M1065">
        <v>2</v>
      </c>
      <c r="N1065">
        <v>1380</v>
      </c>
      <c r="O1065">
        <v>30</v>
      </c>
      <c r="P1065" s="1">
        <v>45641</v>
      </c>
      <c r="Q1065" s="1"/>
      <c r="R1065" t="str">
        <f>IF(Table1[[#This Row],[Actual close date]]="","",Table1[[#This Row],[Actual close date]]-Table1[[#This Row],[Expected close date]])</f>
        <v/>
      </c>
    </row>
    <row r="1066" spans="1:18" x14ac:dyDescent="0.25">
      <c r="A1066" t="s">
        <v>1289</v>
      </c>
      <c r="B1066" t="s">
        <v>59</v>
      </c>
      <c r="C1066" t="s">
        <v>60</v>
      </c>
      <c r="D1066" t="s">
        <v>61</v>
      </c>
      <c r="E1066" t="s">
        <v>30</v>
      </c>
      <c r="F1066" t="s">
        <v>167</v>
      </c>
      <c r="G1066" t="s">
        <v>72</v>
      </c>
      <c r="H1066" s="1">
        <v>45299</v>
      </c>
      <c r="I1066" t="s">
        <v>47</v>
      </c>
      <c r="J1066" t="s">
        <v>1117</v>
      </c>
      <c r="K1066">
        <v>5</v>
      </c>
      <c r="L1066" t="s">
        <v>1118</v>
      </c>
      <c r="M1066">
        <v>2</v>
      </c>
      <c r="N1066">
        <v>6024</v>
      </c>
      <c r="O1066">
        <v>50</v>
      </c>
      <c r="P1066" s="1">
        <v>45456</v>
      </c>
      <c r="Q1066" s="1"/>
      <c r="R1066" t="str">
        <f>IF(Table1[[#This Row],[Actual close date]]="","",Table1[[#This Row],[Actual close date]]-Table1[[#This Row],[Expected close date]])</f>
        <v/>
      </c>
    </row>
    <row r="1067" spans="1:18" x14ac:dyDescent="0.25">
      <c r="A1067" t="s">
        <v>1643</v>
      </c>
      <c r="B1067" t="s">
        <v>39</v>
      </c>
      <c r="C1067" t="s">
        <v>40</v>
      </c>
      <c r="D1067" t="s">
        <v>41</v>
      </c>
      <c r="E1067" t="s">
        <v>74</v>
      </c>
      <c r="F1067" t="s">
        <v>167</v>
      </c>
      <c r="G1067" t="s">
        <v>83</v>
      </c>
      <c r="H1067" s="1">
        <v>45299</v>
      </c>
      <c r="I1067" t="s">
        <v>24</v>
      </c>
      <c r="J1067" t="s">
        <v>1117</v>
      </c>
      <c r="K1067">
        <v>5</v>
      </c>
      <c r="L1067" t="s">
        <v>1479</v>
      </c>
      <c r="M1067">
        <v>3</v>
      </c>
      <c r="N1067">
        <v>431</v>
      </c>
      <c r="O1067">
        <v>60</v>
      </c>
      <c r="P1067" s="1">
        <v>45479</v>
      </c>
      <c r="Q1067" s="1"/>
      <c r="R1067" t="str">
        <f>IF(Table1[[#This Row],[Actual close date]]="","",Table1[[#This Row],[Actual close date]]-Table1[[#This Row],[Expected close date]])</f>
        <v/>
      </c>
    </row>
    <row r="1068" spans="1:18" x14ac:dyDescent="0.25">
      <c r="A1068" t="s">
        <v>1644</v>
      </c>
      <c r="B1068" t="s">
        <v>49</v>
      </c>
      <c r="C1068" t="s">
        <v>50</v>
      </c>
      <c r="D1068" t="s">
        <v>51</v>
      </c>
      <c r="E1068" t="s">
        <v>45</v>
      </c>
      <c r="F1068" t="s">
        <v>167</v>
      </c>
      <c r="G1068" t="s">
        <v>46</v>
      </c>
      <c r="H1068" s="1">
        <v>45299</v>
      </c>
      <c r="I1068" t="s">
        <v>64</v>
      </c>
      <c r="J1068" t="s">
        <v>1117</v>
      </c>
      <c r="K1068">
        <v>5</v>
      </c>
      <c r="L1068" t="s">
        <v>1479</v>
      </c>
      <c r="M1068">
        <v>3</v>
      </c>
      <c r="N1068">
        <v>3731</v>
      </c>
      <c r="O1068">
        <v>50</v>
      </c>
      <c r="P1068" s="1">
        <v>45502</v>
      </c>
      <c r="Q1068" s="1"/>
      <c r="R1068" t="str">
        <f>IF(Table1[[#This Row],[Actual close date]]="","",Table1[[#This Row],[Actual close date]]-Table1[[#This Row],[Expected close date]])</f>
        <v/>
      </c>
    </row>
    <row r="1069" spans="1:18" x14ac:dyDescent="0.25">
      <c r="A1069" t="s">
        <v>1232</v>
      </c>
      <c r="B1069" t="s">
        <v>59</v>
      </c>
      <c r="C1069" t="s">
        <v>60</v>
      </c>
      <c r="D1069" t="s">
        <v>61</v>
      </c>
      <c r="E1069" t="s">
        <v>45</v>
      </c>
      <c r="F1069" t="s">
        <v>125</v>
      </c>
      <c r="G1069" t="s">
        <v>46</v>
      </c>
      <c r="H1069" s="1">
        <v>45300</v>
      </c>
      <c r="I1069" t="s">
        <v>64</v>
      </c>
      <c r="J1069" t="s">
        <v>1117</v>
      </c>
      <c r="K1069">
        <v>5</v>
      </c>
      <c r="L1069" t="s">
        <v>1118</v>
      </c>
      <c r="M1069">
        <v>2</v>
      </c>
      <c r="N1069">
        <v>825</v>
      </c>
      <c r="O1069">
        <v>30</v>
      </c>
      <c r="P1069" s="1">
        <v>45488</v>
      </c>
      <c r="Q1069" s="1"/>
      <c r="R1069" t="str">
        <f>IF(Table1[[#This Row],[Actual close date]]="","",Table1[[#This Row],[Actual close date]]-Table1[[#This Row],[Expected close date]])</f>
        <v/>
      </c>
    </row>
    <row r="1070" spans="1:18" x14ac:dyDescent="0.25">
      <c r="A1070" t="s">
        <v>1263</v>
      </c>
      <c r="B1070" t="s">
        <v>39</v>
      </c>
      <c r="C1070" t="s">
        <v>40</v>
      </c>
      <c r="D1070" t="s">
        <v>41</v>
      </c>
      <c r="E1070" t="s">
        <v>45</v>
      </c>
      <c r="F1070" t="s">
        <v>125</v>
      </c>
      <c r="G1070" t="s">
        <v>83</v>
      </c>
      <c r="H1070" s="1">
        <v>45300</v>
      </c>
      <c r="I1070" t="s">
        <v>64</v>
      </c>
      <c r="J1070" t="s">
        <v>1117</v>
      </c>
      <c r="K1070">
        <v>5</v>
      </c>
      <c r="L1070" t="s">
        <v>1118</v>
      </c>
      <c r="M1070">
        <v>2</v>
      </c>
      <c r="N1070">
        <v>675</v>
      </c>
      <c r="O1070">
        <v>60</v>
      </c>
      <c r="P1070" s="1">
        <v>45402</v>
      </c>
      <c r="Q1070" s="1"/>
      <c r="R1070" t="str">
        <f>IF(Table1[[#This Row],[Actual close date]]="","",Table1[[#This Row],[Actual close date]]-Table1[[#This Row],[Expected close date]])</f>
        <v/>
      </c>
    </row>
    <row r="1071" spans="1:18" x14ac:dyDescent="0.25">
      <c r="A1071" t="s">
        <v>1495</v>
      </c>
      <c r="B1071" t="s">
        <v>33</v>
      </c>
      <c r="C1071" t="s">
        <v>34</v>
      </c>
      <c r="D1071" t="s">
        <v>35</v>
      </c>
      <c r="E1071" t="s">
        <v>62</v>
      </c>
      <c r="F1071" t="s">
        <v>22</v>
      </c>
      <c r="G1071" t="s">
        <v>46</v>
      </c>
      <c r="H1071" s="1">
        <v>45300</v>
      </c>
      <c r="I1071" t="s">
        <v>64</v>
      </c>
      <c r="J1071" t="s">
        <v>1117</v>
      </c>
      <c r="K1071">
        <v>5</v>
      </c>
      <c r="L1071" t="s">
        <v>1479</v>
      </c>
      <c r="M1071">
        <v>3</v>
      </c>
      <c r="N1071">
        <v>1776</v>
      </c>
      <c r="O1071">
        <v>40</v>
      </c>
      <c r="P1071" s="1">
        <v>45455</v>
      </c>
      <c r="Q1071" s="1"/>
      <c r="R1071" t="str">
        <f>IF(Table1[[#This Row],[Actual close date]]="","",Table1[[#This Row],[Actual close date]]-Table1[[#This Row],[Expected close date]])</f>
        <v/>
      </c>
    </row>
    <row r="1072" spans="1:18" x14ac:dyDescent="0.25">
      <c r="A1072" t="s">
        <v>1593</v>
      </c>
      <c r="B1072" t="s">
        <v>33</v>
      </c>
      <c r="C1072" t="s">
        <v>34</v>
      </c>
      <c r="D1072" t="s">
        <v>35</v>
      </c>
      <c r="E1072" t="s">
        <v>52</v>
      </c>
      <c r="F1072" t="s">
        <v>125</v>
      </c>
      <c r="G1072" t="s">
        <v>46</v>
      </c>
      <c r="H1072" s="1">
        <v>45300</v>
      </c>
      <c r="I1072" t="s">
        <v>47</v>
      </c>
      <c r="J1072" t="s">
        <v>1117</v>
      </c>
      <c r="K1072">
        <v>5</v>
      </c>
      <c r="L1072" t="s">
        <v>1479</v>
      </c>
      <c r="M1072">
        <v>3</v>
      </c>
      <c r="N1072">
        <v>823</v>
      </c>
      <c r="O1072">
        <v>50</v>
      </c>
      <c r="P1072" s="1">
        <v>45404</v>
      </c>
      <c r="Q1072" s="1"/>
      <c r="R1072" t="str">
        <f>IF(Table1[[#This Row],[Actual close date]]="","",Table1[[#This Row],[Actual close date]]-Table1[[#This Row],[Expected close date]])</f>
        <v/>
      </c>
    </row>
    <row r="1073" spans="1:18" x14ac:dyDescent="0.25">
      <c r="A1073" t="s">
        <v>1606</v>
      </c>
      <c r="B1073" t="s">
        <v>49</v>
      </c>
      <c r="C1073" t="s">
        <v>50</v>
      </c>
      <c r="D1073" t="s">
        <v>51</v>
      </c>
      <c r="E1073" t="s">
        <v>45</v>
      </c>
      <c r="F1073" t="s">
        <v>167</v>
      </c>
      <c r="G1073" t="s">
        <v>57</v>
      </c>
      <c r="H1073" s="1">
        <v>45300</v>
      </c>
      <c r="I1073" t="s">
        <v>24</v>
      </c>
      <c r="J1073" t="s">
        <v>1117</v>
      </c>
      <c r="K1073">
        <v>5</v>
      </c>
      <c r="L1073" t="s">
        <v>1479</v>
      </c>
      <c r="M1073">
        <v>3</v>
      </c>
      <c r="N1073">
        <v>2434</v>
      </c>
      <c r="O1073">
        <v>50</v>
      </c>
      <c r="P1073" s="1">
        <v>45330</v>
      </c>
      <c r="Q1073" s="1"/>
      <c r="R1073" t="str">
        <f>IF(Table1[[#This Row],[Actual close date]]="","",Table1[[#This Row],[Actual close date]]-Table1[[#This Row],[Expected close date]])</f>
        <v/>
      </c>
    </row>
    <row r="1074" spans="1:18" x14ac:dyDescent="0.25">
      <c r="A1074" t="s">
        <v>1841</v>
      </c>
      <c r="B1074" t="s">
        <v>69</v>
      </c>
      <c r="C1074" t="s">
        <v>70</v>
      </c>
      <c r="D1074" t="s">
        <v>71</v>
      </c>
      <c r="E1074" t="s">
        <v>118</v>
      </c>
      <c r="F1074" t="s">
        <v>167</v>
      </c>
      <c r="G1074" t="s">
        <v>72</v>
      </c>
      <c r="H1074" s="1">
        <v>45300</v>
      </c>
      <c r="I1074" t="s">
        <v>47</v>
      </c>
      <c r="J1074" t="s">
        <v>1117</v>
      </c>
      <c r="K1074">
        <v>5</v>
      </c>
      <c r="L1074" t="s">
        <v>1766</v>
      </c>
      <c r="M1074">
        <v>4</v>
      </c>
      <c r="N1074">
        <v>5451</v>
      </c>
      <c r="O1074">
        <v>90</v>
      </c>
      <c r="P1074" s="1">
        <v>45409</v>
      </c>
      <c r="Q1074" s="1"/>
      <c r="R1074" t="str">
        <f>IF(Table1[[#This Row],[Actual close date]]="","",Table1[[#This Row],[Actual close date]]-Table1[[#This Row],[Expected close date]])</f>
        <v/>
      </c>
    </row>
    <row r="1075" spans="1:18" x14ac:dyDescent="0.25">
      <c r="A1075" t="s">
        <v>1860</v>
      </c>
      <c r="B1075" t="s">
        <v>59</v>
      </c>
      <c r="C1075" t="s">
        <v>60</v>
      </c>
      <c r="D1075" t="s">
        <v>61</v>
      </c>
      <c r="E1075" t="s">
        <v>21</v>
      </c>
      <c r="F1075" t="s">
        <v>167</v>
      </c>
      <c r="G1075" t="s">
        <v>37</v>
      </c>
      <c r="H1075" s="1">
        <v>45300</v>
      </c>
      <c r="I1075" t="s">
        <v>64</v>
      </c>
      <c r="J1075" t="s">
        <v>1117</v>
      </c>
      <c r="K1075">
        <v>5</v>
      </c>
      <c r="L1075" t="s">
        <v>1766</v>
      </c>
      <c r="M1075">
        <v>4</v>
      </c>
      <c r="N1075">
        <v>7008</v>
      </c>
      <c r="O1075">
        <v>30</v>
      </c>
      <c r="P1075" s="1">
        <v>45517</v>
      </c>
      <c r="Q1075" s="1"/>
      <c r="R1075" t="str">
        <f>IF(Table1[[#This Row],[Actual close date]]="","",Table1[[#This Row],[Actual close date]]-Table1[[#This Row],[Expected close date]])</f>
        <v/>
      </c>
    </row>
    <row r="1076" spans="1:18" x14ac:dyDescent="0.25">
      <c r="A1076" t="s">
        <v>1258</v>
      </c>
      <c r="B1076" t="s">
        <v>54</v>
      </c>
      <c r="C1076" t="s">
        <v>55</v>
      </c>
      <c r="D1076" t="s">
        <v>56</v>
      </c>
      <c r="E1076" t="s">
        <v>62</v>
      </c>
      <c r="F1076" t="s">
        <v>125</v>
      </c>
      <c r="G1076" t="s">
        <v>37</v>
      </c>
      <c r="H1076" s="1">
        <v>45301</v>
      </c>
      <c r="I1076" t="s">
        <v>64</v>
      </c>
      <c r="J1076" t="s">
        <v>1117</v>
      </c>
      <c r="K1076">
        <v>5</v>
      </c>
      <c r="L1076" t="s">
        <v>1118</v>
      </c>
      <c r="M1076">
        <v>2</v>
      </c>
      <c r="N1076">
        <v>489</v>
      </c>
      <c r="O1076">
        <v>60</v>
      </c>
      <c r="P1076" s="1">
        <v>45505</v>
      </c>
      <c r="Q1076" s="1"/>
      <c r="R1076" t="str">
        <f>IF(Table1[[#This Row],[Actual close date]]="","",Table1[[#This Row],[Actual close date]]-Table1[[#This Row],[Expected close date]])</f>
        <v/>
      </c>
    </row>
    <row r="1077" spans="1:18" x14ac:dyDescent="0.25">
      <c r="A1077" t="s">
        <v>1331</v>
      </c>
      <c r="B1077" t="s">
        <v>18</v>
      </c>
      <c r="C1077" t="s">
        <v>19</v>
      </c>
      <c r="D1077" t="s">
        <v>20</v>
      </c>
      <c r="E1077" t="s">
        <v>42</v>
      </c>
      <c r="F1077" t="s">
        <v>167</v>
      </c>
      <c r="G1077" t="s">
        <v>37</v>
      </c>
      <c r="H1077" s="1">
        <v>45301</v>
      </c>
      <c r="I1077" t="s">
        <v>64</v>
      </c>
      <c r="J1077" t="s">
        <v>1117</v>
      </c>
      <c r="K1077">
        <v>5</v>
      </c>
      <c r="L1077" t="s">
        <v>1118</v>
      </c>
      <c r="M1077">
        <v>2</v>
      </c>
      <c r="N1077">
        <v>502</v>
      </c>
      <c r="O1077">
        <v>10</v>
      </c>
      <c r="P1077" s="1">
        <v>45649</v>
      </c>
      <c r="Q1077" s="1"/>
      <c r="R1077" t="str">
        <f>IF(Table1[[#This Row],[Actual close date]]="","",Table1[[#This Row],[Actual close date]]-Table1[[#This Row],[Expected close date]])</f>
        <v/>
      </c>
    </row>
    <row r="1078" spans="1:18" x14ac:dyDescent="0.25">
      <c r="A1078" t="s">
        <v>1641</v>
      </c>
      <c r="B1078" t="s">
        <v>54</v>
      </c>
      <c r="C1078" t="s">
        <v>55</v>
      </c>
      <c r="D1078" t="s">
        <v>56</v>
      </c>
      <c r="E1078" t="s">
        <v>36</v>
      </c>
      <c r="F1078" t="s">
        <v>167</v>
      </c>
      <c r="G1078" t="s">
        <v>46</v>
      </c>
      <c r="H1078" s="1">
        <v>45301</v>
      </c>
      <c r="I1078" t="s">
        <v>47</v>
      </c>
      <c r="J1078" t="s">
        <v>1117</v>
      </c>
      <c r="K1078">
        <v>5</v>
      </c>
      <c r="L1078" t="s">
        <v>1479</v>
      </c>
      <c r="M1078">
        <v>3</v>
      </c>
      <c r="N1078">
        <v>1989</v>
      </c>
      <c r="O1078">
        <v>30</v>
      </c>
      <c r="P1078" s="1">
        <v>45445</v>
      </c>
      <c r="Q1078" s="1"/>
      <c r="R1078" t="str">
        <f>IF(Table1[[#This Row],[Actual close date]]="","",Table1[[#This Row],[Actual close date]]-Table1[[#This Row],[Expected close date]])</f>
        <v/>
      </c>
    </row>
    <row r="1079" spans="1:18" x14ac:dyDescent="0.25">
      <c r="A1079" t="s">
        <v>1193</v>
      </c>
      <c r="B1079" t="s">
        <v>39</v>
      </c>
      <c r="C1079" t="s">
        <v>40</v>
      </c>
      <c r="D1079" t="s">
        <v>41</v>
      </c>
      <c r="E1079" t="s">
        <v>52</v>
      </c>
      <c r="F1079" t="s">
        <v>22</v>
      </c>
      <c r="G1079" t="s">
        <v>37</v>
      </c>
      <c r="H1079" s="1">
        <v>45302</v>
      </c>
      <c r="I1079" t="s">
        <v>47</v>
      </c>
      <c r="J1079" t="s">
        <v>1117</v>
      </c>
      <c r="K1079">
        <v>5</v>
      </c>
      <c r="L1079" t="s">
        <v>1118</v>
      </c>
      <c r="M1079">
        <v>2</v>
      </c>
      <c r="N1079">
        <v>713</v>
      </c>
      <c r="O1079">
        <v>30</v>
      </c>
      <c r="P1079" s="1">
        <v>45376</v>
      </c>
      <c r="Q1079" s="1"/>
      <c r="R1079" t="str">
        <f>IF(Table1[[#This Row],[Actual close date]]="","",Table1[[#This Row],[Actual close date]]-Table1[[#This Row],[Expected close date]])</f>
        <v/>
      </c>
    </row>
    <row r="1080" spans="1:18" x14ac:dyDescent="0.25">
      <c r="A1080" t="s">
        <v>1303</v>
      </c>
      <c r="B1080" t="s">
        <v>18</v>
      </c>
      <c r="C1080" t="s">
        <v>19</v>
      </c>
      <c r="D1080" t="s">
        <v>20</v>
      </c>
      <c r="E1080" t="s">
        <v>45</v>
      </c>
      <c r="F1080" t="s">
        <v>167</v>
      </c>
      <c r="G1080" t="s">
        <v>23</v>
      </c>
      <c r="H1080" s="1">
        <v>45302</v>
      </c>
      <c r="I1080" t="s">
        <v>64</v>
      </c>
      <c r="J1080" t="s">
        <v>1117</v>
      </c>
      <c r="K1080">
        <v>5</v>
      </c>
      <c r="L1080" t="s">
        <v>1118</v>
      </c>
      <c r="M1080">
        <v>2</v>
      </c>
      <c r="N1080">
        <v>5436</v>
      </c>
      <c r="O1080">
        <v>20</v>
      </c>
      <c r="P1080" s="1">
        <v>45613</v>
      </c>
      <c r="Q1080" s="1"/>
      <c r="R1080" t="str">
        <f>IF(Table1[[#This Row],[Actual close date]]="","",Table1[[#This Row],[Actual close date]]-Table1[[#This Row],[Expected close date]])</f>
        <v/>
      </c>
    </row>
    <row r="1081" spans="1:18" x14ac:dyDescent="0.25">
      <c r="A1081" t="s">
        <v>1515</v>
      </c>
      <c r="B1081" t="s">
        <v>33</v>
      </c>
      <c r="C1081" t="s">
        <v>34</v>
      </c>
      <c r="D1081" t="s">
        <v>35</v>
      </c>
      <c r="E1081" t="s">
        <v>122</v>
      </c>
      <c r="F1081" t="s">
        <v>22</v>
      </c>
      <c r="G1081" t="s">
        <v>23</v>
      </c>
      <c r="H1081" s="1">
        <v>45302</v>
      </c>
      <c r="I1081" t="s">
        <v>24</v>
      </c>
      <c r="J1081" t="s">
        <v>1117</v>
      </c>
      <c r="K1081">
        <v>5</v>
      </c>
      <c r="L1081" t="s">
        <v>1479</v>
      </c>
      <c r="M1081">
        <v>3</v>
      </c>
      <c r="N1081">
        <v>784</v>
      </c>
      <c r="O1081">
        <v>50</v>
      </c>
      <c r="P1081" s="1">
        <v>45374</v>
      </c>
      <c r="Q1081" s="1"/>
      <c r="R1081" t="str">
        <f>IF(Table1[[#This Row],[Actual close date]]="","",Table1[[#This Row],[Actual close date]]-Table1[[#This Row],[Expected close date]])</f>
        <v/>
      </c>
    </row>
    <row r="1082" spans="1:18" x14ac:dyDescent="0.25">
      <c r="A1082" t="s">
        <v>1665</v>
      </c>
      <c r="B1082" t="s">
        <v>59</v>
      </c>
      <c r="C1082" t="s">
        <v>60</v>
      </c>
      <c r="D1082" t="s">
        <v>61</v>
      </c>
      <c r="E1082" t="s">
        <v>52</v>
      </c>
      <c r="F1082" t="s">
        <v>167</v>
      </c>
      <c r="G1082" t="s">
        <v>46</v>
      </c>
      <c r="H1082" s="1">
        <v>45302</v>
      </c>
      <c r="I1082" t="s">
        <v>24</v>
      </c>
      <c r="J1082" t="s">
        <v>1117</v>
      </c>
      <c r="K1082">
        <v>5</v>
      </c>
      <c r="L1082" t="s">
        <v>1479</v>
      </c>
      <c r="M1082">
        <v>3</v>
      </c>
      <c r="N1082">
        <v>728</v>
      </c>
      <c r="O1082">
        <v>80</v>
      </c>
      <c r="P1082" s="1">
        <v>45616</v>
      </c>
      <c r="Q1082" s="1"/>
      <c r="R1082" t="str">
        <f>IF(Table1[[#This Row],[Actual close date]]="","",Table1[[#This Row],[Actual close date]]-Table1[[#This Row],[Expected close date]])</f>
        <v/>
      </c>
    </row>
    <row r="1083" spans="1:18" x14ac:dyDescent="0.25">
      <c r="A1083" t="s">
        <v>1734</v>
      </c>
      <c r="B1083" t="s">
        <v>54</v>
      </c>
      <c r="C1083" t="s">
        <v>55</v>
      </c>
      <c r="D1083" t="s">
        <v>56</v>
      </c>
      <c r="E1083" t="s">
        <v>74</v>
      </c>
      <c r="F1083" t="s">
        <v>125</v>
      </c>
      <c r="G1083" t="s">
        <v>57</v>
      </c>
      <c r="H1083" s="1">
        <v>45302</v>
      </c>
      <c r="I1083" t="s">
        <v>24</v>
      </c>
      <c r="J1083" t="s">
        <v>1117</v>
      </c>
      <c r="K1083">
        <v>5</v>
      </c>
      <c r="L1083" t="s">
        <v>1700</v>
      </c>
      <c r="M1083">
        <v>1</v>
      </c>
      <c r="N1083">
        <v>386</v>
      </c>
      <c r="O1083">
        <v>40</v>
      </c>
      <c r="P1083" s="1">
        <v>45414</v>
      </c>
      <c r="Q1083" s="1"/>
      <c r="R1083" t="str">
        <f>IF(Table1[[#This Row],[Actual close date]]="","",Table1[[#This Row],[Actual close date]]-Table1[[#This Row],[Expected close date]])</f>
        <v/>
      </c>
    </row>
    <row r="1084" spans="1:18" x14ac:dyDescent="0.25">
      <c r="A1084" t="s">
        <v>1136</v>
      </c>
      <c r="B1084" t="s">
        <v>69</v>
      </c>
      <c r="C1084" t="s">
        <v>70</v>
      </c>
      <c r="D1084" t="s">
        <v>71</v>
      </c>
      <c r="E1084" t="s">
        <v>21</v>
      </c>
      <c r="F1084" t="s">
        <v>22</v>
      </c>
      <c r="G1084" t="s">
        <v>31</v>
      </c>
      <c r="H1084" s="1">
        <v>45303</v>
      </c>
      <c r="I1084" t="s">
        <v>24</v>
      </c>
      <c r="J1084" t="s">
        <v>1117</v>
      </c>
      <c r="K1084">
        <v>5</v>
      </c>
      <c r="L1084" t="s">
        <v>1118</v>
      </c>
      <c r="M1084">
        <v>2</v>
      </c>
      <c r="N1084">
        <v>955</v>
      </c>
      <c r="O1084">
        <v>50</v>
      </c>
      <c r="P1084" s="1">
        <v>45368</v>
      </c>
      <c r="Q1084" s="1"/>
      <c r="R1084" t="str">
        <f>IF(Table1[[#This Row],[Actual close date]]="","",Table1[[#This Row],[Actual close date]]-Table1[[#This Row],[Expected close date]])</f>
        <v/>
      </c>
    </row>
    <row r="1085" spans="1:18" x14ac:dyDescent="0.25">
      <c r="A1085" t="s">
        <v>1246</v>
      </c>
      <c r="B1085" t="s">
        <v>59</v>
      </c>
      <c r="C1085" t="s">
        <v>60</v>
      </c>
      <c r="D1085" t="s">
        <v>61</v>
      </c>
      <c r="E1085" t="s">
        <v>21</v>
      </c>
      <c r="F1085" t="s">
        <v>125</v>
      </c>
      <c r="G1085" t="s">
        <v>46</v>
      </c>
      <c r="H1085" s="1">
        <v>45303</v>
      </c>
      <c r="I1085" t="s">
        <v>64</v>
      </c>
      <c r="J1085" t="s">
        <v>1117</v>
      </c>
      <c r="K1085">
        <v>5</v>
      </c>
      <c r="L1085" t="s">
        <v>1118</v>
      </c>
      <c r="M1085">
        <v>2</v>
      </c>
      <c r="N1085">
        <v>741</v>
      </c>
      <c r="O1085">
        <v>20</v>
      </c>
      <c r="P1085" s="1">
        <v>45547</v>
      </c>
      <c r="Q1085" s="1"/>
      <c r="R1085" t="str">
        <f>IF(Table1[[#This Row],[Actual close date]]="","",Table1[[#This Row],[Actual close date]]-Table1[[#This Row],[Expected close date]])</f>
        <v/>
      </c>
    </row>
    <row r="1086" spans="1:18" x14ac:dyDescent="0.25">
      <c r="A1086" t="s">
        <v>1157</v>
      </c>
      <c r="B1086" t="s">
        <v>76</v>
      </c>
      <c r="C1086" t="s">
        <v>77</v>
      </c>
      <c r="D1086" t="s">
        <v>78</v>
      </c>
      <c r="E1086" t="s">
        <v>45</v>
      </c>
      <c r="F1086" t="s">
        <v>22</v>
      </c>
      <c r="G1086" t="s">
        <v>37</v>
      </c>
      <c r="H1086" s="1">
        <v>45304</v>
      </c>
      <c r="I1086" t="s">
        <v>64</v>
      </c>
      <c r="J1086" t="s">
        <v>1117</v>
      </c>
      <c r="K1086">
        <v>5</v>
      </c>
      <c r="L1086" t="s">
        <v>1118</v>
      </c>
      <c r="M1086">
        <v>2</v>
      </c>
      <c r="N1086">
        <v>585</v>
      </c>
      <c r="O1086">
        <v>70</v>
      </c>
      <c r="P1086" s="1">
        <v>45502</v>
      </c>
      <c r="Q1086" s="1"/>
      <c r="R1086" t="str">
        <f>IF(Table1[[#This Row],[Actual close date]]="","",Table1[[#This Row],[Actual close date]]-Table1[[#This Row],[Expected close date]])</f>
        <v/>
      </c>
    </row>
    <row r="1087" spans="1:18" x14ac:dyDescent="0.25">
      <c r="A1087" t="s">
        <v>1330</v>
      </c>
      <c r="B1087" t="s">
        <v>39</v>
      </c>
      <c r="C1087" t="s">
        <v>40</v>
      </c>
      <c r="D1087" t="s">
        <v>41</v>
      </c>
      <c r="E1087" t="s">
        <v>118</v>
      </c>
      <c r="F1087" t="s">
        <v>167</v>
      </c>
      <c r="G1087" t="s">
        <v>31</v>
      </c>
      <c r="H1087" s="1">
        <v>45304</v>
      </c>
      <c r="I1087" t="s">
        <v>24</v>
      </c>
      <c r="J1087" t="s">
        <v>1117</v>
      </c>
      <c r="K1087">
        <v>5</v>
      </c>
      <c r="L1087" t="s">
        <v>1118</v>
      </c>
      <c r="M1087">
        <v>2</v>
      </c>
      <c r="N1087">
        <v>6205</v>
      </c>
      <c r="O1087">
        <v>30</v>
      </c>
      <c r="P1087" s="1">
        <v>45407</v>
      </c>
      <c r="Q1087" s="1"/>
      <c r="R1087" t="str">
        <f>IF(Table1[[#This Row],[Actual close date]]="","",Table1[[#This Row],[Actual close date]]-Table1[[#This Row],[Expected close date]])</f>
        <v/>
      </c>
    </row>
    <row r="1088" spans="1:18" x14ac:dyDescent="0.25">
      <c r="A1088" t="s">
        <v>1390</v>
      </c>
      <c r="B1088" t="s">
        <v>59</v>
      </c>
      <c r="C1088" t="s">
        <v>60</v>
      </c>
      <c r="D1088" t="s">
        <v>61</v>
      </c>
      <c r="E1088" t="s">
        <v>118</v>
      </c>
      <c r="F1088" t="s">
        <v>167</v>
      </c>
      <c r="G1088" t="s">
        <v>46</v>
      </c>
      <c r="H1088" s="1">
        <v>45304</v>
      </c>
      <c r="I1088" t="s">
        <v>24</v>
      </c>
      <c r="J1088" t="s">
        <v>1117</v>
      </c>
      <c r="K1088">
        <v>5</v>
      </c>
      <c r="L1088" t="s">
        <v>1118</v>
      </c>
      <c r="M1088">
        <v>2</v>
      </c>
      <c r="N1088">
        <v>4486</v>
      </c>
      <c r="O1088">
        <v>60</v>
      </c>
      <c r="P1088" s="1">
        <v>45656</v>
      </c>
      <c r="Q1088" s="1"/>
      <c r="R1088" t="str">
        <f>IF(Table1[[#This Row],[Actual close date]]="","",Table1[[#This Row],[Actual close date]]-Table1[[#This Row],[Expected close date]])</f>
        <v/>
      </c>
    </row>
    <row r="1089" spans="1:18" x14ac:dyDescent="0.25">
      <c r="A1089" t="s">
        <v>1404</v>
      </c>
      <c r="B1089" t="s">
        <v>27</v>
      </c>
      <c r="C1089" t="s">
        <v>28</v>
      </c>
      <c r="D1089" t="s">
        <v>29</v>
      </c>
      <c r="E1089" t="s">
        <v>45</v>
      </c>
      <c r="F1089" t="s">
        <v>239</v>
      </c>
      <c r="G1089" t="s">
        <v>72</v>
      </c>
      <c r="H1089" s="1">
        <v>45304</v>
      </c>
      <c r="I1089" t="s">
        <v>64</v>
      </c>
      <c r="J1089" t="s">
        <v>1117</v>
      </c>
      <c r="K1089">
        <v>5</v>
      </c>
      <c r="L1089" t="s">
        <v>1118</v>
      </c>
      <c r="M1089">
        <v>2</v>
      </c>
      <c r="N1089">
        <v>3461</v>
      </c>
      <c r="O1089">
        <v>30</v>
      </c>
      <c r="P1089" s="1">
        <v>45494</v>
      </c>
      <c r="Q1089" s="1"/>
      <c r="R1089" t="str">
        <f>IF(Table1[[#This Row],[Actual close date]]="","",Table1[[#This Row],[Actual close date]]-Table1[[#This Row],[Expected close date]])</f>
        <v/>
      </c>
    </row>
    <row r="1090" spans="1:18" x14ac:dyDescent="0.25">
      <c r="A1090" t="s">
        <v>1660</v>
      </c>
      <c r="B1090" t="s">
        <v>33</v>
      </c>
      <c r="C1090" t="s">
        <v>34</v>
      </c>
      <c r="D1090" t="s">
        <v>35</v>
      </c>
      <c r="E1090" t="s">
        <v>62</v>
      </c>
      <c r="F1090" t="s">
        <v>167</v>
      </c>
      <c r="G1090" t="s">
        <v>31</v>
      </c>
      <c r="H1090" s="1">
        <v>45304</v>
      </c>
      <c r="I1090" t="s">
        <v>64</v>
      </c>
      <c r="J1090" t="s">
        <v>1117</v>
      </c>
      <c r="K1090">
        <v>5</v>
      </c>
      <c r="L1090" t="s">
        <v>1479</v>
      </c>
      <c r="M1090">
        <v>3</v>
      </c>
      <c r="N1090">
        <v>2485</v>
      </c>
      <c r="O1090">
        <v>10</v>
      </c>
      <c r="P1090" s="1">
        <v>45563</v>
      </c>
      <c r="Q1090" s="1"/>
      <c r="R1090" t="str">
        <f>IF(Table1[[#This Row],[Actual close date]]="","",Table1[[#This Row],[Actual close date]]-Table1[[#This Row],[Expected close date]])</f>
        <v/>
      </c>
    </row>
    <row r="1091" spans="1:18" x14ac:dyDescent="0.25">
      <c r="A1091" t="s">
        <v>1715</v>
      </c>
      <c r="B1091" t="s">
        <v>54</v>
      </c>
      <c r="C1091" t="s">
        <v>55</v>
      </c>
      <c r="D1091" t="s">
        <v>56</v>
      </c>
      <c r="E1091" t="s">
        <v>36</v>
      </c>
      <c r="F1091" t="s">
        <v>22</v>
      </c>
      <c r="G1091" t="s">
        <v>57</v>
      </c>
      <c r="H1091" s="1">
        <v>45304</v>
      </c>
      <c r="I1091" t="s">
        <v>24</v>
      </c>
      <c r="J1091" t="s">
        <v>1117</v>
      </c>
      <c r="K1091">
        <v>5</v>
      </c>
      <c r="L1091" t="s">
        <v>1700</v>
      </c>
      <c r="M1091">
        <v>1</v>
      </c>
      <c r="N1091">
        <v>1456</v>
      </c>
      <c r="O1091">
        <v>20</v>
      </c>
      <c r="P1091" s="1">
        <v>45606</v>
      </c>
      <c r="Q1091" s="1"/>
      <c r="R1091" t="str">
        <f>IF(Table1[[#This Row],[Actual close date]]="","",Table1[[#This Row],[Actual close date]]-Table1[[#This Row],[Expected close date]])</f>
        <v/>
      </c>
    </row>
    <row r="1092" spans="1:18" x14ac:dyDescent="0.25">
      <c r="A1092" t="s">
        <v>1723</v>
      </c>
      <c r="B1092" t="s">
        <v>39</v>
      </c>
      <c r="C1092" t="s">
        <v>40</v>
      </c>
      <c r="D1092" t="s">
        <v>41</v>
      </c>
      <c r="E1092" t="s">
        <v>45</v>
      </c>
      <c r="F1092" t="s">
        <v>22</v>
      </c>
      <c r="G1092" t="s">
        <v>46</v>
      </c>
      <c r="H1092" s="1">
        <v>45304</v>
      </c>
      <c r="I1092" t="s">
        <v>24</v>
      </c>
      <c r="J1092" t="s">
        <v>1117</v>
      </c>
      <c r="K1092">
        <v>5</v>
      </c>
      <c r="L1092" t="s">
        <v>1700</v>
      </c>
      <c r="M1092">
        <v>1</v>
      </c>
      <c r="N1092">
        <v>404</v>
      </c>
      <c r="O1092">
        <v>40</v>
      </c>
      <c r="P1092" s="1">
        <v>45336</v>
      </c>
      <c r="Q1092" s="1"/>
      <c r="R1092" t="str">
        <f>IF(Table1[[#This Row],[Actual close date]]="","",Table1[[#This Row],[Actual close date]]-Table1[[#This Row],[Expected close date]])</f>
        <v/>
      </c>
    </row>
    <row r="1093" spans="1:18" x14ac:dyDescent="0.25">
      <c r="A1093" t="s">
        <v>1739</v>
      </c>
      <c r="B1093" t="s">
        <v>76</v>
      </c>
      <c r="C1093" t="s">
        <v>77</v>
      </c>
      <c r="D1093" t="s">
        <v>78</v>
      </c>
      <c r="E1093" t="s">
        <v>118</v>
      </c>
      <c r="F1093" t="s">
        <v>125</v>
      </c>
      <c r="G1093" t="s">
        <v>46</v>
      </c>
      <c r="H1093" s="1">
        <v>45304</v>
      </c>
      <c r="I1093" t="s">
        <v>24</v>
      </c>
      <c r="J1093" t="s">
        <v>1117</v>
      </c>
      <c r="K1093">
        <v>5</v>
      </c>
      <c r="L1093" t="s">
        <v>1700</v>
      </c>
      <c r="M1093">
        <v>1</v>
      </c>
      <c r="N1093">
        <v>532</v>
      </c>
      <c r="O1093">
        <v>100</v>
      </c>
      <c r="P1093" s="1">
        <v>45419</v>
      </c>
      <c r="Q1093" s="1"/>
      <c r="R1093" t="str">
        <f>IF(Table1[[#This Row],[Actual close date]]="","",Table1[[#This Row],[Actual close date]]-Table1[[#This Row],[Expected close date]])</f>
        <v/>
      </c>
    </row>
    <row r="1094" spans="1:18" x14ac:dyDescent="0.25">
      <c r="A1094" t="s">
        <v>1802</v>
      </c>
      <c r="B1094" t="s">
        <v>33</v>
      </c>
      <c r="C1094" t="s">
        <v>34</v>
      </c>
      <c r="D1094" t="s">
        <v>35</v>
      </c>
      <c r="E1094" t="s">
        <v>122</v>
      </c>
      <c r="F1094" t="s">
        <v>125</v>
      </c>
      <c r="G1094" t="s">
        <v>46</v>
      </c>
      <c r="H1094" s="1">
        <v>45304</v>
      </c>
      <c r="I1094" t="s">
        <v>24</v>
      </c>
      <c r="J1094" t="s">
        <v>1117</v>
      </c>
      <c r="K1094">
        <v>5</v>
      </c>
      <c r="L1094" t="s">
        <v>1766</v>
      </c>
      <c r="M1094">
        <v>4</v>
      </c>
      <c r="N1094">
        <v>726</v>
      </c>
      <c r="O1094">
        <v>90</v>
      </c>
      <c r="P1094" s="1">
        <v>45639</v>
      </c>
      <c r="Q1094" s="1"/>
      <c r="R1094" t="str">
        <f>IF(Table1[[#This Row],[Actual close date]]="","",Table1[[#This Row],[Actual close date]]-Table1[[#This Row],[Expected close date]])</f>
        <v/>
      </c>
    </row>
    <row r="1095" spans="1:18" x14ac:dyDescent="0.25">
      <c r="A1095" t="s">
        <v>1898</v>
      </c>
      <c r="B1095" t="s">
        <v>54</v>
      </c>
      <c r="C1095" t="s">
        <v>55</v>
      </c>
      <c r="D1095" t="s">
        <v>56</v>
      </c>
      <c r="E1095" t="s">
        <v>52</v>
      </c>
      <c r="F1095" t="s">
        <v>167</v>
      </c>
      <c r="G1095" t="s">
        <v>57</v>
      </c>
      <c r="H1095" s="1">
        <v>45304</v>
      </c>
      <c r="I1095" t="s">
        <v>47</v>
      </c>
      <c r="J1095" t="s">
        <v>1117</v>
      </c>
      <c r="K1095">
        <v>5</v>
      </c>
      <c r="L1095" t="s">
        <v>1766</v>
      </c>
      <c r="M1095">
        <v>4</v>
      </c>
      <c r="N1095">
        <v>3872</v>
      </c>
      <c r="O1095">
        <v>30</v>
      </c>
      <c r="P1095" s="1">
        <v>45568</v>
      </c>
      <c r="Q1095" s="1"/>
      <c r="R1095" t="str">
        <f>IF(Table1[[#This Row],[Actual close date]]="","",Table1[[#This Row],[Actual close date]]-Table1[[#This Row],[Expected close date]])</f>
        <v/>
      </c>
    </row>
    <row r="1096" spans="1:18" x14ac:dyDescent="0.25">
      <c r="A1096" t="s">
        <v>1160</v>
      </c>
      <c r="B1096" t="s">
        <v>76</v>
      </c>
      <c r="C1096" t="s">
        <v>77</v>
      </c>
      <c r="D1096" t="s">
        <v>78</v>
      </c>
      <c r="E1096" t="s">
        <v>82</v>
      </c>
      <c r="F1096" t="s">
        <v>22</v>
      </c>
      <c r="G1096" t="s">
        <v>23</v>
      </c>
      <c r="H1096" s="1">
        <v>45305</v>
      </c>
      <c r="I1096" t="s">
        <v>24</v>
      </c>
      <c r="J1096" t="s">
        <v>1117</v>
      </c>
      <c r="K1096">
        <v>5</v>
      </c>
      <c r="L1096" t="s">
        <v>1118</v>
      </c>
      <c r="M1096">
        <v>2</v>
      </c>
      <c r="N1096">
        <v>623</v>
      </c>
      <c r="O1096">
        <v>40</v>
      </c>
      <c r="P1096" s="1">
        <v>45590</v>
      </c>
      <c r="Q1096" s="1"/>
      <c r="R1096" t="str">
        <f>IF(Table1[[#This Row],[Actual close date]]="","",Table1[[#This Row],[Actual close date]]-Table1[[#This Row],[Expected close date]])</f>
        <v/>
      </c>
    </row>
    <row r="1097" spans="1:18" x14ac:dyDescent="0.25">
      <c r="A1097" t="s">
        <v>1191</v>
      </c>
      <c r="B1097" t="s">
        <v>54</v>
      </c>
      <c r="C1097" t="s">
        <v>55</v>
      </c>
      <c r="D1097" t="s">
        <v>56</v>
      </c>
      <c r="E1097" t="s">
        <v>101</v>
      </c>
      <c r="F1097" t="s">
        <v>22</v>
      </c>
      <c r="G1097" t="s">
        <v>37</v>
      </c>
      <c r="H1097" s="1">
        <v>45305</v>
      </c>
      <c r="I1097" t="s">
        <v>24</v>
      </c>
      <c r="J1097" t="s">
        <v>1117</v>
      </c>
      <c r="K1097">
        <v>5</v>
      </c>
      <c r="L1097" t="s">
        <v>1118</v>
      </c>
      <c r="M1097">
        <v>2</v>
      </c>
      <c r="N1097">
        <v>487</v>
      </c>
      <c r="O1097">
        <v>30</v>
      </c>
      <c r="P1097" s="1">
        <v>45556</v>
      </c>
      <c r="Q1097" s="1"/>
      <c r="R1097" t="str">
        <f>IF(Table1[[#This Row],[Actual close date]]="","",Table1[[#This Row],[Actual close date]]-Table1[[#This Row],[Expected close date]])</f>
        <v/>
      </c>
    </row>
    <row r="1098" spans="1:18" x14ac:dyDescent="0.25">
      <c r="A1098" t="s">
        <v>1198</v>
      </c>
      <c r="B1098" t="s">
        <v>49</v>
      </c>
      <c r="C1098" t="s">
        <v>50</v>
      </c>
      <c r="D1098" t="s">
        <v>51</v>
      </c>
      <c r="E1098" t="s">
        <v>36</v>
      </c>
      <c r="F1098" t="s">
        <v>22</v>
      </c>
      <c r="G1098" t="s">
        <v>85</v>
      </c>
      <c r="H1098" s="1">
        <v>45305</v>
      </c>
      <c r="I1098" t="s">
        <v>24</v>
      </c>
      <c r="J1098" t="s">
        <v>1117</v>
      </c>
      <c r="K1098">
        <v>5</v>
      </c>
      <c r="L1098" t="s">
        <v>1118</v>
      </c>
      <c r="M1098">
        <v>2</v>
      </c>
      <c r="N1098">
        <v>427</v>
      </c>
      <c r="O1098">
        <v>10</v>
      </c>
      <c r="P1098" s="1">
        <v>45611</v>
      </c>
      <c r="Q1098" s="1"/>
      <c r="R1098" t="str">
        <f>IF(Table1[[#This Row],[Actual close date]]="","",Table1[[#This Row],[Actual close date]]-Table1[[#This Row],[Expected close date]])</f>
        <v/>
      </c>
    </row>
    <row r="1099" spans="1:18" x14ac:dyDescent="0.25">
      <c r="A1099" t="s">
        <v>1353</v>
      </c>
      <c r="B1099" t="s">
        <v>76</v>
      </c>
      <c r="C1099" t="s">
        <v>77</v>
      </c>
      <c r="D1099" t="s">
        <v>78</v>
      </c>
      <c r="E1099" t="s">
        <v>42</v>
      </c>
      <c r="F1099" t="s">
        <v>167</v>
      </c>
      <c r="G1099" t="s">
        <v>46</v>
      </c>
      <c r="H1099" s="1">
        <v>45305</v>
      </c>
      <c r="I1099" t="s">
        <v>24</v>
      </c>
      <c r="J1099" t="s">
        <v>1117</v>
      </c>
      <c r="K1099">
        <v>5</v>
      </c>
      <c r="L1099" t="s">
        <v>1118</v>
      </c>
      <c r="M1099">
        <v>2</v>
      </c>
      <c r="N1099">
        <v>5813</v>
      </c>
      <c r="O1099">
        <v>10</v>
      </c>
      <c r="P1099" s="1">
        <v>45490</v>
      </c>
      <c r="Q1099" s="1"/>
      <c r="R1099" t="str">
        <f>IF(Table1[[#This Row],[Actual close date]]="","",Table1[[#This Row],[Actual close date]]-Table1[[#This Row],[Expected close date]])</f>
        <v/>
      </c>
    </row>
    <row r="1100" spans="1:18" x14ac:dyDescent="0.25">
      <c r="A1100" t="s">
        <v>1619</v>
      </c>
      <c r="B1100" t="s">
        <v>18</v>
      </c>
      <c r="C1100" t="s">
        <v>19</v>
      </c>
      <c r="D1100" t="s">
        <v>20</v>
      </c>
      <c r="E1100" t="s">
        <v>118</v>
      </c>
      <c r="F1100" t="s">
        <v>167</v>
      </c>
      <c r="G1100" t="s">
        <v>46</v>
      </c>
      <c r="H1100" s="1">
        <v>45305</v>
      </c>
      <c r="I1100" t="s">
        <v>24</v>
      </c>
      <c r="J1100" t="s">
        <v>1117</v>
      </c>
      <c r="K1100">
        <v>5</v>
      </c>
      <c r="L1100" t="s">
        <v>1479</v>
      </c>
      <c r="M1100">
        <v>3</v>
      </c>
      <c r="N1100">
        <v>7387</v>
      </c>
      <c r="O1100">
        <v>100</v>
      </c>
      <c r="P1100" s="1">
        <v>45612</v>
      </c>
      <c r="Q1100" s="1"/>
      <c r="R1100" t="str">
        <f>IF(Table1[[#This Row],[Actual close date]]="","",Table1[[#This Row],[Actual close date]]-Table1[[#This Row],[Expected close date]])</f>
        <v/>
      </c>
    </row>
    <row r="1101" spans="1:18" x14ac:dyDescent="0.25">
      <c r="A1101" t="s">
        <v>1717</v>
      </c>
      <c r="B1101" t="s">
        <v>54</v>
      </c>
      <c r="C1101" t="s">
        <v>55</v>
      </c>
      <c r="D1101" t="s">
        <v>56</v>
      </c>
      <c r="E1101" t="s">
        <v>21</v>
      </c>
      <c r="F1101" t="s">
        <v>22</v>
      </c>
      <c r="G1101" t="s">
        <v>23</v>
      </c>
      <c r="H1101" s="1">
        <v>45305</v>
      </c>
      <c r="I1101" t="s">
        <v>24</v>
      </c>
      <c r="J1101" t="s">
        <v>1117</v>
      </c>
      <c r="K1101">
        <v>5</v>
      </c>
      <c r="L1101" t="s">
        <v>1700</v>
      </c>
      <c r="M1101">
        <v>1</v>
      </c>
      <c r="N1101">
        <v>1418</v>
      </c>
      <c r="O1101">
        <v>100</v>
      </c>
      <c r="P1101" s="1">
        <v>45609</v>
      </c>
      <c r="Q1101" s="1"/>
      <c r="R1101" t="str">
        <f>IF(Table1[[#This Row],[Actual close date]]="","",Table1[[#This Row],[Actual close date]]-Table1[[#This Row],[Expected close date]])</f>
        <v/>
      </c>
    </row>
    <row r="1102" spans="1:18" x14ac:dyDescent="0.25">
      <c r="A1102" t="s">
        <v>1757</v>
      </c>
      <c r="B1102" t="s">
        <v>33</v>
      </c>
      <c r="C1102" t="s">
        <v>34</v>
      </c>
      <c r="D1102" t="s">
        <v>35</v>
      </c>
      <c r="E1102" t="s">
        <v>45</v>
      </c>
      <c r="F1102" t="s">
        <v>167</v>
      </c>
      <c r="G1102" t="s">
        <v>37</v>
      </c>
      <c r="H1102" s="1">
        <v>45305</v>
      </c>
      <c r="I1102" t="s">
        <v>47</v>
      </c>
      <c r="J1102" t="s">
        <v>1117</v>
      </c>
      <c r="K1102">
        <v>5</v>
      </c>
      <c r="L1102" t="s">
        <v>1700</v>
      </c>
      <c r="M1102">
        <v>1</v>
      </c>
      <c r="N1102">
        <v>4042</v>
      </c>
      <c r="O1102">
        <v>30</v>
      </c>
      <c r="P1102" s="1">
        <v>45615</v>
      </c>
      <c r="Q1102" s="1"/>
      <c r="R1102" t="str">
        <f>IF(Table1[[#This Row],[Actual close date]]="","",Table1[[#This Row],[Actual close date]]-Table1[[#This Row],[Expected close date]])</f>
        <v/>
      </c>
    </row>
    <row r="1103" spans="1:18" x14ac:dyDescent="0.25">
      <c r="A1103" t="s">
        <v>1499</v>
      </c>
      <c r="B1103" t="s">
        <v>33</v>
      </c>
      <c r="C1103" t="s">
        <v>34</v>
      </c>
      <c r="D1103" t="s">
        <v>35</v>
      </c>
      <c r="E1103" t="s">
        <v>42</v>
      </c>
      <c r="F1103" t="s">
        <v>22</v>
      </c>
      <c r="G1103" t="s">
        <v>23</v>
      </c>
      <c r="H1103" s="1">
        <v>45306</v>
      </c>
      <c r="I1103" t="s">
        <v>47</v>
      </c>
      <c r="J1103" t="s">
        <v>1117</v>
      </c>
      <c r="K1103">
        <v>5</v>
      </c>
      <c r="L1103" t="s">
        <v>1479</v>
      </c>
      <c r="M1103">
        <v>3</v>
      </c>
      <c r="N1103">
        <v>404</v>
      </c>
      <c r="O1103">
        <v>50</v>
      </c>
      <c r="P1103" s="1">
        <v>45387</v>
      </c>
      <c r="Q1103" s="1"/>
      <c r="R1103" t="str">
        <f>IF(Table1[[#This Row],[Actual close date]]="","",Table1[[#This Row],[Actual close date]]-Table1[[#This Row],[Expected close date]])</f>
        <v/>
      </c>
    </row>
    <row r="1104" spans="1:18" x14ac:dyDescent="0.25">
      <c r="A1104" t="s">
        <v>1552</v>
      </c>
      <c r="B1104" t="s">
        <v>18</v>
      </c>
      <c r="C1104" t="s">
        <v>19</v>
      </c>
      <c r="D1104" t="s">
        <v>20</v>
      </c>
      <c r="E1104" t="s">
        <v>21</v>
      </c>
      <c r="F1104" t="s">
        <v>125</v>
      </c>
      <c r="G1104" t="s">
        <v>37</v>
      </c>
      <c r="H1104" s="1">
        <v>45306</v>
      </c>
      <c r="I1104" t="s">
        <v>64</v>
      </c>
      <c r="J1104" t="s">
        <v>1117</v>
      </c>
      <c r="K1104">
        <v>5</v>
      </c>
      <c r="L1104" t="s">
        <v>1479</v>
      </c>
      <c r="M1104">
        <v>3</v>
      </c>
      <c r="N1104">
        <v>904</v>
      </c>
      <c r="O1104">
        <v>50</v>
      </c>
      <c r="P1104" s="1">
        <v>45410</v>
      </c>
      <c r="Q1104" s="1"/>
      <c r="R1104" t="str">
        <f>IF(Table1[[#This Row],[Actual close date]]="","",Table1[[#This Row],[Actual close date]]-Table1[[#This Row],[Expected close date]])</f>
        <v/>
      </c>
    </row>
    <row r="1105" spans="1:18" x14ac:dyDescent="0.25">
      <c r="A1105" t="s">
        <v>1813</v>
      </c>
      <c r="B1105" t="s">
        <v>39</v>
      </c>
      <c r="C1105" t="s">
        <v>40</v>
      </c>
      <c r="D1105" t="s">
        <v>41</v>
      </c>
      <c r="E1105" t="s">
        <v>74</v>
      </c>
      <c r="F1105" t="s">
        <v>125</v>
      </c>
      <c r="G1105" t="s">
        <v>57</v>
      </c>
      <c r="H1105" s="1">
        <v>45306</v>
      </c>
      <c r="I1105" t="s">
        <v>64</v>
      </c>
      <c r="J1105" t="s">
        <v>1117</v>
      </c>
      <c r="K1105">
        <v>5</v>
      </c>
      <c r="L1105" t="s">
        <v>1766</v>
      </c>
      <c r="M1105">
        <v>4</v>
      </c>
      <c r="N1105">
        <v>779</v>
      </c>
      <c r="O1105">
        <v>40</v>
      </c>
      <c r="P1105" s="1">
        <v>45362</v>
      </c>
      <c r="Q1105" s="1"/>
      <c r="R1105" t="str">
        <f>IF(Table1[[#This Row],[Actual close date]]="","",Table1[[#This Row],[Actual close date]]-Table1[[#This Row],[Expected close date]])</f>
        <v/>
      </c>
    </row>
    <row r="1106" spans="1:18" x14ac:dyDescent="0.25">
      <c r="A1106" t="s">
        <v>1579</v>
      </c>
      <c r="B1106" t="s">
        <v>33</v>
      </c>
      <c r="C1106" t="s">
        <v>34</v>
      </c>
      <c r="D1106" t="s">
        <v>35</v>
      </c>
      <c r="E1106" t="s">
        <v>45</v>
      </c>
      <c r="F1106" t="s">
        <v>125</v>
      </c>
      <c r="G1106" t="s">
        <v>46</v>
      </c>
      <c r="H1106" s="1">
        <v>45307</v>
      </c>
      <c r="I1106" t="s">
        <v>24</v>
      </c>
      <c r="J1106" t="s">
        <v>1117</v>
      </c>
      <c r="K1106">
        <v>5</v>
      </c>
      <c r="L1106" t="s">
        <v>1479</v>
      </c>
      <c r="M1106">
        <v>3</v>
      </c>
      <c r="N1106">
        <v>496</v>
      </c>
      <c r="O1106">
        <v>10</v>
      </c>
      <c r="P1106" s="1">
        <v>45462</v>
      </c>
      <c r="Q1106" s="1"/>
      <c r="R1106" t="str">
        <f>IF(Table1[[#This Row],[Actual close date]]="","",Table1[[#This Row],[Actual close date]]-Table1[[#This Row],[Expected close date]])</f>
        <v/>
      </c>
    </row>
    <row r="1107" spans="1:18" x14ac:dyDescent="0.25">
      <c r="A1107" t="s">
        <v>1589</v>
      </c>
      <c r="B1107" t="s">
        <v>69</v>
      </c>
      <c r="C1107" t="s">
        <v>70</v>
      </c>
      <c r="D1107" t="s">
        <v>71</v>
      </c>
      <c r="E1107" t="s">
        <v>45</v>
      </c>
      <c r="F1107" t="s">
        <v>125</v>
      </c>
      <c r="G1107" t="s">
        <v>46</v>
      </c>
      <c r="H1107" s="1">
        <v>45307</v>
      </c>
      <c r="I1107" t="s">
        <v>64</v>
      </c>
      <c r="J1107" t="s">
        <v>1117</v>
      </c>
      <c r="K1107">
        <v>5</v>
      </c>
      <c r="L1107" t="s">
        <v>1479</v>
      </c>
      <c r="M1107">
        <v>3</v>
      </c>
      <c r="N1107">
        <v>537</v>
      </c>
      <c r="O1107">
        <v>50</v>
      </c>
      <c r="P1107" s="1">
        <v>45391</v>
      </c>
      <c r="Q1107" s="1"/>
      <c r="R1107" t="str">
        <f>IF(Table1[[#This Row],[Actual close date]]="","",Table1[[#This Row],[Actual close date]]-Table1[[#This Row],[Expected close date]])</f>
        <v/>
      </c>
    </row>
    <row r="1108" spans="1:18" x14ac:dyDescent="0.25">
      <c r="A1108" t="s">
        <v>1701</v>
      </c>
      <c r="B1108" t="s">
        <v>39</v>
      </c>
      <c r="C1108" t="s">
        <v>40</v>
      </c>
      <c r="D1108" t="s">
        <v>41</v>
      </c>
      <c r="E1108" t="s">
        <v>52</v>
      </c>
      <c r="F1108" t="s">
        <v>22</v>
      </c>
      <c r="G1108" t="s">
        <v>57</v>
      </c>
      <c r="H1108" s="1">
        <v>45307</v>
      </c>
      <c r="I1108" t="s">
        <v>64</v>
      </c>
      <c r="J1108" t="s">
        <v>1117</v>
      </c>
      <c r="K1108">
        <v>5</v>
      </c>
      <c r="L1108" t="s">
        <v>1700</v>
      </c>
      <c r="M1108">
        <v>1</v>
      </c>
      <c r="N1108">
        <v>314</v>
      </c>
      <c r="O1108">
        <v>10</v>
      </c>
      <c r="P1108" s="1">
        <v>45448</v>
      </c>
      <c r="Q1108" s="1"/>
      <c r="R1108" t="str">
        <f>IF(Table1[[#This Row],[Actual close date]]="","",Table1[[#This Row],[Actual close date]]-Table1[[#This Row],[Expected close date]])</f>
        <v/>
      </c>
    </row>
    <row r="1109" spans="1:18" x14ac:dyDescent="0.25">
      <c r="A1109" t="s">
        <v>1774</v>
      </c>
      <c r="B1109" t="s">
        <v>18</v>
      </c>
      <c r="C1109" t="s">
        <v>19</v>
      </c>
      <c r="D1109" t="s">
        <v>20</v>
      </c>
      <c r="E1109" t="s">
        <v>36</v>
      </c>
      <c r="F1109" t="s">
        <v>22</v>
      </c>
      <c r="G1109" t="s">
        <v>57</v>
      </c>
      <c r="H1109" s="1">
        <v>45307</v>
      </c>
      <c r="I1109" t="s">
        <v>24</v>
      </c>
      <c r="J1109" t="s">
        <v>1117</v>
      </c>
      <c r="K1109">
        <v>5</v>
      </c>
      <c r="L1109" t="s">
        <v>1766</v>
      </c>
      <c r="M1109">
        <v>4</v>
      </c>
      <c r="N1109">
        <v>1174</v>
      </c>
      <c r="O1109">
        <v>40</v>
      </c>
      <c r="P1109" s="1">
        <v>45459</v>
      </c>
      <c r="Q1109" s="1"/>
      <c r="R1109" t="str">
        <f>IF(Table1[[#This Row],[Actual close date]]="","",Table1[[#This Row],[Actual close date]]-Table1[[#This Row],[Expected close date]])</f>
        <v/>
      </c>
    </row>
    <row r="1110" spans="1:18" x14ac:dyDescent="0.25">
      <c r="A1110" t="s">
        <v>1257</v>
      </c>
      <c r="B1110" t="s">
        <v>27</v>
      </c>
      <c r="C1110" t="s">
        <v>28</v>
      </c>
      <c r="D1110" t="s">
        <v>29</v>
      </c>
      <c r="E1110" t="s">
        <v>98</v>
      </c>
      <c r="F1110" t="s">
        <v>125</v>
      </c>
      <c r="G1110" t="s">
        <v>57</v>
      </c>
      <c r="H1110" s="1">
        <v>45308</v>
      </c>
      <c r="I1110" t="s">
        <v>24</v>
      </c>
      <c r="J1110" t="s">
        <v>1117</v>
      </c>
      <c r="K1110">
        <v>5</v>
      </c>
      <c r="L1110" t="s">
        <v>1118</v>
      </c>
      <c r="M1110">
        <v>2</v>
      </c>
      <c r="N1110">
        <v>976</v>
      </c>
      <c r="O1110">
        <v>30</v>
      </c>
      <c r="P1110" s="1">
        <v>45394</v>
      </c>
      <c r="Q1110" s="1"/>
      <c r="R1110" t="str">
        <f>IF(Table1[[#This Row],[Actual close date]]="","",Table1[[#This Row],[Actual close date]]-Table1[[#This Row],[Expected close date]])</f>
        <v/>
      </c>
    </row>
    <row r="1111" spans="1:18" x14ac:dyDescent="0.25">
      <c r="A1111" t="s">
        <v>1576</v>
      </c>
      <c r="B1111" t="s">
        <v>69</v>
      </c>
      <c r="C1111" t="s">
        <v>70</v>
      </c>
      <c r="D1111" t="s">
        <v>71</v>
      </c>
      <c r="E1111" t="s">
        <v>66</v>
      </c>
      <c r="F1111" t="s">
        <v>125</v>
      </c>
      <c r="G1111" t="s">
        <v>85</v>
      </c>
      <c r="H1111" s="1">
        <v>45308</v>
      </c>
      <c r="I1111" t="s">
        <v>24</v>
      </c>
      <c r="J1111" t="s">
        <v>1117</v>
      </c>
      <c r="K1111">
        <v>5</v>
      </c>
      <c r="L1111" t="s">
        <v>1479</v>
      </c>
      <c r="M1111">
        <v>3</v>
      </c>
      <c r="N1111">
        <v>664</v>
      </c>
      <c r="O1111">
        <v>10</v>
      </c>
      <c r="P1111" s="1">
        <v>45372</v>
      </c>
      <c r="Q1111" s="1"/>
      <c r="R1111" t="str">
        <f>IF(Table1[[#This Row],[Actual close date]]="","",Table1[[#This Row],[Actual close date]]-Table1[[#This Row],[Expected close date]])</f>
        <v/>
      </c>
    </row>
    <row r="1112" spans="1:18" x14ac:dyDescent="0.25">
      <c r="A1112" t="s">
        <v>1241</v>
      </c>
      <c r="B1112" t="s">
        <v>69</v>
      </c>
      <c r="C1112" t="s">
        <v>70</v>
      </c>
      <c r="D1112" t="s">
        <v>71</v>
      </c>
      <c r="E1112" t="s">
        <v>101</v>
      </c>
      <c r="F1112" t="s">
        <v>125</v>
      </c>
      <c r="G1112" t="s">
        <v>31</v>
      </c>
      <c r="H1112" s="1">
        <v>45309</v>
      </c>
      <c r="I1112" t="s">
        <v>24</v>
      </c>
      <c r="J1112" t="s">
        <v>1117</v>
      </c>
      <c r="K1112">
        <v>5</v>
      </c>
      <c r="L1112" t="s">
        <v>1118</v>
      </c>
      <c r="M1112">
        <v>2</v>
      </c>
      <c r="N1112">
        <v>579</v>
      </c>
      <c r="O1112">
        <v>70</v>
      </c>
      <c r="P1112" s="1">
        <v>45366</v>
      </c>
      <c r="Q1112" s="1"/>
      <c r="R1112" t="str">
        <f>IF(Table1[[#This Row],[Actual close date]]="","",Table1[[#This Row],[Actual close date]]-Table1[[#This Row],[Expected close date]])</f>
        <v/>
      </c>
    </row>
    <row r="1113" spans="1:18" x14ac:dyDescent="0.25">
      <c r="A1113" t="s">
        <v>1278</v>
      </c>
      <c r="B1113" t="s">
        <v>39</v>
      </c>
      <c r="C1113" t="s">
        <v>40</v>
      </c>
      <c r="D1113" t="s">
        <v>41</v>
      </c>
      <c r="E1113" t="s">
        <v>42</v>
      </c>
      <c r="F1113" t="s">
        <v>167</v>
      </c>
      <c r="G1113" t="s">
        <v>72</v>
      </c>
      <c r="H1113" s="1">
        <v>45309</v>
      </c>
      <c r="I1113" t="s">
        <v>64</v>
      </c>
      <c r="J1113" t="s">
        <v>1117</v>
      </c>
      <c r="K1113">
        <v>5</v>
      </c>
      <c r="L1113" t="s">
        <v>1118</v>
      </c>
      <c r="M1113">
        <v>2</v>
      </c>
      <c r="N1113">
        <v>6196</v>
      </c>
      <c r="O1113">
        <v>40</v>
      </c>
      <c r="P1113" s="1">
        <v>45542</v>
      </c>
      <c r="Q1113" s="1"/>
      <c r="R1113" t="str">
        <f>IF(Table1[[#This Row],[Actual close date]]="","",Table1[[#This Row],[Actual close date]]-Table1[[#This Row],[Expected close date]])</f>
        <v/>
      </c>
    </row>
    <row r="1114" spans="1:18" x14ac:dyDescent="0.25">
      <c r="A1114" t="s">
        <v>1349</v>
      </c>
      <c r="B1114" t="s">
        <v>33</v>
      </c>
      <c r="C1114" t="s">
        <v>34</v>
      </c>
      <c r="D1114" t="s">
        <v>35</v>
      </c>
      <c r="E1114" t="s">
        <v>45</v>
      </c>
      <c r="F1114" t="s">
        <v>167</v>
      </c>
      <c r="G1114" t="s">
        <v>46</v>
      </c>
      <c r="H1114" s="1">
        <v>45309</v>
      </c>
      <c r="I1114" t="s">
        <v>47</v>
      </c>
      <c r="J1114" t="s">
        <v>1117</v>
      </c>
      <c r="K1114">
        <v>5</v>
      </c>
      <c r="L1114" t="s">
        <v>1118</v>
      </c>
      <c r="M1114">
        <v>2</v>
      </c>
      <c r="N1114">
        <v>3907</v>
      </c>
      <c r="O1114">
        <v>40</v>
      </c>
      <c r="P1114" s="1">
        <v>45473</v>
      </c>
      <c r="Q1114" s="1"/>
      <c r="R1114" t="str">
        <f>IF(Table1[[#This Row],[Actual close date]]="","",Table1[[#This Row],[Actual close date]]-Table1[[#This Row],[Expected close date]])</f>
        <v/>
      </c>
    </row>
    <row r="1115" spans="1:18" x14ac:dyDescent="0.25">
      <c r="A1115" t="s">
        <v>1365</v>
      </c>
      <c r="B1115" t="s">
        <v>76</v>
      </c>
      <c r="C1115" t="s">
        <v>77</v>
      </c>
      <c r="D1115" t="s">
        <v>78</v>
      </c>
      <c r="E1115" t="s">
        <v>101</v>
      </c>
      <c r="F1115" t="s">
        <v>167</v>
      </c>
      <c r="G1115" t="s">
        <v>31</v>
      </c>
      <c r="H1115" s="1">
        <v>45309</v>
      </c>
      <c r="I1115" t="s">
        <v>24</v>
      </c>
      <c r="J1115" t="s">
        <v>1117</v>
      </c>
      <c r="K1115">
        <v>5</v>
      </c>
      <c r="L1115" t="s">
        <v>1118</v>
      </c>
      <c r="M1115">
        <v>2</v>
      </c>
      <c r="N1115">
        <v>2045</v>
      </c>
      <c r="O1115">
        <v>50</v>
      </c>
      <c r="P1115" s="1">
        <v>45567</v>
      </c>
      <c r="Q1115" s="1"/>
      <c r="R1115" t="str">
        <f>IF(Table1[[#This Row],[Actual close date]]="","",Table1[[#This Row],[Actual close date]]-Table1[[#This Row],[Expected close date]])</f>
        <v/>
      </c>
    </row>
    <row r="1116" spans="1:18" x14ac:dyDescent="0.25">
      <c r="A1116" t="s">
        <v>1796</v>
      </c>
      <c r="B1116" t="s">
        <v>76</v>
      </c>
      <c r="C1116" t="s">
        <v>77</v>
      </c>
      <c r="D1116" t="s">
        <v>78</v>
      </c>
      <c r="E1116" t="s">
        <v>82</v>
      </c>
      <c r="F1116" t="s">
        <v>22</v>
      </c>
      <c r="G1116" t="s">
        <v>46</v>
      </c>
      <c r="H1116" s="1">
        <v>45310</v>
      </c>
      <c r="I1116" t="s">
        <v>47</v>
      </c>
      <c r="J1116" t="s">
        <v>1117</v>
      </c>
      <c r="K1116">
        <v>5</v>
      </c>
      <c r="L1116" t="s">
        <v>1766</v>
      </c>
      <c r="M1116">
        <v>4</v>
      </c>
      <c r="N1116">
        <v>402</v>
      </c>
      <c r="O1116">
        <v>10</v>
      </c>
      <c r="P1116" s="1">
        <v>45462</v>
      </c>
      <c r="Q1116" s="1"/>
      <c r="R1116" t="str">
        <f>IF(Table1[[#This Row],[Actual close date]]="","",Table1[[#This Row],[Actual close date]]-Table1[[#This Row],[Expected close date]])</f>
        <v/>
      </c>
    </row>
    <row r="1117" spans="1:18" x14ac:dyDescent="0.25">
      <c r="A1117" t="s">
        <v>1803</v>
      </c>
      <c r="B1117" t="s">
        <v>33</v>
      </c>
      <c r="C1117" t="s">
        <v>34</v>
      </c>
      <c r="D1117" t="s">
        <v>35</v>
      </c>
      <c r="E1117" t="s">
        <v>74</v>
      </c>
      <c r="F1117" t="s">
        <v>125</v>
      </c>
      <c r="G1117" t="s">
        <v>72</v>
      </c>
      <c r="H1117" s="1">
        <v>45310</v>
      </c>
      <c r="I1117" t="s">
        <v>64</v>
      </c>
      <c r="J1117" t="s">
        <v>1117</v>
      </c>
      <c r="K1117">
        <v>5</v>
      </c>
      <c r="L1117" t="s">
        <v>1766</v>
      </c>
      <c r="M1117">
        <v>4</v>
      </c>
      <c r="N1117">
        <v>648</v>
      </c>
      <c r="O1117">
        <v>60</v>
      </c>
      <c r="P1117" s="1">
        <v>45550</v>
      </c>
      <c r="Q1117" s="1"/>
      <c r="R1117" t="str">
        <f>IF(Table1[[#This Row],[Actual close date]]="","",Table1[[#This Row],[Actual close date]]-Table1[[#This Row],[Expected close date]])</f>
        <v/>
      </c>
    </row>
    <row r="1118" spans="1:18" x14ac:dyDescent="0.25">
      <c r="A1118" t="s">
        <v>1143</v>
      </c>
      <c r="B1118" t="s">
        <v>69</v>
      </c>
      <c r="C1118" t="s">
        <v>70</v>
      </c>
      <c r="D1118" t="s">
        <v>71</v>
      </c>
      <c r="E1118" t="s">
        <v>52</v>
      </c>
      <c r="F1118" t="s">
        <v>22</v>
      </c>
      <c r="G1118" t="s">
        <v>46</v>
      </c>
      <c r="H1118" s="1">
        <v>45311</v>
      </c>
      <c r="I1118" t="s">
        <v>64</v>
      </c>
      <c r="J1118" t="s">
        <v>1117</v>
      </c>
      <c r="K1118">
        <v>5</v>
      </c>
      <c r="L1118" t="s">
        <v>1118</v>
      </c>
      <c r="M1118">
        <v>2</v>
      </c>
      <c r="N1118">
        <v>1646</v>
      </c>
      <c r="O1118">
        <v>40</v>
      </c>
      <c r="P1118" s="1">
        <v>45545</v>
      </c>
      <c r="Q1118" s="1"/>
      <c r="R1118" t="str">
        <f>IF(Table1[[#This Row],[Actual close date]]="","",Table1[[#This Row],[Actual close date]]-Table1[[#This Row],[Expected close date]])</f>
        <v/>
      </c>
    </row>
    <row r="1119" spans="1:18" x14ac:dyDescent="0.25">
      <c r="A1119" t="s">
        <v>1787</v>
      </c>
      <c r="B1119" t="s">
        <v>69</v>
      </c>
      <c r="C1119" t="s">
        <v>70</v>
      </c>
      <c r="D1119" t="s">
        <v>71</v>
      </c>
      <c r="E1119" t="s">
        <v>98</v>
      </c>
      <c r="F1119" t="s">
        <v>22</v>
      </c>
      <c r="G1119" t="s">
        <v>37</v>
      </c>
      <c r="H1119" s="1">
        <v>45311</v>
      </c>
      <c r="I1119" t="s">
        <v>24</v>
      </c>
      <c r="J1119" t="s">
        <v>1117</v>
      </c>
      <c r="K1119">
        <v>5</v>
      </c>
      <c r="L1119" t="s">
        <v>1766</v>
      </c>
      <c r="M1119">
        <v>4</v>
      </c>
      <c r="N1119">
        <v>1693</v>
      </c>
      <c r="O1119">
        <v>10</v>
      </c>
      <c r="P1119" s="1">
        <v>45563</v>
      </c>
      <c r="Q1119" s="1"/>
      <c r="R1119" t="str">
        <f>IF(Table1[[#This Row],[Actual close date]]="","",Table1[[#This Row],[Actual close date]]-Table1[[#This Row],[Expected close date]])</f>
        <v/>
      </c>
    </row>
    <row r="1120" spans="1:18" x14ac:dyDescent="0.25">
      <c r="A1120" t="s">
        <v>1230</v>
      </c>
      <c r="B1120" t="s">
        <v>59</v>
      </c>
      <c r="C1120" t="s">
        <v>60</v>
      </c>
      <c r="D1120" t="s">
        <v>61</v>
      </c>
      <c r="E1120" t="s">
        <v>101</v>
      </c>
      <c r="F1120" t="s">
        <v>125</v>
      </c>
      <c r="G1120" t="s">
        <v>83</v>
      </c>
      <c r="H1120" s="1">
        <v>45312</v>
      </c>
      <c r="I1120" t="s">
        <v>24</v>
      </c>
      <c r="J1120" t="s">
        <v>1117</v>
      </c>
      <c r="K1120">
        <v>5</v>
      </c>
      <c r="L1120" t="s">
        <v>1118</v>
      </c>
      <c r="M1120">
        <v>2</v>
      </c>
      <c r="N1120">
        <v>946</v>
      </c>
      <c r="O1120">
        <v>70</v>
      </c>
      <c r="P1120" s="1">
        <v>45454</v>
      </c>
      <c r="Q1120" s="1"/>
      <c r="R1120" t="str">
        <f>IF(Table1[[#This Row],[Actual close date]]="","",Table1[[#This Row],[Actual close date]]-Table1[[#This Row],[Expected close date]])</f>
        <v/>
      </c>
    </row>
    <row r="1121" spans="1:18" x14ac:dyDescent="0.25">
      <c r="A1121" t="s">
        <v>1595</v>
      </c>
      <c r="B1121" t="s">
        <v>76</v>
      </c>
      <c r="C1121" t="s">
        <v>77</v>
      </c>
      <c r="D1121" t="s">
        <v>78</v>
      </c>
      <c r="E1121" t="s">
        <v>42</v>
      </c>
      <c r="F1121" t="s">
        <v>125</v>
      </c>
      <c r="G1121" t="s">
        <v>85</v>
      </c>
      <c r="H1121" s="1">
        <v>45312</v>
      </c>
      <c r="I1121" t="s">
        <v>47</v>
      </c>
      <c r="J1121" t="s">
        <v>1117</v>
      </c>
      <c r="K1121">
        <v>5</v>
      </c>
      <c r="L1121" t="s">
        <v>1479</v>
      </c>
      <c r="M1121">
        <v>3</v>
      </c>
      <c r="N1121">
        <v>903</v>
      </c>
      <c r="O1121">
        <v>60</v>
      </c>
      <c r="P1121" s="1">
        <v>45467</v>
      </c>
      <c r="Q1121" s="1"/>
      <c r="R1121" t="str">
        <f>IF(Table1[[#This Row],[Actual close date]]="","",Table1[[#This Row],[Actual close date]]-Table1[[#This Row],[Expected close date]])</f>
        <v/>
      </c>
    </row>
    <row r="1122" spans="1:18" x14ac:dyDescent="0.25">
      <c r="A1122" t="s">
        <v>1530</v>
      </c>
      <c r="B1122" t="s">
        <v>49</v>
      </c>
      <c r="C1122" t="s">
        <v>50</v>
      </c>
      <c r="D1122" t="s">
        <v>51</v>
      </c>
      <c r="E1122" t="s">
        <v>118</v>
      </c>
      <c r="F1122" t="s">
        <v>22</v>
      </c>
      <c r="G1122" t="s">
        <v>57</v>
      </c>
      <c r="H1122" s="1">
        <v>45313</v>
      </c>
      <c r="I1122" t="s">
        <v>47</v>
      </c>
      <c r="J1122" t="s">
        <v>1117</v>
      </c>
      <c r="K1122">
        <v>5</v>
      </c>
      <c r="L1122" t="s">
        <v>1479</v>
      </c>
      <c r="M1122">
        <v>3</v>
      </c>
      <c r="N1122">
        <v>1347</v>
      </c>
      <c r="O1122">
        <v>40</v>
      </c>
      <c r="P1122" s="1">
        <v>45652</v>
      </c>
      <c r="Q1122" s="1"/>
      <c r="R1122" t="str">
        <f>IF(Table1[[#This Row],[Actual close date]]="","",Table1[[#This Row],[Actual close date]]-Table1[[#This Row],[Expected close date]])</f>
        <v/>
      </c>
    </row>
    <row r="1123" spans="1:18" x14ac:dyDescent="0.25">
      <c r="A1123" t="s">
        <v>1554</v>
      </c>
      <c r="B1123" t="s">
        <v>33</v>
      </c>
      <c r="C1123" t="s">
        <v>34</v>
      </c>
      <c r="D1123" t="s">
        <v>35</v>
      </c>
      <c r="E1123" t="s">
        <v>122</v>
      </c>
      <c r="F1123" t="s">
        <v>125</v>
      </c>
      <c r="G1123" t="s">
        <v>85</v>
      </c>
      <c r="H1123" s="1">
        <v>45313</v>
      </c>
      <c r="I1123" t="s">
        <v>64</v>
      </c>
      <c r="J1123" t="s">
        <v>1117</v>
      </c>
      <c r="K1123">
        <v>5</v>
      </c>
      <c r="L1123" t="s">
        <v>1479</v>
      </c>
      <c r="M1123">
        <v>3</v>
      </c>
      <c r="N1123">
        <v>1158</v>
      </c>
      <c r="O1123">
        <v>40</v>
      </c>
      <c r="P1123" s="1">
        <v>45462</v>
      </c>
      <c r="Q1123" s="1"/>
      <c r="R1123" t="str">
        <f>IF(Table1[[#This Row],[Actual close date]]="","",Table1[[#This Row],[Actual close date]]-Table1[[#This Row],[Expected close date]])</f>
        <v/>
      </c>
    </row>
    <row r="1124" spans="1:18" x14ac:dyDescent="0.25">
      <c r="A1124" t="s">
        <v>1571</v>
      </c>
      <c r="B1124" t="s">
        <v>76</v>
      </c>
      <c r="C1124" t="s">
        <v>77</v>
      </c>
      <c r="D1124" t="s">
        <v>78</v>
      </c>
      <c r="E1124" t="s">
        <v>36</v>
      </c>
      <c r="F1124" t="s">
        <v>125</v>
      </c>
      <c r="G1124" t="s">
        <v>46</v>
      </c>
      <c r="H1124" s="1">
        <v>45313</v>
      </c>
      <c r="I1124" t="s">
        <v>64</v>
      </c>
      <c r="J1124" t="s">
        <v>1117</v>
      </c>
      <c r="K1124">
        <v>5</v>
      </c>
      <c r="L1124" t="s">
        <v>1479</v>
      </c>
      <c r="M1124">
        <v>3</v>
      </c>
      <c r="N1124">
        <v>900</v>
      </c>
      <c r="O1124">
        <v>30</v>
      </c>
      <c r="P1124" s="1">
        <v>45453</v>
      </c>
      <c r="Q1124" s="1"/>
      <c r="R1124" t="str">
        <f>IF(Table1[[#This Row],[Actual close date]]="","",Table1[[#This Row],[Actual close date]]-Table1[[#This Row],[Expected close date]])</f>
        <v/>
      </c>
    </row>
    <row r="1125" spans="1:18" x14ac:dyDescent="0.25">
      <c r="A1125" t="s">
        <v>1718</v>
      </c>
      <c r="B1125" t="s">
        <v>69</v>
      </c>
      <c r="C1125" t="s">
        <v>70</v>
      </c>
      <c r="D1125" t="s">
        <v>71</v>
      </c>
      <c r="E1125" t="s">
        <v>82</v>
      </c>
      <c r="F1125" t="s">
        <v>22</v>
      </c>
      <c r="G1125" t="s">
        <v>46</v>
      </c>
      <c r="H1125" s="1">
        <v>45313</v>
      </c>
      <c r="I1125" t="s">
        <v>64</v>
      </c>
      <c r="J1125" t="s">
        <v>1117</v>
      </c>
      <c r="K1125">
        <v>5</v>
      </c>
      <c r="L1125" t="s">
        <v>1700</v>
      </c>
      <c r="M1125">
        <v>1</v>
      </c>
      <c r="N1125">
        <v>1994</v>
      </c>
      <c r="O1125">
        <v>70</v>
      </c>
      <c r="P1125" s="1">
        <v>45557</v>
      </c>
      <c r="Q1125" s="1"/>
      <c r="R1125" t="str">
        <f>IF(Table1[[#This Row],[Actual close date]]="","",Table1[[#This Row],[Actual close date]]-Table1[[#This Row],[Expected close date]])</f>
        <v/>
      </c>
    </row>
    <row r="1126" spans="1:18" x14ac:dyDescent="0.25">
      <c r="A1126" t="s">
        <v>1830</v>
      </c>
      <c r="B1126" t="s">
        <v>59</v>
      </c>
      <c r="C1126" t="s">
        <v>60</v>
      </c>
      <c r="D1126" t="s">
        <v>61</v>
      </c>
      <c r="E1126" t="s">
        <v>45</v>
      </c>
      <c r="F1126" t="s">
        <v>125</v>
      </c>
      <c r="G1126" t="s">
        <v>46</v>
      </c>
      <c r="H1126" s="1">
        <v>45313</v>
      </c>
      <c r="I1126" t="s">
        <v>24</v>
      </c>
      <c r="J1126" t="s">
        <v>1117</v>
      </c>
      <c r="K1126">
        <v>5</v>
      </c>
      <c r="L1126" t="s">
        <v>1766</v>
      </c>
      <c r="M1126">
        <v>4</v>
      </c>
      <c r="N1126">
        <v>1031</v>
      </c>
      <c r="O1126">
        <v>30</v>
      </c>
      <c r="P1126" s="1">
        <v>45378</v>
      </c>
      <c r="Q1126" s="1"/>
      <c r="R1126" t="str">
        <f>IF(Table1[[#This Row],[Actual close date]]="","",Table1[[#This Row],[Actual close date]]-Table1[[#This Row],[Expected close date]])</f>
        <v/>
      </c>
    </row>
    <row r="1127" spans="1:18" x14ac:dyDescent="0.25">
      <c r="A1127" t="s">
        <v>1343</v>
      </c>
      <c r="B1127" t="s">
        <v>76</v>
      </c>
      <c r="C1127" t="s">
        <v>77</v>
      </c>
      <c r="D1127" t="s">
        <v>78</v>
      </c>
      <c r="E1127" t="s">
        <v>52</v>
      </c>
      <c r="F1127" t="s">
        <v>167</v>
      </c>
      <c r="G1127" t="s">
        <v>57</v>
      </c>
      <c r="H1127" s="1">
        <v>45314</v>
      </c>
      <c r="I1127" t="s">
        <v>24</v>
      </c>
      <c r="J1127" t="s">
        <v>1117</v>
      </c>
      <c r="K1127">
        <v>5</v>
      </c>
      <c r="L1127" t="s">
        <v>1118</v>
      </c>
      <c r="M1127">
        <v>2</v>
      </c>
      <c r="N1127">
        <v>7972</v>
      </c>
      <c r="O1127">
        <v>30</v>
      </c>
      <c r="P1127" s="1">
        <v>45513</v>
      </c>
      <c r="Q1127" s="1"/>
      <c r="R1127" t="str">
        <f>IF(Table1[[#This Row],[Actual close date]]="","",Table1[[#This Row],[Actual close date]]-Table1[[#This Row],[Expected close date]])</f>
        <v/>
      </c>
    </row>
    <row r="1128" spans="1:18" x14ac:dyDescent="0.25">
      <c r="A1128" t="s">
        <v>1383</v>
      </c>
      <c r="B1128" t="s">
        <v>76</v>
      </c>
      <c r="C1128" t="s">
        <v>77</v>
      </c>
      <c r="D1128" t="s">
        <v>78</v>
      </c>
      <c r="E1128" t="s">
        <v>52</v>
      </c>
      <c r="F1128" t="s">
        <v>167</v>
      </c>
      <c r="G1128" t="s">
        <v>57</v>
      </c>
      <c r="H1128" s="1">
        <v>45314</v>
      </c>
      <c r="I1128" t="s">
        <v>64</v>
      </c>
      <c r="J1128" t="s">
        <v>1117</v>
      </c>
      <c r="K1128">
        <v>5</v>
      </c>
      <c r="L1128" t="s">
        <v>1118</v>
      </c>
      <c r="M1128">
        <v>2</v>
      </c>
      <c r="N1128">
        <v>1908</v>
      </c>
      <c r="O1128">
        <v>50</v>
      </c>
      <c r="P1128" s="1">
        <v>45677</v>
      </c>
      <c r="Q1128" s="1"/>
      <c r="R1128" t="str">
        <f>IF(Table1[[#This Row],[Actual close date]]="","",Table1[[#This Row],[Actual close date]]-Table1[[#This Row],[Expected close date]])</f>
        <v/>
      </c>
    </row>
    <row r="1129" spans="1:18" x14ac:dyDescent="0.25">
      <c r="A1129" t="s">
        <v>1679</v>
      </c>
      <c r="B1129" t="s">
        <v>33</v>
      </c>
      <c r="C1129" t="s">
        <v>34</v>
      </c>
      <c r="D1129" t="s">
        <v>35</v>
      </c>
      <c r="E1129" t="s">
        <v>45</v>
      </c>
      <c r="F1129" t="s">
        <v>167</v>
      </c>
      <c r="G1129" t="s">
        <v>83</v>
      </c>
      <c r="H1129" s="1">
        <v>45314</v>
      </c>
      <c r="I1129" t="s">
        <v>47</v>
      </c>
      <c r="J1129" t="s">
        <v>1117</v>
      </c>
      <c r="K1129">
        <v>5</v>
      </c>
      <c r="L1129" t="s">
        <v>1479</v>
      </c>
      <c r="M1129">
        <v>3</v>
      </c>
      <c r="N1129">
        <v>1681</v>
      </c>
      <c r="O1129">
        <v>50</v>
      </c>
      <c r="P1129" s="1">
        <v>45375</v>
      </c>
      <c r="Q1129" s="1"/>
      <c r="R1129" t="str">
        <f>IF(Table1[[#This Row],[Actual close date]]="","",Table1[[#This Row],[Actual close date]]-Table1[[#This Row],[Expected close date]])</f>
        <v/>
      </c>
    </row>
    <row r="1130" spans="1:18" x14ac:dyDescent="0.25">
      <c r="A1130" t="s">
        <v>1128</v>
      </c>
      <c r="B1130" t="s">
        <v>39</v>
      </c>
      <c r="C1130" t="s">
        <v>40</v>
      </c>
      <c r="D1130" t="s">
        <v>41</v>
      </c>
      <c r="E1130" t="s">
        <v>21</v>
      </c>
      <c r="F1130" t="s">
        <v>22</v>
      </c>
      <c r="G1130" t="s">
        <v>57</v>
      </c>
      <c r="H1130" s="1">
        <v>45315</v>
      </c>
      <c r="I1130" t="s">
        <v>24</v>
      </c>
      <c r="J1130" t="s">
        <v>1117</v>
      </c>
      <c r="K1130">
        <v>5</v>
      </c>
      <c r="L1130" t="s">
        <v>1118</v>
      </c>
      <c r="M1130">
        <v>2</v>
      </c>
      <c r="N1130">
        <v>673</v>
      </c>
      <c r="O1130">
        <v>60</v>
      </c>
      <c r="P1130" s="1">
        <v>45647</v>
      </c>
      <c r="Q1130" s="1"/>
      <c r="R1130" t="str">
        <f>IF(Table1[[#This Row],[Actual close date]]="","",Table1[[#This Row],[Actual close date]]-Table1[[#This Row],[Expected close date]])</f>
        <v/>
      </c>
    </row>
    <row r="1131" spans="1:18" x14ac:dyDescent="0.25">
      <c r="A1131" t="s">
        <v>1509</v>
      </c>
      <c r="B1131" t="s">
        <v>54</v>
      </c>
      <c r="C1131" t="s">
        <v>55</v>
      </c>
      <c r="D1131" t="s">
        <v>56</v>
      </c>
      <c r="E1131" t="s">
        <v>82</v>
      </c>
      <c r="F1131" t="s">
        <v>22</v>
      </c>
      <c r="G1131" t="s">
        <v>37</v>
      </c>
      <c r="H1131" s="1">
        <v>45315</v>
      </c>
      <c r="I1131" t="s">
        <v>47</v>
      </c>
      <c r="J1131" t="s">
        <v>1117</v>
      </c>
      <c r="K1131">
        <v>5</v>
      </c>
      <c r="L1131" t="s">
        <v>1479</v>
      </c>
      <c r="M1131">
        <v>3</v>
      </c>
      <c r="N1131">
        <v>459</v>
      </c>
      <c r="O1131">
        <v>90</v>
      </c>
      <c r="P1131" s="1">
        <v>45379</v>
      </c>
      <c r="Q1131" s="1"/>
      <c r="R1131" t="str">
        <f>IF(Table1[[#This Row],[Actual close date]]="","",Table1[[#This Row],[Actual close date]]-Table1[[#This Row],[Expected close date]])</f>
        <v/>
      </c>
    </row>
    <row r="1132" spans="1:18" x14ac:dyDescent="0.25">
      <c r="A1132" t="s">
        <v>1602</v>
      </c>
      <c r="B1132" t="s">
        <v>69</v>
      </c>
      <c r="C1132" t="s">
        <v>70</v>
      </c>
      <c r="D1132" t="s">
        <v>71</v>
      </c>
      <c r="E1132" t="s">
        <v>45</v>
      </c>
      <c r="F1132" t="s">
        <v>125</v>
      </c>
      <c r="G1132" t="s">
        <v>37</v>
      </c>
      <c r="H1132" s="1">
        <v>45315</v>
      </c>
      <c r="I1132" t="s">
        <v>24</v>
      </c>
      <c r="J1132" t="s">
        <v>1117</v>
      </c>
      <c r="K1132">
        <v>5</v>
      </c>
      <c r="L1132" t="s">
        <v>1479</v>
      </c>
      <c r="M1132">
        <v>3</v>
      </c>
      <c r="N1132">
        <v>454</v>
      </c>
      <c r="O1132">
        <v>100</v>
      </c>
      <c r="P1132" s="1">
        <v>45645</v>
      </c>
      <c r="Q1132" s="1"/>
      <c r="R1132" t="str">
        <f>IF(Table1[[#This Row],[Actual close date]]="","",Table1[[#This Row],[Actual close date]]-Table1[[#This Row],[Expected close date]])</f>
        <v/>
      </c>
    </row>
    <row r="1133" spans="1:18" x14ac:dyDescent="0.25">
      <c r="A1133" t="s">
        <v>1714</v>
      </c>
      <c r="B1133" t="s">
        <v>33</v>
      </c>
      <c r="C1133" t="s">
        <v>34</v>
      </c>
      <c r="D1133" t="s">
        <v>35</v>
      </c>
      <c r="E1133" t="s">
        <v>36</v>
      </c>
      <c r="F1133" t="s">
        <v>22</v>
      </c>
      <c r="G1133" t="s">
        <v>37</v>
      </c>
      <c r="H1133" s="1">
        <v>45315</v>
      </c>
      <c r="I1133" t="s">
        <v>24</v>
      </c>
      <c r="J1133" t="s">
        <v>1117</v>
      </c>
      <c r="K1133">
        <v>5</v>
      </c>
      <c r="L1133" t="s">
        <v>1700</v>
      </c>
      <c r="M1133">
        <v>1</v>
      </c>
      <c r="N1133">
        <v>1567</v>
      </c>
      <c r="O1133">
        <v>70</v>
      </c>
      <c r="P1133" s="1">
        <v>45451</v>
      </c>
      <c r="Q1133" s="1"/>
      <c r="R1133" t="str">
        <f>IF(Table1[[#This Row],[Actual close date]]="","",Table1[[#This Row],[Actual close date]]-Table1[[#This Row],[Expected close date]])</f>
        <v/>
      </c>
    </row>
    <row r="1134" spans="1:18" x14ac:dyDescent="0.25">
      <c r="A1134" t="s">
        <v>1149</v>
      </c>
      <c r="B1134" t="s">
        <v>39</v>
      </c>
      <c r="C1134" t="s">
        <v>40</v>
      </c>
      <c r="D1134" t="s">
        <v>41</v>
      </c>
      <c r="E1134" t="s">
        <v>118</v>
      </c>
      <c r="F1134" t="s">
        <v>22</v>
      </c>
      <c r="G1134" t="s">
        <v>46</v>
      </c>
      <c r="H1134" s="1">
        <v>45316</v>
      </c>
      <c r="I1134" t="s">
        <v>24</v>
      </c>
      <c r="J1134" t="s">
        <v>1117</v>
      </c>
      <c r="K1134">
        <v>5</v>
      </c>
      <c r="L1134" t="s">
        <v>1118</v>
      </c>
      <c r="M1134">
        <v>2</v>
      </c>
      <c r="N1134">
        <v>565</v>
      </c>
      <c r="O1134">
        <v>10</v>
      </c>
      <c r="P1134" s="1">
        <v>45656</v>
      </c>
      <c r="Q1134" s="1"/>
      <c r="R1134" t="str">
        <f>IF(Table1[[#This Row],[Actual close date]]="","",Table1[[#This Row],[Actual close date]]-Table1[[#This Row],[Expected close date]])</f>
        <v/>
      </c>
    </row>
    <row r="1135" spans="1:18" x14ac:dyDescent="0.25">
      <c r="A1135" t="s">
        <v>1183</v>
      </c>
      <c r="B1135" t="s">
        <v>39</v>
      </c>
      <c r="C1135" t="s">
        <v>40</v>
      </c>
      <c r="D1135" t="s">
        <v>41</v>
      </c>
      <c r="E1135" t="s">
        <v>52</v>
      </c>
      <c r="F1135" t="s">
        <v>22</v>
      </c>
      <c r="G1135" t="s">
        <v>46</v>
      </c>
      <c r="H1135" s="1">
        <v>45316</v>
      </c>
      <c r="I1135" t="s">
        <v>24</v>
      </c>
      <c r="J1135" t="s">
        <v>1117</v>
      </c>
      <c r="K1135">
        <v>5</v>
      </c>
      <c r="L1135" t="s">
        <v>1118</v>
      </c>
      <c r="M1135">
        <v>2</v>
      </c>
      <c r="N1135">
        <v>586</v>
      </c>
      <c r="O1135">
        <v>40</v>
      </c>
      <c r="P1135" s="1">
        <v>45541</v>
      </c>
      <c r="Q1135" s="1"/>
      <c r="R1135" t="str">
        <f>IF(Table1[[#This Row],[Actual close date]]="","",Table1[[#This Row],[Actual close date]]-Table1[[#This Row],[Expected close date]])</f>
        <v/>
      </c>
    </row>
    <row r="1136" spans="1:18" x14ac:dyDescent="0.25">
      <c r="A1136" t="s">
        <v>1295</v>
      </c>
      <c r="B1136" t="s">
        <v>54</v>
      </c>
      <c r="C1136" t="s">
        <v>55</v>
      </c>
      <c r="D1136" t="s">
        <v>56</v>
      </c>
      <c r="E1136" t="s">
        <v>74</v>
      </c>
      <c r="F1136" t="s">
        <v>167</v>
      </c>
      <c r="G1136" t="s">
        <v>37</v>
      </c>
      <c r="H1136" s="1">
        <v>45316</v>
      </c>
      <c r="I1136" t="s">
        <v>47</v>
      </c>
      <c r="J1136" t="s">
        <v>1117</v>
      </c>
      <c r="K1136">
        <v>5</v>
      </c>
      <c r="L1136" t="s">
        <v>1118</v>
      </c>
      <c r="M1136">
        <v>2</v>
      </c>
      <c r="N1136">
        <v>1530</v>
      </c>
      <c r="O1136">
        <v>30</v>
      </c>
      <c r="P1136" s="1">
        <v>45439</v>
      </c>
      <c r="Q1136" s="1"/>
      <c r="R1136" t="str">
        <f>IF(Table1[[#This Row],[Actual close date]]="","",Table1[[#This Row],[Actual close date]]-Table1[[#This Row],[Expected close date]])</f>
        <v/>
      </c>
    </row>
    <row r="1137" spans="1:18" x14ac:dyDescent="0.25">
      <c r="A1137" t="s">
        <v>1296</v>
      </c>
      <c r="B1137" t="s">
        <v>54</v>
      </c>
      <c r="C1137" t="s">
        <v>55</v>
      </c>
      <c r="D1137" t="s">
        <v>56</v>
      </c>
      <c r="E1137" t="s">
        <v>45</v>
      </c>
      <c r="F1137" t="s">
        <v>167</v>
      </c>
      <c r="G1137" t="s">
        <v>37</v>
      </c>
      <c r="H1137" s="1">
        <v>45316</v>
      </c>
      <c r="I1137" t="s">
        <v>24</v>
      </c>
      <c r="J1137" t="s">
        <v>1117</v>
      </c>
      <c r="K1137">
        <v>5</v>
      </c>
      <c r="L1137" t="s">
        <v>1118</v>
      </c>
      <c r="M1137">
        <v>2</v>
      </c>
      <c r="N1137">
        <v>6962</v>
      </c>
      <c r="O1137">
        <v>30</v>
      </c>
      <c r="P1137" s="1">
        <v>45417</v>
      </c>
      <c r="Q1137" s="1"/>
      <c r="R1137" t="str">
        <f>IF(Table1[[#This Row],[Actual close date]]="","",Table1[[#This Row],[Actual close date]]-Table1[[#This Row],[Expected close date]])</f>
        <v/>
      </c>
    </row>
    <row r="1138" spans="1:18" x14ac:dyDescent="0.25">
      <c r="A1138" t="s">
        <v>1556</v>
      </c>
      <c r="B1138" t="s">
        <v>69</v>
      </c>
      <c r="C1138" t="s">
        <v>70</v>
      </c>
      <c r="D1138" t="s">
        <v>71</v>
      </c>
      <c r="E1138" t="s">
        <v>52</v>
      </c>
      <c r="F1138" t="s">
        <v>125</v>
      </c>
      <c r="G1138" t="s">
        <v>46</v>
      </c>
      <c r="H1138" s="1">
        <v>45316</v>
      </c>
      <c r="I1138" t="s">
        <v>24</v>
      </c>
      <c r="J1138" t="s">
        <v>1117</v>
      </c>
      <c r="K1138">
        <v>5</v>
      </c>
      <c r="L1138" t="s">
        <v>1479</v>
      </c>
      <c r="M1138">
        <v>3</v>
      </c>
      <c r="N1138">
        <v>1055</v>
      </c>
      <c r="O1138">
        <v>30</v>
      </c>
      <c r="P1138" s="1">
        <v>45530</v>
      </c>
      <c r="Q1138" s="1"/>
      <c r="R1138" t="str">
        <f>IF(Table1[[#This Row],[Actual close date]]="","",Table1[[#This Row],[Actual close date]]-Table1[[#This Row],[Expected close date]])</f>
        <v/>
      </c>
    </row>
    <row r="1139" spans="1:18" x14ac:dyDescent="0.25">
      <c r="A1139" t="s">
        <v>1584</v>
      </c>
      <c r="B1139" t="s">
        <v>39</v>
      </c>
      <c r="C1139" t="s">
        <v>40</v>
      </c>
      <c r="D1139" t="s">
        <v>41</v>
      </c>
      <c r="E1139" t="s">
        <v>36</v>
      </c>
      <c r="F1139" t="s">
        <v>125</v>
      </c>
      <c r="G1139" t="s">
        <v>57</v>
      </c>
      <c r="H1139" s="1">
        <v>45316</v>
      </c>
      <c r="I1139" t="s">
        <v>64</v>
      </c>
      <c r="J1139" t="s">
        <v>1117</v>
      </c>
      <c r="K1139">
        <v>5</v>
      </c>
      <c r="L1139" t="s">
        <v>1479</v>
      </c>
      <c r="M1139">
        <v>3</v>
      </c>
      <c r="N1139">
        <v>550</v>
      </c>
      <c r="O1139">
        <v>60</v>
      </c>
      <c r="P1139" s="1">
        <v>45482</v>
      </c>
      <c r="Q1139" s="1"/>
      <c r="R1139" t="str">
        <f>IF(Table1[[#This Row],[Actual close date]]="","",Table1[[#This Row],[Actual close date]]-Table1[[#This Row],[Expected close date]])</f>
        <v/>
      </c>
    </row>
    <row r="1140" spans="1:18" x14ac:dyDescent="0.25">
      <c r="A1140" t="s">
        <v>1817</v>
      </c>
      <c r="B1140" t="s">
        <v>39</v>
      </c>
      <c r="C1140" t="s">
        <v>40</v>
      </c>
      <c r="D1140" t="s">
        <v>41</v>
      </c>
      <c r="E1140" t="s">
        <v>45</v>
      </c>
      <c r="F1140" t="s">
        <v>125</v>
      </c>
      <c r="G1140" t="s">
        <v>72</v>
      </c>
      <c r="H1140" s="1">
        <v>45316</v>
      </c>
      <c r="I1140" t="s">
        <v>64</v>
      </c>
      <c r="J1140" t="s">
        <v>1117</v>
      </c>
      <c r="K1140">
        <v>5</v>
      </c>
      <c r="L1140" t="s">
        <v>1766</v>
      </c>
      <c r="M1140">
        <v>4</v>
      </c>
      <c r="N1140">
        <v>525</v>
      </c>
      <c r="O1140">
        <v>20</v>
      </c>
      <c r="P1140" s="1">
        <v>45425</v>
      </c>
      <c r="Q1140" s="1"/>
      <c r="R1140" t="str">
        <f>IF(Table1[[#This Row],[Actual close date]]="","",Table1[[#This Row],[Actual close date]]-Table1[[#This Row],[Expected close date]])</f>
        <v/>
      </c>
    </row>
    <row r="1141" spans="1:18" x14ac:dyDescent="0.25">
      <c r="A1141" t="s">
        <v>1896</v>
      </c>
      <c r="B1141" t="s">
        <v>33</v>
      </c>
      <c r="C1141" t="s">
        <v>34</v>
      </c>
      <c r="D1141" t="s">
        <v>35</v>
      </c>
      <c r="E1141" t="s">
        <v>66</v>
      </c>
      <c r="F1141" t="s">
        <v>167</v>
      </c>
      <c r="G1141" t="s">
        <v>46</v>
      </c>
      <c r="H1141" s="1">
        <v>45316</v>
      </c>
      <c r="I1141" t="s">
        <v>64</v>
      </c>
      <c r="J1141" t="s">
        <v>1117</v>
      </c>
      <c r="K1141">
        <v>5</v>
      </c>
      <c r="L1141" t="s">
        <v>1766</v>
      </c>
      <c r="M1141">
        <v>4</v>
      </c>
      <c r="N1141">
        <v>729</v>
      </c>
      <c r="O1141">
        <v>20</v>
      </c>
      <c r="P1141" s="1">
        <v>45564</v>
      </c>
      <c r="Q1141" s="1"/>
      <c r="R1141" t="str">
        <f>IF(Table1[[#This Row],[Actual close date]]="","",Table1[[#This Row],[Actual close date]]-Table1[[#This Row],[Expected close date]])</f>
        <v/>
      </c>
    </row>
    <row r="1142" spans="1:18" x14ac:dyDescent="0.25">
      <c r="A1142" t="s">
        <v>1203</v>
      </c>
      <c r="B1142" t="s">
        <v>33</v>
      </c>
      <c r="C1142" t="s">
        <v>34</v>
      </c>
      <c r="D1142" t="s">
        <v>35</v>
      </c>
      <c r="E1142" t="s">
        <v>36</v>
      </c>
      <c r="F1142" t="s">
        <v>22</v>
      </c>
      <c r="G1142" t="s">
        <v>31</v>
      </c>
      <c r="H1142" s="1">
        <v>45317</v>
      </c>
      <c r="I1142" t="s">
        <v>47</v>
      </c>
      <c r="J1142" t="s">
        <v>1117</v>
      </c>
      <c r="K1142">
        <v>5</v>
      </c>
      <c r="L1142" t="s">
        <v>1118</v>
      </c>
      <c r="M1142">
        <v>2</v>
      </c>
      <c r="N1142">
        <v>1071</v>
      </c>
      <c r="O1142">
        <v>40</v>
      </c>
      <c r="P1142" s="1">
        <v>45522</v>
      </c>
      <c r="Q1142" s="1"/>
      <c r="R1142" t="str">
        <f>IF(Table1[[#This Row],[Actual close date]]="","",Table1[[#This Row],[Actual close date]]-Table1[[#This Row],[Expected close date]])</f>
        <v/>
      </c>
    </row>
    <row r="1143" spans="1:18" x14ac:dyDescent="0.25">
      <c r="A1143" t="s">
        <v>1256</v>
      </c>
      <c r="B1143" t="s">
        <v>33</v>
      </c>
      <c r="C1143" t="s">
        <v>34</v>
      </c>
      <c r="D1143" t="s">
        <v>35</v>
      </c>
      <c r="E1143" t="s">
        <v>118</v>
      </c>
      <c r="F1143" t="s">
        <v>125</v>
      </c>
      <c r="G1143" t="s">
        <v>83</v>
      </c>
      <c r="H1143" s="1">
        <v>45317</v>
      </c>
      <c r="I1143" t="s">
        <v>24</v>
      </c>
      <c r="J1143" t="s">
        <v>1117</v>
      </c>
      <c r="K1143">
        <v>5</v>
      </c>
      <c r="L1143" t="s">
        <v>1118</v>
      </c>
      <c r="M1143">
        <v>2</v>
      </c>
      <c r="N1143">
        <v>341</v>
      </c>
      <c r="O1143">
        <v>20</v>
      </c>
      <c r="P1143" s="1">
        <v>45447</v>
      </c>
      <c r="Q1143" s="1"/>
      <c r="R1143" t="str">
        <f>IF(Table1[[#This Row],[Actual close date]]="","",Table1[[#This Row],[Actual close date]]-Table1[[#This Row],[Expected close date]])</f>
        <v/>
      </c>
    </row>
    <row r="1144" spans="1:18" x14ac:dyDescent="0.25">
      <c r="A1144" t="s">
        <v>1685</v>
      </c>
      <c r="B1144" t="s">
        <v>49</v>
      </c>
      <c r="C1144" t="s">
        <v>50</v>
      </c>
      <c r="D1144" t="s">
        <v>51</v>
      </c>
      <c r="E1144" t="s">
        <v>42</v>
      </c>
      <c r="F1144" t="s">
        <v>167</v>
      </c>
      <c r="G1144" t="s">
        <v>83</v>
      </c>
      <c r="H1144" s="1">
        <v>45317</v>
      </c>
      <c r="I1144" t="s">
        <v>24</v>
      </c>
      <c r="J1144" t="s">
        <v>1117</v>
      </c>
      <c r="K1144">
        <v>5</v>
      </c>
      <c r="L1144" t="s">
        <v>1479</v>
      </c>
      <c r="M1144">
        <v>3</v>
      </c>
      <c r="N1144">
        <v>710</v>
      </c>
      <c r="O1144">
        <v>40</v>
      </c>
      <c r="P1144" s="1">
        <v>45428</v>
      </c>
      <c r="Q1144" s="1"/>
      <c r="R1144" t="str">
        <f>IF(Table1[[#This Row],[Actual close date]]="","",Table1[[#This Row],[Actual close date]]-Table1[[#This Row],[Expected close date]])</f>
        <v/>
      </c>
    </row>
    <row r="1145" spans="1:18" x14ac:dyDescent="0.25">
      <c r="A1145" t="s">
        <v>1163</v>
      </c>
      <c r="B1145" t="s">
        <v>76</v>
      </c>
      <c r="C1145" t="s">
        <v>77</v>
      </c>
      <c r="D1145" t="s">
        <v>78</v>
      </c>
      <c r="E1145" t="s">
        <v>52</v>
      </c>
      <c r="F1145" t="s">
        <v>22</v>
      </c>
      <c r="G1145" t="s">
        <v>72</v>
      </c>
      <c r="H1145" s="1">
        <v>45318</v>
      </c>
      <c r="I1145" t="s">
        <v>24</v>
      </c>
      <c r="J1145" t="s">
        <v>1117</v>
      </c>
      <c r="K1145">
        <v>5</v>
      </c>
      <c r="L1145" t="s">
        <v>1118</v>
      </c>
      <c r="M1145">
        <v>2</v>
      </c>
      <c r="N1145">
        <v>460</v>
      </c>
      <c r="O1145">
        <v>70</v>
      </c>
      <c r="P1145" s="1">
        <v>45587</v>
      </c>
      <c r="Q1145" s="1"/>
      <c r="R1145" t="str">
        <f>IF(Table1[[#This Row],[Actual close date]]="","",Table1[[#This Row],[Actual close date]]-Table1[[#This Row],[Expected close date]])</f>
        <v/>
      </c>
    </row>
    <row r="1146" spans="1:18" x14ac:dyDescent="0.25">
      <c r="A1146" t="s">
        <v>1227</v>
      </c>
      <c r="B1146" t="s">
        <v>54</v>
      </c>
      <c r="C1146" t="s">
        <v>55</v>
      </c>
      <c r="D1146" t="s">
        <v>56</v>
      </c>
      <c r="E1146" t="s">
        <v>74</v>
      </c>
      <c r="F1146" t="s">
        <v>125</v>
      </c>
      <c r="G1146" t="s">
        <v>37</v>
      </c>
      <c r="H1146" s="1">
        <v>45318</v>
      </c>
      <c r="I1146" t="s">
        <v>24</v>
      </c>
      <c r="J1146" t="s">
        <v>1117</v>
      </c>
      <c r="K1146">
        <v>5</v>
      </c>
      <c r="L1146" t="s">
        <v>1118</v>
      </c>
      <c r="M1146">
        <v>2</v>
      </c>
      <c r="N1146">
        <v>233</v>
      </c>
      <c r="O1146">
        <v>90</v>
      </c>
      <c r="P1146" s="1">
        <v>45477</v>
      </c>
      <c r="Q1146" s="1"/>
      <c r="R1146" t="str">
        <f>IF(Table1[[#This Row],[Actual close date]]="","",Table1[[#This Row],[Actual close date]]-Table1[[#This Row],[Expected close date]])</f>
        <v/>
      </c>
    </row>
    <row r="1147" spans="1:18" x14ac:dyDescent="0.25">
      <c r="A1147" t="s">
        <v>1264</v>
      </c>
      <c r="B1147" t="s">
        <v>18</v>
      </c>
      <c r="C1147" t="s">
        <v>19</v>
      </c>
      <c r="D1147" t="s">
        <v>20</v>
      </c>
      <c r="E1147" t="s">
        <v>98</v>
      </c>
      <c r="F1147" t="s">
        <v>125</v>
      </c>
      <c r="G1147" t="s">
        <v>85</v>
      </c>
      <c r="H1147" s="1">
        <v>45318</v>
      </c>
      <c r="I1147" t="s">
        <v>24</v>
      </c>
      <c r="J1147" t="s">
        <v>1117</v>
      </c>
      <c r="K1147">
        <v>5</v>
      </c>
      <c r="L1147" t="s">
        <v>1118</v>
      </c>
      <c r="M1147">
        <v>2</v>
      </c>
      <c r="N1147">
        <v>795</v>
      </c>
      <c r="O1147">
        <v>50</v>
      </c>
      <c r="P1147" s="1">
        <v>45338</v>
      </c>
      <c r="Q1147" s="1"/>
      <c r="R1147" t="str">
        <f>IF(Table1[[#This Row],[Actual close date]]="","",Table1[[#This Row],[Actual close date]]-Table1[[#This Row],[Expected close date]])</f>
        <v/>
      </c>
    </row>
    <row r="1148" spans="1:18" x14ac:dyDescent="0.25">
      <c r="A1148" t="s">
        <v>1329</v>
      </c>
      <c r="B1148" t="s">
        <v>33</v>
      </c>
      <c r="C1148" t="s">
        <v>34</v>
      </c>
      <c r="D1148" t="s">
        <v>35</v>
      </c>
      <c r="E1148" t="s">
        <v>30</v>
      </c>
      <c r="F1148" t="s">
        <v>167</v>
      </c>
      <c r="G1148" t="s">
        <v>83</v>
      </c>
      <c r="H1148" s="1">
        <v>45318</v>
      </c>
      <c r="I1148" t="s">
        <v>64</v>
      </c>
      <c r="J1148" t="s">
        <v>1117</v>
      </c>
      <c r="K1148">
        <v>5</v>
      </c>
      <c r="L1148" t="s">
        <v>1118</v>
      </c>
      <c r="M1148">
        <v>2</v>
      </c>
      <c r="N1148">
        <v>1284</v>
      </c>
      <c r="O1148">
        <v>40</v>
      </c>
      <c r="P1148" s="1">
        <v>45456</v>
      </c>
      <c r="Q1148" s="1"/>
      <c r="R1148" t="str">
        <f>IF(Table1[[#This Row],[Actual close date]]="","",Table1[[#This Row],[Actual close date]]-Table1[[#This Row],[Expected close date]])</f>
        <v/>
      </c>
    </row>
    <row r="1149" spans="1:18" x14ac:dyDescent="0.25">
      <c r="A1149" t="s">
        <v>1519</v>
      </c>
      <c r="B1149" t="s">
        <v>39</v>
      </c>
      <c r="C1149" t="s">
        <v>40</v>
      </c>
      <c r="D1149" t="s">
        <v>41</v>
      </c>
      <c r="E1149" t="s">
        <v>21</v>
      </c>
      <c r="F1149" t="s">
        <v>22</v>
      </c>
      <c r="G1149" t="s">
        <v>37</v>
      </c>
      <c r="H1149" s="1">
        <v>45318</v>
      </c>
      <c r="I1149" t="s">
        <v>24</v>
      </c>
      <c r="J1149" t="s">
        <v>1117</v>
      </c>
      <c r="K1149">
        <v>5</v>
      </c>
      <c r="L1149" t="s">
        <v>1479</v>
      </c>
      <c r="M1149">
        <v>3</v>
      </c>
      <c r="N1149">
        <v>934</v>
      </c>
      <c r="O1149">
        <v>20</v>
      </c>
      <c r="P1149" s="1">
        <v>45428</v>
      </c>
      <c r="Q1149" s="1"/>
      <c r="R1149" t="str">
        <f>IF(Table1[[#This Row],[Actual close date]]="","",Table1[[#This Row],[Actual close date]]-Table1[[#This Row],[Expected close date]])</f>
        <v/>
      </c>
    </row>
    <row r="1150" spans="1:18" x14ac:dyDescent="0.25">
      <c r="A1150" t="s">
        <v>1846</v>
      </c>
      <c r="B1150" t="s">
        <v>54</v>
      </c>
      <c r="C1150" t="s">
        <v>55</v>
      </c>
      <c r="D1150" t="s">
        <v>56</v>
      </c>
      <c r="E1150" t="s">
        <v>36</v>
      </c>
      <c r="F1150" t="s">
        <v>167</v>
      </c>
      <c r="G1150" t="s">
        <v>57</v>
      </c>
      <c r="H1150" s="1">
        <v>45318</v>
      </c>
      <c r="I1150" t="s">
        <v>24</v>
      </c>
      <c r="J1150" t="s">
        <v>1117</v>
      </c>
      <c r="K1150">
        <v>5</v>
      </c>
      <c r="L1150" t="s">
        <v>1766</v>
      </c>
      <c r="M1150">
        <v>4</v>
      </c>
      <c r="N1150">
        <v>7919</v>
      </c>
      <c r="O1150">
        <v>30</v>
      </c>
      <c r="P1150" s="1">
        <v>45396</v>
      </c>
      <c r="Q1150" s="1"/>
      <c r="R1150" t="str">
        <f>IF(Table1[[#This Row],[Actual close date]]="","",Table1[[#This Row],[Actual close date]]-Table1[[#This Row],[Expected close date]])</f>
        <v/>
      </c>
    </row>
    <row r="1151" spans="1:18" x14ac:dyDescent="0.25">
      <c r="A1151" t="s">
        <v>1371</v>
      </c>
      <c r="B1151" t="s">
        <v>49</v>
      </c>
      <c r="C1151" t="s">
        <v>50</v>
      </c>
      <c r="D1151" t="s">
        <v>51</v>
      </c>
      <c r="E1151" t="s">
        <v>74</v>
      </c>
      <c r="F1151" t="s">
        <v>167</v>
      </c>
      <c r="G1151" t="s">
        <v>46</v>
      </c>
      <c r="H1151" s="1">
        <v>45319</v>
      </c>
      <c r="I1151" t="s">
        <v>47</v>
      </c>
      <c r="J1151" t="s">
        <v>1117</v>
      </c>
      <c r="K1151">
        <v>5</v>
      </c>
      <c r="L1151" t="s">
        <v>1118</v>
      </c>
      <c r="M1151">
        <v>2</v>
      </c>
      <c r="N1151">
        <v>1173</v>
      </c>
      <c r="O1151">
        <v>40</v>
      </c>
      <c r="P1151" s="1">
        <v>45508</v>
      </c>
      <c r="Q1151" s="1"/>
      <c r="R1151" t="str">
        <f>IF(Table1[[#This Row],[Actual close date]]="","",Table1[[#This Row],[Actual close date]]-Table1[[#This Row],[Expected close date]])</f>
        <v/>
      </c>
    </row>
    <row r="1152" spans="1:18" x14ac:dyDescent="0.25">
      <c r="A1152" t="s">
        <v>1545</v>
      </c>
      <c r="B1152" t="s">
        <v>76</v>
      </c>
      <c r="C1152" t="s">
        <v>77</v>
      </c>
      <c r="D1152" t="s">
        <v>78</v>
      </c>
      <c r="E1152" t="s">
        <v>66</v>
      </c>
      <c r="F1152" t="s">
        <v>22</v>
      </c>
      <c r="G1152" t="s">
        <v>46</v>
      </c>
      <c r="H1152" s="1">
        <v>45319</v>
      </c>
      <c r="I1152" t="s">
        <v>24</v>
      </c>
      <c r="J1152" t="s">
        <v>1117</v>
      </c>
      <c r="K1152">
        <v>5</v>
      </c>
      <c r="L1152" t="s">
        <v>1479</v>
      </c>
      <c r="M1152">
        <v>3</v>
      </c>
      <c r="N1152">
        <v>1123</v>
      </c>
      <c r="O1152">
        <v>30</v>
      </c>
      <c r="P1152" s="1">
        <v>45392</v>
      </c>
      <c r="Q1152" s="1"/>
      <c r="R1152" t="str">
        <f>IF(Table1[[#This Row],[Actual close date]]="","",Table1[[#This Row],[Actual close date]]-Table1[[#This Row],[Expected close date]])</f>
        <v/>
      </c>
    </row>
    <row r="1153" spans="1:18" x14ac:dyDescent="0.25">
      <c r="A1153" t="s">
        <v>1642</v>
      </c>
      <c r="B1153" t="s">
        <v>59</v>
      </c>
      <c r="C1153" t="s">
        <v>60</v>
      </c>
      <c r="D1153" t="s">
        <v>61</v>
      </c>
      <c r="E1153" t="s">
        <v>52</v>
      </c>
      <c r="F1153" t="s">
        <v>167</v>
      </c>
      <c r="G1153" t="s">
        <v>57</v>
      </c>
      <c r="H1153" s="1">
        <v>45319</v>
      </c>
      <c r="I1153" t="s">
        <v>64</v>
      </c>
      <c r="J1153" t="s">
        <v>1117</v>
      </c>
      <c r="K1153">
        <v>5</v>
      </c>
      <c r="L1153" t="s">
        <v>1479</v>
      </c>
      <c r="M1153">
        <v>3</v>
      </c>
      <c r="N1153">
        <v>7029</v>
      </c>
      <c r="O1153">
        <v>50</v>
      </c>
      <c r="P1153" s="1">
        <v>45648</v>
      </c>
      <c r="Q1153" s="1"/>
      <c r="R1153" t="str">
        <f>IF(Table1[[#This Row],[Actual close date]]="","",Table1[[#This Row],[Actual close date]]-Table1[[#This Row],[Expected close date]])</f>
        <v/>
      </c>
    </row>
    <row r="1154" spans="1:18" x14ac:dyDescent="0.25">
      <c r="A1154" t="s">
        <v>1735</v>
      </c>
      <c r="B1154" t="s">
        <v>69</v>
      </c>
      <c r="C1154" t="s">
        <v>70</v>
      </c>
      <c r="D1154" t="s">
        <v>71</v>
      </c>
      <c r="E1154" t="s">
        <v>36</v>
      </c>
      <c r="F1154" t="s">
        <v>125</v>
      </c>
      <c r="G1154" t="s">
        <v>46</v>
      </c>
      <c r="H1154" s="1">
        <v>45319</v>
      </c>
      <c r="I1154" t="s">
        <v>24</v>
      </c>
      <c r="J1154" t="s">
        <v>1117</v>
      </c>
      <c r="K1154">
        <v>5</v>
      </c>
      <c r="L1154" t="s">
        <v>1700</v>
      </c>
      <c r="M1154">
        <v>1</v>
      </c>
      <c r="N1154">
        <v>746</v>
      </c>
      <c r="O1154">
        <v>30</v>
      </c>
      <c r="P1154" s="1">
        <v>45498</v>
      </c>
      <c r="Q1154" s="1"/>
      <c r="R1154" t="str">
        <f>IF(Table1[[#This Row],[Actual close date]]="","",Table1[[#This Row],[Actual close date]]-Table1[[#This Row],[Expected close date]])</f>
        <v/>
      </c>
    </row>
    <row r="1155" spans="1:18" x14ac:dyDescent="0.25">
      <c r="A1155" t="s">
        <v>1125</v>
      </c>
      <c r="B1155" t="s">
        <v>54</v>
      </c>
      <c r="C1155" t="s">
        <v>55</v>
      </c>
      <c r="D1155" t="s">
        <v>56</v>
      </c>
      <c r="E1155" t="s">
        <v>52</v>
      </c>
      <c r="F1155" t="s">
        <v>22</v>
      </c>
      <c r="G1155" t="s">
        <v>46</v>
      </c>
      <c r="H1155" s="1">
        <v>45320</v>
      </c>
      <c r="I1155" t="s">
        <v>64</v>
      </c>
      <c r="J1155" t="s">
        <v>1117</v>
      </c>
      <c r="K1155">
        <v>5</v>
      </c>
      <c r="L1155" t="s">
        <v>1118</v>
      </c>
      <c r="M1155">
        <v>2</v>
      </c>
      <c r="N1155">
        <v>1320</v>
      </c>
      <c r="O1155">
        <v>70</v>
      </c>
      <c r="P1155" s="1">
        <v>45342</v>
      </c>
      <c r="Q1155" s="1"/>
      <c r="R1155" t="str">
        <f>IF(Table1[[#This Row],[Actual close date]]="","",Table1[[#This Row],[Actual close date]]-Table1[[#This Row],[Expected close date]])</f>
        <v/>
      </c>
    </row>
    <row r="1156" spans="1:18" x14ac:dyDescent="0.25">
      <c r="A1156" t="s">
        <v>1194</v>
      </c>
      <c r="B1156" t="s">
        <v>49</v>
      </c>
      <c r="C1156" t="s">
        <v>50</v>
      </c>
      <c r="D1156" t="s">
        <v>51</v>
      </c>
      <c r="E1156" t="s">
        <v>30</v>
      </c>
      <c r="F1156" t="s">
        <v>22</v>
      </c>
      <c r="G1156" t="s">
        <v>72</v>
      </c>
      <c r="H1156" s="1">
        <v>45320</v>
      </c>
      <c r="I1156" t="s">
        <v>24</v>
      </c>
      <c r="J1156" t="s">
        <v>1117</v>
      </c>
      <c r="K1156">
        <v>5</v>
      </c>
      <c r="L1156" t="s">
        <v>1118</v>
      </c>
      <c r="M1156">
        <v>2</v>
      </c>
      <c r="N1156">
        <v>474</v>
      </c>
      <c r="O1156">
        <v>30</v>
      </c>
      <c r="P1156" s="1">
        <v>45519</v>
      </c>
      <c r="Q1156" s="1"/>
      <c r="R1156" t="str">
        <f>IF(Table1[[#This Row],[Actual close date]]="","",Table1[[#This Row],[Actual close date]]-Table1[[#This Row],[Expected close date]])</f>
        <v/>
      </c>
    </row>
    <row r="1157" spans="1:18" x14ac:dyDescent="0.25">
      <c r="A1157" t="s">
        <v>1513</v>
      </c>
      <c r="B1157" t="s">
        <v>27</v>
      </c>
      <c r="C1157" t="s">
        <v>28</v>
      </c>
      <c r="D1157" t="s">
        <v>29</v>
      </c>
      <c r="E1157" t="s">
        <v>74</v>
      </c>
      <c r="F1157" t="s">
        <v>22</v>
      </c>
      <c r="G1157" t="s">
        <v>46</v>
      </c>
      <c r="H1157" s="1">
        <v>45320</v>
      </c>
      <c r="I1157" t="s">
        <v>24</v>
      </c>
      <c r="J1157" t="s">
        <v>1117</v>
      </c>
      <c r="K1157">
        <v>5</v>
      </c>
      <c r="L1157" t="s">
        <v>1479</v>
      </c>
      <c r="M1157">
        <v>3</v>
      </c>
      <c r="N1157">
        <v>847</v>
      </c>
      <c r="O1157">
        <v>30</v>
      </c>
      <c r="P1157" s="1">
        <v>45417</v>
      </c>
      <c r="Q1157" s="1"/>
      <c r="R1157" t="str">
        <f>IF(Table1[[#This Row],[Actual close date]]="","",Table1[[#This Row],[Actual close date]]-Table1[[#This Row],[Expected close date]])</f>
        <v/>
      </c>
    </row>
    <row r="1158" spans="1:18" x14ac:dyDescent="0.25">
      <c r="A1158" t="s">
        <v>1624</v>
      </c>
      <c r="B1158" t="s">
        <v>54</v>
      </c>
      <c r="C1158" t="s">
        <v>55</v>
      </c>
      <c r="D1158" t="s">
        <v>56</v>
      </c>
      <c r="E1158" t="s">
        <v>52</v>
      </c>
      <c r="F1158" t="s">
        <v>167</v>
      </c>
      <c r="G1158" t="s">
        <v>23</v>
      </c>
      <c r="H1158" s="1">
        <v>45320</v>
      </c>
      <c r="I1158" t="s">
        <v>47</v>
      </c>
      <c r="J1158" t="s">
        <v>1117</v>
      </c>
      <c r="K1158">
        <v>5</v>
      </c>
      <c r="L1158" t="s">
        <v>1479</v>
      </c>
      <c r="M1158">
        <v>3</v>
      </c>
      <c r="N1158">
        <v>3550</v>
      </c>
      <c r="O1158">
        <v>70</v>
      </c>
      <c r="P1158" s="1">
        <v>45407</v>
      </c>
      <c r="Q1158" s="1"/>
      <c r="R1158" t="str">
        <f>IF(Table1[[#This Row],[Actual close date]]="","",Table1[[#This Row],[Actual close date]]-Table1[[#This Row],[Expected close date]])</f>
        <v/>
      </c>
    </row>
    <row r="1159" spans="1:18" x14ac:dyDescent="0.25">
      <c r="A1159" t="s">
        <v>1633</v>
      </c>
      <c r="B1159" t="s">
        <v>39</v>
      </c>
      <c r="C1159" t="s">
        <v>40</v>
      </c>
      <c r="D1159" t="s">
        <v>41</v>
      </c>
      <c r="E1159" t="s">
        <v>52</v>
      </c>
      <c r="F1159" t="s">
        <v>167</v>
      </c>
      <c r="G1159" t="s">
        <v>37</v>
      </c>
      <c r="H1159" s="1">
        <v>45320</v>
      </c>
      <c r="I1159" t="s">
        <v>64</v>
      </c>
      <c r="J1159" t="s">
        <v>1117</v>
      </c>
      <c r="K1159">
        <v>5</v>
      </c>
      <c r="L1159" t="s">
        <v>1479</v>
      </c>
      <c r="M1159">
        <v>3</v>
      </c>
      <c r="N1159">
        <v>1395</v>
      </c>
      <c r="O1159">
        <v>30</v>
      </c>
      <c r="P1159" s="1">
        <v>45460</v>
      </c>
      <c r="Q1159" s="1"/>
      <c r="R1159" t="str">
        <f>IF(Table1[[#This Row],[Actual close date]]="","",Table1[[#This Row],[Actual close date]]-Table1[[#This Row],[Expected close date]])</f>
        <v/>
      </c>
    </row>
    <row r="1160" spans="1:18" x14ac:dyDescent="0.25">
      <c r="A1160" t="s">
        <v>1682</v>
      </c>
      <c r="B1160" t="s">
        <v>39</v>
      </c>
      <c r="C1160" t="s">
        <v>40</v>
      </c>
      <c r="D1160" t="s">
        <v>41</v>
      </c>
      <c r="E1160" t="s">
        <v>42</v>
      </c>
      <c r="F1160" t="s">
        <v>167</v>
      </c>
      <c r="G1160" t="s">
        <v>57</v>
      </c>
      <c r="H1160" s="1">
        <v>45320</v>
      </c>
      <c r="I1160" t="s">
        <v>24</v>
      </c>
      <c r="J1160" t="s">
        <v>1117</v>
      </c>
      <c r="K1160">
        <v>5</v>
      </c>
      <c r="L1160" t="s">
        <v>1479</v>
      </c>
      <c r="M1160">
        <v>3</v>
      </c>
      <c r="N1160">
        <v>5159</v>
      </c>
      <c r="O1160">
        <v>40</v>
      </c>
      <c r="P1160" s="1">
        <v>45658</v>
      </c>
      <c r="Q1160" s="1"/>
      <c r="R1160" t="str">
        <f>IF(Table1[[#This Row],[Actual close date]]="","",Table1[[#This Row],[Actual close date]]-Table1[[#This Row],[Expected close date]])</f>
        <v/>
      </c>
    </row>
    <row r="1161" spans="1:18" x14ac:dyDescent="0.25">
      <c r="A1161" t="s">
        <v>1185</v>
      </c>
      <c r="B1161" t="s">
        <v>39</v>
      </c>
      <c r="C1161" t="s">
        <v>40</v>
      </c>
      <c r="D1161" t="s">
        <v>41</v>
      </c>
      <c r="E1161" t="s">
        <v>21</v>
      </c>
      <c r="F1161" t="s">
        <v>22</v>
      </c>
      <c r="G1161" t="s">
        <v>31</v>
      </c>
      <c r="H1161" s="1">
        <v>45321</v>
      </c>
      <c r="I1161" t="s">
        <v>47</v>
      </c>
      <c r="J1161" t="s">
        <v>1117</v>
      </c>
      <c r="K1161">
        <v>5</v>
      </c>
      <c r="L1161" t="s">
        <v>1118</v>
      </c>
      <c r="M1161">
        <v>2</v>
      </c>
      <c r="N1161">
        <v>1567</v>
      </c>
      <c r="O1161">
        <v>40</v>
      </c>
      <c r="P1161" s="1">
        <v>45424</v>
      </c>
      <c r="Q1161" s="1"/>
      <c r="R1161" t="str">
        <f>IF(Table1[[#This Row],[Actual close date]]="","",Table1[[#This Row],[Actual close date]]-Table1[[#This Row],[Expected close date]])</f>
        <v/>
      </c>
    </row>
    <row r="1162" spans="1:18" x14ac:dyDescent="0.25">
      <c r="A1162" t="s">
        <v>1337</v>
      </c>
      <c r="B1162" t="s">
        <v>49</v>
      </c>
      <c r="C1162" t="s">
        <v>50</v>
      </c>
      <c r="D1162" t="s">
        <v>51</v>
      </c>
      <c r="E1162" t="s">
        <v>66</v>
      </c>
      <c r="F1162" t="s">
        <v>167</v>
      </c>
      <c r="G1162" t="s">
        <v>37</v>
      </c>
      <c r="H1162" s="1">
        <v>45321</v>
      </c>
      <c r="I1162" t="s">
        <v>24</v>
      </c>
      <c r="J1162" t="s">
        <v>1117</v>
      </c>
      <c r="K1162">
        <v>5</v>
      </c>
      <c r="L1162" t="s">
        <v>1118</v>
      </c>
      <c r="M1162">
        <v>2</v>
      </c>
      <c r="N1162">
        <v>6186</v>
      </c>
      <c r="O1162">
        <v>40</v>
      </c>
      <c r="P1162" s="1">
        <v>45557</v>
      </c>
      <c r="Q1162" s="1"/>
      <c r="R1162" t="str">
        <f>IF(Table1[[#This Row],[Actual close date]]="","",Table1[[#This Row],[Actual close date]]-Table1[[#This Row],[Expected close date]])</f>
        <v/>
      </c>
    </row>
    <row r="1163" spans="1:18" x14ac:dyDescent="0.25">
      <c r="A1163" t="s">
        <v>1623</v>
      </c>
      <c r="B1163" t="s">
        <v>18</v>
      </c>
      <c r="C1163" t="s">
        <v>19</v>
      </c>
      <c r="D1163" t="s">
        <v>20</v>
      </c>
      <c r="E1163" t="s">
        <v>30</v>
      </c>
      <c r="F1163" t="s">
        <v>167</v>
      </c>
      <c r="G1163" t="s">
        <v>23</v>
      </c>
      <c r="H1163" s="1">
        <v>45321</v>
      </c>
      <c r="I1163" t="s">
        <v>24</v>
      </c>
      <c r="J1163" t="s">
        <v>1117</v>
      </c>
      <c r="K1163">
        <v>5</v>
      </c>
      <c r="L1163" t="s">
        <v>1479</v>
      </c>
      <c r="M1163">
        <v>3</v>
      </c>
      <c r="N1163">
        <v>732</v>
      </c>
      <c r="O1163">
        <v>10</v>
      </c>
      <c r="P1163" s="1">
        <v>45456</v>
      </c>
      <c r="Q1163" s="1"/>
      <c r="R1163" t="str">
        <f>IF(Table1[[#This Row],[Actual close date]]="","",Table1[[#This Row],[Actual close date]]-Table1[[#This Row],[Expected close date]])</f>
        <v/>
      </c>
    </row>
    <row r="1164" spans="1:18" x14ac:dyDescent="0.25">
      <c r="A1164" t="s">
        <v>1680</v>
      </c>
      <c r="B1164" t="s">
        <v>59</v>
      </c>
      <c r="C1164" t="s">
        <v>60</v>
      </c>
      <c r="D1164" t="s">
        <v>61</v>
      </c>
      <c r="E1164" t="s">
        <v>21</v>
      </c>
      <c r="F1164" t="s">
        <v>167</v>
      </c>
      <c r="G1164" t="s">
        <v>31</v>
      </c>
      <c r="H1164" s="1">
        <v>45321</v>
      </c>
      <c r="I1164" t="s">
        <v>24</v>
      </c>
      <c r="J1164" t="s">
        <v>1117</v>
      </c>
      <c r="K1164">
        <v>5</v>
      </c>
      <c r="L1164" t="s">
        <v>1479</v>
      </c>
      <c r="M1164">
        <v>3</v>
      </c>
      <c r="N1164">
        <v>5011</v>
      </c>
      <c r="O1164">
        <v>10</v>
      </c>
      <c r="P1164" s="1">
        <v>45542</v>
      </c>
      <c r="Q1164" s="1"/>
      <c r="R1164" t="str">
        <f>IF(Table1[[#This Row],[Actual close date]]="","",Table1[[#This Row],[Actual close date]]-Table1[[#This Row],[Expected close date]])</f>
        <v/>
      </c>
    </row>
    <row r="1165" spans="1:18" x14ac:dyDescent="0.25">
      <c r="A1165" t="s">
        <v>1824</v>
      </c>
      <c r="B1165" t="s">
        <v>39</v>
      </c>
      <c r="C1165" t="s">
        <v>40</v>
      </c>
      <c r="D1165" t="s">
        <v>41</v>
      </c>
      <c r="E1165" t="s">
        <v>36</v>
      </c>
      <c r="F1165" t="s">
        <v>125</v>
      </c>
      <c r="G1165" t="s">
        <v>46</v>
      </c>
      <c r="H1165" s="1">
        <v>45321</v>
      </c>
      <c r="I1165" t="s">
        <v>47</v>
      </c>
      <c r="J1165" t="s">
        <v>1117</v>
      </c>
      <c r="K1165">
        <v>5</v>
      </c>
      <c r="L1165" t="s">
        <v>1766</v>
      </c>
      <c r="M1165">
        <v>4</v>
      </c>
      <c r="N1165">
        <v>507</v>
      </c>
      <c r="O1165">
        <v>40</v>
      </c>
      <c r="P1165" s="1">
        <v>45646</v>
      </c>
      <c r="Q1165" s="1"/>
      <c r="R1165" t="str">
        <f>IF(Table1[[#This Row],[Actual close date]]="","",Table1[[#This Row],[Actual close date]]-Table1[[#This Row],[Expected close date]])</f>
        <v/>
      </c>
    </row>
    <row r="1166" spans="1:18" x14ac:dyDescent="0.25">
      <c r="A1166" t="s">
        <v>1318</v>
      </c>
      <c r="B1166" t="s">
        <v>69</v>
      </c>
      <c r="C1166" t="s">
        <v>70</v>
      </c>
      <c r="D1166" t="s">
        <v>71</v>
      </c>
      <c r="E1166" t="s">
        <v>21</v>
      </c>
      <c r="F1166" t="s">
        <v>167</v>
      </c>
      <c r="G1166" t="s">
        <v>46</v>
      </c>
      <c r="H1166" s="1">
        <v>45322</v>
      </c>
      <c r="I1166" t="s">
        <v>64</v>
      </c>
      <c r="J1166" t="s">
        <v>1117</v>
      </c>
      <c r="K1166">
        <v>5</v>
      </c>
      <c r="L1166" t="s">
        <v>1118</v>
      </c>
      <c r="M1166">
        <v>2</v>
      </c>
      <c r="N1166">
        <v>4387</v>
      </c>
      <c r="O1166">
        <v>90</v>
      </c>
      <c r="P1166" s="1">
        <v>45494</v>
      </c>
      <c r="Q1166" s="1"/>
      <c r="R1166" t="str">
        <f>IF(Table1[[#This Row],[Actual close date]]="","",Table1[[#This Row],[Actual close date]]-Table1[[#This Row],[Expected close date]])</f>
        <v/>
      </c>
    </row>
    <row r="1167" spans="1:18" x14ac:dyDescent="0.25">
      <c r="A1167" t="s">
        <v>1356</v>
      </c>
      <c r="B1167" t="s">
        <v>49</v>
      </c>
      <c r="C1167" t="s">
        <v>50</v>
      </c>
      <c r="D1167" t="s">
        <v>51</v>
      </c>
      <c r="E1167" t="s">
        <v>36</v>
      </c>
      <c r="F1167" t="s">
        <v>167</v>
      </c>
      <c r="G1167" t="s">
        <v>85</v>
      </c>
      <c r="H1167" s="1">
        <v>45322</v>
      </c>
      <c r="I1167" t="s">
        <v>24</v>
      </c>
      <c r="J1167" t="s">
        <v>1117</v>
      </c>
      <c r="K1167">
        <v>5</v>
      </c>
      <c r="L1167" t="s">
        <v>1118</v>
      </c>
      <c r="M1167">
        <v>2</v>
      </c>
      <c r="N1167">
        <v>8000</v>
      </c>
      <c r="O1167">
        <v>40</v>
      </c>
      <c r="P1167" s="1">
        <v>45605</v>
      </c>
      <c r="Q1167" s="1"/>
      <c r="R1167" t="str">
        <f>IF(Table1[[#This Row],[Actual close date]]="","",Table1[[#This Row],[Actual close date]]-Table1[[#This Row],[Expected close date]])</f>
        <v/>
      </c>
    </row>
    <row r="1168" spans="1:18" x14ac:dyDescent="0.25">
      <c r="A1168" t="s">
        <v>1629</v>
      </c>
      <c r="B1168" t="s">
        <v>33</v>
      </c>
      <c r="C1168" t="s">
        <v>34</v>
      </c>
      <c r="D1168" t="s">
        <v>35</v>
      </c>
      <c r="E1168" t="s">
        <v>101</v>
      </c>
      <c r="F1168" t="s">
        <v>167</v>
      </c>
      <c r="G1168" t="s">
        <v>85</v>
      </c>
      <c r="H1168" s="1">
        <v>45322</v>
      </c>
      <c r="I1168" t="s">
        <v>64</v>
      </c>
      <c r="J1168" t="s">
        <v>1117</v>
      </c>
      <c r="K1168">
        <v>5</v>
      </c>
      <c r="L1168" t="s">
        <v>1479</v>
      </c>
      <c r="M1168">
        <v>3</v>
      </c>
      <c r="N1168">
        <v>7134</v>
      </c>
      <c r="O1168">
        <v>30</v>
      </c>
      <c r="P1168" s="1">
        <v>45625</v>
      </c>
      <c r="Q1168" s="1"/>
      <c r="R1168" t="str">
        <f>IF(Table1[[#This Row],[Actual close date]]="","",Table1[[#This Row],[Actual close date]]-Table1[[#This Row],[Expected close date]])</f>
        <v/>
      </c>
    </row>
    <row r="1169" spans="1:18" x14ac:dyDescent="0.25">
      <c r="A1169" t="s">
        <v>1731</v>
      </c>
      <c r="B1169" t="s">
        <v>18</v>
      </c>
      <c r="C1169" t="s">
        <v>19</v>
      </c>
      <c r="D1169" t="s">
        <v>20</v>
      </c>
      <c r="E1169" t="s">
        <v>62</v>
      </c>
      <c r="F1169" t="s">
        <v>125</v>
      </c>
      <c r="G1169" t="s">
        <v>57</v>
      </c>
      <c r="H1169" s="1">
        <v>45322</v>
      </c>
      <c r="I1169" t="s">
        <v>24</v>
      </c>
      <c r="J1169" t="s">
        <v>1117</v>
      </c>
      <c r="K1169">
        <v>5</v>
      </c>
      <c r="L1169" t="s">
        <v>1700</v>
      </c>
      <c r="M1169">
        <v>1</v>
      </c>
      <c r="N1169">
        <v>1021</v>
      </c>
      <c r="O1169">
        <v>30</v>
      </c>
      <c r="P1169" s="1">
        <v>45588</v>
      </c>
      <c r="Q1169" s="1"/>
      <c r="R1169" t="str">
        <f>IF(Table1[[#This Row],[Actual close date]]="","",Table1[[#This Row],[Actual close date]]-Table1[[#This Row],[Expected close date]])</f>
        <v/>
      </c>
    </row>
    <row r="1170" spans="1:18" x14ac:dyDescent="0.25">
      <c r="A1170" t="s">
        <v>1897</v>
      </c>
      <c r="B1170" t="s">
        <v>39</v>
      </c>
      <c r="C1170" t="s">
        <v>40</v>
      </c>
      <c r="D1170" t="s">
        <v>41</v>
      </c>
      <c r="E1170" t="s">
        <v>52</v>
      </c>
      <c r="F1170" t="s">
        <v>167</v>
      </c>
      <c r="G1170" t="s">
        <v>46</v>
      </c>
      <c r="H1170" s="1">
        <v>45322</v>
      </c>
      <c r="I1170" t="s">
        <v>64</v>
      </c>
      <c r="J1170" t="s">
        <v>1117</v>
      </c>
      <c r="K1170">
        <v>5</v>
      </c>
      <c r="L1170" t="s">
        <v>1766</v>
      </c>
      <c r="M1170">
        <v>4</v>
      </c>
      <c r="N1170">
        <v>7735</v>
      </c>
      <c r="O1170">
        <v>80</v>
      </c>
      <c r="P1170" s="1">
        <v>45367</v>
      </c>
      <c r="Q1170" s="1"/>
      <c r="R1170" t="str">
        <f>IF(Table1[[#This Row],[Actual close date]]="","",Table1[[#This Row],[Actual close date]]-Table1[[#This Row],[Expected close date]])</f>
        <v/>
      </c>
    </row>
    <row r="1171" spans="1:18" x14ac:dyDescent="0.25">
      <c r="A1171" t="s">
        <v>1310</v>
      </c>
      <c r="B1171" t="s">
        <v>27</v>
      </c>
      <c r="C1171" t="s">
        <v>28</v>
      </c>
      <c r="D1171" t="s">
        <v>29</v>
      </c>
      <c r="E1171" t="s">
        <v>82</v>
      </c>
      <c r="F1171" t="s">
        <v>167</v>
      </c>
      <c r="G1171" t="s">
        <v>23</v>
      </c>
      <c r="H1171" s="1">
        <v>45323</v>
      </c>
      <c r="I1171" t="s">
        <v>24</v>
      </c>
      <c r="J1171" t="s">
        <v>1117</v>
      </c>
      <c r="K1171">
        <v>5</v>
      </c>
      <c r="L1171" t="s">
        <v>1118</v>
      </c>
      <c r="M1171">
        <v>2</v>
      </c>
      <c r="N1171">
        <v>755</v>
      </c>
      <c r="O1171">
        <v>90</v>
      </c>
      <c r="P1171" s="1">
        <v>45665</v>
      </c>
      <c r="Q1171" s="1"/>
      <c r="R1171" t="str">
        <f>IF(Table1[[#This Row],[Actual close date]]="","",Table1[[#This Row],[Actual close date]]-Table1[[#This Row],[Expected close date]])</f>
        <v/>
      </c>
    </row>
    <row r="1172" spans="1:18" x14ac:dyDescent="0.25">
      <c r="A1172" t="s">
        <v>1317</v>
      </c>
      <c r="B1172" t="s">
        <v>18</v>
      </c>
      <c r="C1172" t="s">
        <v>19</v>
      </c>
      <c r="D1172" t="s">
        <v>20</v>
      </c>
      <c r="E1172" t="s">
        <v>62</v>
      </c>
      <c r="F1172" t="s">
        <v>167</v>
      </c>
      <c r="G1172" t="s">
        <v>72</v>
      </c>
      <c r="H1172" s="1">
        <v>45323</v>
      </c>
      <c r="I1172" t="s">
        <v>47</v>
      </c>
      <c r="J1172" t="s">
        <v>1117</v>
      </c>
      <c r="K1172">
        <v>5</v>
      </c>
      <c r="L1172" t="s">
        <v>1118</v>
      </c>
      <c r="M1172">
        <v>2</v>
      </c>
      <c r="N1172">
        <v>5532</v>
      </c>
      <c r="O1172">
        <v>10</v>
      </c>
      <c r="P1172" s="1">
        <v>45614</v>
      </c>
      <c r="Q1172" s="1"/>
      <c r="R1172" t="str">
        <f>IF(Table1[[#This Row],[Actual close date]]="","",Table1[[#This Row],[Actual close date]]-Table1[[#This Row],[Expected close date]])</f>
        <v/>
      </c>
    </row>
    <row r="1173" spans="1:18" x14ac:dyDescent="0.25">
      <c r="A1173" t="s">
        <v>1793</v>
      </c>
      <c r="B1173" t="s">
        <v>76</v>
      </c>
      <c r="C1173" t="s">
        <v>77</v>
      </c>
      <c r="D1173" t="s">
        <v>78</v>
      </c>
      <c r="E1173" t="s">
        <v>66</v>
      </c>
      <c r="F1173" t="s">
        <v>22</v>
      </c>
      <c r="G1173" t="s">
        <v>85</v>
      </c>
      <c r="H1173" s="1">
        <v>45323</v>
      </c>
      <c r="I1173" t="s">
        <v>24</v>
      </c>
      <c r="J1173" t="s">
        <v>1117</v>
      </c>
      <c r="K1173">
        <v>5</v>
      </c>
      <c r="L1173" t="s">
        <v>1766</v>
      </c>
      <c r="M1173">
        <v>4</v>
      </c>
      <c r="N1173">
        <v>697</v>
      </c>
      <c r="O1173">
        <v>70</v>
      </c>
      <c r="P1173" s="1">
        <v>45380</v>
      </c>
      <c r="Q1173" s="1"/>
      <c r="R1173" t="str">
        <f>IF(Table1[[#This Row],[Actual close date]]="","",Table1[[#This Row],[Actual close date]]-Table1[[#This Row],[Expected close date]])</f>
        <v/>
      </c>
    </row>
    <row r="1174" spans="1:18" x14ac:dyDescent="0.25">
      <c r="A1174" t="s">
        <v>1195</v>
      </c>
      <c r="B1174" t="s">
        <v>59</v>
      </c>
      <c r="C1174" t="s">
        <v>60</v>
      </c>
      <c r="D1174" t="s">
        <v>61</v>
      </c>
      <c r="E1174" t="s">
        <v>101</v>
      </c>
      <c r="F1174" t="s">
        <v>22</v>
      </c>
      <c r="G1174" t="s">
        <v>37</v>
      </c>
      <c r="H1174" s="1">
        <v>45324</v>
      </c>
      <c r="I1174" t="s">
        <v>47</v>
      </c>
      <c r="J1174" t="s">
        <v>1117</v>
      </c>
      <c r="K1174">
        <v>5</v>
      </c>
      <c r="L1174" t="s">
        <v>1118</v>
      </c>
      <c r="M1174">
        <v>2</v>
      </c>
      <c r="N1174">
        <v>662</v>
      </c>
      <c r="O1174">
        <v>40</v>
      </c>
      <c r="P1174" s="1">
        <v>45345</v>
      </c>
      <c r="Q1174" s="1"/>
      <c r="R1174" t="str">
        <f>IF(Table1[[#This Row],[Actual close date]]="","",Table1[[#This Row],[Actual close date]]-Table1[[#This Row],[Expected close date]])</f>
        <v/>
      </c>
    </row>
    <row r="1175" spans="1:18" x14ac:dyDescent="0.25">
      <c r="A1175" t="s">
        <v>1401</v>
      </c>
      <c r="B1175" t="s">
        <v>39</v>
      </c>
      <c r="C1175" t="s">
        <v>40</v>
      </c>
      <c r="D1175" t="s">
        <v>41</v>
      </c>
      <c r="E1175" t="s">
        <v>45</v>
      </c>
      <c r="F1175" t="s">
        <v>167</v>
      </c>
      <c r="G1175" t="s">
        <v>46</v>
      </c>
      <c r="H1175" s="1">
        <v>45324</v>
      </c>
      <c r="I1175" t="s">
        <v>64</v>
      </c>
      <c r="J1175" t="s">
        <v>1117</v>
      </c>
      <c r="K1175">
        <v>5</v>
      </c>
      <c r="L1175" t="s">
        <v>1118</v>
      </c>
      <c r="M1175">
        <v>2</v>
      </c>
      <c r="N1175">
        <v>7236</v>
      </c>
      <c r="O1175">
        <v>70</v>
      </c>
      <c r="P1175" s="1">
        <v>45421</v>
      </c>
      <c r="Q1175" s="1"/>
      <c r="R1175" t="str">
        <f>IF(Table1[[#This Row],[Actual close date]]="","",Table1[[#This Row],[Actual close date]]-Table1[[#This Row],[Expected close date]])</f>
        <v/>
      </c>
    </row>
    <row r="1176" spans="1:18" x14ac:dyDescent="0.25">
      <c r="A1176" t="s">
        <v>1502</v>
      </c>
      <c r="B1176" t="s">
        <v>54</v>
      </c>
      <c r="C1176" t="s">
        <v>55</v>
      </c>
      <c r="D1176" t="s">
        <v>56</v>
      </c>
      <c r="E1176" t="s">
        <v>45</v>
      </c>
      <c r="F1176" t="s">
        <v>22</v>
      </c>
      <c r="G1176" t="s">
        <v>57</v>
      </c>
      <c r="H1176" s="1">
        <v>45324</v>
      </c>
      <c r="I1176" t="s">
        <v>64</v>
      </c>
      <c r="J1176" t="s">
        <v>1117</v>
      </c>
      <c r="K1176">
        <v>5</v>
      </c>
      <c r="L1176" t="s">
        <v>1479</v>
      </c>
      <c r="M1176">
        <v>3</v>
      </c>
      <c r="N1176">
        <v>299</v>
      </c>
      <c r="O1176">
        <v>30</v>
      </c>
      <c r="P1176" s="1">
        <v>45416</v>
      </c>
      <c r="Q1176" s="1"/>
      <c r="R1176" t="str">
        <f>IF(Table1[[#This Row],[Actual close date]]="","",Table1[[#This Row],[Actual close date]]-Table1[[#This Row],[Expected close date]])</f>
        <v/>
      </c>
    </row>
    <row r="1177" spans="1:18" x14ac:dyDescent="0.25">
      <c r="A1177" t="s">
        <v>1537</v>
      </c>
      <c r="B1177" t="s">
        <v>59</v>
      </c>
      <c r="C1177" t="s">
        <v>60</v>
      </c>
      <c r="D1177" t="s">
        <v>61</v>
      </c>
      <c r="E1177" t="s">
        <v>45</v>
      </c>
      <c r="F1177" t="s">
        <v>22</v>
      </c>
      <c r="G1177" t="s">
        <v>85</v>
      </c>
      <c r="H1177" s="1">
        <v>45324</v>
      </c>
      <c r="I1177" t="s">
        <v>24</v>
      </c>
      <c r="J1177" t="s">
        <v>1117</v>
      </c>
      <c r="K1177">
        <v>5</v>
      </c>
      <c r="L1177" t="s">
        <v>1479</v>
      </c>
      <c r="M1177">
        <v>3</v>
      </c>
      <c r="N1177">
        <v>1984</v>
      </c>
      <c r="O1177">
        <v>20</v>
      </c>
      <c r="P1177" s="1">
        <v>45544</v>
      </c>
      <c r="Q1177" s="1"/>
      <c r="R1177" t="str">
        <f>IF(Table1[[#This Row],[Actual close date]]="","",Table1[[#This Row],[Actual close date]]-Table1[[#This Row],[Expected close date]])</f>
        <v/>
      </c>
    </row>
    <row r="1178" spans="1:18" x14ac:dyDescent="0.25">
      <c r="A1178" t="s">
        <v>1776</v>
      </c>
      <c r="B1178" t="s">
        <v>69</v>
      </c>
      <c r="C1178" t="s">
        <v>70</v>
      </c>
      <c r="D1178" t="s">
        <v>71</v>
      </c>
      <c r="E1178" t="s">
        <v>21</v>
      </c>
      <c r="F1178" t="s">
        <v>22</v>
      </c>
      <c r="G1178" t="s">
        <v>37</v>
      </c>
      <c r="H1178" s="1">
        <v>45324</v>
      </c>
      <c r="I1178" t="s">
        <v>24</v>
      </c>
      <c r="J1178" t="s">
        <v>1117</v>
      </c>
      <c r="K1178">
        <v>5</v>
      </c>
      <c r="L1178" t="s">
        <v>1766</v>
      </c>
      <c r="M1178">
        <v>4</v>
      </c>
      <c r="N1178">
        <v>1215</v>
      </c>
      <c r="O1178">
        <v>30</v>
      </c>
      <c r="P1178" s="1">
        <v>45489</v>
      </c>
      <c r="Q1178" s="1"/>
      <c r="R1178" t="str">
        <f>IF(Table1[[#This Row],[Actual close date]]="","",Table1[[#This Row],[Actual close date]]-Table1[[#This Row],[Expected close date]])</f>
        <v/>
      </c>
    </row>
    <row r="1179" spans="1:18" x14ac:dyDescent="0.25">
      <c r="A1179" t="s">
        <v>1162</v>
      </c>
      <c r="B1179" t="s">
        <v>33</v>
      </c>
      <c r="C1179" t="s">
        <v>34</v>
      </c>
      <c r="D1179" t="s">
        <v>35</v>
      </c>
      <c r="E1179" t="s">
        <v>36</v>
      </c>
      <c r="F1179" t="s">
        <v>22</v>
      </c>
      <c r="G1179" t="s">
        <v>37</v>
      </c>
      <c r="H1179" s="1">
        <v>45325</v>
      </c>
      <c r="I1179" t="s">
        <v>64</v>
      </c>
      <c r="J1179" t="s">
        <v>1117</v>
      </c>
      <c r="K1179">
        <v>5</v>
      </c>
      <c r="L1179" t="s">
        <v>1118</v>
      </c>
      <c r="M1179">
        <v>2</v>
      </c>
      <c r="N1179">
        <v>349</v>
      </c>
      <c r="O1179">
        <v>40</v>
      </c>
      <c r="P1179" s="1">
        <v>45667</v>
      </c>
      <c r="Q1179" s="1"/>
      <c r="R1179" t="str">
        <f>IF(Table1[[#This Row],[Actual close date]]="","",Table1[[#This Row],[Actual close date]]-Table1[[#This Row],[Expected close date]])</f>
        <v/>
      </c>
    </row>
    <row r="1180" spans="1:18" x14ac:dyDescent="0.25">
      <c r="A1180" t="s">
        <v>1348</v>
      </c>
      <c r="B1180" t="s">
        <v>39</v>
      </c>
      <c r="C1180" t="s">
        <v>40</v>
      </c>
      <c r="D1180" t="s">
        <v>41</v>
      </c>
      <c r="E1180" t="s">
        <v>82</v>
      </c>
      <c r="F1180" t="s">
        <v>167</v>
      </c>
      <c r="G1180" t="s">
        <v>85</v>
      </c>
      <c r="H1180" s="1">
        <v>45325</v>
      </c>
      <c r="I1180" t="s">
        <v>64</v>
      </c>
      <c r="J1180" t="s">
        <v>1117</v>
      </c>
      <c r="K1180">
        <v>5</v>
      </c>
      <c r="L1180" t="s">
        <v>1118</v>
      </c>
      <c r="M1180">
        <v>2</v>
      </c>
      <c r="N1180">
        <v>4340</v>
      </c>
      <c r="O1180">
        <v>50</v>
      </c>
      <c r="P1180" s="1">
        <v>45467</v>
      </c>
      <c r="Q1180" s="1"/>
      <c r="R1180" t="str">
        <f>IF(Table1[[#This Row],[Actual close date]]="","",Table1[[#This Row],[Actual close date]]-Table1[[#This Row],[Expected close date]])</f>
        <v/>
      </c>
    </row>
    <row r="1181" spans="1:18" x14ac:dyDescent="0.25">
      <c r="A1181" t="s">
        <v>1380</v>
      </c>
      <c r="B1181" t="s">
        <v>54</v>
      </c>
      <c r="C1181" t="s">
        <v>55</v>
      </c>
      <c r="D1181" t="s">
        <v>56</v>
      </c>
      <c r="E1181" t="s">
        <v>66</v>
      </c>
      <c r="F1181" t="s">
        <v>167</v>
      </c>
      <c r="G1181" t="s">
        <v>46</v>
      </c>
      <c r="H1181" s="1">
        <v>45325</v>
      </c>
      <c r="I1181" t="s">
        <v>24</v>
      </c>
      <c r="J1181" t="s">
        <v>1117</v>
      </c>
      <c r="K1181">
        <v>5</v>
      </c>
      <c r="L1181" t="s">
        <v>1118</v>
      </c>
      <c r="M1181">
        <v>2</v>
      </c>
      <c r="N1181">
        <v>4178</v>
      </c>
      <c r="O1181">
        <v>60</v>
      </c>
      <c r="P1181" s="1">
        <v>45397</v>
      </c>
      <c r="Q1181" s="1"/>
      <c r="R1181" t="str">
        <f>IF(Table1[[#This Row],[Actual close date]]="","",Table1[[#This Row],[Actual close date]]-Table1[[#This Row],[Expected close date]])</f>
        <v/>
      </c>
    </row>
    <row r="1182" spans="1:18" x14ac:dyDescent="0.25">
      <c r="A1182" t="s">
        <v>1505</v>
      </c>
      <c r="B1182" t="s">
        <v>54</v>
      </c>
      <c r="C1182" t="s">
        <v>55</v>
      </c>
      <c r="D1182" t="s">
        <v>56</v>
      </c>
      <c r="E1182" t="s">
        <v>45</v>
      </c>
      <c r="F1182" t="s">
        <v>22</v>
      </c>
      <c r="G1182" t="s">
        <v>85</v>
      </c>
      <c r="H1182" s="1">
        <v>45325</v>
      </c>
      <c r="I1182" t="s">
        <v>47</v>
      </c>
      <c r="J1182" t="s">
        <v>1117</v>
      </c>
      <c r="K1182">
        <v>5</v>
      </c>
      <c r="L1182" t="s">
        <v>1479</v>
      </c>
      <c r="M1182">
        <v>3</v>
      </c>
      <c r="N1182">
        <v>994</v>
      </c>
      <c r="O1182">
        <v>20</v>
      </c>
      <c r="P1182" s="1">
        <v>45465</v>
      </c>
      <c r="Q1182" s="1"/>
      <c r="R1182" t="str">
        <f>IF(Table1[[#This Row],[Actual close date]]="","",Table1[[#This Row],[Actual close date]]-Table1[[#This Row],[Expected close date]])</f>
        <v/>
      </c>
    </row>
    <row r="1183" spans="1:18" x14ac:dyDescent="0.25">
      <c r="A1183" t="s">
        <v>1842</v>
      </c>
      <c r="B1183" t="s">
        <v>59</v>
      </c>
      <c r="C1183" t="s">
        <v>60</v>
      </c>
      <c r="D1183" t="s">
        <v>61</v>
      </c>
      <c r="E1183" t="s">
        <v>30</v>
      </c>
      <c r="F1183" t="s">
        <v>167</v>
      </c>
      <c r="G1183" t="s">
        <v>31</v>
      </c>
      <c r="H1183" s="1">
        <v>45325</v>
      </c>
      <c r="I1183" t="s">
        <v>47</v>
      </c>
      <c r="J1183" t="s">
        <v>1117</v>
      </c>
      <c r="K1183">
        <v>5</v>
      </c>
      <c r="L1183" t="s">
        <v>1766</v>
      </c>
      <c r="M1183">
        <v>4</v>
      </c>
      <c r="N1183">
        <v>1667</v>
      </c>
      <c r="O1183">
        <v>30</v>
      </c>
      <c r="P1183" s="1">
        <v>45401</v>
      </c>
      <c r="Q1183" s="1"/>
      <c r="R1183" t="str">
        <f>IF(Table1[[#This Row],[Actual close date]]="","",Table1[[#This Row],[Actual close date]]-Table1[[#This Row],[Expected close date]])</f>
        <v/>
      </c>
    </row>
    <row r="1184" spans="1:18" x14ac:dyDescent="0.25">
      <c r="A1184" t="s">
        <v>1254</v>
      </c>
      <c r="B1184" t="s">
        <v>27</v>
      </c>
      <c r="C1184" t="s">
        <v>28</v>
      </c>
      <c r="D1184" t="s">
        <v>29</v>
      </c>
      <c r="E1184" t="s">
        <v>21</v>
      </c>
      <c r="F1184" t="s">
        <v>125</v>
      </c>
      <c r="G1184" t="s">
        <v>83</v>
      </c>
      <c r="H1184" s="1">
        <v>45326</v>
      </c>
      <c r="I1184" t="s">
        <v>24</v>
      </c>
      <c r="J1184" t="s">
        <v>1117</v>
      </c>
      <c r="K1184">
        <v>5</v>
      </c>
      <c r="L1184" t="s">
        <v>1118</v>
      </c>
      <c r="M1184">
        <v>2</v>
      </c>
      <c r="N1184">
        <v>279</v>
      </c>
      <c r="O1184">
        <v>50</v>
      </c>
      <c r="P1184" s="1">
        <v>45661</v>
      </c>
      <c r="Q1184" s="1"/>
      <c r="R1184" t="str">
        <f>IF(Table1[[#This Row],[Actual close date]]="","",Table1[[#This Row],[Actual close date]]-Table1[[#This Row],[Expected close date]])</f>
        <v/>
      </c>
    </row>
    <row r="1185" spans="1:18" x14ac:dyDescent="0.25">
      <c r="A1185" t="s">
        <v>1309</v>
      </c>
      <c r="B1185" t="s">
        <v>54</v>
      </c>
      <c r="C1185" t="s">
        <v>55</v>
      </c>
      <c r="D1185" t="s">
        <v>56</v>
      </c>
      <c r="E1185" t="s">
        <v>66</v>
      </c>
      <c r="F1185" t="s">
        <v>167</v>
      </c>
      <c r="G1185" t="s">
        <v>37</v>
      </c>
      <c r="H1185" s="1">
        <v>45326</v>
      </c>
      <c r="I1185" t="s">
        <v>24</v>
      </c>
      <c r="J1185" t="s">
        <v>1117</v>
      </c>
      <c r="K1185">
        <v>5</v>
      </c>
      <c r="L1185" t="s">
        <v>1118</v>
      </c>
      <c r="M1185">
        <v>2</v>
      </c>
      <c r="N1185">
        <v>2328</v>
      </c>
      <c r="O1185">
        <v>90</v>
      </c>
      <c r="P1185" s="1">
        <v>45403</v>
      </c>
      <c r="Q1185" s="1"/>
      <c r="R1185" t="str">
        <f>IF(Table1[[#This Row],[Actual close date]]="","",Table1[[#This Row],[Actual close date]]-Table1[[#This Row],[Expected close date]])</f>
        <v/>
      </c>
    </row>
    <row r="1186" spans="1:18" x14ac:dyDescent="0.25">
      <c r="A1186" t="s">
        <v>1327</v>
      </c>
      <c r="B1186" t="s">
        <v>59</v>
      </c>
      <c r="C1186" t="s">
        <v>60</v>
      </c>
      <c r="D1186" t="s">
        <v>61</v>
      </c>
      <c r="E1186" t="s">
        <v>101</v>
      </c>
      <c r="F1186" t="s">
        <v>167</v>
      </c>
      <c r="G1186" t="s">
        <v>23</v>
      </c>
      <c r="H1186" s="1">
        <v>45326</v>
      </c>
      <c r="I1186" t="s">
        <v>64</v>
      </c>
      <c r="J1186" t="s">
        <v>1117</v>
      </c>
      <c r="K1186">
        <v>5</v>
      </c>
      <c r="L1186" t="s">
        <v>1118</v>
      </c>
      <c r="M1186">
        <v>2</v>
      </c>
      <c r="N1186">
        <v>1657</v>
      </c>
      <c r="O1186">
        <v>30</v>
      </c>
      <c r="P1186" s="1">
        <v>45536</v>
      </c>
      <c r="Q1186" s="1"/>
      <c r="R1186" t="str">
        <f>IF(Table1[[#This Row],[Actual close date]]="","",Table1[[#This Row],[Actual close date]]-Table1[[#This Row],[Expected close date]])</f>
        <v/>
      </c>
    </row>
    <row r="1187" spans="1:18" x14ac:dyDescent="0.25">
      <c r="A1187" t="s">
        <v>1332</v>
      </c>
      <c r="B1187" t="s">
        <v>59</v>
      </c>
      <c r="C1187" t="s">
        <v>60</v>
      </c>
      <c r="D1187" t="s">
        <v>61</v>
      </c>
      <c r="E1187" t="s">
        <v>74</v>
      </c>
      <c r="F1187" t="s">
        <v>167</v>
      </c>
      <c r="G1187" t="s">
        <v>57</v>
      </c>
      <c r="H1187" s="1">
        <v>45326</v>
      </c>
      <c r="I1187" t="s">
        <v>64</v>
      </c>
      <c r="J1187" t="s">
        <v>1117</v>
      </c>
      <c r="K1187">
        <v>5</v>
      </c>
      <c r="L1187" t="s">
        <v>1118</v>
      </c>
      <c r="M1187">
        <v>2</v>
      </c>
      <c r="N1187">
        <v>7094</v>
      </c>
      <c r="O1187">
        <v>40</v>
      </c>
      <c r="P1187" s="1">
        <v>45440</v>
      </c>
      <c r="Q1187" s="1"/>
      <c r="R1187" t="str">
        <f>IF(Table1[[#This Row],[Actual close date]]="","",Table1[[#This Row],[Actual close date]]-Table1[[#This Row],[Expected close date]])</f>
        <v/>
      </c>
    </row>
    <row r="1188" spans="1:18" x14ac:dyDescent="0.25">
      <c r="A1188" t="s">
        <v>1344</v>
      </c>
      <c r="B1188" t="s">
        <v>59</v>
      </c>
      <c r="C1188" t="s">
        <v>60</v>
      </c>
      <c r="D1188" t="s">
        <v>61</v>
      </c>
      <c r="E1188" t="s">
        <v>52</v>
      </c>
      <c r="F1188" t="s">
        <v>167</v>
      </c>
      <c r="G1188" t="s">
        <v>46</v>
      </c>
      <c r="H1188" s="1">
        <v>45326</v>
      </c>
      <c r="I1188" t="s">
        <v>64</v>
      </c>
      <c r="J1188" t="s">
        <v>1117</v>
      </c>
      <c r="K1188">
        <v>5</v>
      </c>
      <c r="L1188" t="s">
        <v>1118</v>
      </c>
      <c r="M1188">
        <v>2</v>
      </c>
      <c r="N1188">
        <v>5743</v>
      </c>
      <c r="O1188">
        <v>40</v>
      </c>
      <c r="P1188" s="1">
        <v>45440</v>
      </c>
      <c r="Q1188" s="1"/>
      <c r="R1188" t="str">
        <f>IF(Table1[[#This Row],[Actual close date]]="","",Table1[[#This Row],[Actual close date]]-Table1[[#This Row],[Expected close date]])</f>
        <v/>
      </c>
    </row>
    <row r="1189" spans="1:18" x14ac:dyDescent="0.25">
      <c r="A1189" t="s">
        <v>1542</v>
      </c>
      <c r="B1189" t="s">
        <v>39</v>
      </c>
      <c r="C1189" t="s">
        <v>40</v>
      </c>
      <c r="D1189" t="s">
        <v>41</v>
      </c>
      <c r="E1189" t="s">
        <v>62</v>
      </c>
      <c r="F1189" t="s">
        <v>22</v>
      </c>
      <c r="G1189" t="s">
        <v>46</v>
      </c>
      <c r="H1189" s="1">
        <v>45326</v>
      </c>
      <c r="I1189" t="s">
        <v>47</v>
      </c>
      <c r="J1189" t="s">
        <v>1117</v>
      </c>
      <c r="K1189">
        <v>5</v>
      </c>
      <c r="L1189" t="s">
        <v>1479</v>
      </c>
      <c r="M1189">
        <v>3</v>
      </c>
      <c r="N1189">
        <v>1522</v>
      </c>
      <c r="O1189">
        <v>20</v>
      </c>
      <c r="P1189" s="1">
        <v>45632</v>
      </c>
      <c r="Q1189" s="1"/>
      <c r="R1189" t="str">
        <f>IF(Table1[[#This Row],[Actual close date]]="","",Table1[[#This Row],[Actual close date]]-Table1[[#This Row],[Expected close date]])</f>
        <v/>
      </c>
    </row>
    <row r="1190" spans="1:18" x14ac:dyDescent="0.25">
      <c r="A1190" t="s">
        <v>1628</v>
      </c>
      <c r="B1190" t="s">
        <v>76</v>
      </c>
      <c r="C1190" t="s">
        <v>77</v>
      </c>
      <c r="D1190" t="s">
        <v>78</v>
      </c>
      <c r="E1190" t="s">
        <v>66</v>
      </c>
      <c r="F1190" t="s">
        <v>167</v>
      </c>
      <c r="G1190" t="s">
        <v>23</v>
      </c>
      <c r="H1190" s="1">
        <v>45326</v>
      </c>
      <c r="I1190" t="s">
        <v>24</v>
      </c>
      <c r="J1190" t="s">
        <v>1117</v>
      </c>
      <c r="K1190">
        <v>5</v>
      </c>
      <c r="L1190" t="s">
        <v>1479</v>
      </c>
      <c r="M1190">
        <v>3</v>
      </c>
      <c r="N1190">
        <v>7703</v>
      </c>
      <c r="O1190">
        <v>40</v>
      </c>
      <c r="P1190" s="1">
        <v>45439</v>
      </c>
      <c r="Q1190" s="1"/>
      <c r="R1190" t="str">
        <f>IF(Table1[[#This Row],[Actual close date]]="","",Table1[[#This Row],[Actual close date]]-Table1[[#This Row],[Expected close date]])</f>
        <v/>
      </c>
    </row>
    <row r="1191" spans="1:18" x14ac:dyDescent="0.25">
      <c r="A1191" t="s">
        <v>1689</v>
      </c>
      <c r="B1191" t="s">
        <v>76</v>
      </c>
      <c r="C1191" t="s">
        <v>77</v>
      </c>
      <c r="D1191" t="s">
        <v>78</v>
      </c>
      <c r="E1191" t="s">
        <v>101</v>
      </c>
      <c r="F1191" t="s">
        <v>167</v>
      </c>
      <c r="G1191" t="s">
        <v>37</v>
      </c>
      <c r="H1191" s="1">
        <v>45326</v>
      </c>
      <c r="I1191" t="s">
        <v>24</v>
      </c>
      <c r="J1191" t="s">
        <v>1117</v>
      </c>
      <c r="K1191">
        <v>5</v>
      </c>
      <c r="L1191" t="s">
        <v>1479</v>
      </c>
      <c r="M1191">
        <v>3</v>
      </c>
      <c r="N1191">
        <v>3851</v>
      </c>
      <c r="O1191">
        <v>30</v>
      </c>
      <c r="P1191" s="1">
        <v>45575</v>
      </c>
      <c r="Q1191" s="1"/>
      <c r="R1191" t="str">
        <f>IF(Table1[[#This Row],[Actual close date]]="","",Table1[[#This Row],[Actual close date]]-Table1[[#This Row],[Expected close date]])</f>
        <v/>
      </c>
    </row>
    <row r="1192" spans="1:18" x14ac:dyDescent="0.25">
      <c r="A1192" t="s">
        <v>1131</v>
      </c>
      <c r="B1192" t="s">
        <v>33</v>
      </c>
      <c r="C1192" t="s">
        <v>34</v>
      </c>
      <c r="D1192" t="s">
        <v>35</v>
      </c>
      <c r="E1192" t="s">
        <v>98</v>
      </c>
      <c r="F1192" t="s">
        <v>22</v>
      </c>
      <c r="G1192" t="s">
        <v>46</v>
      </c>
      <c r="H1192" s="1">
        <v>45327</v>
      </c>
      <c r="I1192" t="s">
        <v>24</v>
      </c>
      <c r="J1192" t="s">
        <v>1117</v>
      </c>
      <c r="K1192">
        <v>5</v>
      </c>
      <c r="L1192" t="s">
        <v>1118</v>
      </c>
      <c r="M1192">
        <v>2</v>
      </c>
      <c r="N1192">
        <v>1963</v>
      </c>
      <c r="O1192">
        <v>50</v>
      </c>
      <c r="P1192" s="1">
        <v>45655</v>
      </c>
      <c r="Q1192" s="1"/>
      <c r="R1192" t="str">
        <f>IF(Table1[[#This Row],[Actual close date]]="","",Table1[[#This Row],[Actual close date]]-Table1[[#This Row],[Expected close date]])</f>
        <v/>
      </c>
    </row>
    <row r="1193" spans="1:18" x14ac:dyDescent="0.25">
      <c r="A1193" t="s">
        <v>1359</v>
      </c>
      <c r="B1193" t="s">
        <v>18</v>
      </c>
      <c r="C1193" t="s">
        <v>19</v>
      </c>
      <c r="D1193" t="s">
        <v>20</v>
      </c>
      <c r="E1193" t="s">
        <v>122</v>
      </c>
      <c r="F1193" t="s">
        <v>167</v>
      </c>
      <c r="G1193" t="s">
        <v>72</v>
      </c>
      <c r="H1193" s="1">
        <v>45327</v>
      </c>
      <c r="I1193" t="s">
        <v>47</v>
      </c>
      <c r="J1193" t="s">
        <v>1117</v>
      </c>
      <c r="K1193">
        <v>5</v>
      </c>
      <c r="L1193" t="s">
        <v>1118</v>
      </c>
      <c r="M1193">
        <v>2</v>
      </c>
      <c r="N1193">
        <v>7971</v>
      </c>
      <c r="O1193">
        <v>50</v>
      </c>
      <c r="P1193" s="1">
        <v>45383</v>
      </c>
      <c r="Q1193" s="1"/>
      <c r="R1193" t="str">
        <f>IF(Table1[[#This Row],[Actual close date]]="","",Table1[[#This Row],[Actual close date]]-Table1[[#This Row],[Expected close date]])</f>
        <v/>
      </c>
    </row>
    <row r="1194" spans="1:18" x14ac:dyDescent="0.25">
      <c r="A1194" t="s">
        <v>1217</v>
      </c>
      <c r="B1194" t="s">
        <v>54</v>
      </c>
      <c r="C1194" t="s">
        <v>55</v>
      </c>
      <c r="D1194" t="s">
        <v>56</v>
      </c>
      <c r="E1194" t="s">
        <v>21</v>
      </c>
      <c r="F1194" t="s">
        <v>125</v>
      </c>
      <c r="G1194" t="s">
        <v>23</v>
      </c>
      <c r="H1194" s="1">
        <v>45328</v>
      </c>
      <c r="I1194" t="s">
        <v>24</v>
      </c>
      <c r="J1194" t="s">
        <v>1117</v>
      </c>
      <c r="K1194">
        <v>5</v>
      </c>
      <c r="L1194" t="s">
        <v>1118</v>
      </c>
      <c r="M1194">
        <v>2</v>
      </c>
      <c r="N1194">
        <v>697</v>
      </c>
      <c r="O1194">
        <v>90</v>
      </c>
      <c r="P1194" s="1">
        <v>45478</v>
      </c>
      <c r="Q1194" s="1"/>
      <c r="R1194" t="str">
        <f>IF(Table1[[#This Row],[Actual close date]]="","",Table1[[#This Row],[Actual close date]]-Table1[[#This Row],[Expected close date]])</f>
        <v/>
      </c>
    </row>
    <row r="1195" spans="1:18" x14ac:dyDescent="0.25">
      <c r="A1195" t="s">
        <v>1354</v>
      </c>
      <c r="B1195" t="s">
        <v>49</v>
      </c>
      <c r="C1195" t="s">
        <v>50</v>
      </c>
      <c r="D1195" t="s">
        <v>51</v>
      </c>
      <c r="E1195" t="s">
        <v>52</v>
      </c>
      <c r="F1195" t="s">
        <v>167</v>
      </c>
      <c r="G1195" t="s">
        <v>83</v>
      </c>
      <c r="H1195" s="1">
        <v>45328</v>
      </c>
      <c r="I1195" t="s">
        <v>47</v>
      </c>
      <c r="J1195" t="s">
        <v>1117</v>
      </c>
      <c r="K1195">
        <v>5</v>
      </c>
      <c r="L1195" t="s">
        <v>1118</v>
      </c>
      <c r="M1195">
        <v>2</v>
      </c>
      <c r="N1195">
        <v>2873</v>
      </c>
      <c r="O1195">
        <v>60</v>
      </c>
      <c r="P1195" s="1">
        <v>45384</v>
      </c>
      <c r="Q1195" s="1"/>
      <c r="R1195" t="str">
        <f>IF(Table1[[#This Row],[Actual close date]]="","",Table1[[#This Row],[Actual close date]]-Table1[[#This Row],[Expected close date]])</f>
        <v/>
      </c>
    </row>
    <row r="1196" spans="1:18" x14ac:dyDescent="0.25">
      <c r="A1196" t="s">
        <v>1391</v>
      </c>
      <c r="B1196" t="s">
        <v>39</v>
      </c>
      <c r="C1196" t="s">
        <v>40</v>
      </c>
      <c r="D1196" t="s">
        <v>41</v>
      </c>
      <c r="E1196" t="s">
        <v>42</v>
      </c>
      <c r="F1196" t="s">
        <v>167</v>
      </c>
      <c r="G1196" t="s">
        <v>23</v>
      </c>
      <c r="H1196" s="1">
        <v>45328</v>
      </c>
      <c r="I1196" t="s">
        <v>47</v>
      </c>
      <c r="J1196" t="s">
        <v>1117</v>
      </c>
      <c r="K1196">
        <v>5</v>
      </c>
      <c r="L1196" t="s">
        <v>1118</v>
      </c>
      <c r="M1196">
        <v>2</v>
      </c>
      <c r="N1196">
        <v>7066</v>
      </c>
      <c r="O1196">
        <v>80</v>
      </c>
      <c r="P1196" s="1">
        <v>45476</v>
      </c>
      <c r="Q1196" s="1"/>
      <c r="R1196" t="str">
        <f>IF(Table1[[#This Row],[Actual close date]]="","",Table1[[#This Row],[Actual close date]]-Table1[[#This Row],[Expected close date]])</f>
        <v/>
      </c>
    </row>
    <row r="1197" spans="1:18" x14ac:dyDescent="0.25">
      <c r="A1197" t="s">
        <v>1662</v>
      </c>
      <c r="B1197" t="s">
        <v>18</v>
      </c>
      <c r="C1197" t="s">
        <v>19</v>
      </c>
      <c r="D1197" t="s">
        <v>20</v>
      </c>
      <c r="E1197" t="s">
        <v>42</v>
      </c>
      <c r="F1197" t="s">
        <v>167</v>
      </c>
      <c r="G1197" t="s">
        <v>46</v>
      </c>
      <c r="H1197" s="1">
        <v>45328</v>
      </c>
      <c r="I1197" t="s">
        <v>64</v>
      </c>
      <c r="J1197" t="s">
        <v>1117</v>
      </c>
      <c r="K1197">
        <v>5</v>
      </c>
      <c r="L1197" t="s">
        <v>1479</v>
      </c>
      <c r="M1197">
        <v>3</v>
      </c>
      <c r="N1197">
        <v>4919</v>
      </c>
      <c r="O1197">
        <v>20</v>
      </c>
      <c r="P1197" s="1">
        <v>45560</v>
      </c>
      <c r="Q1197" s="1"/>
      <c r="R1197" t="str">
        <f>IF(Table1[[#This Row],[Actual close date]]="","",Table1[[#This Row],[Actual close date]]-Table1[[#This Row],[Expected close date]])</f>
        <v/>
      </c>
    </row>
    <row r="1198" spans="1:18" x14ac:dyDescent="0.25">
      <c r="A1198" t="s">
        <v>1696</v>
      </c>
      <c r="B1198" t="s">
        <v>54</v>
      </c>
      <c r="C1198" t="s">
        <v>55</v>
      </c>
      <c r="D1198" t="s">
        <v>56</v>
      </c>
      <c r="E1198" t="s">
        <v>98</v>
      </c>
      <c r="F1198" t="s">
        <v>239</v>
      </c>
      <c r="G1198" t="s">
        <v>46</v>
      </c>
      <c r="H1198" s="1">
        <v>45328</v>
      </c>
      <c r="I1198" t="s">
        <v>24</v>
      </c>
      <c r="J1198" t="s">
        <v>1117</v>
      </c>
      <c r="K1198">
        <v>5</v>
      </c>
      <c r="L1198" t="s">
        <v>1479</v>
      </c>
      <c r="M1198">
        <v>3</v>
      </c>
      <c r="N1198">
        <v>16771</v>
      </c>
      <c r="O1198">
        <v>40</v>
      </c>
      <c r="P1198" s="1">
        <v>45381</v>
      </c>
      <c r="Q1198" s="1"/>
      <c r="R1198" t="str">
        <f>IF(Table1[[#This Row],[Actual close date]]="","",Table1[[#This Row],[Actual close date]]-Table1[[#This Row],[Expected close date]])</f>
        <v/>
      </c>
    </row>
    <row r="1199" spans="1:18" x14ac:dyDescent="0.25">
      <c r="A1199" t="s">
        <v>1139</v>
      </c>
      <c r="B1199" t="s">
        <v>76</v>
      </c>
      <c r="C1199" t="s">
        <v>77</v>
      </c>
      <c r="D1199" t="s">
        <v>78</v>
      </c>
      <c r="E1199" t="s">
        <v>52</v>
      </c>
      <c r="F1199" t="s">
        <v>22</v>
      </c>
      <c r="G1199" t="s">
        <v>57</v>
      </c>
      <c r="H1199" s="1">
        <v>45329</v>
      </c>
      <c r="I1199" t="s">
        <v>64</v>
      </c>
      <c r="J1199" t="s">
        <v>1117</v>
      </c>
      <c r="K1199">
        <v>5</v>
      </c>
      <c r="L1199" t="s">
        <v>1118</v>
      </c>
      <c r="M1199">
        <v>2</v>
      </c>
      <c r="N1199">
        <v>649</v>
      </c>
      <c r="O1199">
        <v>30</v>
      </c>
      <c r="P1199" s="1">
        <v>45391</v>
      </c>
      <c r="Q1199" s="1"/>
      <c r="R1199" t="str">
        <f>IF(Table1[[#This Row],[Actual close date]]="","",Table1[[#This Row],[Actual close date]]-Table1[[#This Row],[Expected close date]])</f>
        <v/>
      </c>
    </row>
    <row r="1200" spans="1:18" x14ac:dyDescent="0.25">
      <c r="A1200" t="s">
        <v>1181</v>
      </c>
      <c r="B1200" t="s">
        <v>54</v>
      </c>
      <c r="C1200" t="s">
        <v>55</v>
      </c>
      <c r="D1200" t="s">
        <v>56</v>
      </c>
      <c r="E1200" t="s">
        <v>36</v>
      </c>
      <c r="F1200" t="s">
        <v>22</v>
      </c>
      <c r="G1200" t="s">
        <v>57</v>
      </c>
      <c r="H1200" s="1">
        <v>45329</v>
      </c>
      <c r="I1200" t="s">
        <v>24</v>
      </c>
      <c r="J1200" t="s">
        <v>1117</v>
      </c>
      <c r="K1200">
        <v>5</v>
      </c>
      <c r="L1200" t="s">
        <v>1118</v>
      </c>
      <c r="M1200">
        <v>2</v>
      </c>
      <c r="N1200">
        <v>788</v>
      </c>
      <c r="O1200">
        <v>80</v>
      </c>
      <c r="P1200" s="1">
        <v>45442</v>
      </c>
      <c r="Q1200" s="1"/>
      <c r="R1200" t="str">
        <f>IF(Table1[[#This Row],[Actual close date]]="","",Table1[[#This Row],[Actual close date]]-Table1[[#This Row],[Expected close date]])</f>
        <v/>
      </c>
    </row>
    <row r="1201" spans="1:18" x14ac:dyDescent="0.25">
      <c r="A1201" t="s">
        <v>1192</v>
      </c>
      <c r="B1201" t="s">
        <v>27</v>
      </c>
      <c r="C1201" t="s">
        <v>28</v>
      </c>
      <c r="D1201" t="s">
        <v>29</v>
      </c>
      <c r="E1201" t="s">
        <v>36</v>
      </c>
      <c r="F1201" t="s">
        <v>22</v>
      </c>
      <c r="G1201" t="s">
        <v>83</v>
      </c>
      <c r="H1201" s="1">
        <v>45329</v>
      </c>
      <c r="I1201" t="s">
        <v>64</v>
      </c>
      <c r="J1201" t="s">
        <v>1117</v>
      </c>
      <c r="K1201">
        <v>5</v>
      </c>
      <c r="L1201" t="s">
        <v>1118</v>
      </c>
      <c r="M1201">
        <v>2</v>
      </c>
      <c r="N1201">
        <v>1790</v>
      </c>
      <c r="O1201">
        <v>80</v>
      </c>
      <c r="P1201" s="1">
        <v>45425</v>
      </c>
      <c r="Q1201" s="1"/>
      <c r="R1201" t="str">
        <f>IF(Table1[[#This Row],[Actual close date]]="","",Table1[[#This Row],[Actual close date]]-Table1[[#This Row],[Expected close date]])</f>
        <v/>
      </c>
    </row>
    <row r="1202" spans="1:18" x14ac:dyDescent="0.25">
      <c r="A1202" t="s">
        <v>1209</v>
      </c>
      <c r="B1202" t="s">
        <v>27</v>
      </c>
      <c r="C1202" t="s">
        <v>28</v>
      </c>
      <c r="D1202" t="s">
        <v>29</v>
      </c>
      <c r="E1202" t="s">
        <v>21</v>
      </c>
      <c r="F1202" t="s">
        <v>22</v>
      </c>
      <c r="G1202" t="s">
        <v>23</v>
      </c>
      <c r="H1202" s="1">
        <v>45329</v>
      </c>
      <c r="I1202" t="s">
        <v>64</v>
      </c>
      <c r="J1202" t="s">
        <v>1117</v>
      </c>
      <c r="K1202">
        <v>5</v>
      </c>
      <c r="L1202" t="s">
        <v>1118</v>
      </c>
      <c r="M1202">
        <v>2</v>
      </c>
      <c r="N1202">
        <v>275</v>
      </c>
      <c r="O1202">
        <v>40</v>
      </c>
      <c r="P1202" s="1">
        <v>45556</v>
      </c>
      <c r="Q1202" s="1"/>
      <c r="R1202" t="str">
        <f>IF(Table1[[#This Row],[Actual close date]]="","",Table1[[#This Row],[Actual close date]]-Table1[[#This Row],[Expected close date]])</f>
        <v/>
      </c>
    </row>
    <row r="1203" spans="1:18" x14ac:dyDescent="0.25">
      <c r="A1203" t="s">
        <v>1729</v>
      </c>
      <c r="B1203" t="s">
        <v>33</v>
      </c>
      <c r="C1203" t="s">
        <v>34</v>
      </c>
      <c r="D1203" t="s">
        <v>35</v>
      </c>
      <c r="E1203" t="s">
        <v>122</v>
      </c>
      <c r="F1203" t="s">
        <v>125</v>
      </c>
      <c r="G1203" t="s">
        <v>23</v>
      </c>
      <c r="H1203" s="1">
        <v>45329</v>
      </c>
      <c r="I1203" t="s">
        <v>24</v>
      </c>
      <c r="J1203" t="s">
        <v>1117</v>
      </c>
      <c r="K1203">
        <v>5</v>
      </c>
      <c r="L1203" t="s">
        <v>1700</v>
      </c>
      <c r="M1203">
        <v>1</v>
      </c>
      <c r="N1203">
        <v>1147</v>
      </c>
      <c r="O1203">
        <v>30</v>
      </c>
      <c r="P1203" s="1">
        <v>45528</v>
      </c>
      <c r="Q1203" s="1"/>
      <c r="R1203" t="str">
        <f>IF(Table1[[#This Row],[Actual close date]]="","",Table1[[#This Row],[Actual close date]]-Table1[[#This Row],[Expected close date]])</f>
        <v/>
      </c>
    </row>
    <row r="1204" spans="1:18" x14ac:dyDescent="0.25">
      <c r="A1204" t="s">
        <v>1800</v>
      </c>
      <c r="B1204" t="s">
        <v>54</v>
      </c>
      <c r="C1204" t="s">
        <v>55</v>
      </c>
      <c r="D1204" t="s">
        <v>56</v>
      </c>
      <c r="E1204" t="s">
        <v>66</v>
      </c>
      <c r="F1204" t="s">
        <v>22</v>
      </c>
      <c r="G1204" t="s">
        <v>57</v>
      </c>
      <c r="H1204" s="1">
        <v>45329</v>
      </c>
      <c r="I1204" t="s">
        <v>64</v>
      </c>
      <c r="J1204" t="s">
        <v>1117</v>
      </c>
      <c r="K1204">
        <v>5</v>
      </c>
      <c r="L1204" t="s">
        <v>1766</v>
      </c>
      <c r="M1204">
        <v>4</v>
      </c>
      <c r="N1204">
        <v>801</v>
      </c>
      <c r="O1204">
        <v>50</v>
      </c>
      <c r="P1204" s="1">
        <v>45667</v>
      </c>
      <c r="Q1204" s="1"/>
      <c r="R1204" t="str">
        <f>IF(Table1[[#This Row],[Actual close date]]="","",Table1[[#This Row],[Actual close date]]-Table1[[#This Row],[Expected close date]])</f>
        <v/>
      </c>
    </row>
    <row r="1205" spans="1:18" x14ac:dyDescent="0.25">
      <c r="A1205" t="s">
        <v>1223</v>
      </c>
      <c r="B1205" t="s">
        <v>33</v>
      </c>
      <c r="C1205" t="s">
        <v>34</v>
      </c>
      <c r="D1205" t="s">
        <v>35</v>
      </c>
      <c r="E1205" t="s">
        <v>82</v>
      </c>
      <c r="F1205" t="s">
        <v>125</v>
      </c>
      <c r="G1205" t="s">
        <v>57</v>
      </c>
      <c r="H1205" s="1">
        <v>45330</v>
      </c>
      <c r="I1205" t="s">
        <v>24</v>
      </c>
      <c r="J1205" t="s">
        <v>1117</v>
      </c>
      <c r="K1205">
        <v>5</v>
      </c>
      <c r="L1205" t="s">
        <v>1118</v>
      </c>
      <c r="M1205">
        <v>2</v>
      </c>
      <c r="N1205">
        <v>945</v>
      </c>
      <c r="O1205">
        <v>20</v>
      </c>
      <c r="P1205" s="1">
        <v>45568</v>
      </c>
      <c r="Q1205" s="1"/>
      <c r="R1205" t="str">
        <f>IF(Table1[[#This Row],[Actual close date]]="","",Table1[[#This Row],[Actual close date]]-Table1[[#This Row],[Expected close date]])</f>
        <v/>
      </c>
    </row>
    <row r="1206" spans="1:18" x14ac:dyDescent="0.25">
      <c r="A1206" t="s">
        <v>1339</v>
      </c>
      <c r="B1206" t="s">
        <v>39</v>
      </c>
      <c r="C1206" t="s">
        <v>40</v>
      </c>
      <c r="D1206" t="s">
        <v>41</v>
      </c>
      <c r="E1206" t="s">
        <v>45</v>
      </c>
      <c r="F1206" t="s">
        <v>167</v>
      </c>
      <c r="G1206" t="s">
        <v>46</v>
      </c>
      <c r="H1206" s="1">
        <v>45330</v>
      </c>
      <c r="I1206" t="s">
        <v>64</v>
      </c>
      <c r="J1206" t="s">
        <v>1117</v>
      </c>
      <c r="K1206">
        <v>5</v>
      </c>
      <c r="L1206" t="s">
        <v>1118</v>
      </c>
      <c r="M1206">
        <v>2</v>
      </c>
      <c r="N1206">
        <v>1932</v>
      </c>
      <c r="O1206">
        <v>70</v>
      </c>
      <c r="P1206" s="1">
        <v>45647</v>
      </c>
      <c r="Q1206" s="1"/>
      <c r="R1206" t="str">
        <f>IF(Table1[[#This Row],[Actual close date]]="","",Table1[[#This Row],[Actual close date]]-Table1[[#This Row],[Expected close date]])</f>
        <v/>
      </c>
    </row>
    <row r="1207" spans="1:18" x14ac:dyDescent="0.25">
      <c r="A1207" t="s">
        <v>1844</v>
      </c>
      <c r="B1207" t="s">
        <v>33</v>
      </c>
      <c r="C1207" t="s">
        <v>34</v>
      </c>
      <c r="D1207" t="s">
        <v>35</v>
      </c>
      <c r="E1207" t="s">
        <v>21</v>
      </c>
      <c r="F1207" t="s">
        <v>167</v>
      </c>
      <c r="G1207" t="s">
        <v>37</v>
      </c>
      <c r="H1207" s="1">
        <v>45330</v>
      </c>
      <c r="I1207" t="s">
        <v>64</v>
      </c>
      <c r="J1207" t="s">
        <v>1117</v>
      </c>
      <c r="K1207">
        <v>5</v>
      </c>
      <c r="L1207" t="s">
        <v>1766</v>
      </c>
      <c r="M1207">
        <v>4</v>
      </c>
      <c r="N1207">
        <v>6080</v>
      </c>
      <c r="O1207">
        <v>100</v>
      </c>
      <c r="P1207" s="1">
        <v>45422</v>
      </c>
      <c r="Q1207" s="1"/>
      <c r="R1207" t="str">
        <f>IF(Table1[[#This Row],[Actual close date]]="","",Table1[[#This Row],[Actual close date]]-Table1[[#This Row],[Expected close date]])</f>
        <v/>
      </c>
    </row>
    <row r="1208" spans="1:18" x14ac:dyDescent="0.25">
      <c r="A1208" t="s">
        <v>1536</v>
      </c>
      <c r="B1208" t="s">
        <v>59</v>
      </c>
      <c r="C1208" t="s">
        <v>60</v>
      </c>
      <c r="D1208" t="s">
        <v>61</v>
      </c>
      <c r="E1208" t="s">
        <v>101</v>
      </c>
      <c r="F1208" t="s">
        <v>22</v>
      </c>
      <c r="G1208" t="s">
        <v>85</v>
      </c>
      <c r="H1208" s="1">
        <v>45331</v>
      </c>
      <c r="I1208" t="s">
        <v>47</v>
      </c>
      <c r="J1208" t="s">
        <v>1117</v>
      </c>
      <c r="K1208">
        <v>5</v>
      </c>
      <c r="L1208" t="s">
        <v>1479</v>
      </c>
      <c r="M1208">
        <v>3</v>
      </c>
      <c r="N1208">
        <v>1199</v>
      </c>
      <c r="O1208">
        <v>10</v>
      </c>
      <c r="P1208" s="1">
        <v>45486</v>
      </c>
      <c r="Q1208" s="1"/>
      <c r="R1208" t="str">
        <f>IF(Table1[[#This Row],[Actual close date]]="","",Table1[[#This Row],[Actual close date]]-Table1[[#This Row],[Expected close date]])</f>
        <v/>
      </c>
    </row>
    <row r="1209" spans="1:18" x14ac:dyDescent="0.25">
      <c r="A1209" t="s">
        <v>1742</v>
      </c>
      <c r="B1209" t="s">
        <v>54</v>
      </c>
      <c r="C1209" t="s">
        <v>55</v>
      </c>
      <c r="D1209" t="s">
        <v>56</v>
      </c>
      <c r="E1209" t="s">
        <v>98</v>
      </c>
      <c r="F1209" t="s">
        <v>167</v>
      </c>
      <c r="G1209" t="s">
        <v>37</v>
      </c>
      <c r="H1209" s="1">
        <v>45331</v>
      </c>
      <c r="I1209" t="s">
        <v>47</v>
      </c>
      <c r="J1209" t="s">
        <v>1117</v>
      </c>
      <c r="K1209">
        <v>5</v>
      </c>
      <c r="L1209" t="s">
        <v>1700</v>
      </c>
      <c r="M1209">
        <v>1</v>
      </c>
      <c r="N1209">
        <v>7375</v>
      </c>
      <c r="O1209">
        <v>30</v>
      </c>
      <c r="P1209" s="1">
        <v>45676</v>
      </c>
      <c r="Q1209" s="1"/>
      <c r="R1209" t="str">
        <f>IF(Table1[[#This Row],[Actual close date]]="","",Table1[[#This Row],[Actual close date]]-Table1[[#This Row],[Expected close date]])</f>
        <v/>
      </c>
    </row>
    <row r="1210" spans="1:18" x14ac:dyDescent="0.25">
      <c r="A1210" t="s">
        <v>1569</v>
      </c>
      <c r="B1210" t="s">
        <v>39</v>
      </c>
      <c r="C1210" t="s">
        <v>40</v>
      </c>
      <c r="D1210" t="s">
        <v>41</v>
      </c>
      <c r="E1210" t="s">
        <v>45</v>
      </c>
      <c r="F1210" t="s">
        <v>125</v>
      </c>
      <c r="G1210" t="s">
        <v>57</v>
      </c>
      <c r="H1210" s="1">
        <v>45332</v>
      </c>
      <c r="I1210" t="s">
        <v>24</v>
      </c>
      <c r="J1210" t="s">
        <v>1117</v>
      </c>
      <c r="K1210">
        <v>5</v>
      </c>
      <c r="L1210" t="s">
        <v>1479</v>
      </c>
      <c r="M1210">
        <v>3</v>
      </c>
      <c r="N1210">
        <v>350</v>
      </c>
      <c r="O1210">
        <v>20</v>
      </c>
      <c r="P1210" s="1">
        <v>45524</v>
      </c>
      <c r="Q1210" s="1"/>
      <c r="R1210" t="str">
        <f>IF(Table1[[#This Row],[Actual close date]]="","",Table1[[#This Row],[Actual close date]]-Table1[[#This Row],[Expected close date]])</f>
        <v/>
      </c>
    </row>
    <row r="1211" spans="1:18" x14ac:dyDescent="0.25">
      <c r="A1211" t="s">
        <v>1763</v>
      </c>
      <c r="B1211" t="s">
        <v>59</v>
      </c>
      <c r="C1211" t="s">
        <v>60</v>
      </c>
      <c r="D1211" t="s">
        <v>61</v>
      </c>
      <c r="E1211" t="s">
        <v>74</v>
      </c>
      <c r="F1211" t="s">
        <v>246</v>
      </c>
      <c r="G1211" t="s">
        <v>72</v>
      </c>
      <c r="H1211" s="1">
        <v>45332</v>
      </c>
      <c r="I1211" t="s">
        <v>24</v>
      </c>
      <c r="J1211" t="s">
        <v>1117</v>
      </c>
      <c r="K1211">
        <v>5</v>
      </c>
      <c r="L1211" t="s">
        <v>1700</v>
      </c>
      <c r="M1211">
        <v>1</v>
      </c>
      <c r="N1211">
        <v>13263</v>
      </c>
      <c r="O1211">
        <v>50</v>
      </c>
      <c r="P1211" s="1">
        <v>45658</v>
      </c>
      <c r="Q1211" s="1"/>
      <c r="R1211" t="str">
        <f>IF(Table1[[#This Row],[Actual close date]]="","",Table1[[#This Row],[Actual close date]]-Table1[[#This Row],[Expected close date]])</f>
        <v/>
      </c>
    </row>
    <row r="1212" spans="1:18" x14ac:dyDescent="0.25">
      <c r="A1212" t="s">
        <v>1778</v>
      </c>
      <c r="B1212" t="s">
        <v>27</v>
      </c>
      <c r="C1212" t="s">
        <v>28</v>
      </c>
      <c r="D1212" t="s">
        <v>29</v>
      </c>
      <c r="E1212" t="s">
        <v>118</v>
      </c>
      <c r="F1212" t="s">
        <v>22</v>
      </c>
      <c r="G1212" t="s">
        <v>46</v>
      </c>
      <c r="H1212" s="1">
        <v>45332</v>
      </c>
      <c r="I1212" t="s">
        <v>47</v>
      </c>
      <c r="J1212" t="s">
        <v>1117</v>
      </c>
      <c r="K1212">
        <v>5</v>
      </c>
      <c r="L1212" t="s">
        <v>1766</v>
      </c>
      <c r="M1212">
        <v>4</v>
      </c>
      <c r="N1212">
        <v>1325</v>
      </c>
      <c r="O1212">
        <v>50</v>
      </c>
      <c r="P1212" s="1">
        <v>45355</v>
      </c>
      <c r="Q1212" s="1"/>
      <c r="R1212" t="str">
        <f>IF(Table1[[#This Row],[Actual close date]]="","",Table1[[#This Row],[Actual close date]]-Table1[[#This Row],[Expected close date]])</f>
        <v/>
      </c>
    </row>
    <row r="1213" spans="1:18" x14ac:dyDescent="0.25">
      <c r="A1213" t="s">
        <v>1498</v>
      </c>
      <c r="B1213" t="s">
        <v>76</v>
      </c>
      <c r="C1213" t="s">
        <v>77</v>
      </c>
      <c r="D1213" t="s">
        <v>78</v>
      </c>
      <c r="E1213" t="s">
        <v>30</v>
      </c>
      <c r="F1213" t="s">
        <v>22</v>
      </c>
      <c r="G1213" t="s">
        <v>83</v>
      </c>
      <c r="H1213" s="1">
        <v>45333</v>
      </c>
      <c r="I1213" t="s">
        <v>24</v>
      </c>
      <c r="J1213" t="s">
        <v>1117</v>
      </c>
      <c r="K1213">
        <v>5</v>
      </c>
      <c r="L1213" t="s">
        <v>1479</v>
      </c>
      <c r="M1213">
        <v>3</v>
      </c>
      <c r="N1213">
        <v>1156</v>
      </c>
      <c r="O1213">
        <v>40</v>
      </c>
      <c r="P1213" s="1">
        <v>45500</v>
      </c>
      <c r="Q1213" s="1"/>
      <c r="R1213" t="str">
        <f>IF(Table1[[#This Row],[Actual close date]]="","",Table1[[#This Row],[Actual close date]]-Table1[[#This Row],[Expected close date]])</f>
        <v/>
      </c>
    </row>
    <row r="1214" spans="1:18" x14ac:dyDescent="0.25">
      <c r="A1214" t="s">
        <v>1712</v>
      </c>
      <c r="B1214" t="s">
        <v>69</v>
      </c>
      <c r="C1214" t="s">
        <v>70</v>
      </c>
      <c r="D1214" t="s">
        <v>71</v>
      </c>
      <c r="E1214" t="s">
        <v>66</v>
      </c>
      <c r="F1214" t="s">
        <v>22</v>
      </c>
      <c r="G1214" t="s">
        <v>46</v>
      </c>
      <c r="H1214" s="1">
        <v>45333</v>
      </c>
      <c r="I1214" t="s">
        <v>64</v>
      </c>
      <c r="J1214" t="s">
        <v>1117</v>
      </c>
      <c r="K1214">
        <v>5</v>
      </c>
      <c r="L1214" t="s">
        <v>1700</v>
      </c>
      <c r="M1214">
        <v>1</v>
      </c>
      <c r="N1214">
        <v>1573</v>
      </c>
      <c r="O1214">
        <v>30</v>
      </c>
      <c r="P1214" s="1">
        <v>45613</v>
      </c>
      <c r="Q1214" s="1"/>
      <c r="R1214" t="str">
        <f>IF(Table1[[#This Row],[Actual close date]]="","",Table1[[#This Row],[Actual close date]]-Table1[[#This Row],[Expected close date]])</f>
        <v/>
      </c>
    </row>
    <row r="1215" spans="1:18" x14ac:dyDescent="0.25">
      <c r="A1215" t="s">
        <v>1218</v>
      </c>
      <c r="B1215" t="s">
        <v>33</v>
      </c>
      <c r="C1215" t="s">
        <v>34</v>
      </c>
      <c r="D1215" t="s">
        <v>35</v>
      </c>
      <c r="E1215" t="s">
        <v>101</v>
      </c>
      <c r="F1215" t="s">
        <v>125</v>
      </c>
      <c r="G1215" t="s">
        <v>72</v>
      </c>
      <c r="H1215" s="1">
        <v>45334</v>
      </c>
      <c r="I1215" t="s">
        <v>24</v>
      </c>
      <c r="J1215" t="s">
        <v>1117</v>
      </c>
      <c r="K1215">
        <v>5</v>
      </c>
      <c r="L1215" t="s">
        <v>1118</v>
      </c>
      <c r="M1215">
        <v>2</v>
      </c>
      <c r="N1215">
        <v>208</v>
      </c>
      <c r="O1215">
        <v>40</v>
      </c>
      <c r="P1215" s="1">
        <v>45618</v>
      </c>
      <c r="Q1215" s="1"/>
      <c r="R1215" t="str">
        <f>IF(Table1[[#This Row],[Actual close date]]="","",Table1[[#This Row],[Actual close date]]-Table1[[#This Row],[Expected close date]])</f>
        <v/>
      </c>
    </row>
    <row r="1216" spans="1:18" x14ac:dyDescent="0.25">
      <c r="A1216" t="s">
        <v>1243</v>
      </c>
      <c r="B1216" t="s">
        <v>33</v>
      </c>
      <c r="C1216" t="s">
        <v>34</v>
      </c>
      <c r="D1216" t="s">
        <v>35</v>
      </c>
      <c r="E1216" t="s">
        <v>21</v>
      </c>
      <c r="F1216" t="s">
        <v>125</v>
      </c>
      <c r="G1216" t="s">
        <v>46</v>
      </c>
      <c r="H1216" s="1">
        <v>45334</v>
      </c>
      <c r="I1216" t="s">
        <v>24</v>
      </c>
      <c r="J1216" t="s">
        <v>1117</v>
      </c>
      <c r="K1216">
        <v>5</v>
      </c>
      <c r="L1216" t="s">
        <v>1118</v>
      </c>
      <c r="M1216">
        <v>2</v>
      </c>
      <c r="N1216">
        <v>1078</v>
      </c>
      <c r="O1216">
        <v>50</v>
      </c>
      <c r="P1216" s="1">
        <v>45599</v>
      </c>
      <c r="Q1216" s="1"/>
      <c r="R1216" t="str">
        <f>IF(Table1[[#This Row],[Actual close date]]="","",Table1[[#This Row],[Actual close date]]-Table1[[#This Row],[Expected close date]])</f>
        <v/>
      </c>
    </row>
    <row r="1217" spans="1:18" x14ac:dyDescent="0.25">
      <c r="A1217" t="s">
        <v>1351</v>
      </c>
      <c r="B1217" t="s">
        <v>54</v>
      </c>
      <c r="C1217" t="s">
        <v>55</v>
      </c>
      <c r="D1217" t="s">
        <v>56</v>
      </c>
      <c r="E1217" t="s">
        <v>42</v>
      </c>
      <c r="F1217" t="s">
        <v>167</v>
      </c>
      <c r="G1217" t="s">
        <v>37</v>
      </c>
      <c r="H1217" s="1">
        <v>45334</v>
      </c>
      <c r="I1217" t="s">
        <v>47</v>
      </c>
      <c r="J1217" t="s">
        <v>1117</v>
      </c>
      <c r="K1217">
        <v>5</v>
      </c>
      <c r="L1217" t="s">
        <v>1118</v>
      </c>
      <c r="M1217">
        <v>2</v>
      </c>
      <c r="N1217">
        <v>7563</v>
      </c>
      <c r="O1217">
        <v>30</v>
      </c>
      <c r="P1217" s="1">
        <v>45361</v>
      </c>
      <c r="Q1217" s="1"/>
      <c r="R1217" t="str">
        <f>IF(Table1[[#This Row],[Actual close date]]="","",Table1[[#This Row],[Actual close date]]-Table1[[#This Row],[Expected close date]])</f>
        <v/>
      </c>
    </row>
    <row r="1218" spans="1:18" x14ac:dyDescent="0.25">
      <c r="A1218" t="s">
        <v>1692</v>
      </c>
      <c r="B1218" t="s">
        <v>76</v>
      </c>
      <c r="C1218" t="s">
        <v>77</v>
      </c>
      <c r="D1218" t="s">
        <v>78</v>
      </c>
      <c r="E1218" t="s">
        <v>52</v>
      </c>
      <c r="F1218" t="s">
        <v>239</v>
      </c>
      <c r="G1218" t="s">
        <v>57</v>
      </c>
      <c r="H1218" s="1">
        <v>45334</v>
      </c>
      <c r="I1218" t="s">
        <v>24</v>
      </c>
      <c r="J1218" t="s">
        <v>1117</v>
      </c>
      <c r="K1218">
        <v>5</v>
      </c>
      <c r="L1218" t="s">
        <v>1479</v>
      </c>
      <c r="M1218">
        <v>3</v>
      </c>
      <c r="N1218">
        <v>5806</v>
      </c>
      <c r="O1218">
        <v>10</v>
      </c>
      <c r="P1218" s="1">
        <v>45390</v>
      </c>
      <c r="Q1218" s="1"/>
      <c r="R1218" t="str">
        <f>IF(Table1[[#This Row],[Actual close date]]="","",Table1[[#This Row],[Actual close date]]-Table1[[#This Row],[Expected close date]])</f>
        <v/>
      </c>
    </row>
    <row r="1219" spans="1:18" x14ac:dyDescent="0.25">
      <c r="A1219" t="s">
        <v>1134</v>
      </c>
      <c r="B1219" t="s">
        <v>39</v>
      </c>
      <c r="C1219" t="s">
        <v>40</v>
      </c>
      <c r="D1219" t="s">
        <v>41</v>
      </c>
      <c r="E1219" t="s">
        <v>36</v>
      </c>
      <c r="F1219" t="s">
        <v>22</v>
      </c>
      <c r="G1219" t="s">
        <v>57</v>
      </c>
      <c r="H1219" s="1">
        <v>45335</v>
      </c>
      <c r="I1219" t="s">
        <v>24</v>
      </c>
      <c r="J1219" t="s">
        <v>1117</v>
      </c>
      <c r="K1219">
        <v>5</v>
      </c>
      <c r="L1219" t="s">
        <v>1118</v>
      </c>
      <c r="M1219">
        <v>2</v>
      </c>
      <c r="N1219">
        <v>345</v>
      </c>
      <c r="O1219">
        <v>20</v>
      </c>
      <c r="P1219" s="1">
        <v>45597</v>
      </c>
      <c r="Q1219" s="1"/>
      <c r="R1219" t="str">
        <f>IF(Table1[[#This Row],[Actual close date]]="","",Table1[[#This Row],[Actual close date]]-Table1[[#This Row],[Expected close date]])</f>
        <v/>
      </c>
    </row>
    <row r="1220" spans="1:18" x14ac:dyDescent="0.25">
      <c r="A1220" t="s">
        <v>1347</v>
      </c>
      <c r="B1220" t="s">
        <v>49</v>
      </c>
      <c r="C1220" t="s">
        <v>50</v>
      </c>
      <c r="D1220" t="s">
        <v>51</v>
      </c>
      <c r="E1220" t="s">
        <v>21</v>
      </c>
      <c r="F1220" t="s">
        <v>167</v>
      </c>
      <c r="G1220" t="s">
        <v>46</v>
      </c>
      <c r="H1220" s="1">
        <v>45335</v>
      </c>
      <c r="I1220" t="s">
        <v>47</v>
      </c>
      <c r="J1220" t="s">
        <v>1117</v>
      </c>
      <c r="K1220">
        <v>5</v>
      </c>
      <c r="L1220" t="s">
        <v>1118</v>
      </c>
      <c r="M1220">
        <v>2</v>
      </c>
      <c r="N1220">
        <v>1429</v>
      </c>
      <c r="O1220">
        <v>20</v>
      </c>
      <c r="P1220" s="1">
        <v>45504</v>
      </c>
      <c r="Q1220" s="1"/>
      <c r="R1220" t="str">
        <f>IF(Table1[[#This Row],[Actual close date]]="","",Table1[[#This Row],[Actual close date]]-Table1[[#This Row],[Expected close date]])</f>
        <v/>
      </c>
    </row>
    <row r="1221" spans="1:18" x14ac:dyDescent="0.25">
      <c r="A1221" t="s">
        <v>1565</v>
      </c>
      <c r="B1221" t="s">
        <v>33</v>
      </c>
      <c r="C1221" t="s">
        <v>34</v>
      </c>
      <c r="D1221" t="s">
        <v>35</v>
      </c>
      <c r="E1221" t="s">
        <v>122</v>
      </c>
      <c r="F1221" t="s">
        <v>125</v>
      </c>
      <c r="G1221" t="s">
        <v>37</v>
      </c>
      <c r="H1221" s="1">
        <v>45335</v>
      </c>
      <c r="I1221" t="s">
        <v>47</v>
      </c>
      <c r="J1221" t="s">
        <v>1117</v>
      </c>
      <c r="K1221">
        <v>5</v>
      </c>
      <c r="L1221" t="s">
        <v>1479</v>
      </c>
      <c r="M1221">
        <v>3</v>
      </c>
      <c r="N1221">
        <v>1026</v>
      </c>
      <c r="O1221">
        <v>90</v>
      </c>
      <c r="P1221" s="1">
        <v>45359</v>
      </c>
      <c r="Q1221" s="1"/>
      <c r="R1221" t="str">
        <f>IF(Table1[[#This Row],[Actual close date]]="","",Table1[[#This Row],[Actual close date]]-Table1[[#This Row],[Expected close date]])</f>
        <v/>
      </c>
    </row>
    <row r="1222" spans="1:18" x14ac:dyDescent="0.25">
      <c r="A1222" t="s">
        <v>1618</v>
      </c>
      <c r="B1222" t="s">
        <v>76</v>
      </c>
      <c r="C1222" t="s">
        <v>77</v>
      </c>
      <c r="D1222" t="s">
        <v>78</v>
      </c>
      <c r="E1222" t="s">
        <v>30</v>
      </c>
      <c r="F1222" t="s">
        <v>167</v>
      </c>
      <c r="G1222" t="s">
        <v>46</v>
      </c>
      <c r="H1222" s="1">
        <v>45335</v>
      </c>
      <c r="I1222" t="s">
        <v>24</v>
      </c>
      <c r="J1222" t="s">
        <v>1117</v>
      </c>
      <c r="K1222">
        <v>5</v>
      </c>
      <c r="L1222" t="s">
        <v>1479</v>
      </c>
      <c r="M1222">
        <v>3</v>
      </c>
      <c r="N1222">
        <v>4200</v>
      </c>
      <c r="O1222">
        <v>100</v>
      </c>
      <c r="P1222" s="1">
        <v>45447</v>
      </c>
      <c r="Q1222" s="1"/>
      <c r="R1222" t="str">
        <f>IF(Table1[[#This Row],[Actual close date]]="","",Table1[[#This Row],[Actual close date]]-Table1[[#This Row],[Expected close date]])</f>
        <v/>
      </c>
    </row>
    <row r="1223" spans="1:18" x14ac:dyDescent="0.25">
      <c r="A1223" t="s">
        <v>1854</v>
      </c>
      <c r="B1223" t="s">
        <v>76</v>
      </c>
      <c r="C1223" t="s">
        <v>77</v>
      </c>
      <c r="D1223" t="s">
        <v>78</v>
      </c>
      <c r="E1223" t="s">
        <v>118</v>
      </c>
      <c r="F1223" t="s">
        <v>167</v>
      </c>
      <c r="G1223" t="s">
        <v>83</v>
      </c>
      <c r="H1223" s="1">
        <v>45335</v>
      </c>
      <c r="I1223" t="s">
        <v>24</v>
      </c>
      <c r="J1223" t="s">
        <v>1117</v>
      </c>
      <c r="K1223">
        <v>5</v>
      </c>
      <c r="L1223" t="s">
        <v>1766</v>
      </c>
      <c r="M1223">
        <v>4</v>
      </c>
      <c r="N1223">
        <v>771</v>
      </c>
      <c r="O1223">
        <v>20</v>
      </c>
      <c r="P1223" s="1">
        <v>45576</v>
      </c>
      <c r="Q1223" s="1"/>
      <c r="R1223" t="str">
        <f>IF(Table1[[#This Row],[Actual close date]]="","",Table1[[#This Row],[Actual close date]]-Table1[[#This Row],[Expected close date]])</f>
        <v/>
      </c>
    </row>
    <row r="1224" spans="1:18" x14ac:dyDescent="0.25">
      <c r="A1224" t="s">
        <v>1485</v>
      </c>
      <c r="B1224" t="s">
        <v>33</v>
      </c>
      <c r="C1224" t="s">
        <v>34</v>
      </c>
      <c r="D1224" t="s">
        <v>35</v>
      </c>
      <c r="E1224" t="s">
        <v>42</v>
      </c>
      <c r="F1224" t="s">
        <v>22</v>
      </c>
      <c r="G1224" t="s">
        <v>85</v>
      </c>
      <c r="H1224" s="1">
        <v>45336</v>
      </c>
      <c r="I1224" t="s">
        <v>24</v>
      </c>
      <c r="J1224" t="s">
        <v>1117</v>
      </c>
      <c r="K1224">
        <v>5</v>
      </c>
      <c r="L1224" t="s">
        <v>1479</v>
      </c>
      <c r="M1224">
        <v>3</v>
      </c>
      <c r="N1224">
        <v>1572</v>
      </c>
      <c r="O1224">
        <v>40</v>
      </c>
      <c r="P1224" s="1">
        <v>45506</v>
      </c>
      <c r="Q1224" s="1"/>
      <c r="R1224" t="str">
        <f>IF(Table1[[#This Row],[Actual close date]]="","",Table1[[#This Row],[Actual close date]]-Table1[[#This Row],[Expected close date]])</f>
        <v/>
      </c>
    </row>
    <row r="1225" spans="1:18" x14ac:dyDescent="0.25">
      <c r="A1225" t="s">
        <v>1765</v>
      </c>
      <c r="B1225" t="s">
        <v>59</v>
      </c>
      <c r="C1225" t="s">
        <v>60</v>
      </c>
      <c r="D1225" t="s">
        <v>61</v>
      </c>
      <c r="E1225" t="s">
        <v>74</v>
      </c>
      <c r="F1225" t="s">
        <v>22</v>
      </c>
      <c r="G1225" t="s">
        <v>23</v>
      </c>
      <c r="H1225" s="1">
        <v>45336</v>
      </c>
      <c r="I1225" t="s">
        <v>64</v>
      </c>
      <c r="J1225" t="s">
        <v>1117</v>
      </c>
      <c r="K1225">
        <v>5</v>
      </c>
      <c r="L1225" t="s">
        <v>1766</v>
      </c>
      <c r="M1225">
        <v>4</v>
      </c>
      <c r="N1225">
        <v>1527</v>
      </c>
      <c r="O1225">
        <v>40</v>
      </c>
      <c r="P1225" s="1">
        <v>45358</v>
      </c>
      <c r="Q1225" s="1"/>
      <c r="R1225" t="str">
        <f>IF(Table1[[#This Row],[Actual close date]]="","",Table1[[#This Row],[Actual close date]]-Table1[[#This Row],[Expected close date]])</f>
        <v/>
      </c>
    </row>
    <row r="1226" spans="1:18" x14ac:dyDescent="0.25">
      <c r="A1226" t="s">
        <v>1137</v>
      </c>
      <c r="B1226" t="s">
        <v>39</v>
      </c>
      <c r="C1226" t="s">
        <v>40</v>
      </c>
      <c r="D1226" t="s">
        <v>41</v>
      </c>
      <c r="E1226" t="s">
        <v>62</v>
      </c>
      <c r="F1226" t="s">
        <v>22</v>
      </c>
      <c r="G1226" t="s">
        <v>46</v>
      </c>
      <c r="H1226" s="1">
        <v>45337</v>
      </c>
      <c r="I1226" t="s">
        <v>64</v>
      </c>
      <c r="J1226" t="s">
        <v>1117</v>
      </c>
      <c r="K1226">
        <v>5</v>
      </c>
      <c r="L1226" t="s">
        <v>1118</v>
      </c>
      <c r="M1226">
        <v>2</v>
      </c>
      <c r="N1226">
        <v>630</v>
      </c>
      <c r="O1226">
        <v>30</v>
      </c>
      <c r="P1226" s="1">
        <v>45593</v>
      </c>
      <c r="Q1226" s="1"/>
      <c r="R1226" t="str">
        <f>IF(Table1[[#This Row],[Actual close date]]="","",Table1[[#This Row],[Actual close date]]-Table1[[#This Row],[Expected close date]])</f>
        <v/>
      </c>
    </row>
    <row r="1227" spans="1:18" x14ac:dyDescent="0.25">
      <c r="A1227" t="s">
        <v>1500</v>
      </c>
      <c r="B1227" t="s">
        <v>59</v>
      </c>
      <c r="C1227" t="s">
        <v>60</v>
      </c>
      <c r="D1227" t="s">
        <v>61</v>
      </c>
      <c r="E1227" t="s">
        <v>42</v>
      </c>
      <c r="F1227" t="s">
        <v>22</v>
      </c>
      <c r="G1227" t="s">
        <v>72</v>
      </c>
      <c r="H1227" s="1">
        <v>45337</v>
      </c>
      <c r="I1227" t="s">
        <v>64</v>
      </c>
      <c r="J1227" t="s">
        <v>1117</v>
      </c>
      <c r="K1227">
        <v>5</v>
      </c>
      <c r="L1227" t="s">
        <v>1479</v>
      </c>
      <c r="M1227">
        <v>3</v>
      </c>
      <c r="N1227">
        <v>1883</v>
      </c>
      <c r="O1227">
        <v>60</v>
      </c>
      <c r="P1227" s="1">
        <v>45406</v>
      </c>
      <c r="Q1227" s="1"/>
      <c r="R1227" t="str">
        <f>IF(Table1[[#This Row],[Actual close date]]="","",Table1[[#This Row],[Actual close date]]-Table1[[#This Row],[Expected close date]])</f>
        <v/>
      </c>
    </row>
    <row r="1228" spans="1:18" x14ac:dyDescent="0.25">
      <c r="A1228" t="s">
        <v>1559</v>
      </c>
      <c r="B1228" t="s">
        <v>49</v>
      </c>
      <c r="C1228" t="s">
        <v>50</v>
      </c>
      <c r="D1228" t="s">
        <v>51</v>
      </c>
      <c r="E1228" t="s">
        <v>21</v>
      </c>
      <c r="F1228" t="s">
        <v>125</v>
      </c>
      <c r="G1228" t="s">
        <v>46</v>
      </c>
      <c r="H1228" s="1">
        <v>45337</v>
      </c>
      <c r="I1228" t="s">
        <v>24</v>
      </c>
      <c r="J1228" t="s">
        <v>1117</v>
      </c>
      <c r="K1228">
        <v>5</v>
      </c>
      <c r="L1228" t="s">
        <v>1479</v>
      </c>
      <c r="M1228">
        <v>3</v>
      </c>
      <c r="N1228">
        <v>240</v>
      </c>
      <c r="O1228">
        <v>40</v>
      </c>
      <c r="P1228" s="1">
        <v>45687</v>
      </c>
      <c r="Q1228" s="1"/>
      <c r="R1228" t="str">
        <f>IF(Table1[[#This Row],[Actual close date]]="","",Table1[[#This Row],[Actual close date]]-Table1[[#This Row],[Expected close date]])</f>
        <v/>
      </c>
    </row>
    <row r="1229" spans="1:18" x14ac:dyDescent="0.25">
      <c r="A1229" t="s">
        <v>1560</v>
      </c>
      <c r="B1229" t="s">
        <v>54</v>
      </c>
      <c r="C1229" t="s">
        <v>55</v>
      </c>
      <c r="D1229" t="s">
        <v>56</v>
      </c>
      <c r="E1229" t="s">
        <v>45</v>
      </c>
      <c r="F1229" t="s">
        <v>125</v>
      </c>
      <c r="G1229" t="s">
        <v>46</v>
      </c>
      <c r="H1229" s="1">
        <v>45337</v>
      </c>
      <c r="I1229" t="s">
        <v>64</v>
      </c>
      <c r="J1229" t="s">
        <v>1117</v>
      </c>
      <c r="K1229">
        <v>5</v>
      </c>
      <c r="L1229" t="s">
        <v>1479</v>
      </c>
      <c r="M1229">
        <v>3</v>
      </c>
      <c r="N1229">
        <v>639</v>
      </c>
      <c r="O1229">
        <v>20</v>
      </c>
      <c r="P1229" s="1">
        <v>45615</v>
      </c>
      <c r="Q1229" s="1"/>
      <c r="R1229" t="str">
        <f>IF(Table1[[#This Row],[Actual close date]]="","",Table1[[#This Row],[Actual close date]]-Table1[[#This Row],[Expected close date]])</f>
        <v/>
      </c>
    </row>
    <row r="1230" spans="1:18" x14ac:dyDescent="0.25">
      <c r="A1230" t="s">
        <v>1868</v>
      </c>
      <c r="B1230" t="s">
        <v>76</v>
      </c>
      <c r="C1230" t="s">
        <v>77</v>
      </c>
      <c r="D1230" t="s">
        <v>78</v>
      </c>
      <c r="E1230" t="s">
        <v>118</v>
      </c>
      <c r="F1230" t="s">
        <v>167</v>
      </c>
      <c r="G1230" t="s">
        <v>37</v>
      </c>
      <c r="H1230" s="1">
        <v>45337</v>
      </c>
      <c r="I1230" t="s">
        <v>24</v>
      </c>
      <c r="J1230" t="s">
        <v>1117</v>
      </c>
      <c r="K1230">
        <v>5</v>
      </c>
      <c r="L1230" t="s">
        <v>1766</v>
      </c>
      <c r="M1230">
        <v>4</v>
      </c>
      <c r="N1230">
        <v>5029</v>
      </c>
      <c r="O1230">
        <v>40</v>
      </c>
      <c r="P1230" s="1">
        <v>45513</v>
      </c>
      <c r="Q1230" s="1"/>
      <c r="R1230" t="str">
        <f>IF(Table1[[#This Row],[Actual close date]]="","",Table1[[#This Row],[Actual close date]]-Table1[[#This Row],[Expected close date]])</f>
        <v/>
      </c>
    </row>
    <row r="1231" spans="1:18" x14ac:dyDescent="0.25">
      <c r="A1231" t="s">
        <v>1887</v>
      </c>
      <c r="B1231" t="s">
        <v>59</v>
      </c>
      <c r="C1231" t="s">
        <v>60</v>
      </c>
      <c r="D1231" t="s">
        <v>61</v>
      </c>
      <c r="E1231" t="s">
        <v>36</v>
      </c>
      <c r="F1231" t="s">
        <v>167</v>
      </c>
      <c r="G1231" t="s">
        <v>46</v>
      </c>
      <c r="H1231" s="1">
        <v>45337</v>
      </c>
      <c r="I1231" t="s">
        <v>24</v>
      </c>
      <c r="J1231" t="s">
        <v>1117</v>
      </c>
      <c r="K1231">
        <v>5</v>
      </c>
      <c r="L1231" t="s">
        <v>1766</v>
      </c>
      <c r="M1231">
        <v>4</v>
      </c>
      <c r="N1231">
        <v>2036</v>
      </c>
      <c r="O1231">
        <v>80</v>
      </c>
      <c r="P1231" s="1">
        <v>45571</v>
      </c>
      <c r="Q1231" s="1"/>
      <c r="R1231" t="str">
        <f>IF(Table1[[#This Row],[Actual close date]]="","",Table1[[#This Row],[Actual close date]]-Table1[[#This Row],[Expected close date]])</f>
        <v/>
      </c>
    </row>
    <row r="1232" spans="1:18" x14ac:dyDescent="0.25">
      <c r="A1232" t="s">
        <v>1201</v>
      </c>
      <c r="B1232" t="s">
        <v>33</v>
      </c>
      <c r="C1232" t="s">
        <v>34</v>
      </c>
      <c r="D1232" t="s">
        <v>35</v>
      </c>
      <c r="E1232" t="s">
        <v>52</v>
      </c>
      <c r="F1232" t="s">
        <v>22</v>
      </c>
      <c r="G1232" t="s">
        <v>85</v>
      </c>
      <c r="H1232" s="1">
        <v>45338</v>
      </c>
      <c r="I1232" t="s">
        <v>64</v>
      </c>
      <c r="J1232" t="s">
        <v>1117</v>
      </c>
      <c r="K1232">
        <v>5</v>
      </c>
      <c r="L1232" t="s">
        <v>1118</v>
      </c>
      <c r="M1232">
        <v>2</v>
      </c>
      <c r="N1232">
        <v>1601</v>
      </c>
      <c r="O1232">
        <v>30</v>
      </c>
      <c r="P1232" s="1">
        <v>45602</v>
      </c>
      <c r="Q1232" s="1"/>
      <c r="R1232" t="str">
        <f>IF(Table1[[#This Row],[Actual close date]]="","",Table1[[#This Row],[Actual close date]]-Table1[[#This Row],[Expected close date]])</f>
        <v/>
      </c>
    </row>
    <row r="1233" spans="1:18" x14ac:dyDescent="0.25">
      <c r="A1233" t="s">
        <v>1494</v>
      </c>
      <c r="B1233" t="s">
        <v>59</v>
      </c>
      <c r="C1233" t="s">
        <v>60</v>
      </c>
      <c r="D1233" t="s">
        <v>61</v>
      </c>
      <c r="E1233" t="s">
        <v>101</v>
      </c>
      <c r="F1233" t="s">
        <v>22</v>
      </c>
      <c r="G1233" t="s">
        <v>57</v>
      </c>
      <c r="H1233" s="1">
        <v>45338</v>
      </c>
      <c r="I1233" t="s">
        <v>47</v>
      </c>
      <c r="J1233" t="s">
        <v>1117</v>
      </c>
      <c r="K1233">
        <v>5</v>
      </c>
      <c r="L1233" t="s">
        <v>1479</v>
      </c>
      <c r="M1233">
        <v>3</v>
      </c>
      <c r="N1233">
        <v>540</v>
      </c>
      <c r="O1233">
        <v>50</v>
      </c>
      <c r="P1233" s="1">
        <v>45440</v>
      </c>
      <c r="Q1233" s="1"/>
      <c r="R1233" t="str">
        <f>IF(Table1[[#This Row],[Actual close date]]="","",Table1[[#This Row],[Actual close date]]-Table1[[#This Row],[Expected close date]])</f>
        <v/>
      </c>
    </row>
    <row r="1234" spans="1:18" x14ac:dyDescent="0.25">
      <c r="A1234" t="s">
        <v>1405</v>
      </c>
      <c r="B1234" t="s">
        <v>39</v>
      </c>
      <c r="C1234" t="s">
        <v>40</v>
      </c>
      <c r="D1234" t="s">
        <v>41</v>
      </c>
      <c r="E1234" t="s">
        <v>52</v>
      </c>
      <c r="F1234" t="s">
        <v>239</v>
      </c>
      <c r="G1234" t="s">
        <v>31</v>
      </c>
      <c r="H1234" s="1">
        <v>45339</v>
      </c>
      <c r="I1234" t="s">
        <v>64</v>
      </c>
      <c r="J1234" t="s">
        <v>1117</v>
      </c>
      <c r="K1234">
        <v>5</v>
      </c>
      <c r="L1234" t="s">
        <v>1118</v>
      </c>
      <c r="M1234">
        <v>2</v>
      </c>
      <c r="N1234">
        <v>2425</v>
      </c>
      <c r="O1234">
        <v>20</v>
      </c>
      <c r="P1234" s="1">
        <v>45598</v>
      </c>
      <c r="Q1234" s="1"/>
      <c r="R1234" t="str">
        <f>IF(Table1[[#This Row],[Actual close date]]="","",Table1[[#This Row],[Actual close date]]-Table1[[#This Row],[Expected close date]])</f>
        <v/>
      </c>
    </row>
    <row r="1235" spans="1:18" x14ac:dyDescent="0.25">
      <c r="A1235" t="s">
        <v>1508</v>
      </c>
      <c r="B1235" t="s">
        <v>39</v>
      </c>
      <c r="C1235" t="s">
        <v>40</v>
      </c>
      <c r="D1235" t="s">
        <v>41</v>
      </c>
      <c r="E1235" t="s">
        <v>36</v>
      </c>
      <c r="F1235" t="s">
        <v>22</v>
      </c>
      <c r="G1235" t="s">
        <v>83</v>
      </c>
      <c r="H1235" s="1">
        <v>45339</v>
      </c>
      <c r="I1235" t="s">
        <v>24</v>
      </c>
      <c r="J1235" t="s">
        <v>1117</v>
      </c>
      <c r="K1235">
        <v>5</v>
      </c>
      <c r="L1235" t="s">
        <v>1479</v>
      </c>
      <c r="M1235">
        <v>3</v>
      </c>
      <c r="N1235">
        <v>735</v>
      </c>
      <c r="O1235">
        <v>50</v>
      </c>
      <c r="P1235" s="1">
        <v>45389</v>
      </c>
      <c r="Q1235" s="1"/>
      <c r="R1235" t="str">
        <f>IF(Table1[[#This Row],[Actual close date]]="","",Table1[[#This Row],[Actual close date]]-Table1[[#This Row],[Expected close date]])</f>
        <v/>
      </c>
    </row>
    <row r="1236" spans="1:18" x14ac:dyDescent="0.25">
      <c r="A1236" t="s">
        <v>1848</v>
      </c>
      <c r="B1236" t="s">
        <v>33</v>
      </c>
      <c r="C1236" t="s">
        <v>34</v>
      </c>
      <c r="D1236" t="s">
        <v>35</v>
      </c>
      <c r="E1236" t="s">
        <v>52</v>
      </c>
      <c r="F1236" t="s">
        <v>167</v>
      </c>
      <c r="G1236" t="s">
        <v>46</v>
      </c>
      <c r="H1236" s="1">
        <v>45339</v>
      </c>
      <c r="I1236" t="s">
        <v>47</v>
      </c>
      <c r="J1236" t="s">
        <v>1117</v>
      </c>
      <c r="K1236">
        <v>5</v>
      </c>
      <c r="L1236" t="s">
        <v>1766</v>
      </c>
      <c r="M1236">
        <v>4</v>
      </c>
      <c r="N1236">
        <v>5597</v>
      </c>
      <c r="O1236">
        <v>50</v>
      </c>
      <c r="P1236" s="1">
        <v>45417</v>
      </c>
      <c r="Q1236" s="1"/>
      <c r="R1236" t="str">
        <f>IF(Table1[[#This Row],[Actual close date]]="","",Table1[[#This Row],[Actual close date]]-Table1[[#This Row],[Expected close date]])</f>
        <v/>
      </c>
    </row>
    <row r="1237" spans="1:18" x14ac:dyDescent="0.25">
      <c r="A1237" t="s">
        <v>1141</v>
      </c>
      <c r="B1237" t="s">
        <v>27</v>
      </c>
      <c r="C1237" t="s">
        <v>28</v>
      </c>
      <c r="D1237" t="s">
        <v>29</v>
      </c>
      <c r="E1237" t="s">
        <v>52</v>
      </c>
      <c r="F1237" t="s">
        <v>22</v>
      </c>
      <c r="G1237" t="s">
        <v>23</v>
      </c>
      <c r="H1237" s="1">
        <v>45340</v>
      </c>
      <c r="I1237" t="s">
        <v>24</v>
      </c>
      <c r="J1237" t="s">
        <v>1117</v>
      </c>
      <c r="K1237">
        <v>5</v>
      </c>
      <c r="L1237" t="s">
        <v>1118</v>
      </c>
      <c r="M1237">
        <v>2</v>
      </c>
      <c r="N1237">
        <v>550</v>
      </c>
      <c r="O1237">
        <v>50</v>
      </c>
      <c r="P1237" s="1">
        <v>45369</v>
      </c>
      <c r="Q1237" s="1"/>
      <c r="R1237" t="str">
        <f>IF(Table1[[#This Row],[Actual close date]]="","",Table1[[#This Row],[Actual close date]]-Table1[[#This Row],[Expected close date]])</f>
        <v/>
      </c>
    </row>
    <row r="1238" spans="1:18" x14ac:dyDescent="0.25">
      <c r="A1238" t="s">
        <v>1677</v>
      </c>
      <c r="B1238" t="s">
        <v>33</v>
      </c>
      <c r="C1238" t="s">
        <v>34</v>
      </c>
      <c r="D1238" t="s">
        <v>35</v>
      </c>
      <c r="E1238" t="s">
        <v>42</v>
      </c>
      <c r="F1238" t="s">
        <v>167</v>
      </c>
      <c r="G1238" t="s">
        <v>37</v>
      </c>
      <c r="H1238" s="1">
        <v>45340</v>
      </c>
      <c r="I1238" t="s">
        <v>64</v>
      </c>
      <c r="J1238" t="s">
        <v>1117</v>
      </c>
      <c r="K1238">
        <v>5</v>
      </c>
      <c r="L1238" t="s">
        <v>1479</v>
      </c>
      <c r="M1238">
        <v>3</v>
      </c>
      <c r="N1238">
        <v>2795</v>
      </c>
      <c r="O1238">
        <v>70</v>
      </c>
      <c r="P1238" s="1">
        <v>45505</v>
      </c>
      <c r="Q1238" s="1"/>
      <c r="R1238" t="str">
        <f>IF(Table1[[#This Row],[Actual close date]]="","",Table1[[#This Row],[Actual close date]]-Table1[[#This Row],[Expected close date]])</f>
        <v/>
      </c>
    </row>
    <row r="1239" spans="1:18" x14ac:dyDescent="0.25">
      <c r="A1239" t="s">
        <v>1818</v>
      </c>
      <c r="B1239" t="s">
        <v>59</v>
      </c>
      <c r="C1239" t="s">
        <v>60</v>
      </c>
      <c r="D1239" t="s">
        <v>61</v>
      </c>
      <c r="E1239" t="s">
        <v>74</v>
      </c>
      <c r="F1239" t="s">
        <v>125</v>
      </c>
      <c r="G1239" t="s">
        <v>46</v>
      </c>
      <c r="H1239" s="1">
        <v>45340</v>
      </c>
      <c r="I1239" t="s">
        <v>24</v>
      </c>
      <c r="J1239" t="s">
        <v>1117</v>
      </c>
      <c r="K1239">
        <v>5</v>
      </c>
      <c r="L1239" t="s">
        <v>1766</v>
      </c>
      <c r="M1239">
        <v>4</v>
      </c>
      <c r="N1239">
        <v>1157</v>
      </c>
      <c r="O1239">
        <v>100</v>
      </c>
      <c r="P1239" s="1">
        <v>45540</v>
      </c>
      <c r="Q1239" s="1"/>
      <c r="R1239" t="str">
        <f>IF(Table1[[#This Row],[Actual close date]]="","",Table1[[#This Row],[Actual close date]]-Table1[[#This Row],[Expected close date]])</f>
        <v/>
      </c>
    </row>
    <row r="1240" spans="1:18" x14ac:dyDescent="0.25">
      <c r="A1240" t="s">
        <v>1885</v>
      </c>
      <c r="B1240" t="s">
        <v>49</v>
      </c>
      <c r="C1240" t="s">
        <v>50</v>
      </c>
      <c r="D1240" t="s">
        <v>51</v>
      </c>
      <c r="E1240" t="s">
        <v>45</v>
      </c>
      <c r="F1240" t="s">
        <v>167</v>
      </c>
      <c r="G1240" t="s">
        <v>46</v>
      </c>
      <c r="H1240" s="1">
        <v>45340</v>
      </c>
      <c r="I1240" t="s">
        <v>47</v>
      </c>
      <c r="J1240" t="s">
        <v>1117</v>
      </c>
      <c r="K1240">
        <v>5</v>
      </c>
      <c r="L1240" t="s">
        <v>1766</v>
      </c>
      <c r="M1240">
        <v>4</v>
      </c>
      <c r="N1240">
        <v>2926</v>
      </c>
      <c r="O1240">
        <v>20</v>
      </c>
      <c r="P1240" s="1">
        <v>45680</v>
      </c>
      <c r="Q1240" s="1"/>
      <c r="R1240" t="str">
        <f>IF(Table1[[#This Row],[Actual close date]]="","",Table1[[#This Row],[Actual close date]]-Table1[[#This Row],[Expected close date]])</f>
        <v/>
      </c>
    </row>
    <row r="1241" spans="1:18" x14ac:dyDescent="0.25">
      <c r="A1241" t="s">
        <v>1768</v>
      </c>
      <c r="B1241" t="s">
        <v>59</v>
      </c>
      <c r="C1241" t="s">
        <v>60</v>
      </c>
      <c r="D1241" t="s">
        <v>61</v>
      </c>
      <c r="E1241" t="s">
        <v>45</v>
      </c>
      <c r="F1241" t="s">
        <v>22</v>
      </c>
      <c r="G1241" t="s">
        <v>31</v>
      </c>
      <c r="H1241" s="1">
        <v>45341</v>
      </c>
      <c r="I1241" t="s">
        <v>47</v>
      </c>
      <c r="J1241" t="s">
        <v>1117</v>
      </c>
      <c r="K1241">
        <v>5</v>
      </c>
      <c r="L1241" t="s">
        <v>1766</v>
      </c>
      <c r="M1241">
        <v>4</v>
      </c>
      <c r="N1241">
        <v>1310</v>
      </c>
      <c r="O1241">
        <v>20</v>
      </c>
      <c r="P1241" s="1">
        <v>45670</v>
      </c>
      <c r="Q1241" s="1"/>
      <c r="R1241" t="str">
        <f>IF(Table1[[#This Row],[Actual close date]]="","",Table1[[#This Row],[Actual close date]]-Table1[[#This Row],[Expected close date]])</f>
        <v/>
      </c>
    </row>
    <row r="1242" spans="1:18" x14ac:dyDescent="0.25">
      <c r="A1242" t="s">
        <v>1791</v>
      </c>
      <c r="B1242" t="s">
        <v>39</v>
      </c>
      <c r="C1242" t="s">
        <v>40</v>
      </c>
      <c r="D1242" t="s">
        <v>41</v>
      </c>
      <c r="E1242" t="s">
        <v>101</v>
      </c>
      <c r="F1242" t="s">
        <v>22</v>
      </c>
      <c r="G1242" t="s">
        <v>57</v>
      </c>
      <c r="H1242" s="1">
        <v>45341</v>
      </c>
      <c r="I1242" t="s">
        <v>24</v>
      </c>
      <c r="J1242" t="s">
        <v>1117</v>
      </c>
      <c r="K1242">
        <v>5</v>
      </c>
      <c r="L1242" t="s">
        <v>1766</v>
      </c>
      <c r="M1242">
        <v>4</v>
      </c>
      <c r="N1242">
        <v>785</v>
      </c>
      <c r="O1242">
        <v>30</v>
      </c>
      <c r="P1242" s="1">
        <v>45457</v>
      </c>
      <c r="Q1242" s="1"/>
      <c r="R1242" t="str">
        <f>IF(Table1[[#This Row],[Actual close date]]="","",Table1[[#This Row],[Actual close date]]-Table1[[#This Row],[Expected close date]])</f>
        <v/>
      </c>
    </row>
    <row r="1243" spans="1:18" x14ac:dyDescent="0.25">
      <c r="A1243" t="s">
        <v>1826</v>
      </c>
      <c r="B1243" t="s">
        <v>49</v>
      </c>
      <c r="C1243" t="s">
        <v>50</v>
      </c>
      <c r="D1243" t="s">
        <v>51</v>
      </c>
      <c r="E1243" t="s">
        <v>52</v>
      </c>
      <c r="F1243" t="s">
        <v>125</v>
      </c>
      <c r="G1243" t="s">
        <v>37</v>
      </c>
      <c r="H1243" s="1">
        <v>45341</v>
      </c>
      <c r="I1243" t="s">
        <v>64</v>
      </c>
      <c r="J1243" t="s">
        <v>1117</v>
      </c>
      <c r="K1243">
        <v>5</v>
      </c>
      <c r="L1243" t="s">
        <v>1766</v>
      </c>
      <c r="M1243">
        <v>4</v>
      </c>
      <c r="N1243">
        <v>288</v>
      </c>
      <c r="O1243">
        <v>30</v>
      </c>
      <c r="P1243" s="1">
        <v>45638</v>
      </c>
      <c r="Q1243" s="1"/>
      <c r="R1243" t="str">
        <f>IF(Table1[[#This Row],[Actual close date]]="","",Table1[[#This Row],[Actual close date]]-Table1[[#This Row],[Expected close date]])</f>
        <v/>
      </c>
    </row>
    <row r="1244" spans="1:18" x14ac:dyDescent="0.25">
      <c r="A1244" t="s">
        <v>1856</v>
      </c>
      <c r="B1244" t="s">
        <v>59</v>
      </c>
      <c r="C1244" t="s">
        <v>60</v>
      </c>
      <c r="D1244" t="s">
        <v>61</v>
      </c>
      <c r="E1244" t="s">
        <v>118</v>
      </c>
      <c r="F1244" t="s">
        <v>167</v>
      </c>
      <c r="G1244" t="s">
        <v>23</v>
      </c>
      <c r="H1244" s="1">
        <v>45341</v>
      </c>
      <c r="I1244" t="s">
        <v>24</v>
      </c>
      <c r="J1244" t="s">
        <v>1117</v>
      </c>
      <c r="K1244">
        <v>5</v>
      </c>
      <c r="L1244" t="s">
        <v>1766</v>
      </c>
      <c r="M1244">
        <v>4</v>
      </c>
      <c r="N1244">
        <v>2662</v>
      </c>
      <c r="O1244">
        <v>40</v>
      </c>
      <c r="P1244" s="1">
        <v>45571</v>
      </c>
      <c r="Q1244" s="1"/>
      <c r="R1244" t="str">
        <f>IF(Table1[[#This Row],[Actual close date]]="","",Table1[[#This Row],[Actual close date]]-Table1[[#This Row],[Expected close date]])</f>
        <v/>
      </c>
    </row>
    <row r="1245" spans="1:18" x14ac:dyDescent="0.25">
      <c r="A1245" t="s">
        <v>1598</v>
      </c>
      <c r="B1245" t="s">
        <v>49</v>
      </c>
      <c r="C1245" t="s">
        <v>50</v>
      </c>
      <c r="D1245" t="s">
        <v>51</v>
      </c>
      <c r="E1245" t="s">
        <v>52</v>
      </c>
      <c r="F1245" t="s">
        <v>125</v>
      </c>
      <c r="G1245" t="s">
        <v>37</v>
      </c>
      <c r="H1245" s="1">
        <v>45342</v>
      </c>
      <c r="I1245" t="s">
        <v>47</v>
      </c>
      <c r="J1245" t="s">
        <v>1117</v>
      </c>
      <c r="K1245">
        <v>5</v>
      </c>
      <c r="L1245" t="s">
        <v>1479</v>
      </c>
      <c r="M1245">
        <v>3</v>
      </c>
      <c r="N1245">
        <v>315</v>
      </c>
      <c r="O1245">
        <v>30</v>
      </c>
      <c r="P1245" s="1">
        <v>45525</v>
      </c>
      <c r="Q1245" s="1"/>
      <c r="R1245" t="str">
        <f>IF(Table1[[#This Row],[Actual close date]]="","",Table1[[#This Row],[Actual close date]]-Table1[[#This Row],[Expected close date]])</f>
        <v/>
      </c>
    </row>
    <row r="1246" spans="1:18" x14ac:dyDescent="0.25">
      <c r="A1246" t="s">
        <v>1630</v>
      </c>
      <c r="B1246" t="s">
        <v>39</v>
      </c>
      <c r="C1246" t="s">
        <v>40</v>
      </c>
      <c r="D1246" t="s">
        <v>41</v>
      </c>
      <c r="E1246" t="s">
        <v>21</v>
      </c>
      <c r="F1246" t="s">
        <v>167</v>
      </c>
      <c r="G1246" t="s">
        <v>46</v>
      </c>
      <c r="H1246" s="1">
        <v>45342</v>
      </c>
      <c r="I1246" t="s">
        <v>47</v>
      </c>
      <c r="J1246" t="s">
        <v>1117</v>
      </c>
      <c r="K1246">
        <v>5</v>
      </c>
      <c r="L1246" t="s">
        <v>1479</v>
      </c>
      <c r="M1246">
        <v>3</v>
      </c>
      <c r="N1246">
        <v>1184</v>
      </c>
      <c r="O1246">
        <v>50</v>
      </c>
      <c r="P1246" s="1">
        <v>45683</v>
      </c>
      <c r="Q1246" s="1"/>
      <c r="R1246" t="str">
        <f>IF(Table1[[#This Row],[Actual close date]]="","",Table1[[#This Row],[Actual close date]]-Table1[[#This Row],[Expected close date]])</f>
        <v/>
      </c>
    </row>
    <row r="1247" spans="1:18" x14ac:dyDescent="0.25">
      <c r="A1247" t="s">
        <v>1892</v>
      </c>
      <c r="B1247" t="s">
        <v>49</v>
      </c>
      <c r="C1247" t="s">
        <v>50</v>
      </c>
      <c r="D1247" t="s">
        <v>51</v>
      </c>
      <c r="E1247" t="s">
        <v>36</v>
      </c>
      <c r="F1247" t="s">
        <v>167</v>
      </c>
      <c r="G1247" t="s">
        <v>37</v>
      </c>
      <c r="H1247" s="1">
        <v>45342</v>
      </c>
      <c r="I1247" t="s">
        <v>64</v>
      </c>
      <c r="J1247" t="s">
        <v>1117</v>
      </c>
      <c r="K1247">
        <v>5</v>
      </c>
      <c r="L1247" t="s">
        <v>1766</v>
      </c>
      <c r="M1247">
        <v>4</v>
      </c>
      <c r="N1247">
        <v>1138</v>
      </c>
      <c r="O1247">
        <v>20</v>
      </c>
      <c r="P1247" s="1">
        <v>45590</v>
      </c>
      <c r="Q1247" s="1"/>
      <c r="R1247" t="str">
        <f>IF(Table1[[#This Row],[Actual close date]]="","",Table1[[#This Row],[Actual close date]]-Table1[[#This Row],[Expected close date]])</f>
        <v/>
      </c>
    </row>
    <row r="1248" spans="1:18" x14ac:dyDescent="0.25">
      <c r="A1248" t="s">
        <v>1672</v>
      </c>
      <c r="B1248" t="s">
        <v>49</v>
      </c>
      <c r="C1248" t="s">
        <v>50</v>
      </c>
      <c r="D1248" t="s">
        <v>51</v>
      </c>
      <c r="E1248" t="s">
        <v>74</v>
      </c>
      <c r="F1248" t="s">
        <v>167</v>
      </c>
      <c r="G1248" t="s">
        <v>31</v>
      </c>
      <c r="H1248" s="1">
        <v>45343</v>
      </c>
      <c r="I1248" t="s">
        <v>24</v>
      </c>
      <c r="J1248" t="s">
        <v>1117</v>
      </c>
      <c r="K1248">
        <v>5</v>
      </c>
      <c r="L1248" t="s">
        <v>1479</v>
      </c>
      <c r="M1248">
        <v>3</v>
      </c>
      <c r="N1248">
        <v>3253</v>
      </c>
      <c r="O1248">
        <v>40</v>
      </c>
      <c r="P1248" s="1">
        <v>45590</v>
      </c>
      <c r="Q1248" s="1"/>
      <c r="R1248" t="str">
        <f>IF(Table1[[#This Row],[Actual close date]]="","",Table1[[#This Row],[Actual close date]]-Table1[[#This Row],[Expected close date]])</f>
        <v/>
      </c>
    </row>
    <row r="1249" spans="1:18" x14ac:dyDescent="0.25">
      <c r="A1249" t="s">
        <v>1878</v>
      </c>
      <c r="B1249" t="s">
        <v>39</v>
      </c>
      <c r="C1249" t="s">
        <v>40</v>
      </c>
      <c r="D1249" t="s">
        <v>41</v>
      </c>
      <c r="E1249" t="s">
        <v>98</v>
      </c>
      <c r="F1249" t="s">
        <v>167</v>
      </c>
      <c r="G1249" t="s">
        <v>57</v>
      </c>
      <c r="H1249" s="1">
        <v>45343</v>
      </c>
      <c r="I1249" t="s">
        <v>24</v>
      </c>
      <c r="J1249" t="s">
        <v>1117</v>
      </c>
      <c r="K1249">
        <v>5</v>
      </c>
      <c r="L1249" t="s">
        <v>1766</v>
      </c>
      <c r="M1249">
        <v>4</v>
      </c>
      <c r="N1249">
        <v>220</v>
      </c>
      <c r="O1249">
        <v>40</v>
      </c>
      <c r="P1249" s="1">
        <v>45519</v>
      </c>
      <c r="Q1249" s="1"/>
      <c r="R1249" t="str">
        <f>IF(Table1[[#This Row],[Actual close date]]="","",Table1[[#This Row],[Actual close date]]-Table1[[#This Row],[Expected close date]])</f>
        <v/>
      </c>
    </row>
    <row r="1250" spans="1:18" x14ac:dyDescent="0.25">
      <c r="A1250" t="s">
        <v>1904</v>
      </c>
      <c r="B1250" t="s">
        <v>49</v>
      </c>
      <c r="C1250" t="s">
        <v>50</v>
      </c>
      <c r="D1250" t="s">
        <v>51</v>
      </c>
      <c r="E1250" t="s">
        <v>45</v>
      </c>
      <c r="F1250" t="s">
        <v>246</v>
      </c>
      <c r="G1250" t="s">
        <v>31</v>
      </c>
      <c r="H1250" s="1">
        <v>45343</v>
      </c>
      <c r="I1250" t="s">
        <v>47</v>
      </c>
      <c r="J1250" t="s">
        <v>1117</v>
      </c>
      <c r="K1250">
        <v>5</v>
      </c>
      <c r="L1250" t="s">
        <v>1766</v>
      </c>
      <c r="M1250">
        <v>4</v>
      </c>
      <c r="N1250">
        <v>2633</v>
      </c>
      <c r="O1250">
        <v>40</v>
      </c>
      <c r="P1250" s="1">
        <v>45628</v>
      </c>
      <c r="Q1250" s="1"/>
      <c r="R1250" t="str">
        <f>IF(Table1[[#This Row],[Actual close date]]="","",Table1[[#This Row],[Actual close date]]-Table1[[#This Row],[Expected close date]])</f>
        <v/>
      </c>
    </row>
    <row r="1251" spans="1:18" x14ac:dyDescent="0.25">
      <c r="A1251" t="s">
        <v>1297</v>
      </c>
      <c r="B1251" t="s">
        <v>76</v>
      </c>
      <c r="C1251" t="s">
        <v>77</v>
      </c>
      <c r="D1251" t="s">
        <v>78</v>
      </c>
      <c r="E1251" t="s">
        <v>74</v>
      </c>
      <c r="F1251" t="s">
        <v>167</v>
      </c>
      <c r="G1251" t="s">
        <v>57</v>
      </c>
      <c r="H1251" s="1">
        <v>45344</v>
      </c>
      <c r="I1251" t="s">
        <v>47</v>
      </c>
      <c r="J1251" t="s">
        <v>1117</v>
      </c>
      <c r="K1251">
        <v>5</v>
      </c>
      <c r="L1251" t="s">
        <v>1118</v>
      </c>
      <c r="M1251">
        <v>2</v>
      </c>
      <c r="N1251">
        <v>2172</v>
      </c>
      <c r="O1251">
        <v>40</v>
      </c>
      <c r="P1251" s="1">
        <v>45705</v>
      </c>
      <c r="Q1251" s="1"/>
      <c r="R1251" t="str">
        <f>IF(Table1[[#This Row],[Actual close date]]="","",Table1[[#This Row],[Actual close date]]-Table1[[#This Row],[Expected close date]])</f>
        <v/>
      </c>
    </row>
    <row r="1252" spans="1:18" x14ac:dyDescent="0.25">
      <c r="A1252" t="s">
        <v>1539</v>
      </c>
      <c r="B1252" t="s">
        <v>33</v>
      </c>
      <c r="C1252" t="s">
        <v>34</v>
      </c>
      <c r="D1252" t="s">
        <v>35</v>
      </c>
      <c r="E1252" t="s">
        <v>62</v>
      </c>
      <c r="F1252" t="s">
        <v>22</v>
      </c>
      <c r="G1252" t="s">
        <v>23</v>
      </c>
      <c r="H1252" s="1">
        <v>45344</v>
      </c>
      <c r="I1252" t="s">
        <v>24</v>
      </c>
      <c r="J1252" t="s">
        <v>1117</v>
      </c>
      <c r="K1252">
        <v>5</v>
      </c>
      <c r="L1252" t="s">
        <v>1479</v>
      </c>
      <c r="M1252">
        <v>3</v>
      </c>
      <c r="N1252">
        <v>691</v>
      </c>
      <c r="O1252">
        <v>30</v>
      </c>
      <c r="P1252" s="1">
        <v>45621</v>
      </c>
      <c r="Q1252" s="1"/>
      <c r="R1252" t="str">
        <f>IF(Table1[[#This Row],[Actual close date]]="","",Table1[[#This Row],[Actual close date]]-Table1[[#This Row],[Expected close date]])</f>
        <v/>
      </c>
    </row>
    <row r="1253" spans="1:18" x14ac:dyDescent="0.25">
      <c r="A1253" t="s">
        <v>1547</v>
      </c>
      <c r="B1253" t="s">
        <v>39</v>
      </c>
      <c r="C1253" t="s">
        <v>40</v>
      </c>
      <c r="D1253" t="s">
        <v>41</v>
      </c>
      <c r="E1253" t="s">
        <v>52</v>
      </c>
      <c r="F1253" t="s">
        <v>22</v>
      </c>
      <c r="G1253" t="s">
        <v>72</v>
      </c>
      <c r="H1253" s="1">
        <v>45344</v>
      </c>
      <c r="I1253" t="s">
        <v>64</v>
      </c>
      <c r="J1253" t="s">
        <v>1117</v>
      </c>
      <c r="K1253">
        <v>5</v>
      </c>
      <c r="L1253" t="s">
        <v>1479</v>
      </c>
      <c r="M1253">
        <v>3</v>
      </c>
      <c r="N1253">
        <v>974</v>
      </c>
      <c r="O1253">
        <v>50</v>
      </c>
      <c r="P1253" s="1">
        <v>45638</v>
      </c>
      <c r="Q1253" s="1"/>
      <c r="R1253" t="str">
        <f>IF(Table1[[#This Row],[Actual close date]]="","",Table1[[#This Row],[Actual close date]]-Table1[[#This Row],[Expected close date]])</f>
        <v/>
      </c>
    </row>
    <row r="1254" spans="1:18" x14ac:dyDescent="0.25">
      <c r="A1254" t="s">
        <v>1797</v>
      </c>
      <c r="B1254" t="s">
        <v>33</v>
      </c>
      <c r="C1254" t="s">
        <v>34</v>
      </c>
      <c r="D1254" t="s">
        <v>35</v>
      </c>
      <c r="E1254" t="s">
        <v>21</v>
      </c>
      <c r="F1254" t="s">
        <v>22</v>
      </c>
      <c r="G1254" t="s">
        <v>31</v>
      </c>
      <c r="H1254" s="1">
        <v>45344</v>
      </c>
      <c r="I1254" t="s">
        <v>24</v>
      </c>
      <c r="J1254" t="s">
        <v>1117</v>
      </c>
      <c r="K1254">
        <v>5</v>
      </c>
      <c r="L1254" t="s">
        <v>1766</v>
      </c>
      <c r="M1254">
        <v>4</v>
      </c>
      <c r="N1254">
        <v>280</v>
      </c>
      <c r="O1254">
        <v>30</v>
      </c>
      <c r="P1254" s="1">
        <v>45491</v>
      </c>
      <c r="Q1254" s="1"/>
      <c r="R1254" t="str">
        <f>IF(Table1[[#This Row],[Actual close date]]="","",Table1[[#This Row],[Actual close date]]-Table1[[#This Row],[Expected close date]])</f>
        <v/>
      </c>
    </row>
    <row r="1255" spans="1:18" x14ac:dyDescent="0.25">
      <c r="A1255" t="s">
        <v>1835</v>
      </c>
      <c r="B1255" t="s">
        <v>18</v>
      </c>
      <c r="C1255" t="s">
        <v>19</v>
      </c>
      <c r="D1255" t="s">
        <v>20</v>
      </c>
      <c r="E1255" t="s">
        <v>45</v>
      </c>
      <c r="F1255" t="s">
        <v>125</v>
      </c>
      <c r="G1255" t="s">
        <v>83</v>
      </c>
      <c r="H1255" s="1">
        <v>45344</v>
      </c>
      <c r="I1255" t="s">
        <v>64</v>
      </c>
      <c r="J1255" t="s">
        <v>1117</v>
      </c>
      <c r="K1255">
        <v>5</v>
      </c>
      <c r="L1255" t="s">
        <v>1766</v>
      </c>
      <c r="M1255">
        <v>4</v>
      </c>
      <c r="N1255">
        <v>970</v>
      </c>
      <c r="O1255">
        <v>20</v>
      </c>
      <c r="P1255" s="1">
        <v>45526</v>
      </c>
      <c r="Q1255" s="1"/>
      <c r="R1255" t="str">
        <f>IF(Table1[[#This Row],[Actual close date]]="","",Table1[[#This Row],[Actual close date]]-Table1[[#This Row],[Expected close date]])</f>
        <v/>
      </c>
    </row>
    <row r="1256" spans="1:18" x14ac:dyDescent="0.25">
      <c r="A1256" t="s">
        <v>1837</v>
      </c>
      <c r="B1256" t="s">
        <v>76</v>
      </c>
      <c r="C1256" t="s">
        <v>77</v>
      </c>
      <c r="D1256" t="s">
        <v>78</v>
      </c>
      <c r="E1256" t="s">
        <v>52</v>
      </c>
      <c r="F1256" t="s">
        <v>125</v>
      </c>
      <c r="G1256" t="s">
        <v>46</v>
      </c>
      <c r="H1256" s="1">
        <v>45344</v>
      </c>
      <c r="I1256" t="s">
        <v>24</v>
      </c>
      <c r="J1256" t="s">
        <v>1117</v>
      </c>
      <c r="K1256">
        <v>5</v>
      </c>
      <c r="L1256" t="s">
        <v>1766</v>
      </c>
      <c r="M1256">
        <v>4</v>
      </c>
      <c r="N1256">
        <v>788</v>
      </c>
      <c r="O1256">
        <v>100</v>
      </c>
      <c r="P1256" s="1">
        <v>45456</v>
      </c>
      <c r="Q1256" s="1"/>
      <c r="R1256" t="str">
        <f>IF(Table1[[#This Row],[Actual close date]]="","",Table1[[#This Row],[Actual close date]]-Table1[[#This Row],[Expected close date]])</f>
        <v/>
      </c>
    </row>
    <row r="1257" spans="1:18" x14ac:dyDescent="0.25">
      <c r="A1257" t="s">
        <v>1155</v>
      </c>
      <c r="B1257" t="s">
        <v>69</v>
      </c>
      <c r="C1257" t="s">
        <v>70</v>
      </c>
      <c r="D1257" t="s">
        <v>71</v>
      </c>
      <c r="E1257" t="s">
        <v>45</v>
      </c>
      <c r="F1257" t="s">
        <v>22</v>
      </c>
      <c r="G1257" t="s">
        <v>85</v>
      </c>
      <c r="H1257" s="1">
        <v>45345</v>
      </c>
      <c r="I1257" t="s">
        <v>24</v>
      </c>
      <c r="J1257" t="s">
        <v>1117</v>
      </c>
      <c r="K1257">
        <v>5</v>
      </c>
      <c r="L1257" t="s">
        <v>1118</v>
      </c>
      <c r="M1257">
        <v>2</v>
      </c>
      <c r="N1257">
        <v>1735</v>
      </c>
      <c r="O1257">
        <v>40</v>
      </c>
      <c r="P1257" s="1">
        <v>45703</v>
      </c>
      <c r="Q1257" s="1"/>
      <c r="R1257" t="str">
        <f>IF(Table1[[#This Row],[Actual close date]]="","",Table1[[#This Row],[Actual close date]]-Table1[[#This Row],[Expected close date]])</f>
        <v/>
      </c>
    </row>
    <row r="1258" spans="1:18" x14ac:dyDescent="0.25">
      <c r="A1258" t="s">
        <v>1265</v>
      </c>
      <c r="B1258" t="s">
        <v>39</v>
      </c>
      <c r="C1258" t="s">
        <v>40</v>
      </c>
      <c r="D1258" t="s">
        <v>41</v>
      </c>
      <c r="E1258" t="s">
        <v>74</v>
      </c>
      <c r="F1258" t="s">
        <v>125</v>
      </c>
      <c r="G1258" t="s">
        <v>46</v>
      </c>
      <c r="H1258" s="1">
        <v>45345</v>
      </c>
      <c r="I1258" t="s">
        <v>47</v>
      </c>
      <c r="J1258" t="s">
        <v>1117</v>
      </c>
      <c r="K1258">
        <v>5</v>
      </c>
      <c r="L1258" t="s">
        <v>1118</v>
      </c>
      <c r="M1258">
        <v>2</v>
      </c>
      <c r="N1258">
        <v>510</v>
      </c>
      <c r="O1258">
        <v>50</v>
      </c>
      <c r="P1258" s="1">
        <v>45376</v>
      </c>
      <c r="Q1258" s="1"/>
      <c r="R1258" t="str">
        <f>IF(Table1[[#This Row],[Actual close date]]="","",Table1[[#This Row],[Actual close date]]-Table1[[#This Row],[Expected close date]])</f>
        <v/>
      </c>
    </row>
    <row r="1259" spans="1:18" x14ac:dyDescent="0.25">
      <c r="A1259" t="s">
        <v>1784</v>
      </c>
      <c r="B1259" t="s">
        <v>33</v>
      </c>
      <c r="C1259" t="s">
        <v>34</v>
      </c>
      <c r="D1259" t="s">
        <v>35</v>
      </c>
      <c r="E1259" t="s">
        <v>45</v>
      </c>
      <c r="F1259" t="s">
        <v>22</v>
      </c>
      <c r="G1259" t="s">
        <v>37</v>
      </c>
      <c r="H1259" s="1">
        <v>45345</v>
      </c>
      <c r="I1259" t="s">
        <v>24</v>
      </c>
      <c r="J1259" t="s">
        <v>1117</v>
      </c>
      <c r="K1259">
        <v>5</v>
      </c>
      <c r="L1259" t="s">
        <v>1766</v>
      </c>
      <c r="M1259">
        <v>4</v>
      </c>
      <c r="N1259">
        <v>541</v>
      </c>
      <c r="O1259">
        <v>80</v>
      </c>
      <c r="P1259" s="1">
        <v>45416</v>
      </c>
      <c r="Q1259" s="1"/>
      <c r="R1259" t="str">
        <f>IF(Table1[[#This Row],[Actual close date]]="","",Table1[[#This Row],[Actual close date]]-Table1[[#This Row],[Expected close date]])</f>
        <v/>
      </c>
    </row>
    <row r="1260" spans="1:18" x14ac:dyDescent="0.25">
      <c r="A1260" t="s">
        <v>1168</v>
      </c>
      <c r="B1260" t="s">
        <v>33</v>
      </c>
      <c r="C1260" t="s">
        <v>34</v>
      </c>
      <c r="D1260" t="s">
        <v>35</v>
      </c>
      <c r="E1260" t="s">
        <v>30</v>
      </c>
      <c r="F1260" t="s">
        <v>22</v>
      </c>
      <c r="G1260" t="s">
        <v>57</v>
      </c>
      <c r="H1260" s="1">
        <v>45346</v>
      </c>
      <c r="I1260" t="s">
        <v>64</v>
      </c>
      <c r="J1260" t="s">
        <v>1117</v>
      </c>
      <c r="K1260">
        <v>5</v>
      </c>
      <c r="L1260" t="s">
        <v>1118</v>
      </c>
      <c r="M1260">
        <v>2</v>
      </c>
      <c r="N1260">
        <v>1875</v>
      </c>
      <c r="O1260">
        <v>20</v>
      </c>
      <c r="P1260" s="1">
        <v>45529</v>
      </c>
      <c r="Q1260" s="1"/>
      <c r="R1260" t="str">
        <f>IF(Table1[[#This Row],[Actual close date]]="","",Table1[[#This Row],[Actual close date]]-Table1[[#This Row],[Expected close date]])</f>
        <v/>
      </c>
    </row>
    <row r="1261" spans="1:18" x14ac:dyDescent="0.25">
      <c r="A1261" t="s">
        <v>1698</v>
      </c>
      <c r="B1261" t="s">
        <v>39</v>
      </c>
      <c r="C1261" t="s">
        <v>40</v>
      </c>
      <c r="D1261" t="s">
        <v>41</v>
      </c>
      <c r="E1261" t="s">
        <v>118</v>
      </c>
      <c r="F1261" t="s">
        <v>246</v>
      </c>
      <c r="G1261" t="s">
        <v>57</v>
      </c>
      <c r="H1261" s="1">
        <v>45346</v>
      </c>
      <c r="I1261" t="s">
        <v>64</v>
      </c>
      <c r="J1261" t="s">
        <v>1117</v>
      </c>
      <c r="K1261">
        <v>5</v>
      </c>
      <c r="L1261" t="s">
        <v>1479</v>
      </c>
      <c r="M1261">
        <v>3</v>
      </c>
      <c r="N1261">
        <v>3087</v>
      </c>
      <c r="O1261">
        <v>40</v>
      </c>
      <c r="P1261" s="1">
        <v>45609</v>
      </c>
      <c r="Q1261" s="1"/>
      <c r="R1261" t="str">
        <f>IF(Table1[[#This Row],[Actual close date]]="","",Table1[[#This Row],[Actual close date]]-Table1[[#This Row],[Expected close date]])</f>
        <v/>
      </c>
    </row>
    <row r="1262" spans="1:18" x14ac:dyDescent="0.25">
      <c r="A1262" t="s">
        <v>1832</v>
      </c>
      <c r="B1262" t="s">
        <v>69</v>
      </c>
      <c r="C1262" t="s">
        <v>70</v>
      </c>
      <c r="D1262" t="s">
        <v>71</v>
      </c>
      <c r="E1262" t="s">
        <v>45</v>
      </c>
      <c r="F1262" t="s">
        <v>125</v>
      </c>
      <c r="G1262" t="s">
        <v>72</v>
      </c>
      <c r="H1262" s="1">
        <v>45346</v>
      </c>
      <c r="I1262" t="s">
        <v>64</v>
      </c>
      <c r="J1262" t="s">
        <v>1117</v>
      </c>
      <c r="K1262">
        <v>5</v>
      </c>
      <c r="L1262" t="s">
        <v>1766</v>
      </c>
      <c r="M1262">
        <v>4</v>
      </c>
      <c r="N1262">
        <v>878</v>
      </c>
      <c r="O1262">
        <v>40</v>
      </c>
      <c r="P1262" s="1">
        <v>45703</v>
      </c>
      <c r="Q1262" s="1"/>
      <c r="R1262" t="str">
        <f>IF(Table1[[#This Row],[Actual close date]]="","",Table1[[#This Row],[Actual close date]]-Table1[[#This Row],[Expected close date]])</f>
        <v/>
      </c>
    </row>
    <row r="1263" spans="1:18" x14ac:dyDescent="0.25">
      <c r="A1263" t="s">
        <v>1231</v>
      </c>
      <c r="B1263" t="s">
        <v>49</v>
      </c>
      <c r="C1263" t="s">
        <v>50</v>
      </c>
      <c r="D1263" t="s">
        <v>51</v>
      </c>
      <c r="E1263" t="s">
        <v>101</v>
      </c>
      <c r="F1263" t="s">
        <v>125</v>
      </c>
      <c r="G1263" t="s">
        <v>85</v>
      </c>
      <c r="H1263" s="1">
        <v>45347</v>
      </c>
      <c r="I1263" t="s">
        <v>24</v>
      </c>
      <c r="J1263" t="s">
        <v>1117</v>
      </c>
      <c r="K1263">
        <v>5</v>
      </c>
      <c r="L1263" t="s">
        <v>1118</v>
      </c>
      <c r="M1263">
        <v>2</v>
      </c>
      <c r="N1263">
        <v>618</v>
      </c>
      <c r="O1263">
        <v>30</v>
      </c>
      <c r="P1263" s="1">
        <v>45708</v>
      </c>
      <c r="Q1263" s="1"/>
      <c r="R1263" t="str">
        <f>IF(Table1[[#This Row],[Actual close date]]="","",Table1[[#This Row],[Actual close date]]-Table1[[#This Row],[Expected close date]])</f>
        <v/>
      </c>
    </row>
    <row r="1264" spans="1:18" x14ac:dyDescent="0.25">
      <c r="A1264" t="s">
        <v>1568</v>
      </c>
      <c r="B1264" t="s">
        <v>39</v>
      </c>
      <c r="C1264" t="s">
        <v>40</v>
      </c>
      <c r="D1264" t="s">
        <v>41</v>
      </c>
      <c r="E1264" t="s">
        <v>45</v>
      </c>
      <c r="F1264" t="s">
        <v>125</v>
      </c>
      <c r="G1264" t="s">
        <v>23</v>
      </c>
      <c r="H1264" s="1">
        <v>45347</v>
      </c>
      <c r="I1264" t="s">
        <v>24</v>
      </c>
      <c r="J1264" t="s">
        <v>1117</v>
      </c>
      <c r="K1264">
        <v>5</v>
      </c>
      <c r="L1264" t="s">
        <v>1479</v>
      </c>
      <c r="M1264">
        <v>3</v>
      </c>
      <c r="N1264">
        <v>1110</v>
      </c>
      <c r="O1264">
        <v>60</v>
      </c>
      <c r="P1264" s="1">
        <v>45389</v>
      </c>
      <c r="Q1264" s="1"/>
      <c r="R1264" t="str">
        <f>IF(Table1[[#This Row],[Actual close date]]="","",Table1[[#This Row],[Actual close date]]-Table1[[#This Row],[Expected close date]])</f>
        <v/>
      </c>
    </row>
    <row r="1265" spans="1:18" x14ac:dyDescent="0.25">
      <c r="A1265" t="s">
        <v>1613</v>
      </c>
      <c r="B1265" t="s">
        <v>33</v>
      </c>
      <c r="C1265" t="s">
        <v>34</v>
      </c>
      <c r="D1265" t="s">
        <v>35</v>
      </c>
      <c r="E1265" t="s">
        <v>45</v>
      </c>
      <c r="F1265" t="s">
        <v>167</v>
      </c>
      <c r="G1265" t="s">
        <v>37</v>
      </c>
      <c r="H1265" s="1">
        <v>45347</v>
      </c>
      <c r="I1265" t="s">
        <v>47</v>
      </c>
      <c r="J1265" t="s">
        <v>1117</v>
      </c>
      <c r="K1265">
        <v>5</v>
      </c>
      <c r="L1265" t="s">
        <v>1479</v>
      </c>
      <c r="M1265">
        <v>3</v>
      </c>
      <c r="N1265">
        <v>6543</v>
      </c>
      <c r="O1265">
        <v>40</v>
      </c>
      <c r="P1265" s="1">
        <v>45685</v>
      </c>
      <c r="Q1265" s="1"/>
      <c r="R1265" t="str">
        <f>IF(Table1[[#This Row],[Actual close date]]="","",Table1[[#This Row],[Actual close date]]-Table1[[#This Row],[Expected close date]])</f>
        <v/>
      </c>
    </row>
    <row r="1266" spans="1:18" x14ac:dyDescent="0.25">
      <c r="A1266" t="s">
        <v>1675</v>
      </c>
      <c r="B1266" t="s">
        <v>76</v>
      </c>
      <c r="C1266" t="s">
        <v>77</v>
      </c>
      <c r="D1266" t="s">
        <v>78</v>
      </c>
      <c r="E1266" t="s">
        <v>52</v>
      </c>
      <c r="F1266" t="s">
        <v>167</v>
      </c>
      <c r="G1266" t="s">
        <v>23</v>
      </c>
      <c r="H1266" s="1">
        <v>45347</v>
      </c>
      <c r="I1266" t="s">
        <v>47</v>
      </c>
      <c r="J1266" t="s">
        <v>1117</v>
      </c>
      <c r="K1266">
        <v>5</v>
      </c>
      <c r="L1266" t="s">
        <v>1479</v>
      </c>
      <c r="M1266">
        <v>3</v>
      </c>
      <c r="N1266">
        <v>5576</v>
      </c>
      <c r="O1266">
        <v>10</v>
      </c>
      <c r="P1266" s="1">
        <v>45702</v>
      </c>
      <c r="Q1266" s="1"/>
      <c r="R1266" t="str">
        <f>IF(Table1[[#This Row],[Actual close date]]="","",Table1[[#This Row],[Actual close date]]-Table1[[#This Row],[Expected close date]])</f>
        <v/>
      </c>
    </row>
    <row r="1267" spans="1:18" x14ac:dyDescent="0.25">
      <c r="A1267" t="s">
        <v>1750</v>
      </c>
      <c r="B1267" t="s">
        <v>59</v>
      </c>
      <c r="C1267" t="s">
        <v>60</v>
      </c>
      <c r="D1267" t="s">
        <v>61</v>
      </c>
      <c r="E1267" t="s">
        <v>45</v>
      </c>
      <c r="F1267" t="s">
        <v>167</v>
      </c>
      <c r="G1267" t="s">
        <v>46</v>
      </c>
      <c r="H1267" s="1">
        <v>45347</v>
      </c>
      <c r="I1267" t="s">
        <v>24</v>
      </c>
      <c r="J1267" t="s">
        <v>1117</v>
      </c>
      <c r="K1267">
        <v>5</v>
      </c>
      <c r="L1267" t="s">
        <v>1700</v>
      </c>
      <c r="M1267">
        <v>1</v>
      </c>
      <c r="N1267">
        <v>1964</v>
      </c>
      <c r="O1267">
        <v>60</v>
      </c>
      <c r="P1267" s="1">
        <v>45708</v>
      </c>
      <c r="Q1267" s="1"/>
      <c r="R1267" t="str">
        <f>IF(Table1[[#This Row],[Actual close date]]="","",Table1[[#This Row],[Actual close date]]-Table1[[#This Row],[Expected close date]])</f>
        <v/>
      </c>
    </row>
    <row r="1268" spans="1:18" x14ac:dyDescent="0.25">
      <c r="A1268" t="s">
        <v>1758</v>
      </c>
      <c r="B1268" t="s">
        <v>18</v>
      </c>
      <c r="C1268" t="s">
        <v>19</v>
      </c>
      <c r="D1268" t="s">
        <v>20</v>
      </c>
      <c r="E1268" t="s">
        <v>45</v>
      </c>
      <c r="F1268" t="s">
        <v>167</v>
      </c>
      <c r="G1268" t="s">
        <v>57</v>
      </c>
      <c r="H1268" s="1">
        <v>45347</v>
      </c>
      <c r="I1268" t="s">
        <v>64</v>
      </c>
      <c r="J1268" t="s">
        <v>1117</v>
      </c>
      <c r="K1268">
        <v>5</v>
      </c>
      <c r="L1268" t="s">
        <v>1700</v>
      </c>
      <c r="M1268">
        <v>1</v>
      </c>
      <c r="N1268">
        <v>3123</v>
      </c>
      <c r="O1268">
        <v>40</v>
      </c>
      <c r="P1268" s="1">
        <v>45503</v>
      </c>
      <c r="Q1268" s="1"/>
      <c r="R1268" t="str">
        <f>IF(Table1[[#This Row],[Actual close date]]="","",Table1[[#This Row],[Actual close date]]-Table1[[#This Row],[Expected close date]])</f>
        <v/>
      </c>
    </row>
    <row r="1269" spans="1:18" x14ac:dyDescent="0.25">
      <c r="A1269" t="s">
        <v>1212</v>
      </c>
      <c r="B1269" t="s">
        <v>49</v>
      </c>
      <c r="C1269" t="s">
        <v>50</v>
      </c>
      <c r="D1269" t="s">
        <v>51</v>
      </c>
      <c r="E1269" t="s">
        <v>122</v>
      </c>
      <c r="F1269" t="s">
        <v>22</v>
      </c>
      <c r="G1269" t="s">
        <v>37</v>
      </c>
      <c r="H1269" s="1">
        <v>45348</v>
      </c>
      <c r="I1269" t="s">
        <v>47</v>
      </c>
      <c r="J1269" t="s">
        <v>1117</v>
      </c>
      <c r="K1269">
        <v>5</v>
      </c>
      <c r="L1269" t="s">
        <v>1118</v>
      </c>
      <c r="M1269">
        <v>2</v>
      </c>
      <c r="N1269">
        <v>723</v>
      </c>
      <c r="O1269">
        <v>30</v>
      </c>
      <c r="P1269" s="1">
        <v>45685</v>
      </c>
      <c r="Q1269" s="1"/>
      <c r="R1269" t="str">
        <f>IF(Table1[[#This Row],[Actual close date]]="","",Table1[[#This Row],[Actual close date]]-Table1[[#This Row],[Expected close date]])</f>
        <v/>
      </c>
    </row>
    <row r="1270" spans="1:18" x14ac:dyDescent="0.25">
      <c r="A1270" t="s">
        <v>1215</v>
      </c>
      <c r="B1270" t="s">
        <v>59</v>
      </c>
      <c r="C1270" t="s">
        <v>60</v>
      </c>
      <c r="D1270" t="s">
        <v>61</v>
      </c>
      <c r="E1270" t="s">
        <v>45</v>
      </c>
      <c r="F1270" t="s">
        <v>125</v>
      </c>
      <c r="G1270" t="s">
        <v>57</v>
      </c>
      <c r="H1270" s="1">
        <v>45348</v>
      </c>
      <c r="I1270" t="s">
        <v>24</v>
      </c>
      <c r="J1270" t="s">
        <v>1117</v>
      </c>
      <c r="K1270">
        <v>5</v>
      </c>
      <c r="L1270" t="s">
        <v>1118</v>
      </c>
      <c r="M1270">
        <v>2</v>
      </c>
      <c r="N1270">
        <v>759</v>
      </c>
      <c r="O1270">
        <v>30</v>
      </c>
      <c r="P1270" s="1">
        <v>45653</v>
      </c>
      <c r="Q1270" s="1"/>
      <c r="R1270" t="str">
        <f>IF(Table1[[#This Row],[Actual close date]]="","",Table1[[#This Row],[Actual close date]]-Table1[[#This Row],[Expected close date]])</f>
        <v/>
      </c>
    </row>
    <row r="1271" spans="1:18" x14ac:dyDescent="0.25">
      <c r="A1271" t="s">
        <v>1338</v>
      </c>
      <c r="B1271" t="s">
        <v>76</v>
      </c>
      <c r="C1271" t="s">
        <v>77</v>
      </c>
      <c r="D1271" t="s">
        <v>78</v>
      </c>
      <c r="E1271" t="s">
        <v>42</v>
      </c>
      <c r="F1271" t="s">
        <v>167</v>
      </c>
      <c r="G1271" t="s">
        <v>37</v>
      </c>
      <c r="H1271" s="1">
        <v>45348</v>
      </c>
      <c r="I1271" t="s">
        <v>47</v>
      </c>
      <c r="J1271" t="s">
        <v>1117</v>
      </c>
      <c r="K1271">
        <v>5</v>
      </c>
      <c r="L1271" t="s">
        <v>1118</v>
      </c>
      <c r="M1271">
        <v>2</v>
      </c>
      <c r="N1271">
        <v>4143</v>
      </c>
      <c r="O1271">
        <v>20</v>
      </c>
      <c r="P1271" s="1">
        <v>45466</v>
      </c>
      <c r="Q1271" s="1"/>
      <c r="R1271" t="str">
        <f>IF(Table1[[#This Row],[Actual close date]]="","",Table1[[#This Row],[Actual close date]]-Table1[[#This Row],[Expected close date]])</f>
        <v/>
      </c>
    </row>
    <row r="1272" spans="1:18" x14ac:dyDescent="0.25">
      <c r="A1272" t="s">
        <v>1398</v>
      </c>
      <c r="B1272" t="s">
        <v>33</v>
      </c>
      <c r="C1272" t="s">
        <v>34</v>
      </c>
      <c r="D1272" t="s">
        <v>35</v>
      </c>
      <c r="E1272" t="s">
        <v>122</v>
      </c>
      <c r="F1272" t="s">
        <v>167</v>
      </c>
      <c r="G1272" t="s">
        <v>46</v>
      </c>
      <c r="H1272" s="1">
        <v>45348</v>
      </c>
      <c r="I1272" t="s">
        <v>24</v>
      </c>
      <c r="J1272" t="s">
        <v>1117</v>
      </c>
      <c r="K1272">
        <v>5</v>
      </c>
      <c r="L1272" t="s">
        <v>1118</v>
      </c>
      <c r="M1272">
        <v>2</v>
      </c>
      <c r="N1272">
        <v>7116</v>
      </c>
      <c r="O1272">
        <v>20</v>
      </c>
      <c r="P1272" s="1">
        <v>45496</v>
      </c>
      <c r="Q1272" s="1"/>
      <c r="R1272" t="str">
        <f>IF(Table1[[#This Row],[Actual close date]]="","",Table1[[#This Row],[Actual close date]]-Table1[[#This Row],[Expected close date]])</f>
        <v/>
      </c>
    </row>
    <row r="1273" spans="1:18" x14ac:dyDescent="0.25">
      <c r="A1273" t="s">
        <v>1671</v>
      </c>
      <c r="B1273" t="s">
        <v>33</v>
      </c>
      <c r="C1273" t="s">
        <v>34</v>
      </c>
      <c r="D1273" t="s">
        <v>35</v>
      </c>
      <c r="E1273" t="s">
        <v>21</v>
      </c>
      <c r="F1273" t="s">
        <v>167</v>
      </c>
      <c r="G1273" t="s">
        <v>31</v>
      </c>
      <c r="H1273" s="1">
        <v>45348</v>
      </c>
      <c r="I1273" t="s">
        <v>64</v>
      </c>
      <c r="J1273" t="s">
        <v>1117</v>
      </c>
      <c r="K1273">
        <v>5</v>
      </c>
      <c r="L1273" t="s">
        <v>1479</v>
      </c>
      <c r="M1273">
        <v>3</v>
      </c>
      <c r="N1273">
        <v>7780</v>
      </c>
      <c r="O1273">
        <v>80</v>
      </c>
      <c r="P1273" s="1">
        <v>45640</v>
      </c>
      <c r="Q1273" s="1"/>
      <c r="R1273" t="str">
        <f>IF(Table1[[#This Row],[Actual close date]]="","",Table1[[#This Row],[Actual close date]]-Table1[[#This Row],[Expected close date]])</f>
        <v/>
      </c>
    </row>
    <row r="1274" spans="1:18" x14ac:dyDescent="0.25">
      <c r="A1274" t="s">
        <v>1262</v>
      </c>
      <c r="B1274" t="s">
        <v>69</v>
      </c>
      <c r="C1274" t="s">
        <v>70</v>
      </c>
      <c r="D1274" t="s">
        <v>71</v>
      </c>
      <c r="E1274" t="s">
        <v>21</v>
      </c>
      <c r="F1274" t="s">
        <v>125</v>
      </c>
      <c r="G1274" t="s">
        <v>46</v>
      </c>
      <c r="H1274" s="1">
        <v>45349</v>
      </c>
      <c r="I1274" t="s">
        <v>24</v>
      </c>
      <c r="J1274" t="s">
        <v>1117</v>
      </c>
      <c r="K1274">
        <v>5</v>
      </c>
      <c r="L1274" t="s">
        <v>1118</v>
      </c>
      <c r="M1274">
        <v>2</v>
      </c>
      <c r="N1274">
        <v>1172</v>
      </c>
      <c r="O1274">
        <v>40</v>
      </c>
      <c r="P1274" s="1">
        <v>45597</v>
      </c>
      <c r="Q1274" s="1"/>
      <c r="R1274" t="str">
        <f>IF(Table1[[#This Row],[Actual close date]]="","",Table1[[#This Row],[Actual close date]]-Table1[[#This Row],[Expected close date]])</f>
        <v/>
      </c>
    </row>
    <row r="1275" spans="1:18" x14ac:dyDescent="0.25">
      <c r="A1275" t="s">
        <v>1532</v>
      </c>
      <c r="B1275" t="s">
        <v>76</v>
      </c>
      <c r="C1275" t="s">
        <v>77</v>
      </c>
      <c r="D1275" t="s">
        <v>78</v>
      </c>
      <c r="E1275" t="s">
        <v>62</v>
      </c>
      <c r="F1275" t="s">
        <v>22</v>
      </c>
      <c r="G1275" t="s">
        <v>46</v>
      </c>
      <c r="H1275" s="1">
        <v>45349</v>
      </c>
      <c r="I1275" t="s">
        <v>64</v>
      </c>
      <c r="J1275" t="s">
        <v>1117</v>
      </c>
      <c r="K1275">
        <v>5</v>
      </c>
      <c r="L1275" t="s">
        <v>1479</v>
      </c>
      <c r="M1275">
        <v>3</v>
      </c>
      <c r="N1275">
        <v>1989</v>
      </c>
      <c r="O1275">
        <v>60</v>
      </c>
      <c r="P1275" s="1">
        <v>45403</v>
      </c>
      <c r="Q1275" s="1"/>
      <c r="R1275" t="str">
        <f>IF(Table1[[#This Row],[Actual close date]]="","",Table1[[#This Row],[Actual close date]]-Table1[[#This Row],[Expected close date]])</f>
        <v/>
      </c>
    </row>
    <row r="1276" spans="1:18" x14ac:dyDescent="0.25">
      <c r="A1276" t="s">
        <v>1695</v>
      </c>
      <c r="B1276" t="s">
        <v>59</v>
      </c>
      <c r="C1276" t="s">
        <v>60</v>
      </c>
      <c r="D1276" t="s">
        <v>61</v>
      </c>
      <c r="E1276" t="s">
        <v>45</v>
      </c>
      <c r="F1276" t="s">
        <v>239</v>
      </c>
      <c r="G1276" t="s">
        <v>72</v>
      </c>
      <c r="H1276" s="1">
        <v>45349</v>
      </c>
      <c r="I1276" t="s">
        <v>24</v>
      </c>
      <c r="J1276" t="s">
        <v>1117</v>
      </c>
      <c r="K1276">
        <v>5</v>
      </c>
      <c r="L1276" t="s">
        <v>1479</v>
      </c>
      <c r="M1276">
        <v>3</v>
      </c>
      <c r="N1276">
        <v>9819</v>
      </c>
      <c r="O1276">
        <v>50</v>
      </c>
      <c r="P1276" s="1">
        <v>45489</v>
      </c>
      <c r="Q1276" s="1"/>
      <c r="R1276" t="str">
        <f>IF(Table1[[#This Row],[Actual close date]]="","",Table1[[#This Row],[Actual close date]]-Table1[[#This Row],[Expected close date]])</f>
        <v/>
      </c>
    </row>
    <row r="1277" spans="1:18" x14ac:dyDescent="0.25">
      <c r="A1277" t="s">
        <v>1785</v>
      </c>
      <c r="B1277" t="s">
        <v>59</v>
      </c>
      <c r="C1277" t="s">
        <v>60</v>
      </c>
      <c r="D1277" t="s">
        <v>61</v>
      </c>
      <c r="E1277" t="s">
        <v>45</v>
      </c>
      <c r="F1277" t="s">
        <v>22</v>
      </c>
      <c r="G1277" t="s">
        <v>57</v>
      </c>
      <c r="H1277" s="1">
        <v>45349</v>
      </c>
      <c r="I1277" t="s">
        <v>24</v>
      </c>
      <c r="J1277" t="s">
        <v>1117</v>
      </c>
      <c r="K1277">
        <v>5</v>
      </c>
      <c r="L1277" t="s">
        <v>1766</v>
      </c>
      <c r="M1277">
        <v>4</v>
      </c>
      <c r="N1277">
        <v>694</v>
      </c>
      <c r="O1277">
        <v>40</v>
      </c>
      <c r="P1277" s="1">
        <v>45652</v>
      </c>
      <c r="Q1277" s="1"/>
      <c r="R1277" t="str">
        <f>IF(Table1[[#This Row],[Actual close date]]="","",Table1[[#This Row],[Actual close date]]-Table1[[#This Row],[Expected close date]])</f>
        <v/>
      </c>
    </row>
    <row r="1278" spans="1:18" x14ac:dyDescent="0.25">
      <c r="A1278" t="s">
        <v>1861</v>
      </c>
      <c r="B1278" t="s">
        <v>33</v>
      </c>
      <c r="C1278" t="s">
        <v>34</v>
      </c>
      <c r="D1278" t="s">
        <v>35</v>
      </c>
      <c r="E1278" t="s">
        <v>45</v>
      </c>
      <c r="F1278" t="s">
        <v>167</v>
      </c>
      <c r="G1278" t="s">
        <v>23</v>
      </c>
      <c r="H1278" s="1">
        <v>45349</v>
      </c>
      <c r="I1278" t="s">
        <v>64</v>
      </c>
      <c r="J1278" t="s">
        <v>1117</v>
      </c>
      <c r="K1278">
        <v>5</v>
      </c>
      <c r="L1278" t="s">
        <v>1766</v>
      </c>
      <c r="M1278">
        <v>4</v>
      </c>
      <c r="N1278">
        <v>613</v>
      </c>
      <c r="O1278">
        <v>30</v>
      </c>
      <c r="P1278" s="1">
        <v>45504</v>
      </c>
      <c r="Q1278" s="1"/>
      <c r="R1278" t="str">
        <f>IF(Table1[[#This Row],[Actual close date]]="","",Table1[[#This Row],[Actual close date]]-Table1[[#This Row],[Expected close date]])</f>
        <v/>
      </c>
    </row>
    <row r="1279" spans="1:18" x14ac:dyDescent="0.25">
      <c r="A1279" t="s">
        <v>1120</v>
      </c>
      <c r="B1279" t="s">
        <v>59</v>
      </c>
      <c r="C1279" t="s">
        <v>60</v>
      </c>
      <c r="D1279" t="s">
        <v>61</v>
      </c>
      <c r="E1279" t="s">
        <v>30</v>
      </c>
      <c r="F1279" t="s">
        <v>22</v>
      </c>
      <c r="G1279" t="s">
        <v>57</v>
      </c>
      <c r="H1279" s="1">
        <v>45350</v>
      </c>
      <c r="I1279" t="s">
        <v>47</v>
      </c>
      <c r="J1279" t="s">
        <v>1117</v>
      </c>
      <c r="K1279">
        <v>5</v>
      </c>
      <c r="L1279" t="s">
        <v>1118</v>
      </c>
      <c r="M1279">
        <v>2</v>
      </c>
      <c r="N1279">
        <v>1210</v>
      </c>
      <c r="O1279">
        <v>30</v>
      </c>
      <c r="P1279" s="1">
        <v>45624</v>
      </c>
      <c r="Q1279" s="1"/>
      <c r="R1279" t="str">
        <f>IF(Table1[[#This Row],[Actual close date]]="","",Table1[[#This Row],[Actual close date]]-Table1[[#This Row],[Expected close date]])</f>
        <v/>
      </c>
    </row>
    <row r="1280" spans="1:18" x14ac:dyDescent="0.25">
      <c r="A1280" t="s">
        <v>1148</v>
      </c>
      <c r="B1280" t="s">
        <v>49</v>
      </c>
      <c r="C1280" t="s">
        <v>50</v>
      </c>
      <c r="D1280" t="s">
        <v>51</v>
      </c>
      <c r="E1280" t="s">
        <v>42</v>
      </c>
      <c r="F1280" t="s">
        <v>22</v>
      </c>
      <c r="G1280" t="s">
        <v>37</v>
      </c>
      <c r="H1280" s="1">
        <v>45350</v>
      </c>
      <c r="I1280" t="s">
        <v>47</v>
      </c>
      <c r="J1280" t="s">
        <v>1117</v>
      </c>
      <c r="K1280">
        <v>5</v>
      </c>
      <c r="L1280" t="s">
        <v>1118</v>
      </c>
      <c r="M1280">
        <v>2</v>
      </c>
      <c r="N1280">
        <v>1202</v>
      </c>
      <c r="O1280">
        <v>20</v>
      </c>
      <c r="P1280" s="1">
        <v>45674</v>
      </c>
      <c r="Q1280" s="1"/>
      <c r="R1280" t="str">
        <f>IF(Table1[[#This Row],[Actual close date]]="","",Table1[[#This Row],[Actual close date]]-Table1[[#This Row],[Expected close date]])</f>
        <v/>
      </c>
    </row>
    <row r="1281" spans="1:18" x14ac:dyDescent="0.25">
      <c r="A1281" t="s">
        <v>1411</v>
      </c>
      <c r="B1281" t="s">
        <v>39</v>
      </c>
      <c r="C1281" t="s">
        <v>40</v>
      </c>
      <c r="D1281" t="s">
        <v>41</v>
      </c>
      <c r="E1281" t="s">
        <v>21</v>
      </c>
      <c r="F1281" t="s">
        <v>239</v>
      </c>
      <c r="G1281" t="s">
        <v>85</v>
      </c>
      <c r="H1281" s="1">
        <v>45350</v>
      </c>
      <c r="I1281" t="s">
        <v>47</v>
      </c>
      <c r="J1281" t="s">
        <v>1117</v>
      </c>
      <c r="K1281">
        <v>5</v>
      </c>
      <c r="L1281" t="s">
        <v>1118</v>
      </c>
      <c r="M1281">
        <v>2</v>
      </c>
      <c r="N1281">
        <v>8716</v>
      </c>
      <c r="O1281">
        <v>30</v>
      </c>
      <c r="P1281" s="1">
        <v>45553</v>
      </c>
      <c r="Q1281" s="1"/>
      <c r="R1281" t="str">
        <f>IF(Table1[[#This Row],[Actual close date]]="","",Table1[[#This Row],[Actual close date]]-Table1[[#This Row],[Expected close date]])</f>
        <v/>
      </c>
    </row>
    <row r="1282" spans="1:18" x14ac:dyDescent="0.25">
      <c r="A1282" t="s">
        <v>1626</v>
      </c>
      <c r="B1282" t="s">
        <v>54</v>
      </c>
      <c r="C1282" t="s">
        <v>55</v>
      </c>
      <c r="D1282" t="s">
        <v>56</v>
      </c>
      <c r="E1282" t="s">
        <v>62</v>
      </c>
      <c r="F1282" t="s">
        <v>167</v>
      </c>
      <c r="G1282" t="s">
        <v>57</v>
      </c>
      <c r="H1282" s="1">
        <v>45350</v>
      </c>
      <c r="I1282" t="s">
        <v>24</v>
      </c>
      <c r="J1282" t="s">
        <v>1117</v>
      </c>
      <c r="K1282">
        <v>5</v>
      </c>
      <c r="L1282" t="s">
        <v>1479</v>
      </c>
      <c r="M1282">
        <v>3</v>
      </c>
      <c r="N1282">
        <v>2071</v>
      </c>
      <c r="O1282">
        <v>70</v>
      </c>
      <c r="P1282" s="1">
        <v>45451</v>
      </c>
      <c r="Q1282" s="1"/>
      <c r="R1282" t="str">
        <f>IF(Table1[[#This Row],[Actual close date]]="","",Table1[[#This Row],[Actual close date]]-Table1[[#This Row],[Expected close date]])</f>
        <v/>
      </c>
    </row>
    <row r="1283" spans="1:18" x14ac:dyDescent="0.25">
      <c r="A1283" t="s">
        <v>1668</v>
      </c>
      <c r="B1283" t="s">
        <v>33</v>
      </c>
      <c r="C1283" t="s">
        <v>34</v>
      </c>
      <c r="D1283" t="s">
        <v>35</v>
      </c>
      <c r="E1283" t="s">
        <v>74</v>
      </c>
      <c r="F1283" t="s">
        <v>167</v>
      </c>
      <c r="G1283" t="s">
        <v>37</v>
      </c>
      <c r="H1283" s="1">
        <v>45350</v>
      </c>
      <c r="I1283" t="s">
        <v>64</v>
      </c>
      <c r="J1283" t="s">
        <v>1117</v>
      </c>
      <c r="K1283">
        <v>5</v>
      </c>
      <c r="L1283" t="s">
        <v>1479</v>
      </c>
      <c r="M1283">
        <v>3</v>
      </c>
      <c r="N1283">
        <v>5905</v>
      </c>
      <c r="O1283">
        <v>10</v>
      </c>
      <c r="P1283" s="1">
        <v>45397</v>
      </c>
      <c r="Q1283" s="1"/>
      <c r="R1283" t="str">
        <f>IF(Table1[[#This Row],[Actual close date]]="","",Table1[[#This Row],[Actual close date]]-Table1[[#This Row],[Expected close date]])</f>
        <v/>
      </c>
    </row>
    <row r="1284" spans="1:18" x14ac:dyDescent="0.25">
      <c r="A1284" t="s">
        <v>1670</v>
      </c>
      <c r="B1284" t="s">
        <v>76</v>
      </c>
      <c r="C1284" t="s">
        <v>77</v>
      </c>
      <c r="D1284" t="s">
        <v>78</v>
      </c>
      <c r="E1284" t="s">
        <v>42</v>
      </c>
      <c r="F1284" t="s">
        <v>167</v>
      </c>
      <c r="G1284" t="s">
        <v>46</v>
      </c>
      <c r="H1284" s="1">
        <v>45350</v>
      </c>
      <c r="I1284" t="s">
        <v>24</v>
      </c>
      <c r="J1284" t="s">
        <v>1117</v>
      </c>
      <c r="K1284">
        <v>5</v>
      </c>
      <c r="L1284" t="s">
        <v>1479</v>
      </c>
      <c r="M1284">
        <v>3</v>
      </c>
      <c r="N1284">
        <v>6122</v>
      </c>
      <c r="O1284">
        <v>10</v>
      </c>
      <c r="P1284" s="1">
        <v>45447</v>
      </c>
      <c r="Q1284" s="1"/>
      <c r="R1284" t="str">
        <f>IF(Table1[[#This Row],[Actual close date]]="","",Table1[[#This Row],[Actual close date]]-Table1[[#This Row],[Expected close date]])</f>
        <v/>
      </c>
    </row>
    <row r="1285" spans="1:18" x14ac:dyDescent="0.25">
      <c r="A1285" t="s">
        <v>1866</v>
      </c>
      <c r="B1285" t="s">
        <v>33</v>
      </c>
      <c r="C1285" t="s">
        <v>34</v>
      </c>
      <c r="D1285" t="s">
        <v>35</v>
      </c>
      <c r="E1285" t="s">
        <v>118</v>
      </c>
      <c r="F1285" t="s">
        <v>167</v>
      </c>
      <c r="G1285" t="s">
        <v>57</v>
      </c>
      <c r="H1285" s="1">
        <v>45350</v>
      </c>
      <c r="I1285" t="s">
        <v>24</v>
      </c>
      <c r="J1285" t="s">
        <v>1117</v>
      </c>
      <c r="K1285">
        <v>5</v>
      </c>
      <c r="L1285" t="s">
        <v>1766</v>
      </c>
      <c r="M1285">
        <v>4</v>
      </c>
      <c r="N1285">
        <v>7020</v>
      </c>
      <c r="O1285">
        <v>40</v>
      </c>
      <c r="P1285" s="1">
        <v>45423</v>
      </c>
      <c r="Q1285" s="1"/>
      <c r="R1285" t="str">
        <f>IF(Table1[[#This Row],[Actual close date]]="","",Table1[[#This Row],[Actual close date]]-Table1[[#This Row],[Expected close date]])</f>
        <v/>
      </c>
    </row>
    <row r="1286" spans="1:18" x14ac:dyDescent="0.25">
      <c r="A1286" t="s">
        <v>1207</v>
      </c>
      <c r="B1286" t="s">
        <v>54</v>
      </c>
      <c r="C1286" t="s">
        <v>55</v>
      </c>
      <c r="D1286" t="s">
        <v>56</v>
      </c>
      <c r="E1286" t="s">
        <v>74</v>
      </c>
      <c r="F1286" t="s">
        <v>22</v>
      </c>
      <c r="G1286" t="s">
        <v>46</v>
      </c>
      <c r="H1286" s="1">
        <v>45351</v>
      </c>
      <c r="I1286" t="s">
        <v>24</v>
      </c>
      <c r="J1286" t="s">
        <v>1117</v>
      </c>
      <c r="K1286">
        <v>5</v>
      </c>
      <c r="L1286" t="s">
        <v>1118</v>
      </c>
      <c r="M1286">
        <v>2</v>
      </c>
      <c r="N1286">
        <v>1194</v>
      </c>
      <c r="O1286">
        <v>20</v>
      </c>
      <c r="P1286" s="1">
        <v>45486</v>
      </c>
      <c r="Q1286" s="1"/>
      <c r="R1286" t="str">
        <f>IF(Table1[[#This Row],[Actual close date]]="","",Table1[[#This Row],[Actual close date]]-Table1[[#This Row],[Expected close date]])</f>
        <v/>
      </c>
    </row>
    <row r="1287" spans="1:18" x14ac:dyDescent="0.25">
      <c r="A1287" t="s">
        <v>1658</v>
      </c>
      <c r="B1287" t="s">
        <v>39</v>
      </c>
      <c r="C1287" t="s">
        <v>40</v>
      </c>
      <c r="D1287" t="s">
        <v>41</v>
      </c>
      <c r="E1287" t="s">
        <v>52</v>
      </c>
      <c r="F1287" t="s">
        <v>167</v>
      </c>
      <c r="G1287" t="s">
        <v>23</v>
      </c>
      <c r="H1287" s="1">
        <v>45351</v>
      </c>
      <c r="I1287" t="s">
        <v>24</v>
      </c>
      <c r="J1287" t="s">
        <v>1117</v>
      </c>
      <c r="K1287">
        <v>5</v>
      </c>
      <c r="L1287" t="s">
        <v>1479</v>
      </c>
      <c r="M1287">
        <v>3</v>
      </c>
      <c r="N1287">
        <v>4640</v>
      </c>
      <c r="O1287">
        <v>50</v>
      </c>
      <c r="P1287" s="1">
        <v>45495</v>
      </c>
      <c r="Q1287" s="1"/>
      <c r="R1287" t="str">
        <f>IF(Table1[[#This Row],[Actual close date]]="","",Table1[[#This Row],[Actual close date]]-Table1[[#This Row],[Expected close date]])</f>
        <v/>
      </c>
    </row>
    <row r="1288" spans="1:18" x14ac:dyDescent="0.25">
      <c r="A1288" t="s">
        <v>1754</v>
      </c>
      <c r="B1288" t="s">
        <v>49</v>
      </c>
      <c r="C1288" t="s">
        <v>50</v>
      </c>
      <c r="D1288" t="s">
        <v>51</v>
      </c>
      <c r="E1288" t="s">
        <v>118</v>
      </c>
      <c r="F1288" t="s">
        <v>167</v>
      </c>
      <c r="G1288" t="s">
        <v>72</v>
      </c>
      <c r="H1288" s="1">
        <v>45351</v>
      </c>
      <c r="I1288" t="s">
        <v>24</v>
      </c>
      <c r="J1288" t="s">
        <v>1117</v>
      </c>
      <c r="K1288">
        <v>5</v>
      </c>
      <c r="L1288" t="s">
        <v>1700</v>
      </c>
      <c r="M1288">
        <v>1</v>
      </c>
      <c r="N1288">
        <v>1898</v>
      </c>
      <c r="O1288">
        <v>40</v>
      </c>
      <c r="P1288" s="1">
        <v>45696</v>
      </c>
      <c r="Q1288" s="1"/>
      <c r="R1288" t="str">
        <f>IF(Table1[[#This Row],[Actual close date]]="","",Table1[[#This Row],[Actual close date]]-Table1[[#This Row],[Expected close date]])</f>
        <v/>
      </c>
    </row>
    <row r="1289" spans="1:18" x14ac:dyDescent="0.25">
      <c r="A1289" t="s">
        <v>1781</v>
      </c>
      <c r="B1289" t="s">
        <v>18</v>
      </c>
      <c r="C1289" t="s">
        <v>19</v>
      </c>
      <c r="D1289" t="s">
        <v>20</v>
      </c>
      <c r="E1289" t="s">
        <v>52</v>
      </c>
      <c r="F1289" t="s">
        <v>22</v>
      </c>
      <c r="G1289" t="s">
        <v>57</v>
      </c>
      <c r="H1289" s="1">
        <v>45351</v>
      </c>
      <c r="I1289" t="s">
        <v>24</v>
      </c>
      <c r="J1289" t="s">
        <v>1117</v>
      </c>
      <c r="K1289">
        <v>5</v>
      </c>
      <c r="L1289" t="s">
        <v>1766</v>
      </c>
      <c r="M1289">
        <v>4</v>
      </c>
      <c r="N1289">
        <v>1589</v>
      </c>
      <c r="O1289">
        <v>30</v>
      </c>
      <c r="P1289" s="1">
        <v>45590</v>
      </c>
      <c r="Q1289" s="1"/>
      <c r="R1289" t="str">
        <f>IF(Table1[[#This Row],[Actual close date]]="","",Table1[[#This Row],[Actual close date]]-Table1[[#This Row],[Expected close date]])</f>
        <v/>
      </c>
    </row>
    <row r="1290" spans="1:18" x14ac:dyDescent="0.25">
      <c r="A1290" t="s">
        <v>1810</v>
      </c>
      <c r="B1290" t="s">
        <v>76</v>
      </c>
      <c r="C1290" t="s">
        <v>77</v>
      </c>
      <c r="D1290" t="s">
        <v>78</v>
      </c>
      <c r="E1290" t="s">
        <v>82</v>
      </c>
      <c r="F1290" t="s">
        <v>125</v>
      </c>
      <c r="G1290" t="s">
        <v>46</v>
      </c>
      <c r="H1290" s="1">
        <v>45351</v>
      </c>
      <c r="I1290" t="s">
        <v>64</v>
      </c>
      <c r="J1290" t="s">
        <v>1117</v>
      </c>
      <c r="K1290">
        <v>5</v>
      </c>
      <c r="L1290" t="s">
        <v>1766</v>
      </c>
      <c r="M1290">
        <v>4</v>
      </c>
      <c r="N1290">
        <v>776</v>
      </c>
      <c r="O1290">
        <v>40</v>
      </c>
      <c r="P1290" s="1">
        <v>45536</v>
      </c>
      <c r="Q1290" s="1"/>
      <c r="R1290" t="str">
        <f>IF(Table1[[#This Row],[Actual close date]]="","",Table1[[#This Row],[Actual close date]]-Table1[[#This Row],[Expected close date]])</f>
        <v/>
      </c>
    </row>
    <row r="1291" spans="1:18" x14ac:dyDescent="0.25">
      <c r="A1291" t="s">
        <v>1867</v>
      </c>
      <c r="B1291" t="s">
        <v>33</v>
      </c>
      <c r="C1291" t="s">
        <v>34</v>
      </c>
      <c r="D1291" t="s">
        <v>35</v>
      </c>
      <c r="E1291" t="s">
        <v>118</v>
      </c>
      <c r="F1291" t="s">
        <v>167</v>
      </c>
      <c r="G1291" t="s">
        <v>57</v>
      </c>
      <c r="H1291" s="1">
        <v>45351</v>
      </c>
      <c r="I1291" t="s">
        <v>24</v>
      </c>
      <c r="J1291" t="s">
        <v>1117</v>
      </c>
      <c r="K1291">
        <v>5</v>
      </c>
      <c r="L1291" t="s">
        <v>1766</v>
      </c>
      <c r="M1291">
        <v>4</v>
      </c>
      <c r="N1291">
        <v>5759</v>
      </c>
      <c r="O1291">
        <v>40</v>
      </c>
      <c r="P1291" s="1">
        <v>45696</v>
      </c>
      <c r="Q1291" s="1"/>
      <c r="R1291" t="str">
        <f>IF(Table1[[#This Row],[Actual close date]]="","",Table1[[#This Row],[Actual close date]]-Table1[[#This Row],[Expected close date]])</f>
        <v/>
      </c>
    </row>
    <row r="1292" spans="1:18" x14ac:dyDescent="0.25">
      <c r="A1292" t="s">
        <v>1873</v>
      </c>
      <c r="B1292" t="s">
        <v>54</v>
      </c>
      <c r="C1292" t="s">
        <v>55</v>
      </c>
      <c r="D1292" t="s">
        <v>56</v>
      </c>
      <c r="E1292" t="s">
        <v>21</v>
      </c>
      <c r="F1292" t="s">
        <v>167</v>
      </c>
      <c r="G1292" t="s">
        <v>57</v>
      </c>
      <c r="H1292" s="1">
        <v>45351</v>
      </c>
      <c r="I1292" t="s">
        <v>24</v>
      </c>
      <c r="J1292" t="s">
        <v>1117</v>
      </c>
      <c r="K1292">
        <v>5</v>
      </c>
      <c r="L1292" t="s">
        <v>1766</v>
      </c>
      <c r="M1292">
        <v>4</v>
      </c>
      <c r="N1292">
        <v>6322</v>
      </c>
      <c r="O1292">
        <v>50</v>
      </c>
      <c r="P1292" s="1">
        <v>45514</v>
      </c>
      <c r="Q1292" s="1"/>
      <c r="R1292" t="str">
        <f>IF(Table1[[#This Row],[Actual close date]]="","",Table1[[#This Row],[Actual close date]]-Table1[[#This Row],[Expected close date]])</f>
        <v/>
      </c>
    </row>
    <row r="1293" spans="1:18" x14ac:dyDescent="0.25">
      <c r="A1293" t="s">
        <v>1135</v>
      </c>
      <c r="B1293" t="s">
        <v>39</v>
      </c>
      <c r="C1293" t="s">
        <v>40</v>
      </c>
      <c r="D1293" t="s">
        <v>41</v>
      </c>
      <c r="E1293" t="s">
        <v>42</v>
      </c>
      <c r="F1293" t="s">
        <v>22</v>
      </c>
      <c r="G1293" t="s">
        <v>23</v>
      </c>
      <c r="H1293" s="1">
        <v>45352</v>
      </c>
      <c r="I1293" t="s">
        <v>64</v>
      </c>
      <c r="J1293" t="s">
        <v>1117</v>
      </c>
      <c r="K1293">
        <v>5</v>
      </c>
      <c r="L1293" t="s">
        <v>1118</v>
      </c>
      <c r="M1293">
        <v>2</v>
      </c>
      <c r="N1293">
        <v>1553</v>
      </c>
      <c r="O1293">
        <v>40</v>
      </c>
      <c r="P1293" s="1">
        <v>45469</v>
      </c>
      <c r="Q1293" s="1"/>
      <c r="R1293" t="str">
        <f>IF(Table1[[#This Row],[Actual close date]]="","",Table1[[#This Row],[Actual close date]]-Table1[[#This Row],[Expected close date]])</f>
        <v/>
      </c>
    </row>
    <row r="1294" spans="1:18" x14ac:dyDescent="0.25">
      <c r="A1294" t="s">
        <v>1272</v>
      </c>
      <c r="B1294" t="s">
        <v>76</v>
      </c>
      <c r="C1294" t="s">
        <v>77</v>
      </c>
      <c r="D1294" t="s">
        <v>78</v>
      </c>
      <c r="E1294" t="s">
        <v>101</v>
      </c>
      <c r="F1294" t="s">
        <v>125</v>
      </c>
      <c r="G1294" t="s">
        <v>83</v>
      </c>
      <c r="H1294" s="1">
        <v>45352</v>
      </c>
      <c r="I1294" t="s">
        <v>24</v>
      </c>
      <c r="J1294" t="s">
        <v>1117</v>
      </c>
      <c r="K1294">
        <v>5</v>
      </c>
      <c r="L1294" t="s">
        <v>1118</v>
      </c>
      <c r="M1294">
        <v>2</v>
      </c>
      <c r="N1294">
        <v>909</v>
      </c>
      <c r="O1294">
        <v>20</v>
      </c>
      <c r="P1294" s="1">
        <v>45586</v>
      </c>
      <c r="Q1294" s="1"/>
      <c r="R1294" t="str">
        <f>IF(Table1[[#This Row],[Actual close date]]="","",Table1[[#This Row],[Actual close date]]-Table1[[#This Row],[Expected close date]])</f>
        <v/>
      </c>
    </row>
    <row r="1295" spans="1:18" x14ac:dyDescent="0.25">
      <c r="A1295" t="s">
        <v>1379</v>
      </c>
      <c r="B1295" t="s">
        <v>33</v>
      </c>
      <c r="C1295" t="s">
        <v>34</v>
      </c>
      <c r="D1295" t="s">
        <v>35</v>
      </c>
      <c r="E1295" t="s">
        <v>52</v>
      </c>
      <c r="F1295" t="s">
        <v>167</v>
      </c>
      <c r="G1295" t="s">
        <v>57</v>
      </c>
      <c r="H1295" s="1">
        <v>45352</v>
      </c>
      <c r="I1295" t="s">
        <v>47</v>
      </c>
      <c r="J1295" t="s">
        <v>1117</v>
      </c>
      <c r="K1295">
        <v>5</v>
      </c>
      <c r="L1295" t="s">
        <v>1118</v>
      </c>
      <c r="M1295">
        <v>2</v>
      </c>
      <c r="N1295">
        <v>3606</v>
      </c>
      <c r="O1295">
        <v>30</v>
      </c>
      <c r="P1295" s="1">
        <v>45555</v>
      </c>
      <c r="Q1295" s="1"/>
      <c r="R1295" t="str">
        <f>IF(Table1[[#This Row],[Actual close date]]="","",Table1[[#This Row],[Actual close date]]-Table1[[#This Row],[Expected close date]])</f>
        <v/>
      </c>
    </row>
    <row r="1296" spans="1:18" x14ac:dyDescent="0.25">
      <c r="A1296" t="s">
        <v>1504</v>
      </c>
      <c r="B1296" t="s">
        <v>39</v>
      </c>
      <c r="C1296" t="s">
        <v>40</v>
      </c>
      <c r="D1296" t="s">
        <v>41</v>
      </c>
      <c r="E1296" t="s">
        <v>62</v>
      </c>
      <c r="F1296" t="s">
        <v>22</v>
      </c>
      <c r="G1296" t="s">
        <v>46</v>
      </c>
      <c r="H1296" s="1">
        <v>45352</v>
      </c>
      <c r="I1296" t="s">
        <v>47</v>
      </c>
      <c r="J1296" t="s">
        <v>1117</v>
      </c>
      <c r="K1296">
        <v>5</v>
      </c>
      <c r="L1296" t="s">
        <v>1479</v>
      </c>
      <c r="M1296">
        <v>3</v>
      </c>
      <c r="N1296">
        <v>330</v>
      </c>
      <c r="O1296">
        <v>30</v>
      </c>
      <c r="P1296" s="1">
        <v>45533</v>
      </c>
      <c r="Q1296" s="1"/>
      <c r="R1296" t="str">
        <f>IF(Table1[[#This Row],[Actual close date]]="","",Table1[[#This Row],[Actual close date]]-Table1[[#This Row],[Expected close date]])</f>
        <v/>
      </c>
    </row>
    <row r="1297" spans="1:18" x14ac:dyDescent="0.25">
      <c r="A1297" t="s">
        <v>1582</v>
      </c>
      <c r="B1297" t="s">
        <v>59</v>
      </c>
      <c r="C1297" t="s">
        <v>60</v>
      </c>
      <c r="D1297" t="s">
        <v>61</v>
      </c>
      <c r="E1297" t="s">
        <v>101</v>
      </c>
      <c r="F1297" t="s">
        <v>125</v>
      </c>
      <c r="G1297" t="s">
        <v>46</v>
      </c>
      <c r="H1297" s="1">
        <v>45352</v>
      </c>
      <c r="I1297" t="s">
        <v>64</v>
      </c>
      <c r="J1297" t="s">
        <v>1117</v>
      </c>
      <c r="K1297">
        <v>5</v>
      </c>
      <c r="L1297" t="s">
        <v>1479</v>
      </c>
      <c r="M1297">
        <v>3</v>
      </c>
      <c r="N1297">
        <v>530</v>
      </c>
      <c r="O1297">
        <v>60</v>
      </c>
      <c r="P1297" s="1">
        <v>45709</v>
      </c>
      <c r="Q1297" s="1"/>
      <c r="R1297" t="str">
        <f>IF(Table1[[#This Row],[Actual close date]]="","",Table1[[#This Row],[Actual close date]]-Table1[[#This Row],[Expected close date]])</f>
        <v/>
      </c>
    </row>
    <row r="1298" spans="1:18" x14ac:dyDescent="0.25">
      <c r="A1298" t="s">
        <v>1713</v>
      </c>
      <c r="B1298" t="s">
        <v>18</v>
      </c>
      <c r="C1298" t="s">
        <v>19</v>
      </c>
      <c r="D1298" t="s">
        <v>20</v>
      </c>
      <c r="E1298" t="s">
        <v>118</v>
      </c>
      <c r="F1298" t="s">
        <v>22</v>
      </c>
      <c r="G1298" t="s">
        <v>83</v>
      </c>
      <c r="H1298" s="1">
        <v>45352</v>
      </c>
      <c r="I1298" t="s">
        <v>47</v>
      </c>
      <c r="J1298" t="s">
        <v>1117</v>
      </c>
      <c r="K1298">
        <v>5</v>
      </c>
      <c r="L1298" t="s">
        <v>1700</v>
      </c>
      <c r="M1298">
        <v>1</v>
      </c>
      <c r="N1298">
        <v>1399</v>
      </c>
      <c r="O1298">
        <v>30</v>
      </c>
      <c r="P1298" s="1">
        <v>45600</v>
      </c>
      <c r="Q1298" s="1"/>
      <c r="R1298" t="str">
        <f>IF(Table1[[#This Row],[Actual close date]]="","",Table1[[#This Row],[Actual close date]]-Table1[[#This Row],[Expected close date]])</f>
        <v/>
      </c>
    </row>
    <row r="1299" spans="1:18" x14ac:dyDescent="0.25">
      <c r="A1299" t="s">
        <v>1226</v>
      </c>
      <c r="B1299" t="s">
        <v>59</v>
      </c>
      <c r="C1299" t="s">
        <v>60</v>
      </c>
      <c r="D1299" t="s">
        <v>61</v>
      </c>
      <c r="E1299" t="s">
        <v>45</v>
      </c>
      <c r="F1299" t="s">
        <v>125</v>
      </c>
      <c r="G1299" t="s">
        <v>31</v>
      </c>
      <c r="H1299" s="1">
        <v>45353</v>
      </c>
      <c r="I1299" t="s">
        <v>24</v>
      </c>
      <c r="J1299" t="s">
        <v>1117</v>
      </c>
      <c r="K1299">
        <v>5</v>
      </c>
      <c r="L1299" t="s">
        <v>1118</v>
      </c>
      <c r="M1299">
        <v>2</v>
      </c>
      <c r="N1299">
        <v>893</v>
      </c>
      <c r="O1299">
        <v>100</v>
      </c>
      <c r="P1299" s="1">
        <v>45425</v>
      </c>
      <c r="Q1299" s="1"/>
      <c r="R1299" t="str">
        <f>IF(Table1[[#This Row],[Actual close date]]="","",Table1[[#This Row],[Actual close date]]-Table1[[#This Row],[Expected close date]])</f>
        <v/>
      </c>
    </row>
    <row r="1300" spans="1:18" x14ac:dyDescent="0.25">
      <c r="A1300" t="s">
        <v>1756</v>
      </c>
      <c r="B1300" t="s">
        <v>76</v>
      </c>
      <c r="C1300" t="s">
        <v>77</v>
      </c>
      <c r="D1300" t="s">
        <v>78</v>
      </c>
      <c r="E1300" t="s">
        <v>98</v>
      </c>
      <c r="F1300" t="s">
        <v>167</v>
      </c>
      <c r="G1300" t="s">
        <v>23</v>
      </c>
      <c r="H1300" s="1">
        <v>45353</v>
      </c>
      <c r="I1300" t="s">
        <v>24</v>
      </c>
      <c r="J1300" t="s">
        <v>1117</v>
      </c>
      <c r="K1300">
        <v>5</v>
      </c>
      <c r="L1300" t="s">
        <v>1700</v>
      </c>
      <c r="M1300">
        <v>1</v>
      </c>
      <c r="N1300">
        <v>2741</v>
      </c>
      <c r="O1300">
        <v>30</v>
      </c>
      <c r="P1300" s="1">
        <v>45631</v>
      </c>
      <c r="Q1300" s="1"/>
      <c r="R1300" t="str">
        <f>IF(Table1[[#This Row],[Actual close date]]="","",Table1[[#This Row],[Actual close date]]-Table1[[#This Row],[Expected close date]])</f>
        <v/>
      </c>
    </row>
    <row r="1301" spans="1:18" x14ac:dyDescent="0.25">
      <c r="A1301" t="s">
        <v>1126</v>
      </c>
      <c r="B1301" t="s">
        <v>76</v>
      </c>
      <c r="C1301" t="s">
        <v>77</v>
      </c>
      <c r="D1301" t="s">
        <v>78</v>
      </c>
      <c r="E1301" t="s">
        <v>45</v>
      </c>
      <c r="F1301" t="s">
        <v>22</v>
      </c>
      <c r="G1301" t="s">
        <v>37</v>
      </c>
      <c r="H1301" s="1">
        <v>45354</v>
      </c>
      <c r="I1301" t="s">
        <v>64</v>
      </c>
      <c r="J1301" t="s">
        <v>1117</v>
      </c>
      <c r="K1301">
        <v>5</v>
      </c>
      <c r="L1301" t="s">
        <v>1118</v>
      </c>
      <c r="M1301">
        <v>2</v>
      </c>
      <c r="N1301">
        <v>683</v>
      </c>
      <c r="O1301">
        <v>100</v>
      </c>
      <c r="P1301" s="1">
        <v>45625</v>
      </c>
      <c r="Q1301" s="1"/>
      <c r="R1301" t="str">
        <f>IF(Table1[[#This Row],[Actual close date]]="","",Table1[[#This Row],[Actual close date]]-Table1[[#This Row],[Expected close date]])</f>
        <v/>
      </c>
    </row>
    <row r="1302" spans="1:18" x14ac:dyDescent="0.25">
      <c r="A1302" t="s">
        <v>1188</v>
      </c>
      <c r="B1302" t="s">
        <v>76</v>
      </c>
      <c r="C1302" t="s">
        <v>77</v>
      </c>
      <c r="D1302" t="s">
        <v>78</v>
      </c>
      <c r="E1302" t="s">
        <v>101</v>
      </c>
      <c r="F1302" t="s">
        <v>22</v>
      </c>
      <c r="G1302" t="s">
        <v>72</v>
      </c>
      <c r="H1302" s="1">
        <v>45354</v>
      </c>
      <c r="I1302" t="s">
        <v>24</v>
      </c>
      <c r="J1302" t="s">
        <v>1117</v>
      </c>
      <c r="K1302">
        <v>5</v>
      </c>
      <c r="L1302" t="s">
        <v>1118</v>
      </c>
      <c r="M1302">
        <v>2</v>
      </c>
      <c r="N1302">
        <v>1850</v>
      </c>
      <c r="O1302">
        <v>60</v>
      </c>
      <c r="P1302" s="1">
        <v>45626</v>
      </c>
      <c r="Q1302" s="1"/>
      <c r="R1302" t="str">
        <f>IF(Table1[[#This Row],[Actual close date]]="","",Table1[[#This Row],[Actual close date]]-Table1[[#This Row],[Expected close date]])</f>
        <v/>
      </c>
    </row>
    <row r="1303" spans="1:18" x14ac:dyDescent="0.25">
      <c r="A1303" t="s">
        <v>1336</v>
      </c>
      <c r="B1303" t="s">
        <v>54</v>
      </c>
      <c r="C1303" t="s">
        <v>55</v>
      </c>
      <c r="D1303" t="s">
        <v>56</v>
      </c>
      <c r="E1303" t="s">
        <v>42</v>
      </c>
      <c r="F1303" t="s">
        <v>167</v>
      </c>
      <c r="G1303" t="s">
        <v>37</v>
      </c>
      <c r="H1303" s="1">
        <v>45354</v>
      </c>
      <c r="I1303" t="s">
        <v>64</v>
      </c>
      <c r="J1303" t="s">
        <v>1117</v>
      </c>
      <c r="K1303">
        <v>5</v>
      </c>
      <c r="L1303" t="s">
        <v>1118</v>
      </c>
      <c r="M1303">
        <v>2</v>
      </c>
      <c r="N1303">
        <v>4910</v>
      </c>
      <c r="O1303">
        <v>40</v>
      </c>
      <c r="P1303" s="1">
        <v>45554</v>
      </c>
      <c r="Q1303" s="1"/>
      <c r="R1303" t="str">
        <f>IF(Table1[[#This Row],[Actual close date]]="","",Table1[[#This Row],[Actual close date]]-Table1[[#This Row],[Expected close date]])</f>
        <v/>
      </c>
    </row>
    <row r="1304" spans="1:18" x14ac:dyDescent="0.25">
      <c r="A1304" t="s">
        <v>1518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t="s">
        <v>46</v>
      </c>
      <c r="H1304" s="1">
        <v>45354</v>
      </c>
      <c r="I1304" t="s">
        <v>64</v>
      </c>
      <c r="J1304" t="s">
        <v>1117</v>
      </c>
      <c r="K1304">
        <v>5</v>
      </c>
      <c r="L1304" t="s">
        <v>1479</v>
      </c>
      <c r="M1304">
        <v>3</v>
      </c>
      <c r="N1304">
        <v>778</v>
      </c>
      <c r="O1304">
        <v>40</v>
      </c>
      <c r="P1304" s="1">
        <v>45700</v>
      </c>
      <c r="Q1304" s="1"/>
      <c r="R1304" t="str">
        <f>IF(Table1[[#This Row],[Actual close date]]="","",Table1[[#This Row],[Actual close date]]-Table1[[#This Row],[Expected close date]])</f>
        <v/>
      </c>
    </row>
    <row r="1305" spans="1:18" x14ac:dyDescent="0.25">
      <c r="A1305" t="s">
        <v>1639</v>
      </c>
      <c r="B1305" t="s">
        <v>27</v>
      </c>
      <c r="C1305" t="s">
        <v>28</v>
      </c>
      <c r="D1305" t="s">
        <v>29</v>
      </c>
      <c r="E1305" t="s">
        <v>118</v>
      </c>
      <c r="F1305" t="s">
        <v>167</v>
      </c>
      <c r="G1305" t="s">
        <v>31</v>
      </c>
      <c r="H1305" s="1">
        <v>45354</v>
      </c>
      <c r="I1305" t="s">
        <v>47</v>
      </c>
      <c r="J1305" t="s">
        <v>1117</v>
      </c>
      <c r="K1305">
        <v>5</v>
      </c>
      <c r="L1305" t="s">
        <v>1479</v>
      </c>
      <c r="M1305">
        <v>3</v>
      </c>
      <c r="N1305">
        <v>5122</v>
      </c>
      <c r="O1305">
        <v>40</v>
      </c>
      <c r="P1305" s="1">
        <v>45376</v>
      </c>
      <c r="Q1305" s="1"/>
      <c r="R1305" t="str">
        <f>IF(Table1[[#This Row],[Actual close date]]="","",Table1[[#This Row],[Actual close date]]-Table1[[#This Row],[Expected close date]])</f>
        <v/>
      </c>
    </row>
    <row r="1306" spans="1:18" x14ac:dyDescent="0.25">
      <c r="A1306" t="s">
        <v>1360</v>
      </c>
      <c r="B1306" t="s">
        <v>27</v>
      </c>
      <c r="C1306" t="s">
        <v>28</v>
      </c>
      <c r="D1306" t="s">
        <v>29</v>
      </c>
      <c r="E1306" t="s">
        <v>82</v>
      </c>
      <c r="F1306" t="s">
        <v>167</v>
      </c>
      <c r="G1306" t="s">
        <v>37</v>
      </c>
      <c r="H1306" s="1">
        <v>45355</v>
      </c>
      <c r="I1306" t="s">
        <v>64</v>
      </c>
      <c r="J1306" t="s">
        <v>1117</v>
      </c>
      <c r="K1306">
        <v>5</v>
      </c>
      <c r="L1306" t="s">
        <v>1118</v>
      </c>
      <c r="M1306">
        <v>2</v>
      </c>
      <c r="N1306">
        <v>2545</v>
      </c>
      <c r="O1306">
        <v>100</v>
      </c>
      <c r="P1306" s="1">
        <v>45531</v>
      </c>
      <c r="Q1306" s="1"/>
      <c r="R1306" t="str">
        <f>IF(Table1[[#This Row],[Actual close date]]="","",Table1[[#This Row],[Actual close date]]-Table1[[#This Row],[Expected close date]])</f>
        <v/>
      </c>
    </row>
    <row r="1307" spans="1:18" x14ac:dyDescent="0.25">
      <c r="A1307" t="s">
        <v>1374</v>
      </c>
      <c r="B1307" t="s">
        <v>39</v>
      </c>
      <c r="C1307" t="s">
        <v>40</v>
      </c>
      <c r="D1307" t="s">
        <v>41</v>
      </c>
      <c r="E1307" t="s">
        <v>122</v>
      </c>
      <c r="F1307" t="s">
        <v>167</v>
      </c>
      <c r="G1307" t="s">
        <v>85</v>
      </c>
      <c r="H1307" s="1">
        <v>45355</v>
      </c>
      <c r="I1307" t="s">
        <v>24</v>
      </c>
      <c r="J1307" t="s">
        <v>1117</v>
      </c>
      <c r="K1307">
        <v>5</v>
      </c>
      <c r="L1307" t="s">
        <v>1118</v>
      </c>
      <c r="M1307">
        <v>2</v>
      </c>
      <c r="N1307">
        <v>6675</v>
      </c>
      <c r="O1307">
        <v>20</v>
      </c>
      <c r="P1307" s="1">
        <v>45637</v>
      </c>
      <c r="Q1307" s="1"/>
      <c r="R1307" t="str">
        <f>IF(Table1[[#This Row],[Actual close date]]="","",Table1[[#This Row],[Actual close date]]-Table1[[#This Row],[Expected close date]])</f>
        <v/>
      </c>
    </row>
    <row r="1308" spans="1:18" x14ac:dyDescent="0.25">
      <c r="A1308" t="s">
        <v>1615</v>
      </c>
      <c r="B1308" t="s">
        <v>69</v>
      </c>
      <c r="C1308" t="s">
        <v>70</v>
      </c>
      <c r="D1308" t="s">
        <v>71</v>
      </c>
      <c r="E1308" t="s">
        <v>42</v>
      </c>
      <c r="F1308" t="s">
        <v>167</v>
      </c>
      <c r="G1308" t="s">
        <v>85</v>
      </c>
      <c r="H1308" s="1">
        <v>45355</v>
      </c>
      <c r="I1308" t="s">
        <v>64</v>
      </c>
      <c r="J1308" t="s">
        <v>1117</v>
      </c>
      <c r="K1308">
        <v>5</v>
      </c>
      <c r="L1308" t="s">
        <v>1479</v>
      </c>
      <c r="M1308">
        <v>3</v>
      </c>
      <c r="N1308">
        <v>2169</v>
      </c>
      <c r="O1308">
        <v>70</v>
      </c>
      <c r="P1308" s="1">
        <v>45688</v>
      </c>
      <c r="Q1308" s="1"/>
      <c r="R1308" t="str">
        <f>IF(Table1[[#This Row],[Actual close date]]="","",Table1[[#This Row],[Actual close date]]-Table1[[#This Row],[Expected close date]])</f>
        <v/>
      </c>
    </row>
    <row r="1309" spans="1:18" x14ac:dyDescent="0.25">
      <c r="A1309" t="s">
        <v>1664</v>
      </c>
      <c r="B1309" t="s">
        <v>76</v>
      </c>
      <c r="C1309" t="s">
        <v>77</v>
      </c>
      <c r="D1309" t="s">
        <v>78</v>
      </c>
      <c r="E1309" t="s">
        <v>45</v>
      </c>
      <c r="F1309" t="s">
        <v>167</v>
      </c>
      <c r="G1309" t="s">
        <v>46</v>
      </c>
      <c r="H1309" s="1">
        <v>45355</v>
      </c>
      <c r="I1309" t="s">
        <v>47</v>
      </c>
      <c r="J1309" t="s">
        <v>1117</v>
      </c>
      <c r="K1309">
        <v>5</v>
      </c>
      <c r="L1309" t="s">
        <v>1479</v>
      </c>
      <c r="M1309">
        <v>3</v>
      </c>
      <c r="N1309">
        <v>4587</v>
      </c>
      <c r="O1309">
        <v>60</v>
      </c>
      <c r="P1309" s="1">
        <v>45441</v>
      </c>
      <c r="Q1309" s="1"/>
      <c r="R1309" t="str">
        <f>IF(Table1[[#This Row],[Actual close date]]="","",Table1[[#This Row],[Actual close date]]-Table1[[#This Row],[Expected close date]])</f>
        <v/>
      </c>
    </row>
    <row r="1310" spans="1:18" x14ac:dyDescent="0.25">
      <c r="A1310" t="s">
        <v>1382</v>
      </c>
      <c r="B1310" t="s">
        <v>33</v>
      </c>
      <c r="C1310" t="s">
        <v>34</v>
      </c>
      <c r="D1310" t="s">
        <v>35</v>
      </c>
      <c r="E1310" t="s">
        <v>52</v>
      </c>
      <c r="F1310" t="s">
        <v>167</v>
      </c>
      <c r="G1310" t="s">
        <v>31</v>
      </c>
      <c r="H1310" s="1">
        <v>45356</v>
      </c>
      <c r="I1310" t="s">
        <v>47</v>
      </c>
      <c r="J1310" t="s">
        <v>1117</v>
      </c>
      <c r="K1310">
        <v>5</v>
      </c>
      <c r="L1310" t="s">
        <v>1118</v>
      </c>
      <c r="M1310">
        <v>2</v>
      </c>
      <c r="N1310">
        <v>6577</v>
      </c>
      <c r="O1310">
        <v>20</v>
      </c>
      <c r="P1310" s="1">
        <v>45611</v>
      </c>
      <c r="Q1310" s="1"/>
      <c r="R1310" t="str">
        <f>IF(Table1[[#This Row],[Actual close date]]="","",Table1[[#This Row],[Actual close date]]-Table1[[#This Row],[Expected close date]])</f>
        <v/>
      </c>
    </row>
    <row r="1311" spans="1:18" x14ac:dyDescent="0.25">
      <c r="A1311" t="s">
        <v>1395</v>
      </c>
      <c r="B1311" t="s">
        <v>39</v>
      </c>
      <c r="C1311" t="s">
        <v>40</v>
      </c>
      <c r="D1311" t="s">
        <v>41</v>
      </c>
      <c r="E1311" t="s">
        <v>21</v>
      </c>
      <c r="F1311" t="s">
        <v>167</v>
      </c>
      <c r="G1311" t="s">
        <v>37</v>
      </c>
      <c r="H1311" s="1">
        <v>45356</v>
      </c>
      <c r="I1311" t="s">
        <v>47</v>
      </c>
      <c r="J1311" t="s">
        <v>1117</v>
      </c>
      <c r="K1311">
        <v>5</v>
      </c>
      <c r="L1311" t="s">
        <v>1118</v>
      </c>
      <c r="M1311">
        <v>2</v>
      </c>
      <c r="N1311">
        <v>4592</v>
      </c>
      <c r="O1311">
        <v>20</v>
      </c>
      <c r="P1311" s="1">
        <v>45561</v>
      </c>
      <c r="Q1311" s="1"/>
      <c r="R1311" t="str">
        <f>IF(Table1[[#This Row],[Actual close date]]="","",Table1[[#This Row],[Actual close date]]-Table1[[#This Row],[Expected close date]])</f>
        <v/>
      </c>
    </row>
    <row r="1312" spans="1:18" x14ac:dyDescent="0.25">
      <c r="A1312" t="s">
        <v>1755</v>
      </c>
      <c r="B1312" t="s">
        <v>76</v>
      </c>
      <c r="C1312" t="s">
        <v>77</v>
      </c>
      <c r="D1312" t="s">
        <v>78</v>
      </c>
      <c r="E1312" t="s">
        <v>122</v>
      </c>
      <c r="F1312" t="s">
        <v>167</v>
      </c>
      <c r="G1312" t="s">
        <v>37</v>
      </c>
      <c r="H1312" s="1">
        <v>45356</v>
      </c>
      <c r="I1312" t="s">
        <v>47</v>
      </c>
      <c r="J1312" t="s">
        <v>1117</v>
      </c>
      <c r="K1312">
        <v>5</v>
      </c>
      <c r="L1312" t="s">
        <v>1700</v>
      </c>
      <c r="M1312">
        <v>1</v>
      </c>
      <c r="N1312">
        <v>3098</v>
      </c>
      <c r="O1312">
        <v>20</v>
      </c>
      <c r="P1312" s="1">
        <v>45432</v>
      </c>
      <c r="Q1312" s="1"/>
      <c r="R1312" t="str">
        <f>IF(Table1[[#This Row],[Actual close date]]="","",Table1[[#This Row],[Actual close date]]-Table1[[#This Row],[Expected close date]])</f>
        <v/>
      </c>
    </row>
    <row r="1313" spans="1:18" x14ac:dyDescent="0.25">
      <c r="A1313" t="s">
        <v>1775</v>
      </c>
      <c r="B1313" t="s">
        <v>27</v>
      </c>
      <c r="C1313" t="s">
        <v>28</v>
      </c>
      <c r="D1313" t="s">
        <v>29</v>
      </c>
      <c r="E1313" t="s">
        <v>30</v>
      </c>
      <c r="F1313" t="s">
        <v>22</v>
      </c>
      <c r="G1313" t="s">
        <v>46</v>
      </c>
      <c r="H1313" s="1">
        <v>45356</v>
      </c>
      <c r="I1313" t="s">
        <v>64</v>
      </c>
      <c r="J1313" t="s">
        <v>1117</v>
      </c>
      <c r="K1313">
        <v>5</v>
      </c>
      <c r="L1313" t="s">
        <v>1766</v>
      </c>
      <c r="M1313">
        <v>4</v>
      </c>
      <c r="N1313">
        <v>1245</v>
      </c>
      <c r="O1313">
        <v>20</v>
      </c>
      <c r="P1313" s="1">
        <v>45602</v>
      </c>
      <c r="Q1313" s="1"/>
      <c r="R1313" t="str">
        <f>IF(Table1[[#This Row],[Actual close date]]="","",Table1[[#This Row],[Actual close date]]-Table1[[#This Row],[Expected close date]])</f>
        <v/>
      </c>
    </row>
    <row r="1314" spans="1:18" x14ac:dyDescent="0.25">
      <c r="A1314" t="s">
        <v>1884</v>
      </c>
      <c r="B1314" t="s">
        <v>76</v>
      </c>
      <c r="C1314" t="s">
        <v>77</v>
      </c>
      <c r="D1314" t="s">
        <v>78</v>
      </c>
      <c r="E1314" t="s">
        <v>42</v>
      </c>
      <c r="F1314" t="s">
        <v>167</v>
      </c>
      <c r="G1314" t="s">
        <v>31</v>
      </c>
      <c r="H1314" s="1">
        <v>45356</v>
      </c>
      <c r="I1314" t="s">
        <v>64</v>
      </c>
      <c r="J1314" t="s">
        <v>1117</v>
      </c>
      <c r="K1314">
        <v>5</v>
      </c>
      <c r="L1314" t="s">
        <v>1766</v>
      </c>
      <c r="M1314">
        <v>4</v>
      </c>
      <c r="N1314">
        <v>3733</v>
      </c>
      <c r="O1314">
        <v>40</v>
      </c>
      <c r="P1314" s="1">
        <v>45500</v>
      </c>
      <c r="Q1314" s="1"/>
      <c r="R1314" t="str">
        <f>IF(Table1[[#This Row],[Actual close date]]="","",Table1[[#This Row],[Actual close date]]-Table1[[#This Row],[Expected close date]])</f>
        <v/>
      </c>
    </row>
    <row r="1315" spans="1:18" x14ac:dyDescent="0.25">
      <c r="A1315" t="s">
        <v>1319</v>
      </c>
      <c r="B1315" t="s">
        <v>18</v>
      </c>
      <c r="C1315" t="s">
        <v>19</v>
      </c>
      <c r="D1315" t="s">
        <v>20</v>
      </c>
      <c r="E1315" t="s">
        <v>36</v>
      </c>
      <c r="F1315" t="s">
        <v>167</v>
      </c>
      <c r="G1315" t="s">
        <v>85</v>
      </c>
      <c r="H1315" s="1">
        <v>45357</v>
      </c>
      <c r="I1315" t="s">
        <v>64</v>
      </c>
      <c r="J1315" t="s">
        <v>1117</v>
      </c>
      <c r="K1315">
        <v>5</v>
      </c>
      <c r="L1315" t="s">
        <v>1118</v>
      </c>
      <c r="M1315">
        <v>2</v>
      </c>
      <c r="N1315">
        <v>6640</v>
      </c>
      <c r="O1315">
        <v>40</v>
      </c>
      <c r="P1315" s="1">
        <v>45649</v>
      </c>
      <c r="Q1315" s="1"/>
      <c r="R1315" t="str">
        <f>IF(Table1[[#This Row],[Actual close date]]="","",Table1[[#This Row],[Actual close date]]-Table1[[#This Row],[Expected close date]])</f>
        <v/>
      </c>
    </row>
    <row r="1316" spans="1:18" x14ac:dyDescent="0.25">
      <c r="A1316" t="s">
        <v>1786</v>
      </c>
      <c r="B1316" t="s">
        <v>69</v>
      </c>
      <c r="C1316" t="s">
        <v>70</v>
      </c>
      <c r="D1316" t="s">
        <v>71</v>
      </c>
      <c r="E1316" t="s">
        <v>74</v>
      </c>
      <c r="F1316" t="s">
        <v>22</v>
      </c>
      <c r="G1316" t="s">
        <v>46</v>
      </c>
      <c r="H1316" s="1">
        <v>45357</v>
      </c>
      <c r="I1316" t="s">
        <v>24</v>
      </c>
      <c r="J1316" t="s">
        <v>1117</v>
      </c>
      <c r="K1316">
        <v>5</v>
      </c>
      <c r="L1316" t="s">
        <v>1766</v>
      </c>
      <c r="M1316">
        <v>4</v>
      </c>
      <c r="N1316">
        <v>416</v>
      </c>
      <c r="O1316">
        <v>20</v>
      </c>
      <c r="P1316" s="1">
        <v>45600</v>
      </c>
      <c r="Q1316" s="1"/>
      <c r="R1316" t="str">
        <f>IF(Table1[[#This Row],[Actual close date]]="","",Table1[[#This Row],[Actual close date]]-Table1[[#This Row],[Expected close date]])</f>
        <v/>
      </c>
    </row>
    <row r="1317" spans="1:18" x14ac:dyDescent="0.25">
      <c r="A1317" t="s">
        <v>1812</v>
      </c>
      <c r="B1317" t="s">
        <v>18</v>
      </c>
      <c r="C1317" t="s">
        <v>19</v>
      </c>
      <c r="D1317" t="s">
        <v>20</v>
      </c>
      <c r="E1317" t="s">
        <v>45</v>
      </c>
      <c r="F1317" t="s">
        <v>125</v>
      </c>
      <c r="G1317" t="s">
        <v>37</v>
      </c>
      <c r="H1317" s="1">
        <v>45357</v>
      </c>
      <c r="I1317" t="s">
        <v>64</v>
      </c>
      <c r="J1317" t="s">
        <v>1117</v>
      </c>
      <c r="K1317">
        <v>5</v>
      </c>
      <c r="L1317" t="s">
        <v>1766</v>
      </c>
      <c r="M1317">
        <v>4</v>
      </c>
      <c r="N1317">
        <v>398</v>
      </c>
      <c r="O1317">
        <v>10</v>
      </c>
      <c r="P1317" s="1">
        <v>45431</v>
      </c>
      <c r="Q1317" s="1"/>
      <c r="R1317" t="str">
        <f>IF(Table1[[#This Row],[Actual close date]]="","",Table1[[#This Row],[Actual close date]]-Table1[[#This Row],[Expected close date]])</f>
        <v/>
      </c>
    </row>
    <row r="1318" spans="1:18" x14ac:dyDescent="0.25">
      <c r="A1318" t="s">
        <v>1883</v>
      </c>
      <c r="B1318" t="s">
        <v>33</v>
      </c>
      <c r="C1318" t="s">
        <v>34</v>
      </c>
      <c r="D1318" t="s">
        <v>35</v>
      </c>
      <c r="E1318" t="s">
        <v>122</v>
      </c>
      <c r="F1318" t="s">
        <v>167</v>
      </c>
      <c r="G1318" t="s">
        <v>83</v>
      </c>
      <c r="H1318" s="1">
        <v>45357</v>
      </c>
      <c r="I1318" t="s">
        <v>24</v>
      </c>
      <c r="J1318" t="s">
        <v>1117</v>
      </c>
      <c r="K1318">
        <v>5</v>
      </c>
      <c r="L1318" t="s">
        <v>1766</v>
      </c>
      <c r="M1318">
        <v>4</v>
      </c>
      <c r="N1318">
        <v>3479</v>
      </c>
      <c r="O1318">
        <v>10</v>
      </c>
      <c r="P1318" s="1">
        <v>45690</v>
      </c>
      <c r="Q1318" s="1"/>
      <c r="R1318" t="str">
        <f>IF(Table1[[#This Row],[Actual close date]]="","",Table1[[#This Row],[Actual close date]]-Table1[[#This Row],[Expected close date]])</f>
        <v/>
      </c>
    </row>
    <row r="1319" spans="1:18" x14ac:dyDescent="0.25">
      <c r="A1319" t="s">
        <v>1890</v>
      </c>
      <c r="B1319" t="s">
        <v>33</v>
      </c>
      <c r="C1319" t="s">
        <v>34</v>
      </c>
      <c r="D1319" t="s">
        <v>35</v>
      </c>
      <c r="E1319" t="s">
        <v>36</v>
      </c>
      <c r="F1319" t="s">
        <v>167</v>
      </c>
      <c r="G1319" t="s">
        <v>72</v>
      </c>
      <c r="H1319" s="1">
        <v>45357</v>
      </c>
      <c r="I1319" t="s">
        <v>47</v>
      </c>
      <c r="J1319" t="s">
        <v>1117</v>
      </c>
      <c r="K1319">
        <v>5</v>
      </c>
      <c r="L1319" t="s">
        <v>1766</v>
      </c>
      <c r="M1319">
        <v>4</v>
      </c>
      <c r="N1319">
        <v>2425</v>
      </c>
      <c r="O1319">
        <v>70</v>
      </c>
      <c r="P1319" s="1">
        <v>45505</v>
      </c>
      <c r="Q1319" s="1"/>
      <c r="R1319" t="str">
        <f>IF(Table1[[#This Row],[Actual close date]]="","",Table1[[#This Row],[Actual close date]]-Table1[[#This Row],[Expected close date]])</f>
        <v/>
      </c>
    </row>
    <row r="1320" spans="1:18" x14ac:dyDescent="0.25">
      <c r="A1320" t="s">
        <v>1286</v>
      </c>
      <c r="B1320" t="s">
        <v>59</v>
      </c>
      <c r="C1320" t="s">
        <v>60</v>
      </c>
      <c r="D1320" t="s">
        <v>61</v>
      </c>
      <c r="E1320" t="s">
        <v>101</v>
      </c>
      <c r="F1320" t="s">
        <v>167</v>
      </c>
      <c r="G1320" t="s">
        <v>46</v>
      </c>
      <c r="H1320" s="1">
        <v>45358</v>
      </c>
      <c r="I1320" t="s">
        <v>64</v>
      </c>
      <c r="J1320" t="s">
        <v>1117</v>
      </c>
      <c r="K1320">
        <v>5</v>
      </c>
      <c r="L1320" t="s">
        <v>1118</v>
      </c>
      <c r="M1320">
        <v>2</v>
      </c>
      <c r="N1320">
        <v>3625</v>
      </c>
      <c r="O1320">
        <v>90</v>
      </c>
      <c r="P1320" s="1">
        <v>45648</v>
      </c>
      <c r="Q1320" s="1"/>
      <c r="R1320" t="str">
        <f>IF(Table1[[#This Row],[Actual close date]]="","",Table1[[#This Row],[Actual close date]]-Table1[[#This Row],[Expected close date]])</f>
        <v/>
      </c>
    </row>
    <row r="1321" spans="1:18" x14ac:dyDescent="0.25">
      <c r="A1321" t="s">
        <v>1313</v>
      </c>
      <c r="B1321" t="s">
        <v>27</v>
      </c>
      <c r="C1321" t="s">
        <v>28</v>
      </c>
      <c r="D1321" t="s">
        <v>29</v>
      </c>
      <c r="E1321" t="s">
        <v>52</v>
      </c>
      <c r="F1321" t="s">
        <v>167</v>
      </c>
      <c r="G1321" t="s">
        <v>57</v>
      </c>
      <c r="H1321" s="1">
        <v>45358</v>
      </c>
      <c r="I1321" t="s">
        <v>47</v>
      </c>
      <c r="J1321" t="s">
        <v>1117</v>
      </c>
      <c r="K1321">
        <v>5</v>
      </c>
      <c r="L1321" t="s">
        <v>1118</v>
      </c>
      <c r="M1321">
        <v>2</v>
      </c>
      <c r="N1321">
        <v>3569</v>
      </c>
      <c r="O1321">
        <v>60</v>
      </c>
      <c r="P1321" s="1">
        <v>45610</v>
      </c>
      <c r="Q1321" s="1"/>
      <c r="R1321" t="str">
        <f>IF(Table1[[#This Row],[Actual close date]]="","",Table1[[#This Row],[Actual close date]]-Table1[[#This Row],[Expected close date]])</f>
        <v/>
      </c>
    </row>
    <row r="1322" spans="1:18" x14ac:dyDescent="0.25">
      <c r="A1322" t="s">
        <v>1324</v>
      </c>
      <c r="B1322" t="s">
        <v>39</v>
      </c>
      <c r="C1322" t="s">
        <v>40</v>
      </c>
      <c r="D1322" t="s">
        <v>41</v>
      </c>
      <c r="E1322" t="s">
        <v>30</v>
      </c>
      <c r="F1322" t="s">
        <v>167</v>
      </c>
      <c r="G1322" t="s">
        <v>85</v>
      </c>
      <c r="H1322" s="1">
        <v>45358</v>
      </c>
      <c r="I1322" t="s">
        <v>64</v>
      </c>
      <c r="J1322" t="s">
        <v>1117</v>
      </c>
      <c r="K1322">
        <v>5</v>
      </c>
      <c r="L1322" t="s">
        <v>1118</v>
      </c>
      <c r="M1322">
        <v>2</v>
      </c>
      <c r="N1322">
        <v>5842</v>
      </c>
      <c r="O1322">
        <v>10</v>
      </c>
      <c r="P1322" s="1">
        <v>45429</v>
      </c>
      <c r="Q1322" s="1"/>
      <c r="R1322" t="str">
        <f>IF(Table1[[#This Row],[Actual close date]]="","",Table1[[#This Row],[Actual close date]]-Table1[[#This Row],[Expected close date]])</f>
        <v/>
      </c>
    </row>
    <row r="1323" spans="1:18" x14ac:dyDescent="0.25">
      <c r="A1323" t="s">
        <v>1358</v>
      </c>
      <c r="B1323" t="s">
        <v>69</v>
      </c>
      <c r="C1323" t="s">
        <v>70</v>
      </c>
      <c r="D1323" t="s">
        <v>71</v>
      </c>
      <c r="E1323" t="s">
        <v>52</v>
      </c>
      <c r="F1323" t="s">
        <v>167</v>
      </c>
      <c r="G1323" t="s">
        <v>37</v>
      </c>
      <c r="H1323" s="1">
        <v>45358</v>
      </c>
      <c r="I1323" t="s">
        <v>64</v>
      </c>
      <c r="J1323" t="s">
        <v>1117</v>
      </c>
      <c r="K1323">
        <v>5</v>
      </c>
      <c r="L1323" t="s">
        <v>1118</v>
      </c>
      <c r="M1323">
        <v>2</v>
      </c>
      <c r="N1323">
        <v>3691</v>
      </c>
      <c r="O1323">
        <v>30</v>
      </c>
      <c r="P1323" s="1">
        <v>45661</v>
      </c>
      <c r="Q1323" s="1"/>
      <c r="R1323" t="str">
        <f>IF(Table1[[#This Row],[Actual close date]]="","",Table1[[#This Row],[Actual close date]]-Table1[[#This Row],[Expected close date]])</f>
        <v/>
      </c>
    </row>
    <row r="1324" spans="1:18" x14ac:dyDescent="0.25">
      <c r="A1324" t="s">
        <v>1402</v>
      </c>
      <c r="B1324" t="s">
        <v>59</v>
      </c>
      <c r="C1324" t="s">
        <v>60</v>
      </c>
      <c r="D1324" t="s">
        <v>61</v>
      </c>
      <c r="E1324" t="s">
        <v>118</v>
      </c>
      <c r="F1324" t="s">
        <v>167</v>
      </c>
      <c r="G1324" t="s">
        <v>57</v>
      </c>
      <c r="H1324" s="1">
        <v>45358</v>
      </c>
      <c r="I1324" t="s">
        <v>64</v>
      </c>
      <c r="J1324" t="s">
        <v>1117</v>
      </c>
      <c r="K1324">
        <v>5</v>
      </c>
      <c r="L1324" t="s">
        <v>1118</v>
      </c>
      <c r="M1324">
        <v>2</v>
      </c>
      <c r="N1324">
        <v>7972</v>
      </c>
      <c r="O1324">
        <v>30</v>
      </c>
      <c r="P1324" s="1">
        <v>45399</v>
      </c>
      <c r="Q1324" s="1"/>
      <c r="R1324" t="str">
        <f>IF(Table1[[#This Row],[Actual close date]]="","",Table1[[#This Row],[Actual close date]]-Table1[[#This Row],[Expected close date]])</f>
        <v/>
      </c>
    </row>
    <row r="1325" spans="1:18" x14ac:dyDescent="0.25">
      <c r="A1325" t="s">
        <v>1607</v>
      </c>
      <c r="B1325" t="s">
        <v>49</v>
      </c>
      <c r="C1325" t="s">
        <v>50</v>
      </c>
      <c r="D1325" t="s">
        <v>51</v>
      </c>
      <c r="E1325" t="s">
        <v>98</v>
      </c>
      <c r="F1325" t="s">
        <v>167</v>
      </c>
      <c r="G1325" t="s">
        <v>57</v>
      </c>
      <c r="H1325" s="1">
        <v>45358</v>
      </c>
      <c r="I1325" t="s">
        <v>64</v>
      </c>
      <c r="J1325" t="s">
        <v>1117</v>
      </c>
      <c r="K1325">
        <v>5</v>
      </c>
      <c r="L1325" t="s">
        <v>1479</v>
      </c>
      <c r="M1325">
        <v>3</v>
      </c>
      <c r="N1325">
        <v>4418</v>
      </c>
      <c r="O1325">
        <v>100</v>
      </c>
      <c r="P1325" s="1">
        <v>45465</v>
      </c>
      <c r="Q1325" s="1"/>
      <c r="R1325" t="str">
        <f>IF(Table1[[#This Row],[Actual close date]]="","",Table1[[#This Row],[Actual close date]]-Table1[[#This Row],[Expected close date]])</f>
        <v/>
      </c>
    </row>
    <row r="1326" spans="1:18" x14ac:dyDescent="0.25">
      <c r="A1326" t="s">
        <v>1631</v>
      </c>
      <c r="B1326" t="s">
        <v>54</v>
      </c>
      <c r="C1326" t="s">
        <v>55</v>
      </c>
      <c r="D1326" t="s">
        <v>56</v>
      </c>
      <c r="E1326" t="s">
        <v>62</v>
      </c>
      <c r="F1326" t="s">
        <v>167</v>
      </c>
      <c r="G1326" t="s">
        <v>23</v>
      </c>
      <c r="H1326" s="1">
        <v>45358</v>
      </c>
      <c r="I1326" t="s">
        <v>47</v>
      </c>
      <c r="J1326" t="s">
        <v>1117</v>
      </c>
      <c r="K1326">
        <v>5</v>
      </c>
      <c r="L1326" t="s">
        <v>1479</v>
      </c>
      <c r="M1326">
        <v>3</v>
      </c>
      <c r="N1326">
        <v>767</v>
      </c>
      <c r="O1326">
        <v>70</v>
      </c>
      <c r="P1326" s="1">
        <v>45445</v>
      </c>
      <c r="Q1326" s="1"/>
      <c r="R1326" t="str">
        <f>IF(Table1[[#This Row],[Actual close date]]="","",Table1[[#This Row],[Actual close date]]-Table1[[#This Row],[Expected close date]])</f>
        <v/>
      </c>
    </row>
    <row r="1327" spans="1:18" x14ac:dyDescent="0.25">
      <c r="A1327" t="s">
        <v>1733</v>
      </c>
      <c r="B1327" t="s">
        <v>33</v>
      </c>
      <c r="C1327" t="s">
        <v>34</v>
      </c>
      <c r="D1327" t="s">
        <v>35</v>
      </c>
      <c r="E1327" t="s">
        <v>62</v>
      </c>
      <c r="F1327" t="s">
        <v>125</v>
      </c>
      <c r="G1327" t="s">
        <v>57</v>
      </c>
      <c r="H1327" s="1">
        <v>45358</v>
      </c>
      <c r="I1327" t="s">
        <v>64</v>
      </c>
      <c r="J1327" t="s">
        <v>1117</v>
      </c>
      <c r="K1327">
        <v>5</v>
      </c>
      <c r="L1327" t="s">
        <v>1700</v>
      </c>
      <c r="M1327">
        <v>1</v>
      </c>
      <c r="N1327">
        <v>271</v>
      </c>
      <c r="O1327">
        <v>20</v>
      </c>
      <c r="P1327" s="1">
        <v>45474</v>
      </c>
      <c r="Q1327" s="1"/>
      <c r="R1327" t="str">
        <f>IF(Table1[[#This Row],[Actual close date]]="","",Table1[[#This Row],[Actual close date]]-Table1[[#This Row],[Expected close date]])</f>
        <v/>
      </c>
    </row>
    <row r="1328" spans="1:18" x14ac:dyDescent="0.25">
      <c r="A1328" t="s">
        <v>1341</v>
      </c>
      <c r="B1328" t="s">
        <v>76</v>
      </c>
      <c r="C1328" t="s">
        <v>77</v>
      </c>
      <c r="D1328" t="s">
        <v>78</v>
      </c>
      <c r="E1328" t="s">
        <v>42</v>
      </c>
      <c r="F1328" t="s">
        <v>167</v>
      </c>
      <c r="G1328" t="s">
        <v>85</v>
      </c>
      <c r="H1328" s="1">
        <v>45359</v>
      </c>
      <c r="I1328" t="s">
        <v>47</v>
      </c>
      <c r="J1328" t="s">
        <v>1117</v>
      </c>
      <c r="K1328">
        <v>5</v>
      </c>
      <c r="L1328" t="s">
        <v>1118</v>
      </c>
      <c r="M1328">
        <v>2</v>
      </c>
      <c r="N1328">
        <v>7212</v>
      </c>
      <c r="O1328">
        <v>50</v>
      </c>
      <c r="P1328" s="1">
        <v>45615</v>
      </c>
      <c r="Q1328" s="1"/>
      <c r="R1328" t="str">
        <f>IF(Table1[[#This Row],[Actual close date]]="","",Table1[[#This Row],[Actual close date]]-Table1[[#This Row],[Expected close date]])</f>
        <v/>
      </c>
    </row>
    <row r="1329" spans="1:18" x14ac:dyDescent="0.25">
      <c r="A1329" t="s">
        <v>1640</v>
      </c>
      <c r="B1329" t="s">
        <v>76</v>
      </c>
      <c r="C1329" t="s">
        <v>77</v>
      </c>
      <c r="D1329" t="s">
        <v>78</v>
      </c>
      <c r="E1329" t="s">
        <v>66</v>
      </c>
      <c r="F1329" t="s">
        <v>167</v>
      </c>
      <c r="G1329" t="s">
        <v>72</v>
      </c>
      <c r="H1329" s="1">
        <v>45359</v>
      </c>
      <c r="I1329" t="s">
        <v>64</v>
      </c>
      <c r="J1329" t="s">
        <v>1117</v>
      </c>
      <c r="K1329">
        <v>5</v>
      </c>
      <c r="L1329" t="s">
        <v>1479</v>
      </c>
      <c r="M1329">
        <v>3</v>
      </c>
      <c r="N1329">
        <v>3449</v>
      </c>
      <c r="O1329">
        <v>50</v>
      </c>
      <c r="P1329" s="1">
        <v>45553</v>
      </c>
      <c r="Q1329" s="1"/>
      <c r="R1329" t="str">
        <f>IF(Table1[[#This Row],[Actual close date]]="","",Table1[[#This Row],[Actual close date]]-Table1[[#This Row],[Expected close date]])</f>
        <v/>
      </c>
    </row>
    <row r="1330" spans="1:18" x14ac:dyDescent="0.25">
      <c r="A1330" t="s">
        <v>1686</v>
      </c>
      <c r="B1330" t="s">
        <v>59</v>
      </c>
      <c r="C1330" t="s">
        <v>60</v>
      </c>
      <c r="D1330" t="s">
        <v>61</v>
      </c>
      <c r="E1330" t="s">
        <v>45</v>
      </c>
      <c r="F1330" t="s">
        <v>167</v>
      </c>
      <c r="G1330" t="s">
        <v>23</v>
      </c>
      <c r="H1330" s="1">
        <v>45359</v>
      </c>
      <c r="I1330" t="s">
        <v>64</v>
      </c>
      <c r="J1330" t="s">
        <v>1117</v>
      </c>
      <c r="K1330">
        <v>5</v>
      </c>
      <c r="L1330" t="s">
        <v>1479</v>
      </c>
      <c r="M1330">
        <v>3</v>
      </c>
      <c r="N1330">
        <v>7963</v>
      </c>
      <c r="O1330">
        <v>20</v>
      </c>
      <c r="P1330" s="1">
        <v>45422</v>
      </c>
      <c r="Q1330" s="1"/>
      <c r="R1330" t="str">
        <f>IF(Table1[[#This Row],[Actual close date]]="","",Table1[[#This Row],[Actual close date]]-Table1[[#This Row],[Expected close date]])</f>
        <v/>
      </c>
    </row>
    <row r="1331" spans="1:18" x14ac:dyDescent="0.25">
      <c r="A1331" t="s">
        <v>1197</v>
      </c>
      <c r="B1331" t="s">
        <v>33</v>
      </c>
      <c r="C1331" t="s">
        <v>34</v>
      </c>
      <c r="D1331" t="s">
        <v>35</v>
      </c>
      <c r="E1331" t="s">
        <v>21</v>
      </c>
      <c r="F1331" t="s">
        <v>22</v>
      </c>
      <c r="G1331" t="s">
        <v>46</v>
      </c>
      <c r="H1331" s="1">
        <v>45360</v>
      </c>
      <c r="I1331" t="s">
        <v>64</v>
      </c>
      <c r="J1331" t="s">
        <v>1117</v>
      </c>
      <c r="K1331">
        <v>5</v>
      </c>
      <c r="L1331" t="s">
        <v>1118</v>
      </c>
      <c r="M1331">
        <v>2</v>
      </c>
      <c r="N1331">
        <v>406</v>
      </c>
      <c r="O1331">
        <v>60</v>
      </c>
      <c r="P1331" s="1">
        <v>45489</v>
      </c>
      <c r="Q1331" s="1"/>
      <c r="R1331" t="str">
        <f>IF(Table1[[#This Row],[Actual close date]]="","",Table1[[#This Row],[Actual close date]]-Table1[[#This Row],[Expected close date]])</f>
        <v/>
      </c>
    </row>
    <row r="1332" spans="1:18" x14ac:dyDescent="0.25">
      <c r="A1332" t="s">
        <v>1245</v>
      </c>
      <c r="B1332" t="s">
        <v>54</v>
      </c>
      <c r="C1332" t="s">
        <v>55</v>
      </c>
      <c r="D1332" t="s">
        <v>56</v>
      </c>
      <c r="E1332" t="s">
        <v>122</v>
      </c>
      <c r="F1332" t="s">
        <v>125</v>
      </c>
      <c r="G1332" t="s">
        <v>46</v>
      </c>
      <c r="H1332" s="1">
        <v>45360</v>
      </c>
      <c r="I1332" t="s">
        <v>64</v>
      </c>
      <c r="J1332" t="s">
        <v>1117</v>
      </c>
      <c r="K1332">
        <v>5</v>
      </c>
      <c r="L1332" t="s">
        <v>1118</v>
      </c>
      <c r="M1332">
        <v>2</v>
      </c>
      <c r="N1332">
        <v>827</v>
      </c>
      <c r="O1332">
        <v>100</v>
      </c>
      <c r="P1332" s="1">
        <v>45700</v>
      </c>
      <c r="Q1332" s="1"/>
      <c r="R1332" t="str">
        <f>IF(Table1[[#This Row],[Actual close date]]="","",Table1[[#This Row],[Actual close date]]-Table1[[#This Row],[Expected close date]])</f>
        <v/>
      </c>
    </row>
    <row r="1333" spans="1:18" x14ac:dyDescent="0.25">
      <c r="A1333" t="s">
        <v>1275</v>
      </c>
      <c r="B1333" t="s">
        <v>33</v>
      </c>
      <c r="C1333" t="s">
        <v>34</v>
      </c>
      <c r="D1333" t="s">
        <v>35</v>
      </c>
      <c r="E1333" t="s">
        <v>52</v>
      </c>
      <c r="F1333" t="s">
        <v>167</v>
      </c>
      <c r="G1333" t="s">
        <v>83</v>
      </c>
      <c r="H1333" s="1">
        <v>45360</v>
      </c>
      <c r="I1333" t="s">
        <v>24</v>
      </c>
      <c r="J1333" t="s">
        <v>1117</v>
      </c>
      <c r="K1333">
        <v>5</v>
      </c>
      <c r="L1333" t="s">
        <v>1118</v>
      </c>
      <c r="M1333">
        <v>2</v>
      </c>
      <c r="N1333">
        <v>7664</v>
      </c>
      <c r="O1333">
        <v>30</v>
      </c>
      <c r="P1333" s="1">
        <v>45531</v>
      </c>
      <c r="Q1333" s="1"/>
      <c r="R1333" t="str">
        <f>IF(Table1[[#This Row],[Actual close date]]="","",Table1[[#This Row],[Actual close date]]-Table1[[#This Row],[Expected close date]])</f>
        <v/>
      </c>
    </row>
    <row r="1334" spans="1:18" x14ac:dyDescent="0.25">
      <c r="A1334" t="s">
        <v>1563</v>
      </c>
      <c r="B1334" t="s">
        <v>76</v>
      </c>
      <c r="C1334" t="s">
        <v>77</v>
      </c>
      <c r="D1334" t="s">
        <v>78</v>
      </c>
      <c r="E1334" t="s">
        <v>45</v>
      </c>
      <c r="F1334" t="s">
        <v>125</v>
      </c>
      <c r="G1334" t="s">
        <v>72</v>
      </c>
      <c r="H1334" s="1">
        <v>45360</v>
      </c>
      <c r="I1334" t="s">
        <v>64</v>
      </c>
      <c r="J1334" t="s">
        <v>1117</v>
      </c>
      <c r="K1334">
        <v>5</v>
      </c>
      <c r="L1334" t="s">
        <v>1479</v>
      </c>
      <c r="M1334">
        <v>3</v>
      </c>
      <c r="N1334">
        <v>805</v>
      </c>
      <c r="O1334">
        <v>40</v>
      </c>
      <c r="P1334" s="1">
        <v>45522</v>
      </c>
      <c r="Q1334" s="1"/>
      <c r="R1334" t="str">
        <f>IF(Table1[[#This Row],[Actual close date]]="","",Table1[[#This Row],[Actual close date]]-Table1[[#This Row],[Expected close date]])</f>
        <v/>
      </c>
    </row>
    <row r="1335" spans="1:18" x14ac:dyDescent="0.25">
      <c r="A1335" t="s">
        <v>1577</v>
      </c>
      <c r="B1335" t="s">
        <v>76</v>
      </c>
      <c r="C1335" t="s">
        <v>77</v>
      </c>
      <c r="D1335" t="s">
        <v>78</v>
      </c>
      <c r="E1335" t="s">
        <v>21</v>
      </c>
      <c r="F1335" t="s">
        <v>125</v>
      </c>
      <c r="G1335" t="s">
        <v>57</v>
      </c>
      <c r="H1335" s="1">
        <v>45360</v>
      </c>
      <c r="I1335" t="s">
        <v>24</v>
      </c>
      <c r="J1335" t="s">
        <v>1117</v>
      </c>
      <c r="K1335">
        <v>5</v>
      </c>
      <c r="L1335" t="s">
        <v>1479</v>
      </c>
      <c r="M1335">
        <v>3</v>
      </c>
      <c r="N1335">
        <v>990</v>
      </c>
      <c r="O1335">
        <v>80</v>
      </c>
      <c r="P1335" s="1">
        <v>45380</v>
      </c>
      <c r="Q1335" s="1"/>
      <c r="R1335" t="str">
        <f>IF(Table1[[#This Row],[Actual close date]]="","",Table1[[#This Row],[Actual close date]]-Table1[[#This Row],[Expected close date]])</f>
        <v/>
      </c>
    </row>
    <row r="1336" spans="1:18" x14ac:dyDescent="0.25">
      <c r="A1336" t="s">
        <v>1770</v>
      </c>
      <c r="B1336" t="s">
        <v>59</v>
      </c>
      <c r="C1336" t="s">
        <v>60</v>
      </c>
      <c r="D1336" t="s">
        <v>61</v>
      </c>
      <c r="E1336" t="s">
        <v>21</v>
      </c>
      <c r="F1336" t="s">
        <v>22</v>
      </c>
      <c r="G1336" t="s">
        <v>31</v>
      </c>
      <c r="H1336" s="1">
        <v>45360</v>
      </c>
      <c r="I1336" t="s">
        <v>64</v>
      </c>
      <c r="J1336" t="s">
        <v>1117</v>
      </c>
      <c r="K1336">
        <v>5</v>
      </c>
      <c r="L1336" t="s">
        <v>1766</v>
      </c>
      <c r="M1336">
        <v>4</v>
      </c>
      <c r="N1336">
        <v>838</v>
      </c>
      <c r="O1336">
        <v>100</v>
      </c>
      <c r="P1336" s="1">
        <v>45652</v>
      </c>
      <c r="Q1336" s="1"/>
      <c r="R1336" t="str">
        <f>IF(Table1[[#This Row],[Actual close date]]="","",Table1[[#This Row],[Actual close date]]-Table1[[#This Row],[Expected close date]])</f>
        <v/>
      </c>
    </row>
    <row r="1337" spans="1:18" x14ac:dyDescent="0.25">
      <c r="A1337" t="s">
        <v>1771</v>
      </c>
      <c r="B1337" t="s">
        <v>39</v>
      </c>
      <c r="C1337" t="s">
        <v>40</v>
      </c>
      <c r="D1337" t="s">
        <v>41</v>
      </c>
      <c r="E1337" t="s">
        <v>74</v>
      </c>
      <c r="F1337" t="s">
        <v>22</v>
      </c>
      <c r="G1337" t="s">
        <v>37</v>
      </c>
      <c r="H1337" s="1">
        <v>45360</v>
      </c>
      <c r="I1337" t="s">
        <v>64</v>
      </c>
      <c r="J1337" t="s">
        <v>1117</v>
      </c>
      <c r="K1337">
        <v>5</v>
      </c>
      <c r="L1337" t="s">
        <v>1766</v>
      </c>
      <c r="M1337">
        <v>4</v>
      </c>
      <c r="N1337">
        <v>708</v>
      </c>
      <c r="O1337">
        <v>40</v>
      </c>
      <c r="P1337" s="1">
        <v>45675</v>
      </c>
      <c r="Q1337" s="1"/>
      <c r="R1337" t="str">
        <f>IF(Table1[[#This Row],[Actual close date]]="","",Table1[[#This Row],[Actual close date]]-Table1[[#This Row],[Expected close date]])</f>
        <v/>
      </c>
    </row>
    <row r="1338" spans="1:18" x14ac:dyDescent="0.25">
      <c r="A1338" t="s">
        <v>1416</v>
      </c>
      <c r="B1338" t="s">
        <v>76</v>
      </c>
      <c r="C1338" t="s">
        <v>77</v>
      </c>
      <c r="D1338" t="s">
        <v>78</v>
      </c>
      <c r="E1338" t="s">
        <v>42</v>
      </c>
      <c r="F1338" t="s">
        <v>22</v>
      </c>
      <c r="G1338" t="s">
        <v>37</v>
      </c>
      <c r="H1338" s="1">
        <v>45319</v>
      </c>
      <c r="I1338" t="s">
        <v>24</v>
      </c>
      <c r="J1338" t="s">
        <v>1117</v>
      </c>
      <c r="K1338">
        <v>5</v>
      </c>
      <c r="L1338" t="s">
        <v>1417</v>
      </c>
      <c r="M1338">
        <v>6</v>
      </c>
      <c r="N1338">
        <v>1615</v>
      </c>
      <c r="O1338">
        <v>30</v>
      </c>
      <c r="P1338" s="1">
        <v>45486</v>
      </c>
      <c r="Q1338" s="1"/>
      <c r="R1338" t="str">
        <f>IF(Table1[[#This Row],[Actual close date]]="","",Table1[[#This Row],[Actual close date]]-Table1[[#This Row],[Expected close date]])</f>
        <v/>
      </c>
    </row>
    <row r="1339" spans="1:18" x14ac:dyDescent="0.25">
      <c r="A1339" t="s">
        <v>1418</v>
      </c>
      <c r="B1339" t="s">
        <v>39</v>
      </c>
      <c r="C1339" t="s">
        <v>40</v>
      </c>
      <c r="D1339" t="s">
        <v>41</v>
      </c>
      <c r="E1339" t="s">
        <v>52</v>
      </c>
      <c r="F1339" t="s">
        <v>22</v>
      </c>
      <c r="G1339" t="s">
        <v>46</v>
      </c>
      <c r="H1339" s="1">
        <v>45349</v>
      </c>
      <c r="I1339" t="s">
        <v>64</v>
      </c>
      <c r="J1339" t="s">
        <v>1117</v>
      </c>
      <c r="K1339">
        <v>5</v>
      </c>
      <c r="L1339" t="s">
        <v>1417</v>
      </c>
      <c r="M1339">
        <v>6</v>
      </c>
      <c r="N1339">
        <v>1317</v>
      </c>
      <c r="O1339">
        <v>20</v>
      </c>
      <c r="P1339" s="1">
        <v>45652</v>
      </c>
      <c r="Q1339" s="1"/>
      <c r="R1339" t="str">
        <f>IF(Table1[[#This Row],[Actual close date]]="","",Table1[[#This Row],[Actual close date]]-Table1[[#This Row],[Expected close date]])</f>
        <v/>
      </c>
    </row>
    <row r="1340" spans="1:18" x14ac:dyDescent="0.25">
      <c r="A1340" t="s">
        <v>1419</v>
      </c>
      <c r="B1340" t="s">
        <v>33</v>
      </c>
      <c r="C1340" t="s">
        <v>34</v>
      </c>
      <c r="D1340" t="s">
        <v>35</v>
      </c>
      <c r="E1340" t="s">
        <v>52</v>
      </c>
      <c r="F1340" t="s">
        <v>22</v>
      </c>
      <c r="G1340" t="s">
        <v>83</v>
      </c>
      <c r="H1340" s="1">
        <v>45391</v>
      </c>
      <c r="I1340" t="s">
        <v>24</v>
      </c>
      <c r="J1340" t="s">
        <v>1117</v>
      </c>
      <c r="K1340">
        <v>5</v>
      </c>
      <c r="L1340" t="s">
        <v>1417</v>
      </c>
      <c r="M1340">
        <v>6</v>
      </c>
      <c r="N1340">
        <v>1152</v>
      </c>
      <c r="O1340">
        <v>50</v>
      </c>
      <c r="P1340" s="1">
        <v>45587</v>
      </c>
      <c r="Q1340" s="1"/>
      <c r="R1340" t="str">
        <f>IF(Table1[[#This Row],[Actual close date]]="","",Table1[[#This Row],[Actual close date]]-Table1[[#This Row],[Expected close date]])</f>
        <v/>
      </c>
    </row>
    <row r="1341" spans="1:18" x14ac:dyDescent="0.25">
      <c r="A1341" t="s">
        <v>1420</v>
      </c>
      <c r="B1341" t="s">
        <v>59</v>
      </c>
      <c r="C1341" t="s">
        <v>60</v>
      </c>
      <c r="D1341" t="s">
        <v>61</v>
      </c>
      <c r="E1341" t="s">
        <v>66</v>
      </c>
      <c r="F1341" t="s">
        <v>22</v>
      </c>
      <c r="G1341" t="s">
        <v>85</v>
      </c>
      <c r="H1341" s="1">
        <v>45392</v>
      </c>
      <c r="I1341" t="s">
        <v>24</v>
      </c>
      <c r="J1341" t="s">
        <v>1117</v>
      </c>
      <c r="K1341">
        <v>5</v>
      </c>
      <c r="L1341" t="s">
        <v>1417</v>
      </c>
      <c r="M1341">
        <v>6</v>
      </c>
      <c r="N1341">
        <v>1158</v>
      </c>
      <c r="O1341">
        <v>30</v>
      </c>
      <c r="P1341" s="1">
        <v>45618</v>
      </c>
      <c r="Q1341" s="1"/>
      <c r="R1341" t="str">
        <f>IF(Table1[[#This Row],[Actual close date]]="","",Table1[[#This Row],[Actual close date]]-Table1[[#This Row],[Expected close date]])</f>
        <v/>
      </c>
    </row>
    <row r="1342" spans="1:18" x14ac:dyDescent="0.25">
      <c r="A1342" t="s">
        <v>1421</v>
      </c>
      <c r="B1342" t="s">
        <v>49</v>
      </c>
      <c r="C1342" t="s">
        <v>50</v>
      </c>
      <c r="D1342" t="s">
        <v>51</v>
      </c>
      <c r="E1342" t="s">
        <v>45</v>
      </c>
      <c r="F1342" t="s">
        <v>22</v>
      </c>
      <c r="G1342" t="s">
        <v>46</v>
      </c>
      <c r="H1342" s="1">
        <v>45408</v>
      </c>
      <c r="I1342" t="s">
        <v>47</v>
      </c>
      <c r="J1342" t="s">
        <v>1117</v>
      </c>
      <c r="K1342">
        <v>5</v>
      </c>
      <c r="L1342" t="s">
        <v>1417</v>
      </c>
      <c r="M1342">
        <v>6</v>
      </c>
      <c r="N1342">
        <v>1306</v>
      </c>
      <c r="O1342">
        <v>50</v>
      </c>
      <c r="P1342" s="1">
        <v>45740</v>
      </c>
      <c r="Q1342" s="1"/>
      <c r="R1342" t="str">
        <f>IF(Table1[[#This Row],[Actual close date]]="","",Table1[[#This Row],[Actual close date]]-Table1[[#This Row],[Expected close date]])</f>
        <v/>
      </c>
    </row>
    <row r="1343" spans="1:18" x14ac:dyDescent="0.25">
      <c r="A1343" t="s">
        <v>1422</v>
      </c>
      <c r="B1343" t="s">
        <v>39</v>
      </c>
      <c r="C1343" t="s">
        <v>40</v>
      </c>
      <c r="D1343" t="s">
        <v>41</v>
      </c>
      <c r="E1343" t="s">
        <v>82</v>
      </c>
      <c r="F1343" t="s">
        <v>22</v>
      </c>
      <c r="G1343" t="s">
        <v>23</v>
      </c>
      <c r="H1343" s="1">
        <v>45304</v>
      </c>
      <c r="I1343" t="s">
        <v>64</v>
      </c>
      <c r="J1343" t="s">
        <v>1117</v>
      </c>
      <c r="K1343">
        <v>5</v>
      </c>
      <c r="L1343" t="s">
        <v>1417</v>
      </c>
      <c r="M1343">
        <v>6</v>
      </c>
      <c r="N1343">
        <v>1170</v>
      </c>
      <c r="O1343">
        <v>20</v>
      </c>
      <c r="P1343" s="1">
        <v>45397</v>
      </c>
      <c r="Q1343" s="1"/>
      <c r="R1343" t="str">
        <f>IF(Table1[[#This Row],[Actual close date]]="","",Table1[[#This Row],[Actual close date]]-Table1[[#This Row],[Expected close date]])</f>
        <v/>
      </c>
    </row>
    <row r="1344" spans="1:18" x14ac:dyDescent="0.25">
      <c r="A1344" t="s">
        <v>1423</v>
      </c>
      <c r="B1344" t="s">
        <v>39</v>
      </c>
      <c r="C1344" t="s">
        <v>40</v>
      </c>
      <c r="D1344" t="s">
        <v>41</v>
      </c>
      <c r="E1344" t="s">
        <v>66</v>
      </c>
      <c r="F1344" t="s">
        <v>22</v>
      </c>
      <c r="G1344" t="s">
        <v>31</v>
      </c>
      <c r="H1344" s="1">
        <v>45304</v>
      </c>
      <c r="I1344" t="s">
        <v>47</v>
      </c>
      <c r="J1344" t="s">
        <v>1117</v>
      </c>
      <c r="K1344">
        <v>5</v>
      </c>
      <c r="L1344" t="s">
        <v>1417</v>
      </c>
      <c r="M1344">
        <v>6</v>
      </c>
      <c r="N1344">
        <v>1791</v>
      </c>
      <c r="O1344">
        <v>30</v>
      </c>
      <c r="P1344" s="1">
        <v>45533</v>
      </c>
      <c r="Q1344" s="1"/>
      <c r="R1344" t="str">
        <f>IF(Table1[[#This Row],[Actual close date]]="","",Table1[[#This Row],[Actual close date]]-Table1[[#This Row],[Expected close date]])</f>
        <v/>
      </c>
    </row>
    <row r="1345" spans="1:18" x14ac:dyDescent="0.25">
      <c r="A1345" t="s">
        <v>1424</v>
      </c>
      <c r="B1345" t="s">
        <v>39</v>
      </c>
      <c r="C1345" t="s">
        <v>40</v>
      </c>
      <c r="D1345" t="s">
        <v>41</v>
      </c>
      <c r="E1345" t="s">
        <v>82</v>
      </c>
      <c r="F1345" t="s">
        <v>22</v>
      </c>
      <c r="G1345" t="s">
        <v>31</v>
      </c>
      <c r="H1345" s="1">
        <v>45329</v>
      </c>
      <c r="I1345" t="s">
        <v>24</v>
      </c>
      <c r="J1345" t="s">
        <v>1117</v>
      </c>
      <c r="K1345">
        <v>5</v>
      </c>
      <c r="L1345" t="s">
        <v>1417</v>
      </c>
      <c r="M1345">
        <v>6</v>
      </c>
      <c r="N1345">
        <v>632</v>
      </c>
      <c r="O1345">
        <v>50</v>
      </c>
      <c r="P1345" s="1">
        <v>45565</v>
      </c>
      <c r="Q1345" s="1"/>
      <c r="R1345" t="str">
        <f>IF(Table1[[#This Row],[Actual close date]]="","",Table1[[#This Row],[Actual close date]]-Table1[[#This Row],[Expected close date]])</f>
        <v/>
      </c>
    </row>
    <row r="1346" spans="1:18" x14ac:dyDescent="0.25">
      <c r="A1346" t="s">
        <v>1425</v>
      </c>
      <c r="B1346" t="s">
        <v>49</v>
      </c>
      <c r="C1346" t="s">
        <v>50</v>
      </c>
      <c r="D1346" t="s">
        <v>51</v>
      </c>
      <c r="E1346" t="s">
        <v>118</v>
      </c>
      <c r="F1346" t="s">
        <v>22</v>
      </c>
      <c r="G1346" t="s">
        <v>37</v>
      </c>
      <c r="H1346" s="1">
        <v>45423</v>
      </c>
      <c r="I1346" t="s">
        <v>47</v>
      </c>
      <c r="J1346" t="s">
        <v>1117</v>
      </c>
      <c r="K1346">
        <v>5</v>
      </c>
      <c r="L1346" t="s">
        <v>1417</v>
      </c>
      <c r="M1346">
        <v>6</v>
      </c>
      <c r="N1346">
        <v>644</v>
      </c>
      <c r="O1346">
        <v>20</v>
      </c>
      <c r="P1346" s="1">
        <v>45667</v>
      </c>
      <c r="Q1346" s="1"/>
      <c r="R1346" t="str">
        <f>IF(Table1[[#This Row],[Actual close date]]="","",Table1[[#This Row],[Actual close date]]-Table1[[#This Row],[Expected close date]])</f>
        <v/>
      </c>
    </row>
    <row r="1347" spans="1:18" x14ac:dyDescent="0.25">
      <c r="A1347" t="s">
        <v>1426</v>
      </c>
      <c r="B1347" t="s">
        <v>59</v>
      </c>
      <c r="C1347" t="s">
        <v>60</v>
      </c>
      <c r="D1347" t="s">
        <v>61</v>
      </c>
      <c r="E1347" t="s">
        <v>45</v>
      </c>
      <c r="F1347" t="s">
        <v>22</v>
      </c>
      <c r="G1347" t="s">
        <v>85</v>
      </c>
      <c r="H1347" s="1">
        <v>45381</v>
      </c>
      <c r="I1347" t="s">
        <v>24</v>
      </c>
      <c r="J1347" t="s">
        <v>1117</v>
      </c>
      <c r="K1347">
        <v>5</v>
      </c>
      <c r="L1347" t="s">
        <v>1417</v>
      </c>
      <c r="M1347">
        <v>6</v>
      </c>
      <c r="N1347">
        <v>229</v>
      </c>
      <c r="O1347">
        <v>20</v>
      </c>
      <c r="P1347" s="1">
        <v>45739</v>
      </c>
      <c r="Q1347" s="1"/>
      <c r="R1347" t="str">
        <f>IF(Table1[[#This Row],[Actual close date]]="","",Table1[[#This Row],[Actual close date]]-Table1[[#This Row],[Expected close date]])</f>
        <v/>
      </c>
    </row>
    <row r="1348" spans="1:18" x14ac:dyDescent="0.25">
      <c r="A1348" t="s">
        <v>1427</v>
      </c>
      <c r="B1348" t="s">
        <v>54</v>
      </c>
      <c r="C1348" t="s">
        <v>55</v>
      </c>
      <c r="D1348" t="s">
        <v>56</v>
      </c>
      <c r="E1348" t="s">
        <v>74</v>
      </c>
      <c r="F1348" t="s">
        <v>22</v>
      </c>
      <c r="G1348" t="s">
        <v>72</v>
      </c>
      <c r="H1348" s="1">
        <v>45414</v>
      </c>
      <c r="I1348" t="s">
        <v>47</v>
      </c>
      <c r="J1348" t="s">
        <v>1117</v>
      </c>
      <c r="K1348">
        <v>5</v>
      </c>
      <c r="L1348" t="s">
        <v>1417</v>
      </c>
      <c r="M1348">
        <v>6</v>
      </c>
      <c r="N1348">
        <v>1767</v>
      </c>
      <c r="O1348">
        <v>40</v>
      </c>
      <c r="P1348" s="1">
        <v>45589</v>
      </c>
      <c r="Q1348" s="1"/>
      <c r="R1348" t="str">
        <f>IF(Table1[[#This Row],[Actual close date]]="","",Table1[[#This Row],[Actual close date]]-Table1[[#This Row],[Expected close date]])</f>
        <v/>
      </c>
    </row>
    <row r="1349" spans="1:18" x14ac:dyDescent="0.25">
      <c r="A1349" t="s">
        <v>1428</v>
      </c>
      <c r="B1349" t="s">
        <v>39</v>
      </c>
      <c r="C1349" t="s">
        <v>40</v>
      </c>
      <c r="D1349" t="s">
        <v>41</v>
      </c>
      <c r="E1349" t="s">
        <v>30</v>
      </c>
      <c r="F1349" t="s">
        <v>22</v>
      </c>
      <c r="G1349" t="s">
        <v>31</v>
      </c>
      <c r="H1349" s="1">
        <v>45389</v>
      </c>
      <c r="I1349" t="s">
        <v>24</v>
      </c>
      <c r="J1349" t="s">
        <v>1117</v>
      </c>
      <c r="K1349">
        <v>5</v>
      </c>
      <c r="L1349" t="s">
        <v>1417</v>
      </c>
      <c r="M1349">
        <v>6</v>
      </c>
      <c r="N1349">
        <v>1844</v>
      </c>
      <c r="O1349">
        <v>20</v>
      </c>
      <c r="P1349" s="1">
        <v>45678</v>
      </c>
      <c r="Q1349" s="1"/>
      <c r="R1349" t="str">
        <f>IF(Table1[[#This Row],[Actual close date]]="","",Table1[[#This Row],[Actual close date]]-Table1[[#This Row],[Expected close date]])</f>
        <v/>
      </c>
    </row>
    <row r="1350" spans="1:18" x14ac:dyDescent="0.25">
      <c r="A1350" t="s">
        <v>1429</v>
      </c>
      <c r="B1350" t="s">
        <v>33</v>
      </c>
      <c r="C1350" t="s">
        <v>34</v>
      </c>
      <c r="D1350" t="s">
        <v>35</v>
      </c>
      <c r="E1350" t="s">
        <v>66</v>
      </c>
      <c r="F1350" t="s">
        <v>22</v>
      </c>
      <c r="G1350" t="s">
        <v>37</v>
      </c>
      <c r="H1350" s="1">
        <v>45312</v>
      </c>
      <c r="I1350" t="s">
        <v>47</v>
      </c>
      <c r="J1350" t="s">
        <v>1117</v>
      </c>
      <c r="K1350">
        <v>5</v>
      </c>
      <c r="L1350" t="s">
        <v>1417</v>
      </c>
      <c r="M1350">
        <v>6</v>
      </c>
      <c r="N1350">
        <v>1361</v>
      </c>
      <c r="O1350">
        <v>40</v>
      </c>
      <c r="P1350" s="1">
        <v>45465</v>
      </c>
      <c r="Q1350" s="1"/>
      <c r="R1350" t="str">
        <f>IF(Table1[[#This Row],[Actual close date]]="","",Table1[[#This Row],[Actual close date]]-Table1[[#This Row],[Expected close date]])</f>
        <v/>
      </c>
    </row>
    <row r="1351" spans="1:18" x14ac:dyDescent="0.25">
      <c r="A1351" t="s">
        <v>1430</v>
      </c>
      <c r="B1351" t="s">
        <v>33</v>
      </c>
      <c r="C1351" t="s">
        <v>34</v>
      </c>
      <c r="D1351" t="s">
        <v>35</v>
      </c>
      <c r="E1351" t="s">
        <v>45</v>
      </c>
      <c r="F1351" t="s">
        <v>22</v>
      </c>
      <c r="G1351" t="s">
        <v>23</v>
      </c>
      <c r="H1351" s="1">
        <v>45401</v>
      </c>
      <c r="I1351" t="s">
        <v>64</v>
      </c>
      <c r="J1351" t="s">
        <v>1117</v>
      </c>
      <c r="K1351">
        <v>5</v>
      </c>
      <c r="L1351" t="s">
        <v>1417</v>
      </c>
      <c r="M1351">
        <v>6</v>
      </c>
      <c r="N1351">
        <v>1548</v>
      </c>
      <c r="O1351">
        <v>20</v>
      </c>
      <c r="P1351" s="1">
        <v>45514</v>
      </c>
      <c r="Q1351" s="1"/>
      <c r="R1351" t="str">
        <f>IF(Table1[[#This Row],[Actual close date]]="","",Table1[[#This Row],[Actual close date]]-Table1[[#This Row],[Expected close date]])</f>
        <v/>
      </c>
    </row>
    <row r="1352" spans="1:18" x14ac:dyDescent="0.25">
      <c r="A1352" t="s">
        <v>1431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t="s">
        <v>85</v>
      </c>
      <c r="H1352" s="1">
        <v>45297</v>
      </c>
      <c r="I1352" t="s">
        <v>64</v>
      </c>
      <c r="J1352" t="s">
        <v>1117</v>
      </c>
      <c r="K1352">
        <v>5</v>
      </c>
      <c r="L1352" t="s">
        <v>1417</v>
      </c>
      <c r="M1352">
        <v>6</v>
      </c>
      <c r="N1352">
        <v>1976</v>
      </c>
      <c r="O1352">
        <v>40</v>
      </c>
      <c r="P1352" s="1">
        <v>45631</v>
      </c>
      <c r="Q1352" s="1"/>
      <c r="R1352" t="str">
        <f>IF(Table1[[#This Row],[Actual close date]]="","",Table1[[#This Row],[Actual close date]]-Table1[[#This Row],[Expected close date]])</f>
        <v/>
      </c>
    </row>
    <row r="1353" spans="1:18" x14ac:dyDescent="0.25">
      <c r="A1353" t="s">
        <v>1432</v>
      </c>
      <c r="B1353" t="s">
        <v>39</v>
      </c>
      <c r="C1353" t="s">
        <v>40</v>
      </c>
      <c r="D1353" t="s">
        <v>41</v>
      </c>
      <c r="E1353" t="s">
        <v>82</v>
      </c>
      <c r="F1353" t="s">
        <v>22</v>
      </c>
      <c r="G1353" t="s">
        <v>37</v>
      </c>
      <c r="H1353" s="1">
        <v>45363</v>
      </c>
      <c r="I1353" t="s">
        <v>24</v>
      </c>
      <c r="J1353" t="s">
        <v>1117</v>
      </c>
      <c r="K1353">
        <v>5</v>
      </c>
      <c r="L1353" t="s">
        <v>1417</v>
      </c>
      <c r="M1353">
        <v>6</v>
      </c>
      <c r="N1353">
        <v>741</v>
      </c>
      <c r="O1353">
        <v>30</v>
      </c>
      <c r="P1353" s="1">
        <v>45384</v>
      </c>
      <c r="Q1353" s="1"/>
      <c r="R1353" t="str">
        <f>IF(Table1[[#This Row],[Actual close date]]="","",Table1[[#This Row],[Actual close date]]-Table1[[#This Row],[Expected close date]])</f>
        <v/>
      </c>
    </row>
    <row r="1354" spans="1:18" x14ac:dyDescent="0.25">
      <c r="A1354" t="s">
        <v>1433</v>
      </c>
      <c r="B1354" t="s">
        <v>33</v>
      </c>
      <c r="C1354" t="s">
        <v>34</v>
      </c>
      <c r="D1354" t="s">
        <v>35</v>
      </c>
      <c r="E1354" t="s">
        <v>122</v>
      </c>
      <c r="F1354" t="s">
        <v>22</v>
      </c>
      <c r="G1354" t="s">
        <v>85</v>
      </c>
      <c r="H1354" s="1">
        <v>45402</v>
      </c>
      <c r="I1354" t="s">
        <v>64</v>
      </c>
      <c r="J1354" t="s">
        <v>1117</v>
      </c>
      <c r="K1354">
        <v>5</v>
      </c>
      <c r="L1354" t="s">
        <v>1417</v>
      </c>
      <c r="M1354">
        <v>6</v>
      </c>
      <c r="N1354">
        <v>1006</v>
      </c>
      <c r="O1354">
        <v>50</v>
      </c>
      <c r="P1354" s="1">
        <v>45759</v>
      </c>
      <c r="Q1354" s="1"/>
      <c r="R1354" t="str">
        <f>IF(Table1[[#This Row],[Actual close date]]="","",Table1[[#This Row],[Actual close date]]-Table1[[#This Row],[Expected close date]])</f>
        <v/>
      </c>
    </row>
    <row r="1355" spans="1:18" x14ac:dyDescent="0.25">
      <c r="A1355" t="s">
        <v>1434</v>
      </c>
      <c r="B1355" t="s">
        <v>59</v>
      </c>
      <c r="C1355" t="s">
        <v>60</v>
      </c>
      <c r="D1355" t="s">
        <v>61</v>
      </c>
      <c r="E1355" t="s">
        <v>45</v>
      </c>
      <c r="F1355" t="s">
        <v>22</v>
      </c>
      <c r="G1355" t="s">
        <v>23</v>
      </c>
      <c r="H1355" s="1">
        <v>45419</v>
      </c>
      <c r="I1355" t="s">
        <v>64</v>
      </c>
      <c r="J1355" t="s">
        <v>1117</v>
      </c>
      <c r="K1355">
        <v>5</v>
      </c>
      <c r="L1355" t="s">
        <v>1417</v>
      </c>
      <c r="M1355">
        <v>6</v>
      </c>
      <c r="N1355">
        <v>1764</v>
      </c>
      <c r="O1355">
        <v>40</v>
      </c>
      <c r="P1355" s="1">
        <v>45672</v>
      </c>
      <c r="Q1355" s="1"/>
      <c r="R1355" t="str">
        <f>IF(Table1[[#This Row],[Actual close date]]="","",Table1[[#This Row],[Actual close date]]-Table1[[#This Row],[Expected close date]])</f>
        <v/>
      </c>
    </row>
    <row r="1356" spans="1:18" x14ac:dyDescent="0.25">
      <c r="A1356" t="s">
        <v>1435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t="s">
        <v>37</v>
      </c>
      <c r="H1356" s="1">
        <v>45305</v>
      </c>
      <c r="I1356" t="s">
        <v>24</v>
      </c>
      <c r="J1356" t="s">
        <v>1117</v>
      </c>
      <c r="K1356">
        <v>5</v>
      </c>
      <c r="L1356" t="s">
        <v>1417</v>
      </c>
      <c r="M1356">
        <v>6</v>
      </c>
      <c r="N1356">
        <v>1271</v>
      </c>
      <c r="O1356">
        <v>40</v>
      </c>
      <c r="P1356" s="1">
        <v>45625</v>
      </c>
      <c r="Q1356" s="1"/>
      <c r="R1356" t="str">
        <f>IF(Table1[[#This Row],[Actual close date]]="","",Table1[[#This Row],[Actual close date]]-Table1[[#This Row],[Expected close date]])</f>
        <v/>
      </c>
    </row>
    <row r="1357" spans="1:18" x14ac:dyDescent="0.25">
      <c r="A1357" t="s">
        <v>1436</v>
      </c>
      <c r="B1357" t="s">
        <v>39</v>
      </c>
      <c r="C1357" t="s">
        <v>40</v>
      </c>
      <c r="D1357" t="s">
        <v>41</v>
      </c>
      <c r="E1357" t="s">
        <v>45</v>
      </c>
      <c r="F1357" t="s">
        <v>22</v>
      </c>
      <c r="G1357" t="s">
        <v>83</v>
      </c>
      <c r="H1357" s="1">
        <v>45437</v>
      </c>
      <c r="I1357" t="s">
        <v>64</v>
      </c>
      <c r="J1357" t="s">
        <v>1117</v>
      </c>
      <c r="K1357">
        <v>5</v>
      </c>
      <c r="L1357" t="s">
        <v>1417</v>
      </c>
      <c r="M1357">
        <v>6</v>
      </c>
      <c r="N1357">
        <v>1011</v>
      </c>
      <c r="O1357">
        <v>40</v>
      </c>
      <c r="P1357" s="1">
        <v>45751</v>
      </c>
      <c r="Q1357" s="1"/>
      <c r="R1357" t="str">
        <f>IF(Table1[[#This Row],[Actual close date]]="","",Table1[[#This Row],[Actual close date]]-Table1[[#This Row],[Expected close date]])</f>
        <v/>
      </c>
    </row>
    <row r="1358" spans="1:18" x14ac:dyDescent="0.25">
      <c r="A1358" t="s">
        <v>1437</v>
      </c>
      <c r="B1358" t="s">
        <v>33</v>
      </c>
      <c r="C1358" t="s">
        <v>34</v>
      </c>
      <c r="D1358" t="s">
        <v>35</v>
      </c>
      <c r="E1358" t="s">
        <v>42</v>
      </c>
      <c r="F1358" t="s">
        <v>125</v>
      </c>
      <c r="G1358" t="s">
        <v>37</v>
      </c>
      <c r="H1358" s="1">
        <v>45360</v>
      </c>
      <c r="I1358" t="s">
        <v>64</v>
      </c>
      <c r="J1358" t="s">
        <v>1117</v>
      </c>
      <c r="K1358">
        <v>5</v>
      </c>
      <c r="L1358" t="s">
        <v>1417</v>
      </c>
      <c r="M1358">
        <v>6</v>
      </c>
      <c r="N1358">
        <v>902</v>
      </c>
      <c r="O1358">
        <v>40</v>
      </c>
      <c r="P1358" s="1">
        <v>45645</v>
      </c>
      <c r="Q1358" s="1"/>
      <c r="R1358" t="str">
        <f>IF(Table1[[#This Row],[Actual close date]]="","",Table1[[#This Row],[Actual close date]]-Table1[[#This Row],[Expected close date]])</f>
        <v/>
      </c>
    </row>
    <row r="1359" spans="1:18" x14ac:dyDescent="0.25">
      <c r="A1359" t="s">
        <v>1438</v>
      </c>
      <c r="B1359" t="s">
        <v>54</v>
      </c>
      <c r="C1359" t="s">
        <v>55</v>
      </c>
      <c r="D1359" t="s">
        <v>56</v>
      </c>
      <c r="E1359" t="s">
        <v>122</v>
      </c>
      <c r="F1359" t="s">
        <v>125</v>
      </c>
      <c r="G1359" t="s">
        <v>72</v>
      </c>
      <c r="H1359" s="1">
        <v>45333</v>
      </c>
      <c r="I1359" t="s">
        <v>64</v>
      </c>
      <c r="J1359" t="s">
        <v>1117</v>
      </c>
      <c r="K1359">
        <v>5</v>
      </c>
      <c r="L1359" t="s">
        <v>1417</v>
      </c>
      <c r="M1359">
        <v>6</v>
      </c>
      <c r="N1359">
        <v>381</v>
      </c>
      <c r="O1359">
        <v>40</v>
      </c>
      <c r="P1359" s="1">
        <v>45558</v>
      </c>
      <c r="Q1359" s="1"/>
      <c r="R1359" t="str">
        <f>IF(Table1[[#This Row],[Actual close date]]="","",Table1[[#This Row],[Actual close date]]-Table1[[#This Row],[Expected close date]])</f>
        <v/>
      </c>
    </row>
    <row r="1360" spans="1:18" x14ac:dyDescent="0.25">
      <c r="A1360" t="s">
        <v>1439</v>
      </c>
      <c r="B1360" t="s">
        <v>27</v>
      </c>
      <c r="C1360" t="s">
        <v>28</v>
      </c>
      <c r="D1360" t="s">
        <v>29</v>
      </c>
      <c r="E1360" t="s">
        <v>122</v>
      </c>
      <c r="F1360" t="s">
        <v>125</v>
      </c>
      <c r="G1360" t="s">
        <v>31</v>
      </c>
      <c r="H1360" s="1">
        <v>45375</v>
      </c>
      <c r="I1360" t="s">
        <v>47</v>
      </c>
      <c r="J1360" t="s">
        <v>1117</v>
      </c>
      <c r="K1360">
        <v>5</v>
      </c>
      <c r="L1360" t="s">
        <v>1417</v>
      </c>
      <c r="M1360">
        <v>6</v>
      </c>
      <c r="N1360">
        <v>274</v>
      </c>
      <c r="O1360">
        <v>20</v>
      </c>
      <c r="P1360" s="1">
        <v>45720</v>
      </c>
      <c r="Q1360" s="1"/>
      <c r="R1360" t="str">
        <f>IF(Table1[[#This Row],[Actual close date]]="","",Table1[[#This Row],[Actual close date]]-Table1[[#This Row],[Expected close date]])</f>
        <v/>
      </c>
    </row>
    <row r="1361" spans="1:18" x14ac:dyDescent="0.25">
      <c r="A1361" t="s">
        <v>1440</v>
      </c>
      <c r="B1361" t="s">
        <v>59</v>
      </c>
      <c r="C1361" t="s">
        <v>60</v>
      </c>
      <c r="D1361" t="s">
        <v>61</v>
      </c>
      <c r="E1361" t="s">
        <v>66</v>
      </c>
      <c r="F1361" t="s">
        <v>125</v>
      </c>
      <c r="G1361" t="s">
        <v>23</v>
      </c>
      <c r="H1361" s="1">
        <v>45360</v>
      </c>
      <c r="I1361" t="s">
        <v>64</v>
      </c>
      <c r="J1361" t="s">
        <v>1117</v>
      </c>
      <c r="K1361">
        <v>5</v>
      </c>
      <c r="L1361" t="s">
        <v>1417</v>
      </c>
      <c r="M1361">
        <v>6</v>
      </c>
      <c r="N1361">
        <v>444</v>
      </c>
      <c r="O1361">
        <v>70</v>
      </c>
      <c r="P1361" s="1">
        <v>45686</v>
      </c>
      <c r="Q1361" s="1"/>
      <c r="R1361" t="str">
        <f>IF(Table1[[#This Row],[Actual close date]]="","",Table1[[#This Row],[Actual close date]]-Table1[[#This Row],[Expected close date]])</f>
        <v/>
      </c>
    </row>
    <row r="1362" spans="1:18" x14ac:dyDescent="0.25">
      <c r="A1362" t="s">
        <v>1441</v>
      </c>
      <c r="B1362" t="s">
        <v>76</v>
      </c>
      <c r="C1362" t="s">
        <v>77</v>
      </c>
      <c r="D1362" t="s">
        <v>78</v>
      </c>
      <c r="E1362" t="s">
        <v>42</v>
      </c>
      <c r="F1362" t="s">
        <v>125</v>
      </c>
      <c r="G1362" t="s">
        <v>46</v>
      </c>
      <c r="H1362" s="1">
        <v>45322</v>
      </c>
      <c r="I1362" t="s">
        <v>24</v>
      </c>
      <c r="J1362" t="s">
        <v>1117</v>
      </c>
      <c r="K1362">
        <v>5</v>
      </c>
      <c r="L1362" t="s">
        <v>1417</v>
      </c>
      <c r="M1362">
        <v>6</v>
      </c>
      <c r="N1362">
        <v>1041</v>
      </c>
      <c r="O1362">
        <v>60</v>
      </c>
      <c r="P1362" s="1">
        <v>45376</v>
      </c>
      <c r="Q1362" s="1"/>
      <c r="R1362" t="str">
        <f>IF(Table1[[#This Row],[Actual close date]]="","",Table1[[#This Row],[Actual close date]]-Table1[[#This Row],[Expected close date]])</f>
        <v/>
      </c>
    </row>
    <row r="1363" spans="1:18" x14ac:dyDescent="0.25">
      <c r="A1363" t="s">
        <v>1442</v>
      </c>
      <c r="B1363" t="s">
        <v>54</v>
      </c>
      <c r="C1363" t="s">
        <v>55</v>
      </c>
      <c r="D1363" t="s">
        <v>56</v>
      </c>
      <c r="E1363" t="s">
        <v>52</v>
      </c>
      <c r="F1363" t="s">
        <v>125</v>
      </c>
      <c r="G1363" t="s">
        <v>57</v>
      </c>
      <c r="H1363" s="1">
        <v>45383</v>
      </c>
      <c r="I1363" t="s">
        <v>47</v>
      </c>
      <c r="J1363" t="s">
        <v>1117</v>
      </c>
      <c r="K1363">
        <v>5</v>
      </c>
      <c r="L1363" t="s">
        <v>1417</v>
      </c>
      <c r="M1363">
        <v>6</v>
      </c>
      <c r="N1363">
        <v>891</v>
      </c>
      <c r="O1363">
        <v>30</v>
      </c>
      <c r="P1363" s="1">
        <v>45630</v>
      </c>
      <c r="Q1363" s="1"/>
      <c r="R1363" t="str">
        <f>IF(Table1[[#This Row],[Actual close date]]="","",Table1[[#This Row],[Actual close date]]-Table1[[#This Row],[Expected close date]])</f>
        <v/>
      </c>
    </row>
    <row r="1364" spans="1:18" x14ac:dyDescent="0.25">
      <c r="A1364" t="s">
        <v>1443</v>
      </c>
      <c r="B1364" t="s">
        <v>59</v>
      </c>
      <c r="C1364" t="s">
        <v>60</v>
      </c>
      <c r="D1364" t="s">
        <v>61</v>
      </c>
      <c r="E1364" t="s">
        <v>66</v>
      </c>
      <c r="F1364" t="s">
        <v>125</v>
      </c>
      <c r="G1364" t="s">
        <v>85</v>
      </c>
      <c r="H1364" s="1">
        <v>45406</v>
      </c>
      <c r="I1364" t="s">
        <v>64</v>
      </c>
      <c r="J1364" t="s">
        <v>1117</v>
      </c>
      <c r="K1364">
        <v>5</v>
      </c>
      <c r="L1364" t="s">
        <v>1417</v>
      </c>
      <c r="M1364">
        <v>6</v>
      </c>
      <c r="N1364">
        <v>273</v>
      </c>
      <c r="O1364">
        <v>90</v>
      </c>
      <c r="P1364" s="1">
        <v>45560</v>
      </c>
      <c r="Q1364" s="1"/>
      <c r="R1364" t="str">
        <f>IF(Table1[[#This Row],[Actual close date]]="","",Table1[[#This Row],[Actual close date]]-Table1[[#This Row],[Expected close date]])</f>
        <v/>
      </c>
    </row>
    <row r="1365" spans="1:18" x14ac:dyDescent="0.25">
      <c r="A1365" t="s">
        <v>1444</v>
      </c>
      <c r="B1365" t="s">
        <v>69</v>
      </c>
      <c r="C1365" t="s">
        <v>70</v>
      </c>
      <c r="D1365" t="s">
        <v>71</v>
      </c>
      <c r="E1365" t="s">
        <v>45</v>
      </c>
      <c r="F1365" t="s">
        <v>125</v>
      </c>
      <c r="G1365" t="s">
        <v>46</v>
      </c>
      <c r="H1365" s="1">
        <v>45408</v>
      </c>
      <c r="I1365" t="s">
        <v>24</v>
      </c>
      <c r="J1365" t="s">
        <v>1117</v>
      </c>
      <c r="K1365">
        <v>5</v>
      </c>
      <c r="L1365" t="s">
        <v>1417</v>
      </c>
      <c r="M1365">
        <v>6</v>
      </c>
      <c r="N1365">
        <v>602</v>
      </c>
      <c r="O1365">
        <v>60</v>
      </c>
      <c r="P1365" s="1">
        <v>45753</v>
      </c>
      <c r="Q1365" s="1"/>
      <c r="R1365" t="str">
        <f>IF(Table1[[#This Row],[Actual close date]]="","",Table1[[#This Row],[Actual close date]]-Table1[[#This Row],[Expected close date]])</f>
        <v/>
      </c>
    </row>
    <row r="1366" spans="1:18" x14ac:dyDescent="0.25">
      <c r="A1366" t="s">
        <v>1445</v>
      </c>
      <c r="B1366" t="s">
        <v>33</v>
      </c>
      <c r="C1366" t="s">
        <v>34</v>
      </c>
      <c r="D1366" t="s">
        <v>35</v>
      </c>
      <c r="E1366" t="s">
        <v>42</v>
      </c>
      <c r="F1366" t="s">
        <v>125</v>
      </c>
      <c r="G1366" t="s">
        <v>31</v>
      </c>
      <c r="H1366" s="1">
        <v>45324</v>
      </c>
      <c r="I1366" t="s">
        <v>24</v>
      </c>
      <c r="J1366" t="s">
        <v>1117</v>
      </c>
      <c r="K1366">
        <v>5</v>
      </c>
      <c r="L1366" t="s">
        <v>1417</v>
      </c>
      <c r="M1366">
        <v>6</v>
      </c>
      <c r="N1366">
        <v>419</v>
      </c>
      <c r="O1366">
        <v>70</v>
      </c>
      <c r="P1366" s="1">
        <v>45565</v>
      </c>
      <c r="Q1366" s="1"/>
      <c r="R1366" t="str">
        <f>IF(Table1[[#This Row],[Actual close date]]="","",Table1[[#This Row],[Actual close date]]-Table1[[#This Row],[Expected close date]])</f>
        <v/>
      </c>
    </row>
    <row r="1367" spans="1:18" x14ac:dyDescent="0.25">
      <c r="A1367" t="s">
        <v>1446</v>
      </c>
      <c r="B1367" t="s">
        <v>76</v>
      </c>
      <c r="C1367" t="s">
        <v>77</v>
      </c>
      <c r="D1367" t="s">
        <v>78</v>
      </c>
      <c r="E1367" t="s">
        <v>45</v>
      </c>
      <c r="F1367" t="s">
        <v>125</v>
      </c>
      <c r="G1367" t="s">
        <v>37</v>
      </c>
      <c r="H1367" s="1">
        <v>45336</v>
      </c>
      <c r="I1367" t="s">
        <v>24</v>
      </c>
      <c r="J1367" t="s">
        <v>1117</v>
      </c>
      <c r="K1367">
        <v>5</v>
      </c>
      <c r="L1367" t="s">
        <v>1417</v>
      </c>
      <c r="M1367">
        <v>6</v>
      </c>
      <c r="N1367">
        <v>301</v>
      </c>
      <c r="O1367">
        <v>40</v>
      </c>
      <c r="P1367" s="1">
        <v>45688</v>
      </c>
      <c r="Q1367" s="1"/>
      <c r="R1367" t="str">
        <f>IF(Table1[[#This Row],[Actual close date]]="","",Table1[[#This Row],[Actual close date]]-Table1[[#This Row],[Expected close date]])</f>
        <v/>
      </c>
    </row>
    <row r="1368" spans="1:18" x14ac:dyDescent="0.25">
      <c r="A1368" t="s">
        <v>1447</v>
      </c>
      <c r="B1368" t="s">
        <v>76</v>
      </c>
      <c r="C1368" t="s">
        <v>77</v>
      </c>
      <c r="D1368" t="s">
        <v>78</v>
      </c>
      <c r="E1368" t="s">
        <v>98</v>
      </c>
      <c r="F1368" t="s">
        <v>125</v>
      </c>
      <c r="G1368" t="s">
        <v>23</v>
      </c>
      <c r="H1368" s="1">
        <v>45361</v>
      </c>
      <c r="I1368" t="s">
        <v>64</v>
      </c>
      <c r="J1368" t="s">
        <v>1117</v>
      </c>
      <c r="K1368">
        <v>5</v>
      </c>
      <c r="L1368" t="s">
        <v>1417</v>
      </c>
      <c r="M1368">
        <v>6</v>
      </c>
      <c r="N1368">
        <v>673</v>
      </c>
      <c r="O1368">
        <v>50</v>
      </c>
      <c r="P1368" s="1">
        <v>45626</v>
      </c>
      <c r="Q1368" s="1"/>
      <c r="R1368" t="str">
        <f>IF(Table1[[#This Row],[Actual close date]]="","",Table1[[#This Row],[Actual close date]]-Table1[[#This Row],[Expected close date]])</f>
        <v/>
      </c>
    </row>
    <row r="1369" spans="1:18" x14ac:dyDescent="0.25">
      <c r="A1369" t="s">
        <v>1448</v>
      </c>
      <c r="B1369" t="s">
        <v>33</v>
      </c>
      <c r="C1369" t="s">
        <v>34</v>
      </c>
      <c r="D1369" t="s">
        <v>35</v>
      </c>
      <c r="E1369" t="s">
        <v>101</v>
      </c>
      <c r="F1369" t="s">
        <v>125</v>
      </c>
      <c r="G1369" t="s">
        <v>46</v>
      </c>
      <c r="H1369" s="1">
        <v>45377</v>
      </c>
      <c r="I1369" t="s">
        <v>47</v>
      </c>
      <c r="J1369" t="s">
        <v>1117</v>
      </c>
      <c r="K1369">
        <v>5</v>
      </c>
      <c r="L1369" t="s">
        <v>1417</v>
      </c>
      <c r="M1369">
        <v>6</v>
      </c>
      <c r="N1369">
        <v>458</v>
      </c>
      <c r="O1369">
        <v>20</v>
      </c>
      <c r="P1369" s="1">
        <v>45533</v>
      </c>
      <c r="Q1369" s="1"/>
      <c r="R1369" t="str">
        <f>IF(Table1[[#This Row],[Actual close date]]="","",Table1[[#This Row],[Actual close date]]-Table1[[#This Row],[Expected close date]])</f>
        <v/>
      </c>
    </row>
    <row r="1370" spans="1:18" x14ac:dyDescent="0.25">
      <c r="A1370" t="s">
        <v>1449</v>
      </c>
      <c r="B1370" t="s">
        <v>39</v>
      </c>
      <c r="C1370" t="s">
        <v>40</v>
      </c>
      <c r="D1370" t="s">
        <v>41</v>
      </c>
      <c r="E1370" t="s">
        <v>30</v>
      </c>
      <c r="F1370" t="s">
        <v>167</v>
      </c>
      <c r="G1370" t="s">
        <v>37</v>
      </c>
      <c r="H1370" s="1">
        <v>45420</v>
      </c>
      <c r="I1370" t="s">
        <v>24</v>
      </c>
      <c r="J1370" t="s">
        <v>1117</v>
      </c>
      <c r="K1370">
        <v>5</v>
      </c>
      <c r="L1370" t="s">
        <v>1417</v>
      </c>
      <c r="M1370">
        <v>6</v>
      </c>
      <c r="N1370">
        <v>6177</v>
      </c>
      <c r="O1370">
        <v>50</v>
      </c>
      <c r="P1370" s="1">
        <v>45518</v>
      </c>
      <c r="Q1370" s="1"/>
      <c r="R1370" t="str">
        <f>IF(Table1[[#This Row],[Actual close date]]="","",Table1[[#This Row],[Actual close date]]-Table1[[#This Row],[Expected close date]])</f>
        <v/>
      </c>
    </row>
    <row r="1371" spans="1:18" x14ac:dyDescent="0.25">
      <c r="A1371" t="s">
        <v>1450</v>
      </c>
      <c r="B1371" t="s">
        <v>59</v>
      </c>
      <c r="C1371" t="s">
        <v>60</v>
      </c>
      <c r="D1371" t="s">
        <v>61</v>
      </c>
      <c r="E1371" t="s">
        <v>66</v>
      </c>
      <c r="F1371" t="s">
        <v>167</v>
      </c>
      <c r="G1371" t="s">
        <v>46</v>
      </c>
      <c r="H1371" s="1">
        <v>45301</v>
      </c>
      <c r="I1371" t="s">
        <v>24</v>
      </c>
      <c r="J1371" t="s">
        <v>1117</v>
      </c>
      <c r="K1371">
        <v>5</v>
      </c>
      <c r="L1371" t="s">
        <v>1417</v>
      </c>
      <c r="M1371">
        <v>6</v>
      </c>
      <c r="N1371">
        <v>2950</v>
      </c>
      <c r="O1371">
        <v>20</v>
      </c>
      <c r="P1371" s="1">
        <v>45470</v>
      </c>
      <c r="Q1371" s="1"/>
      <c r="R1371" t="str">
        <f>IF(Table1[[#This Row],[Actual close date]]="","",Table1[[#This Row],[Actual close date]]-Table1[[#This Row],[Expected close date]])</f>
        <v/>
      </c>
    </row>
    <row r="1372" spans="1:18" x14ac:dyDescent="0.25">
      <c r="A1372" t="s">
        <v>1451</v>
      </c>
      <c r="B1372" t="s">
        <v>33</v>
      </c>
      <c r="C1372" t="s">
        <v>34</v>
      </c>
      <c r="D1372" t="s">
        <v>35</v>
      </c>
      <c r="E1372" t="s">
        <v>21</v>
      </c>
      <c r="F1372" t="s">
        <v>167</v>
      </c>
      <c r="G1372" t="s">
        <v>46</v>
      </c>
      <c r="H1372" s="1">
        <v>45313</v>
      </c>
      <c r="I1372" t="s">
        <v>24</v>
      </c>
      <c r="J1372" t="s">
        <v>1117</v>
      </c>
      <c r="K1372">
        <v>5</v>
      </c>
      <c r="L1372" t="s">
        <v>1417</v>
      </c>
      <c r="M1372">
        <v>6</v>
      </c>
      <c r="N1372">
        <v>5423</v>
      </c>
      <c r="O1372">
        <v>40</v>
      </c>
      <c r="P1372" s="1">
        <v>45658</v>
      </c>
      <c r="Q1372" s="1"/>
      <c r="R1372" t="str">
        <f>IF(Table1[[#This Row],[Actual close date]]="","",Table1[[#This Row],[Actual close date]]-Table1[[#This Row],[Expected close date]])</f>
        <v/>
      </c>
    </row>
    <row r="1373" spans="1:18" x14ac:dyDescent="0.25">
      <c r="A1373" t="s">
        <v>1452</v>
      </c>
      <c r="B1373" t="s">
        <v>33</v>
      </c>
      <c r="C1373" t="s">
        <v>34</v>
      </c>
      <c r="D1373" t="s">
        <v>35</v>
      </c>
      <c r="E1373" t="s">
        <v>82</v>
      </c>
      <c r="F1373" t="s">
        <v>167</v>
      </c>
      <c r="G1373" t="s">
        <v>57</v>
      </c>
      <c r="H1373" s="1">
        <v>45311</v>
      </c>
      <c r="I1373" t="s">
        <v>24</v>
      </c>
      <c r="J1373" t="s">
        <v>1117</v>
      </c>
      <c r="K1373">
        <v>5</v>
      </c>
      <c r="L1373" t="s">
        <v>1417</v>
      </c>
      <c r="M1373">
        <v>6</v>
      </c>
      <c r="N1373">
        <v>7277</v>
      </c>
      <c r="O1373">
        <v>50</v>
      </c>
      <c r="P1373" s="1">
        <v>45579</v>
      </c>
      <c r="Q1373" s="1"/>
      <c r="R1373" t="str">
        <f>IF(Table1[[#This Row],[Actual close date]]="","",Table1[[#This Row],[Actual close date]]-Table1[[#This Row],[Expected close date]])</f>
        <v/>
      </c>
    </row>
    <row r="1374" spans="1:18" x14ac:dyDescent="0.25">
      <c r="A1374" t="s">
        <v>1453</v>
      </c>
      <c r="B1374" t="s">
        <v>33</v>
      </c>
      <c r="C1374" t="s">
        <v>34</v>
      </c>
      <c r="D1374" t="s">
        <v>35</v>
      </c>
      <c r="E1374" t="s">
        <v>30</v>
      </c>
      <c r="F1374" t="s">
        <v>167</v>
      </c>
      <c r="G1374" t="s">
        <v>85</v>
      </c>
      <c r="H1374" s="1">
        <v>45298</v>
      </c>
      <c r="I1374" t="s">
        <v>64</v>
      </c>
      <c r="J1374" t="s">
        <v>1117</v>
      </c>
      <c r="K1374">
        <v>5</v>
      </c>
      <c r="L1374" t="s">
        <v>1417</v>
      </c>
      <c r="M1374">
        <v>6</v>
      </c>
      <c r="N1374">
        <v>1133</v>
      </c>
      <c r="O1374">
        <v>50</v>
      </c>
      <c r="P1374" s="1">
        <v>45627</v>
      </c>
      <c r="Q1374" s="1"/>
      <c r="R1374" t="str">
        <f>IF(Table1[[#This Row],[Actual close date]]="","",Table1[[#This Row],[Actual close date]]-Table1[[#This Row],[Expected close date]])</f>
        <v/>
      </c>
    </row>
    <row r="1375" spans="1:18" x14ac:dyDescent="0.25">
      <c r="A1375" t="s">
        <v>1454</v>
      </c>
      <c r="B1375" t="s">
        <v>54</v>
      </c>
      <c r="C1375" t="s">
        <v>55</v>
      </c>
      <c r="D1375" t="s">
        <v>56</v>
      </c>
      <c r="E1375" t="s">
        <v>30</v>
      </c>
      <c r="F1375" t="s">
        <v>167</v>
      </c>
      <c r="G1375" t="s">
        <v>85</v>
      </c>
      <c r="H1375" s="1">
        <v>45293</v>
      </c>
      <c r="I1375" t="s">
        <v>24</v>
      </c>
      <c r="J1375" t="s">
        <v>1117</v>
      </c>
      <c r="K1375">
        <v>5</v>
      </c>
      <c r="L1375" t="s">
        <v>1417</v>
      </c>
      <c r="M1375">
        <v>6</v>
      </c>
      <c r="N1375">
        <v>6015</v>
      </c>
      <c r="O1375">
        <v>40</v>
      </c>
      <c r="P1375" s="1">
        <v>45635</v>
      </c>
      <c r="Q1375" s="1"/>
      <c r="R1375" t="str">
        <f>IF(Table1[[#This Row],[Actual close date]]="","",Table1[[#This Row],[Actual close date]]-Table1[[#This Row],[Expected close date]])</f>
        <v/>
      </c>
    </row>
    <row r="1376" spans="1:18" x14ac:dyDescent="0.25">
      <c r="A1376" t="s">
        <v>1455</v>
      </c>
      <c r="B1376" t="s">
        <v>18</v>
      </c>
      <c r="C1376" t="s">
        <v>19</v>
      </c>
      <c r="D1376" t="s">
        <v>20</v>
      </c>
      <c r="E1376" t="s">
        <v>66</v>
      </c>
      <c r="F1376" t="s">
        <v>167</v>
      </c>
      <c r="G1376" t="s">
        <v>57</v>
      </c>
      <c r="H1376" s="1">
        <v>45435</v>
      </c>
      <c r="I1376" t="s">
        <v>64</v>
      </c>
      <c r="J1376" t="s">
        <v>1117</v>
      </c>
      <c r="K1376">
        <v>5</v>
      </c>
      <c r="L1376" t="s">
        <v>1417</v>
      </c>
      <c r="M1376">
        <v>6</v>
      </c>
      <c r="N1376">
        <v>3264</v>
      </c>
      <c r="O1376">
        <v>100</v>
      </c>
      <c r="P1376" s="1">
        <v>45689</v>
      </c>
      <c r="Q1376" s="1"/>
      <c r="R1376" t="str">
        <f>IF(Table1[[#This Row],[Actual close date]]="","",Table1[[#This Row],[Actual close date]]-Table1[[#This Row],[Expected close date]])</f>
        <v/>
      </c>
    </row>
    <row r="1377" spans="1:18" x14ac:dyDescent="0.25">
      <c r="A1377" t="s">
        <v>1456</v>
      </c>
      <c r="B1377" t="s">
        <v>69</v>
      </c>
      <c r="C1377" t="s">
        <v>70</v>
      </c>
      <c r="D1377" t="s">
        <v>71</v>
      </c>
      <c r="E1377" t="s">
        <v>62</v>
      </c>
      <c r="F1377" t="s">
        <v>167</v>
      </c>
      <c r="G1377" t="s">
        <v>57</v>
      </c>
      <c r="H1377" s="1">
        <v>45397</v>
      </c>
      <c r="I1377" t="s">
        <v>64</v>
      </c>
      <c r="J1377" t="s">
        <v>1117</v>
      </c>
      <c r="K1377">
        <v>5</v>
      </c>
      <c r="L1377" t="s">
        <v>1417</v>
      </c>
      <c r="M1377">
        <v>6</v>
      </c>
      <c r="N1377">
        <v>2913</v>
      </c>
      <c r="O1377">
        <v>40</v>
      </c>
      <c r="P1377" s="1">
        <v>45569</v>
      </c>
      <c r="Q1377" s="1"/>
      <c r="R1377" t="str">
        <f>IF(Table1[[#This Row],[Actual close date]]="","",Table1[[#This Row],[Actual close date]]-Table1[[#This Row],[Expected close date]])</f>
        <v/>
      </c>
    </row>
    <row r="1378" spans="1:18" x14ac:dyDescent="0.25">
      <c r="A1378" t="s">
        <v>1457</v>
      </c>
      <c r="B1378" t="s">
        <v>33</v>
      </c>
      <c r="C1378" t="s">
        <v>34</v>
      </c>
      <c r="D1378" t="s">
        <v>35</v>
      </c>
      <c r="E1378" t="s">
        <v>62</v>
      </c>
      <c r="F1378" t="s">
        <v>167</v>
      </c>
      <c r="G1378" t="s">
        <v>57</v>
      </c>
      <c r="H1378" s="1">
        <v>45324</v>
      </c>
      <c r="I1378" t="s">
        <v>24</v>
      </c>
      <c r="J1378" t="s">
        <v>1117</v>
      </c>
      <c r="K1378">
        <v>5</v>
      </c>
      <c r="L1378" t="s">
        <v>1417</v>
      </c>
      <c r="M1378">
        <v>6</v>
      </c>
      <c r="N1378">
        <v>3059</v>
      </c>
      <c r="O1378">
        <v>70</v>
      </c>
      <c r="P1378" s="1">
        <v>45542</v>
      </c>
      <c r="Q1378" s="1"/>
      <c r="R1378" t="str">
        <f>IF(Table1[[#This Row],[Actual close date]]="","",Table1[[#This Row],[Actual close date]]-Table1[[#This Row],[Expected close date]])</f>
        <v/>
      </c>
    </row>
    <row r="1379" spans="1:18" x14ac:dyDescent="0.25">
      <c r="A1379" t="s">
        <v>1458</v>
      </c>
      <c r="B1379" t="s">
        <v>76</v>
      </c>
      <c r="C1379" t="s">
        <v>77</v>
      </c>
      <c r="D1379" t="s">
        <v>78</v>
      </c>
      <c r="E1379" t="s">
        <v>42</v>
      </c>
      <c r="F1379" t="s">
        <v>167</v>
      </c>
      <c r="G1379" t="s">
        <v>46</v>
      </c>
      <c r="H1379" s="1">
        <v>45433</v>
      </c>
      <c r="I1379" t="s">
        <v>24</v>
      </c>
      <c r="J1379" t="s">
        <v>1117</v>
      </c>
      <c r="K1379">
        <v>5</v>
      </c>
      <c r="L1379" t="s">
        <v>1417</v>
      </c>
      <c r="M1379">
        <v>6</v>
      </c>
      <c r="N1379">
        <v>7763</v>
      </c>
      <c r="O1379">
        <v>30</v>
      </c>
      <c r="P1379" s="1">
        <v>45587</v>
      </c>
      <c r="Q1379" s="1"/>
      <c r="R1379" t="str">
        <f>IF(Table1[[#This Row],[Actual close date]]="","",Table1[[#This Row],[Actual close date]]-Table1[[#This Row],[Expected close date]])</f>
        <v/>
      </c>
    </row>
    <row r="1380" spans="1:18" x14ac:dyDescent="0.25">
      <c r="A1380" t="s">
        <v>1459</v>
      </c>
      <c r="B1380" t="s">
        <v>76</v>
      </c>
      <c r="C1380" t="s">
        <v>77</v>
      </c>
      <c r="D1380" t="s">
        <v>78</v>
      </c>
      <c r="E1380" t="s">
        <v>21</v>
      </c>
      <c r="F1380" t="s">
        <v>167</v>
      </c>
      <c r="G1380" t="s">
        <v>46</v>
      </c>
      <c r="H1380" s="1">
        <v>45328</v>
      </c>
      <c r="I1380" t="s">
        <v>24</v>
      </c>
      <c r="J1380" t="s">
        <v>1117</v>
      </c>
      <c r="K1380">
        <v>5</v>
      </c>
      <c r="L1380" t="s">
        <v>1417</v>
      </c>
      <c r="M1380">
        <v>6</v>
      </c>
      <c r="N1380">
        <v>4052</v>
      </c>
      <c r="O1380">
        <v>70</v>
      </c>
      <c r="P1380" s="1">
        <v>45621</v>
      </c>
      <c r="Q1380" s="1"/>
      <c r="R1380" t="str">
        <f>IF(Table1[[#This Row],[Actual close date]]="","",Table1[[#This Row],[Actual close date]]-Table1[[#This Row],[Expected close date]])</f>
        <v/>
      </c>
    </row>
    <row r="1381" spans="1:18" x14ac:dyDescent="0.25">
      <c r="A1381" t="s">
        <v>1460</v>
      </c>
      <c r="B1381" t="s">
        <v>33</v>
      </c>
      <c r="C1381" t="s">
        <v>34</v>
      </c>
      <c r="D1381" t="s">
        <v>35</v>
      </c>
      <c r="E1381" t="s">
        <v>122</v>
      </c>
      <c r="F1381" t="s">
        <v>167</v>
      </c>
      <c r="G1381" t="s">
        <v>46</v>
      </c>
      <c r="H1381" s="1">
        <v>45345</v>
      </c>
      <c r="I1381" t="s">
        <v>24</v>
      </c>
      <c r="J1381" t="s">
        <v>1117</v>
      </c>
      <c r="K1381">
        <v>5</v>
      </c>
      <c r="L1381" t="s">
        <v>1417</v>
      </c>
      <c r="M1381">
        <v>6</v>
      </c>
      <c r="N1381">
        <v>1430</v>
      </c>
      <c r="O1381">
        <v>30</v>
      </c>
      <c r="P1381" s="1">
        <v>45590</v>
      </c>
      <c r="Q1381" s="1"/>
      <c r="R1381" t="str">
        <f>IF(Table1[[#This Row],[Actual close date]]="","",Table1[[#This Row],[Actual close date]]-Table1[[#This Row],[Expected close date]])</f>
        <v/>
      </c>
    </row>
    <row r="1382" spans="1:18" x14ac:dyDescent="0.25">
      <c r="A1382" t="s">
        <v>1461</v>
      </c>
      <c r="B1382" t="s">
        <v>54</v>
      </c>
      <c r="C1382" t="s">
        <v>55</v>
      </c>
      <c r="D1382" t="s">
        <v>56</v>
      </c>
      <c r="E1382" t="s">
        <v>42</v>
      </c>
      <c r="F1382" t="s">
        <v>167</v>
      </c>
      <c r="G1382" t="s">
        <v>23</v>
      </c>
      <c r="H1382" s="1">
        <v>45311</v>
      </c>
      <c r="I1382" t="s">
        <v>24</v>
      </c>
      <c r="J1382" t="s">
        <v>1117</v>
      </c>
      <c r="K1382">
        <v>5</v>
      </c>
      <c r="L1382" t="s">
        <v>1417</v>
      </c>
      <c r="M1382">
        <v>6</v>
      </c>
      <c r="N1382">
        <v>7438</v>
      </c>
      <c r="O1382">
        <v>90</v>
      </c>
      <c r="P1382" s="1">
        <v>45379</v>
      </c>
      <c r="Q1382" s="1"/>
      <c r="R1382" t="str">
        <f>IF(Table1[[#This Row],[Actual close date]]="","",Table1[[#This Row],[Actual close date]]-Table1[[#This Row],[Expected close date]])</f>
        <v/>
      </c>
    </row>
    <row r="1383" spans="1:18" x14ac:dyDescent="0.25">
      <c r="A1383" t="s">
        <v>1462</v>
      </c>
      <c r="B1383" t="s">
        <v>59</v>
      </c>
      <c r="C1383" t="s">
        <v>60</v>
      </c>
      <c r="D1383" t="s">
        <v>61</v>
      </c>
      <c r="E1383" t="s">
        <v>21</v>
      </c>
      <c r="F1383" t="s">
        <v>167</v>
      </c>
      <c r="G1383" t="s">
        <v>46</v>
      </c>
      <c r="H1383" s="1">
        <v>45385</v>
      </c>
      <c r="I1383" t="s">
        <v>64</v>
      </c>
      <c r="J1383" t="s">
        <v>1117</v>
      </c>
      <c r="K1383">
        <v>5</v>
      </c>
      <c r="L1383" t="s">
        <v>1417</v>
      </c>
      <c r="M1383">
        <v>6</v>
      </c>
      <c r="N1383">
        <v>1882</v>
      </c>
      <c r="O1383">
        <v>30</v>
      </c>
      <c r="P1383" s="1">
        <v>45497</v>
      </c>
      <c r="Q1383" s="1"/>
      <c r="R1383" t="str">
        <f>IF(Table1[[#This Row],[Actual close date]]="","",Table1[[#This Row],[Actual close date]]-Table1[[#This Row],[Expected close date]])</f>
        <v/>
      </c>
    </row>
    <row r="1384" spans="1:18" x14ac:dyDescent="0.25">
      <c r="A1384" t="s">
        <v>1463</v>
      </c>
      <c r="B1384" t="s">
        <v>27</v>
      </c>
      <c r="C1384" t="s">
        <v>28</v>
      </c>
      <c r="D1384" t="s">
        <v>29</v>
      </c>
      <c r="E1384" t="s">
        <v>45</v>
      </c>
      <c r="F1384" t="s">
        <v>167</v>
      </c>
      <c r="G1384" t="s">
        <v>37</v>
      </c>
      <c r="H1384" s="1">
        <v>45430</v>
      </c>
      <c r="I1384" t="s">
        <v>64</v>
      </c>
      <c r="J1384" t="s">
        <v>1117</v>
      </c>
      <c r="K1384">
        <v>5</v>
      </c>
      <c r="L1384" t="s">
        <v>1417</v>
      </c>
      <c r="M1384">
        <v>6</v>
      </c>
      <c r="N1384">
        <v>2633</v>
      </c>
      <c r="O1384">
        <v>40</v>
      </c>
      <c r="P1384" s="1">
        <v>45454</v>
      </c>
      <c r="Q1384" s="1"/>
      <c r="R1384" t="str">
        <f>IF(Table1[[#This Row],[Actual close date]]="","",Table1[[#This Row],[Actual close date]]-Table1[[#This Row],[Expected close date]])</f>
        <v/>
      </c>
    </row>
    <row r="1385" spans="1:18" x14ac:dyDescent="0.25">
      <c r="A1385" t="s">
        <v>1464</v>
      </c>
      <c r="B1385" t="s">
        <v>54</v>
      </c>
      <c r="C1385" t="s">
        <v>55</v>
      </c>
      <c r="D1385" t="s">
        <v>56</v>
      </c>
      <c r="E1385" t="s">
        <v>74</v>
      </c>
      <c r="F1385" t="s">
        <v>167</v>
      </c>
      <c r="G1385" t="s">
        <v>72</v>
      </c>
      <c r="H1385" s="1">
        <v>45410</v>
      </c>
      <c r="I1385" t="s">
        <v>64</v>
      </c>
      <c r="J1385" t="s">
        <v>1117</v>
      </c>
      <c r="K1385">
        <v>5</v>
      </c>
      <c r="L1385" t="s">
        <v>1417</v>
      </c>
      <c r="M1385">
        <v>6</v>
      </c>
      <c r="N1385">
        <v>7268</v>
      </c>
      <c r="O1385">
        <v>70</v>
      </c>
      <c r="P1385" s="1">
        <v>45697</v>
      </c>
      <c r="Q1385" s="1"/>
      <c r="R1385" t="str">
        <f>IF(Table1[[#This Row],[Actual close date]]="","",Table1[[#This Row],[Actual close date]]-Table1[[#This Row],[Expected close date]])</f>
        <v/>
      </c>
    </row>
    <row r="1386" spans="1:18" x14ac:dyDescent="0.25">
      <c r="A1386" t="s">
        <v>1465</v>
      </c>
      <c r="B1386" t="s">
        <v>49</v>
      </c>
      <c r="C1386" t="s">
        <v>50</v>
      </c>
      <c r="D1386" t="s">
        <v>51</v>
      </c>
      <c r="E1386" t="s">
        <v>122</v>
      </c>
      <c r="F1386" t="s">
        <v>167</v>
      </c>
      <c r="G1386" t="s">
        <v>46</v>
      </c>
      <c r="H1386" s="1">
        <v>45386</v>
      </c>
      <c r="I1386" t="s">
        <v>24</v>
      </c>
      <c r="J1386" t="s">
        <v>1117</v>
      </c>
      <c r="K1386">
        <v>5</v>
      </c>
      <c r="L1386" t="s">
        <v>1417</v>
      </c>
      <c r="M1386">
        <v>6</v>
      </c>
      <c r="N1386">
        <v>7312</v>
      </c>
      <c r="O1386">
        <v>80</v>
      </c>
      <c r="P1386" s="1">
        <v>45555</v>
      </c>
      <c r="Q1386" s="1"/>
      <c r="R1386" t="str">
        <f>IF(Table1[[#This Row],[Actual close date]]="","",Table1[[#This Row],[Actual close date]]-Table1[[#This Row],[Expected close date]])</f>
        <v/>
      </c>
    </row>
    <row r="1387" spans="1:18" x14ac:dyDescent="0.25">
      <c r="A1387" t="s">
        <v>1466</v>
      </c>
      <c r="B1387" t="s">
        <v>33</v>
      </c>
      <c r="C1387" t="s">
        <v>34</v>
      </c>
      <c r="D1387" t="s">
        <v>35</v>
      </c>
      <c r="E1387" t="s">
        <v>42</v>
      </c>
      <c r="F1387" t="s">
        <v>167</v>
      </c>
      <c r="G1387" t="s">
        <v>85</v>
      </c>
      <c r="H1387" s="1">
        <v>45404</v>
      </c>
      <c r="I1387" t="s">
        <v>24</v>
      </c>
      <c r="J1387" t="s">
        <v>1117</v>
      </c>
      <c r="K1387">
        <v>5</v>
      </c>
      <c r="L1387" t="s">
        <v>1417</v>
      </c>
      <c r="M1387">
        <v>6</v>
      </c>
      <c r="N1387">
        <v>5619</v>
      </c>
      <c r="O1387">
        <v>10</v>
      </c>
      <c r="P1387" s="1">
        <v>45689</v>
      </c>
      <c r="Q1387" s="1"/>
      <c r="R1387" t="str">
        <f>IF(Table1[[#This Row],[Actual close date]]="","",Table1[[#This Row],[Actual close date]]-Table1[[#This Row],[Expected close date]])</f>
        <v/>
      </c>
    </row>
    <row r="1388" spans="1:18" x14ac:dyDescent="0.25">
      <c r="A1388" t="s">
        <v>1467</v>
      </c>
      <c r="B1388" t="s">
        <v>39</v>
      </c>
      <c r="C1388" t="s">
        <v>40</v>
      </c>
      <c r="D1388" t="s">
        <v>41</v>
      </c>
      <c r="E1388" t="s">
        <v>21</v>
      </c>
      <c r="F1388" t="s">
        <v>167</v>
      </c>
      <c r="G1388" t="s">
        <v>72</v>
      </c>
      <c r="H1388" s="1">
        <v>45309</v>
      </c>
      <c r="I1388" t="s">
        <v>24</v>
      </c>
      <c r="J1388" t="s">
        <v>1117</v>
      </c>
      <c r="K1388">
        <v>5</v>
      </c>
      <c r="L1388" t="s">
        <v>1417</v>
      </c>
      <c r="M1388">
        <v>6</v>
      </c>
      <c r="N1388">
        <v>6395</v>
      </c>
      <c r="O1388">
        <v>20</v>
      </c>
      <c r="P1388" s="1">
        <v>45610</v>
      </c>
      <c r="Q1388" s="1"/>
      <c r="R1388" t="str">
        <f>IF(Table1[[#This Row],[Actual close date]]="","",Table1[[#This Row],[Actual close date]]-Table1[[#This Row],[Expected close date]])</f>
        <v/>
      </c>
    </row>
    <row r="1389" spans="1:18" x14ac:dyDescent="0.25">
      <c r="A1389" t="s">
        <v>1468</v>
      </c>
      <c r="B1389" t="s">
        <v>69</v>
      </c>
      <c r="C1389" t="s">
        <v>70</v>
      </c>
      <c r="D1389" t="s">
        <v>71</v>
      </c>
      <c r="E1389" t="s">
        <v>45</v>
      </c>
      <c r="F1389" t="s">
        <v>167</v>
      </c>
      <c r="G1389" t="s">
        <v>57</v>
      </c>
      <c r="H1389" s="1">
        <v>45380</v>
      </c>
      <c r="I1389" t="s">
        <v>64</v>
      </c>
      <c r="J1389" t="s">
        <v>1117</v>
      </c>
      <c r="K1389">
        <v>5</v>
      </c>
      <c r="L1389" t="s">
        <v>1417</v>
      </c>
      <c r="M1389">
        <v>6</v>
      </c>
      <c r="N1389">
        <v>7392</v>
      </c>
      <c r="O1389">
        <v>30</v>
      </c>
      <c r="P1389" s="1">
        <v>45689</v>
      </c>
      <c r="Q1389" s="1"/>
      <c r="R1389" t="str">
        <f>IF(Table1[[#This Row],[Actual close date]]="","",Table1[[#This Row],[Actual close date]]-Table1[[#This Row],[Expected close date]])</f>
        <v/>
      </c>
    </row>
    <row r="1390" spans="1:18" x14ac:dyDescent="0.25">
      <c r="A1390" t="s">
        <v>1469</v>
      </c>
      <c r="B1390" t="s">
        <v>49</v>
      </c>
      <c r="C1390" t="s">
        <v>50</v>
      </c>
      <c r="D1390" t="s">
        <v>51</v>
      </c>
      <c r="E1390" t="s">
        <v>74</v>
      </c>
      <c r="F1390" t="s">
        <v>167</v>
      </c>
      <c r="G1390" t="s">
        <v>83</v>
      </c>
      <c r="H1390" s="1">
        <v>45397</v>
      </c>
      <c r="I1390" t="s">
        <v>47</v>
      </c>
      <c r="J1390" t="s">
        <v>1117</v>
      </c>
      <c r="K1390">
        <v>5</v>
      </c>
      <c r="L1390" t="s">
        <v>1417</v>
      </c>
      <c r="M1390">
        <v>6</v>
      </c>
      <c r="N1390">
        <v>3692</v>
      </c>
      <c r="O1390">
        <v>20</v>
      </c>
      <c r="P1390" s="1">
        <v>45743</v>
      </c>
      <c r="Q1390" s="1"/>
      <c r="R1390" t="str">
        <f>IF(Table1[[#This Row],[Actual close date]]="","",Table1[[#This Row],[Actual close date]]-Table1[[#This Row],[Expected close date]])</f>
        <v/>
      </c>
    </row>
    <row r="1391" spans="1:18" x14ac:dyDescent="0.25">
      <c r="A1391" t="s">
        <v>1470</v>
      </c>
      <c r="B1391" t="s">
        <v>59</v>
      </c>
      <c r="C1391" t="s">
        <v>60</v>
      </c>
      <c r="D1391" t="s">
        <v>61</v>
      </c>
      <c r="E1391" t="s">
        <v>42</v>
      </c>
      <c r="F1391" t="s">
        <v>167</v>
      </c>
      <c r="G1391" t="s">
        <v>46</v>
      </c>
      <c r="H1391" s="1">
        <v>45441</v>
      </c>
      <c r="I1391" t="s">
        <v>24</v>
      </c>
      <c r="J1391" t="s">
        <v>1117</v>
      </c>
      <c r="K1391">
        <v>5</v>
      </c>
      <c r="L1391" t="s">
        <v>1417</v>
      </c>
      <c r="M1391">
        <v>6</v>
      </c>
      <c r="N1391">
        <v>6882</v>
      </c>
      <c r="O1391">
        <v>30</v>
      </c>
      <c r="P1391" s="1">
        <v>45804</v>
      </c>
      <c r="Q1391" s="1"/>
      <c r="R1391" t="str">
        <f>IF(Table1[[#This Row],[Actual close date]]="","",Table1[[#This Row],[Actual close date]]-Table1[[#This Row],[Expected close date]])</f>
        <v/>
      </c>
    </row>
    <row r="1392" spans="1:18" x14ac:dyDescent="0.25">
      <c r="A1392" t="s">
        <v>1471</v>
      </c>
      <c r="B1392" t="s">
        <v>33</v>
      </c>
      <c r="C1392" t="s">
        <v>34</v>
      </c>
      <c r="D1392" t="s">
        <v>35</v>
      </c>
      <c r="E1392" t="s">
        <v>98</v>
      </c>
      <c r="F1392" t="s">
        <v>167</v>
      </c>
      <c r="G1392" t="s">
        <v>37</v>
      </c>
      <c r="H1392" s="1">
        <v>45379</v>
      </c>
      <c r="I1392" t="s">
        <v>64</v>
      </c>
      <c r="J1392" t="s">
        <v>1117</v>
      </c>
      <c r="K1392">
        <v>5</v>
      </c>
      <c r="L1392" t="s">
        <v>1417</v>
      </c>
      <c r="M1392">
        <v>6</v>
      </c>
      <c r="N1392">
        <v>7069</v>
      </c>
      <c r="O1392">
        <v>30</v>
      </c>
      <c r="P1392" s="1">
        <v>45509</v>
      </c>
      <c r="Q1392" s="1"/>
      <c r="R1392" t="str">
        <f>IF(Table1[[#This Row],[Actual close date]]="","",Table1[[#This Row],[Actual close date]]-Table1[[#This Row],[Expected close date]])</f>
        <v/>
      </c>
    </row>
    <row r="1393" spans="1:18" x14ac:dyDescent="0.25">
      <c r="A1393" t="s">
        <v>1472</v>
      </c>
      <c r="B1393" t="s">
        <v>76</v>
      </c>
      <c r="C1393" t="s">
        <v>77</v>
      </c>
      <c r="D1393" t="s">
        <v>78</v>
      </c>
      <c r="E1393" t="s">
        <v>62</v>
      </c>
      <c r="F1393" t="s">
        <v>167</v>
      </c>
      <c r="G1393" t="s">
        <v>23</v>
      </c>
      <c r="H1393" s="1">
        <v>45333</v>
      </c>
      <c r="I1393" t="s">
        <v>24</v>
      </c>
      <c r="J1393" t="s">
        <v>1117</v>
      </c>
      <c r="K1393">
        <v>5</v>
      </c>
      <c r="L1393" t="s">
        <v>1417</v>
      </c>
      <c r="M1393">
        <v>6</v>
      </c>
      <c r="N1393">
        <v>5658</v>
      </c>
      <c r="O1393">
        <v>60</v>
      </c>
      <c r="P1393" s="1">
        <v>45683</v>
      </c>
      <c r="Q1393" s="1"/>
      <c r="R1393" t="str">
        <f>IF(Table1[[#This Row],[Actual close date]]="","",Table1[[#This Row],[Actual close date]]-Table1[[#This Row],[Expected close date]])</f>
        <v/>
      </c>
    </row>
    <row r="1394" spans="1:18" x14ac:dyDescent="0.25">
      <c r="A1394" t="s">
        <v>1473</v>
      </c>
      <c r="B1394" t="s">
        <v>76</v>
      </c>
      <c r="C1394" t="s">
        <v>77</v>
      </c>
      <c r="D1394" t="s">
        <v>78</v>
      </c>
      <c r="E1394" t="s">
        <v>74</v>
      </c>
      <c r="F1394" t="s">
        <v>167</v>
      </c>
      <c r="G1394" t="s">
        <v>57</v>
      </c>
      <c r="H1394" s="1">
        <v>45362</v>
      </c>
      <c r="I1394" t="s">
        <v>64</v>
      </c>
      <c r="J1394" t="s">
        <v>1117</v>
      </c>
      <c r="K1394">
        <v>5</v>
      </c>
      <c r="L1394" t="s">
        <v>1417</v>
      </c>
      <c r="M1394">
        <v>6</v>
      </c>
      <c r="N1394">
        <v>6364</v>
      </c>
      <c r="O1394">
        <v>20</v>
      </c>
      <c r="P1394" s="1">
        <v>45726</v>
      </c>
      <c r="Q1394" s="1"/>
      <c r="R1394" t="str">
        <f>IF(Table1[[#This Row],[Actual close date]]="","",Table1[[#This Row],[Actual close date]]-Table1[[#This Row],[Expected close date]])</f>
        <v/>
      </c>
    </row>
    <row r="1395" spans="1:18" x14ac:dyDescent="0.25">
      <c r="A1395" t="s">
        <v>1474</v>
      </c>
      <c r="B1395" t="s">
        <v>33</v>
      </c>
      <c r="C1395" t="s">
        <v>34</v>
      </c>
      <c r="D1395" t="s">
        <v>35</v>
      </c>
      <c r="E1395" t="s">
        <v>45</v>
      </c>
      <c r="F1395" t="s">
        <v>167</v>
      </c>
      <c r="G1395" t="s">
        <v>46</v>
      </c>
      <c r="H1395" s="1">
        <v>45396</v>
      </c>
      <c r="I1395" t="s">
        <v>47</v>
      </c>
      <c r="J1395" t="s">
        <v>1117</v>
      </c>
      <c r="K1395">
        <v>5</v>
      </c>
      <c r="L1395" t="s">
        <v>1417</v>
      </c>
      <c r="M1395">
        <v>6</v>
      </c>
      <c r="N1395">
        <v>4017</v>
      </c>
      <c r="O1395">
        <v>10</v>
      </c>
      <c r="P1395" s="1">
        <v>45564</v>
      </c>
      <c r="Q1395" s="1"/>
      <c r="R1395" t="str">
        <f>IF(Table1[[#This Row],[Actual close date]]="","",Table1[[#This Row],[Actual close date]]-Table1[[#This Row],[Expected close date]])</f>
        <v/>
      </c>
    </row>
    <row r="1396" spans="1:18" x14ac:dyDescent="0.25">
      <c r="A1396" t="s">
        <v>1475</v>
      </c>
      <c r="B1396" t="s">
        <v>39</v>
      </c>
      <c r="C1396" t="s">
        <v>40</v>
      </c>
      <c r="D1396" t="s">
        <v>41</v>
      </c>
      <c r="E1396" t="s">
        <v>45</v>
      </c>
      <c r="F1396" t="s">
        <v>239</v>
      </c>
      <c r="G1396" t="s">
        <v>46</v>
      </c>
      <c r="H1396" s="1">
        <v>45393</v>
      </c>
      <c r="I1396" t="s">
        <v>47</v>
      </c>
      <c r="J1396" t="s">
        <v>1117</v>
      </c>
      <c r="K1396">
        <v>5</v>
      </c>
      <c r="L1396" t="s">
        <v>1417</v>
      </c>
      <c r="M1396">
        <v>6</v>
      </c>
      <c r="N1396">
        <v>14173</v>
      </c>
      <c r="O1396">
        <v>50</v>
      </c>
      <c r="P1396" s="1">
        <v>45703</v>
      </c>
      <c r="Q1396" s="1"/>
      <c r="R1396" t="str">
        <f>IF(Table1[[#This Row],[Actual close date]]="","",Table1[[#This Row],[Actual close date]]-Table1[[#This Row],[Expected close date]])</f>
        <v/>
      </c>
    </row>
    <row r="1397" spans="1:18" x14ac:dyDescent="0.25">
      <c r="A1397" t="s">
        <v>1476</v>
      </c>
      <c r="B1397" t="s">
        <v>59</v>
      </c>
      <c r="C1397" t="s">
        <v>60</v>
      </c>
      <c r="D1397" t="s">
        <v>61</v>
      </c>
      <c r="E1397" t="s">
        <v>74</v>
      </c>
      <c r="F1397" t="s">
        <v>246</v>
      </c>
      <c r="G1397" t="s">
        <v>57</v>
      </c>
      <c r="H1397" s="1">
        <v>45380</v>
      </c>
      <c r="I1397" t="s">
        <v>64</v>
      </c>
      <c r="J1397" t="s">
        <v>1117</v>
      </c>
      <c r="K1397">
        <v>5</v>
      </c>
      <c r="L1397" t="s">
        <v>1417</v>
      </c>
      <c r="M1397">
        <v>6</v>
      </c>
      <c r="N1397">
        <v>4825</v>
      </c>
      <c r="O1397">
        <v>90</v>
      </c>
      <c r="P1397" s="1">
        <v>45490</v>
      </c>
      <c r="Q1397" s="1"/>
      <c r="R1397" t="str">
        <f>IF(Table1[[#This Row],[Actual close date]]="","",Table1[[#This Row],[Actual close date]]-Table1[[#This Row],[Expected close date]])</f>
        <v/>
      </c>
    </row>
    <row r="1398" spans="1:18" x14ac:dyDescent="0.25">
      <c r="A1398" t="s">
        <v>1477</v>
      </c>
      <c r="B1398" t="s">
        <v>76</v>
      </c>
      <c r="C1398" t="s">
        <v>77</v>
      </c>
      <c r="D1398" t="s">
        <v>78</v>
      </c>
      <c r="E1398" t="s">
        <v>52</v>
      </c>
      <c r="F1398" t="s">
        <v>246</v>
      </c>
      <c r="G1398" t="s">
        <v>46</v>
      </c>
      <c r="H1398" s="1">
        <v>45399</v>
      </c>
      <c r="I1398" t="s">
        <v>64</v>
      </c>
      <c r="J1398" t="s">
        <v>1117</v>
      </c>
      <c r="K1398">
        <v>5</v>
      </c>
      <c r="L1398" t="s">
        <v>1417</v>
      </c>
      <c r="M1398">
        <v>6</v>
      </c>
      <c r="N1398">
        <v>18078</v>
      </c>
      <c r="O1398">
        <v>40</v>
      </c>
      <c r="P1398" s="1">
        <v>45659</v>
      </c>
      <c r="Q1398" s="1"/>
      <c r="R1398" t="str">
        <f>IF(Table1[[#This Row],[Actual close date]]="","",Table1[[#This Row],[Actual close date]]-Table1[[#This Row],[Expected close date]])</f>
        <v/>
      </c>
    </row>
    <row r="1399" spans="1:18" x14ac:dyDescent="0.25">
      <c r="A1399" t="s">
        <v>1293</v>
      </c>
      <c r="B1399" t="s">
        <v>54</v>
      </c>
      <c r="C1399" t="s">
        <v>55</v>
      </c>
      <c r="D1399" t="s">
        <v>56</v>
      </c>
      <c r="E1399" t="s">
        <v>122</v>
      </c>
      <c r="F1399" t="s">
        <v>167</v>
      </c>
      <c r="G1399" t="s">
        <v>83</v>
      </c>
      <c r="H1399" s="1">
        <v>45361</v>
      </c>
      <c r="I1399" t="s">
        <v>24</v>
      </c>
      <c r="J1399" t="s">
        <v>1117</v>
      </c>
      <c r="K1399">
        <v>5</v>
      </c>
      <c r="L1399" t="s">
        <v>1118</v>
      </c>
      <c r="M1399">
        <v>2</v>
      </c>
      <c r="N1399">
        <v>7739</v>
      </c>
      <c r="O1399">
        <v>60</v>
      </c>
      <c r="P1399" s="1">
        <v>45496</v>
      </c>
      <c r="Q1399" s="1"/>
      <c r="R1399" t="str">
        <f>IF(Table1[[#This Row],[Actual close date]]="","",Table1[[#This Row],[Actual close date]]-Table1[[#This Row],[Expected close date]])</f>
        <v/>
      </c>
    </row>
    <row r="1400" spans="1:18" x14ac:dyDescent="0.25">
      <c r="A1400" t="s">
        <v>1368</v>
      </c>
      <c r="B1400" t="s">
        <v>59</v>
      </c>
      <c r="C1400" t="s">
        <v>60</v>
      </c>
      <c r="D1400" t="s">
        <v>61</v>
      </c>
      <c r="E1400" t="s">
        <v>21</v>
      </c>
      <c r="F1400" t="s">
        <v>167</v>
      </c>
      <c r="G1400" t="s">
        <v>83</v>
      </c>
      <c r="H1400" s="1">
        <v>45361</v>
      </c>
      <c r="I1400" t="s">
        <v>24</v>
      </c>
      <c r="J1400" t="s">
        <v>1117</v>
      </c>
      <c r="K1400">
        <v>5</v>
      </c>
      <c r="L1400" t="s">
        <v>1118</v>
      </c>
      <c r="M1400">
        <v>2</v>
      </c>
      <c r="N1400">
        <v>3725</v>
      </c>
      <c r="O1400">
        <v>40</v>
      </c>
      <c r="P1400" s="1">
        <v>45640</v>
      </c>
      <c r="Q1400" s="1"/>
      <c r="R1400" t="str">
        <f>IF(Table1[[#This Row],[Actual close date]]="","",Table1[[#This Row],[Actual close date]]-Table1[[#This Row],[Expected close date]])</f>
        <v/>
      </c>
    </row>
    <row r="1401" spans="1:18" x14ac:dyDescent="0.25">
      <c r="A1401" t="s">
        <v>1520</v>
      </c>
      <c r="B1401" t="s">
        <v>59</v>
      </c>
      <c r="C1401" t="s">
        <v>60</v>
      </c>
      <c r="D1401" t="s">
        <v>61</v>
      </c>
      <c r="E1401" t="s">
        <v>42</v>
      </c>
      <c r="F1401" t="s">
        <v>22</v>
      </c>
      <c r="G1401" t="s">
        <v>46</v>
      </c>
      <c r="H1401" s="1">
        <v>45361</v>
      </c>
      <c r="I1401" t="s">
        <v>24</v>
      </c>
      <c r="J1401" t="s">
        <v>1117</v>
      </c>
      <c r="K1401">
        <v>5</v>
      </c>
      <c r="L1401" t="s">
        <v>1479</v>
      </c>
      <c r="M1401">
        <v>3</v>
      </c>
      <c r="N1401">
        <v>858</v>
      </c>
      <c r="O1401">
        <v>40</v>
      </c>
      <c r="P1401" s="1">
        <v>45452</v>
      </c>
      <c r="Q1401" s="1"/>
      <c r="R1401" t="str">
        <f>IF(Table1[[#This Row],[Actual close date]]="","",Table1[[#This Row],[Actual close date]]-Table1[[#This Row],[Expected close date]])</f>
        <v/>
      </c>
    </row>
    <row r="1402" spans="1:18" x14ac:dyDescent="0.25">
      <c r="A1402" t="s">
        <v>1600</v>
      </c>
      <c r="B1402" t="s">
        <v>33</v>
      </c>
      <c r="C1402" t="s">
        <v>34</v>
      </c>
      <c r="D1402" t="s">
        <v>35</v>
      </c>
      <c r="E1402" t="s">
        <v>36</v>
      </c>
      <c r="F1402" t="s">
        <v>125</v>
      </c>
      <c r="G1402" t="s">
        <v>57</v>
      </c>
      <c r="H1402" s="1">
        <v>45361</v>
      </c>
      <c r="I1402" t="s">
        <v>47</v>
      </c>
      <c r="J1402" t="s">
        <v>1117</v>
      </c>
      <c r="K1402">
        <v>5</v>
      </c>
      <c r="L1402" t="s">
        <v>1479</v>
      </c>
      <c r="M1402">
        <v>3</v>
      </c>
      <c r="N1402">
        <v>368</v>
      </c>
      <c r="O1402">
        <v>50</v>
      </c>
      <c r="P1402" s="1">
        <v>45393</v>
      </c>
      <c r="Q1402" s="1"/>
      <c r="R1402" t="str">
        <f>IF(Table1[[#This Row],[Actual close date]]="","",Table1[[#This Row],[Actual close date]]-Table1[[#This Row],[Expected close date]])</f>
        <v/>
      </c>
    </row>
    <row r="1403" spans="1:18" x14ac:dyDescent="0.25">
      <c r="A1403" t="s">
        <v>1719</v>
      </c>
      <c r="B1403" t="s">
        <v>69</v>
      </c>
      <c r="C1403" t="s">
        <v>70</v>
      </c>
      <c r="D1403" t="s">
        <v>71</v>
      </c>
      <c r="E1403" t="s">
        <v>74</v>
      </c>
      <c r="F1403" t="s">
        <v>22</v>
      </c>
      <c r="G1403" t="s">
        <v>83</v>
      </c>
      <c r="H1403" s="1">
        <v>45361</v>
      </c>
      <c r="I1403" t="s">
        <v>24</v>
      </c>
      <c r="J1403" t="s">
        <v>1117</v>
      </c>
      <c r="K1403">
        <v>5</v>
      </c>
      <c r="L1403" t="s">
        <v>1700</v>
      </c>
      <c r="M1403">
        <v>1</v>
      </c>
      <c r="N1403">
        <v>597</v>
      </c>
      <c r="O1403">
        <v>40</v>
      </c>
      <c r="P1403" s="1">
        <v>45387</v>
      </c>
      <c r="Q1403" s="1"/>
      <c r="R1403" t="str">
        <f>IF(Table1[[#This Row],[Actual close date]]="","",Table1[[#This Row],[Actual close date]]-Table1[[#This Row],[Expected close date]])</f>
        <v/>
      </c>
    </row>
    <row r="1404" spans="1:18" x14ac:dyDescent="0.25">
      <c r="A1404" t="s">
        <v>1740</v>
      </c>
      <c r="B1404" t="s">
        <v>33</v>
      </c>
      <c r="C1404" t="s">
        <v>34</v>
      </c>
      <c r="D1404" t="s">
        <v>35</v>
      </c>
      <c r="E1404" t="s">
        <v>52</v>
      </c>
      <c r="F1404" t="s">
        <v>125</v>
      </c>
      <c r="G1404" t="s">
        <v>57</v>
      </c>
      <c r="H1404" s="1">
        <v>45361</v>
      </c>
      <c r="I1404" t="s">
        <v>47</v>
      </c>
      <c r="J1404" t="s">
        <v>1117</v>
      </c>
      <c r="K1404">
        <v>5</v>
      </c>
      <c r="L1404" t="s">
        <v>1700</v>
      </c>
      <c r="M1404">
        <v>1</v>
      </c>
      <c r="N1404">
        <v>615</v>
      </c>
      <c r="O1404">
        <v>60</v>
      </c>
      <c r="P1404" s="1">
        <v>45629</v>
      </c>
      <c r="Q1404" s="1"/>
      <c r="R1404" t="str">
        <f>IF(Table1[[#This Row],[Actual close date]]="","",Table1[[#This Row],[Actual close date]]-Table1[[#This Row],[Expected close date]])</f>
        <v/>
      </c>
    </row>
    <row r="1405" spans="1:18" x14ac:dyDescent="0.25">
      <c r="A1405" t="s">
        <v>1877</v>
      </c>
      <c r="B1405" t="s">
        <v>69</v>
      </c>
      <c r="C1405" t="s">
        <v>70</v>
      </c>
      <c r="D1405" t="s">
        <v>71</v>
      </c>
      <c r="E1405" t="s">
        <v>21</v>
      </c>
      <c r="F1405" t="s">
        <v>167</v>
      </c>
      <c r="G1405" t="s">
        <v>85</v>
      </c>
      <c r="H1405" s="1">
        <v>45361</v>
      </c>
      <c r="I1405" t="s">
        <v>24</v>
      </c>
      <c r="J1405" t="s">
        <v>1117</v>
      </c>
      <c r="K1405">
        <v>5</v>
      </c>
      <c r="L1405" t="s">
        <v>1766</v>
      </c>
      <c r="M1405">
        <v>4</v>
      </c>
      <c r="N1405">
        <v>459</v>
      </c>
      <c r="O1405">
        <v>60</v>
      </c>
      <c r="P1405" s="1">
        <v>45502</v>
      </c>
      <c r="Q1405" s="1"/>
      <c r="R1405" t="str">
        <f>IF(Table1[[#This Row],[Actual close date]]="","",Table1[[#This Row],[Actual close date]]-Table1[[#This Row],[Expected close date]])</f>
        <v/>
      </c>
    </row>
    <row r="1406" spans="1:18" x14ac:dyDescent="0.25">
      <c r="A1406" t="s">
        <v>1219</v>
      </c>
      <c r="B1406" t="s">
        <v>39</v>
      </c>
      <c r="C1406" t="s">
        <v>40</v>
      </c>
      <c r="D1406" t="s">
        <v>41</v>
      </c>
      <c r="E1406" t="s">
        <v>122</v>
      </c>
      <c r="F1406" t="s">
        <v>125</v>
      </c>
      <c r="G1406" t="s">
        <v>83</v>
      </c>
      <c r="H1406" s="1">
        <v>45362</v>
      </c>
      <c r="I1406" t="s">
        <v>24</v>
      </c>
      <c r="J1406" t="s">
        <v>1117</v>
      </c>
      <c r="K1406">
        <v>5</v>
      </c>
      <c r="L1406" t="s">
        <v>1118</v>
      </c>
      <c r="M1406">
        <v>2</v>
      </c>
      <c r="N1406">
        <v>1193</v>
      </c>
      <c r="O1406">
        <v>40</v>
      </c>
      <c r="P1406" s="1">
        <v>45503</v>
      </c>
      <c r="Q1406" s="1"/>
      <c r="R1406" t="str">
        <f>IF(Table1[[#This Row],[Actual close date]]="","",Table1[[#This Row],[Actual close date]]-Table1[[#This Row],[Expected close date]])</f>
        <v/>
      </c>
    </row>
    <row r="1407" spans="1:18" x14ac:dyDescent="0.25">
      <c r="A1407" t="s">
        <v>1287</v>
      </c>
      <c r="B1407" t="s">
        <v>27</v>
      </c>
      <c r="C1407" t="s">
        <v>28</v>
      </c>
      <c r="D1407" t="s">
        <v>29</v>
      </c>
      <c r="E1407" t="s">
        <v>21</v>
      </c>
      <c r="F1407" t="s">
        <v>167</v>
      </c>
      <c r="G1407" t="s">
        <v>46</v>
      </c>
      <c r="H1407" s="1">
        <v>45362</v>
      </c>
      <c r="I1407" t="s">
        <v>24</v>
      </c>
      <c r="J1407" t="s">
        <v>1117</v>
      </c>
      <c r="K1407">
        <v>5</v>
      </c>
      <c r="L1407" t="s">
        <v>1118</v>
      </c>
      <c r="M1407">
        <v>2</v>
      </c>
      <c r="N1407">
        <v>7215</v>
      </c>
      <c r="O1407">
        <v>40</v>
      </c>
      <c r="P1407" s="1">
        <v>45668</v>
      </c>
      <c r="Q1407" s="1"/>
      <c r="R1407" t="str">
        <f>IF(Table1[[#This Row],[Actual close date]]="","",Table1[[#This Row],[Actual close date]]-Table1[[#This Row],[Expected close date]])</f>
        <v/>
      </c>
    </row>
    <row r="1408" spans="1:18" x14ac:dyDescent="0.25">
      <c r="A1408" t="s">
        <v>1511</v>
      </c>
      <c r="B1408" t="s">
        <v>54</v>
      </c>
      <c r="C1408" t="s">
        <v>55</v>
      </c>
      <c r="D1408" t="s">
        <v>56</v>
      </c>
      <c r="E1408" t="s">
        <v>74</v>
      </c>
      <c r="F1408" t="s">
        <v>22</v>
      </c>
      <c r="G1408" t="s">
        <v>46</v>
      </c>
      <c r="H1408" s="1">
        <v>45362</v>
      </c>
      <c r="I1408" t="s">
        <v>47</v>
      </c>
      <c r="J1408" t="s">
        <v>1117</v>
      </c>
      <c r="K1408">
        <v>5</v>
      </c>
      <c r="L1408" t="s">
        <v>1479</v>
      </c>
      <c r="M1408">
        <v>3</v>
      </c>
      <c r="N1408">
        <v>1115</v>
      </c>
      <c r="O1408">
        <v>10</v>
      </c>
      <c r="P1408" s="1">
        <v>45526</v>
      </c>
      <c r="Q1408" s="1"/>
      <c r="R1408" t="str">
        <f>IF(Table1[[#This Row],[Actual close date]]="","",Table1[[#This Row],[Actual close date]]-Table1[[#This Row],[Expected close date]])</f>
        <v/>
      </c>
    </row>
    <row r="1409" spans="1:18" x14ac:dyDescent="0.25">
      <c r="A1409" t="s">
        <v>1678</v>
      </c>
      <c r="B1409" t="s">
        <v>59</v>
      </c>
      <c r="C1409" t="s">
        <v>60</v>
      </c>
      <c r="D1409" t="s">
        <v>61</v>
      </c>
      <c r="E1409" t="s">
        <v>122</v>
      </c>
      <c r="F1409" t="s">
        <v>167</v>
      </c>
      <c r="G1409" t="s">
        <v>37</v>
      </c>
      <c r="H1409" s="1">
        <v>45362</v>
      </c>
      <c r="I1409" t="s">
        <v>24</v>
      </c>
      <c r="J1409" t="s">
        <v>1117</v>
      </c>
      <c r="K1409">
        <v>5</v>
      </c>
      <c r="L1409" t="s">
        <v>1479</v>
      </c>
      <c r="M1409">
        <v>3</v>
      </c>
      <c r="N1409">
        <v>1713</v>
      </c>
      <c r="O1409">
        <v>40</v>
      </c>
      <c r="P1409" s="1">
        <v>45409</v>
      </c>
      <c r="Q1409" s="1"/>
      <c r="R1409" t="str">
        <f>IF(Table1[[#This Row],[Actual close date]]="","",Table1[[#This Row],[Actual close date]]-Table1[[#This Row],[Expected close date]])</f>
        <v/>
      </c>
    </row>
    <row r="1410" spans="1:18" x14ac:dyDescent="0.25">
      <c r="A1410" t="s">
        <v>1704</v>
      </c>
      <c r="B1410" t="s">
        <v>18</v>
      </c>
      <c r="C1410" t="s">
        <v>19</v>
      </c>
      <c r="D1410" t="s">
        <v>20</v>
      </c>
      <c r="E1410" t="s">
        <v>62</v>
      </c>
      <c r="F1410" t="s">
        <v>22</v>
      </c>
      <c r="G1410" t="s">
        <v>72</v>
      </c>
      <c r="H1410" s="1">
        <v>45362</v>
      </c>
      <c r="I1410" t="s">
        <v>24</v>
      </c>
      <c r="J1410" t="s">
        <v>1117</v>
      </c>
      <c r="K1410">
        <v>5</v>
      </c>
      <c r="L1410" t="s">
        <v>1700</v>
      </c>
      <c r="M1410">
        <v>1</v>
      </c>
      <c r="N1410">
        <v>1925</v>
      </c>
      <c r="O1410">
        <v>50</v>
      </c>
      <c r="P1410" s="1">
        <v>45719</v>
      </c>
      <c r="Q1410" s="1"/>
      <c r="R1410" t="str">
        <f>IF(Table1[[#This Row],[Actual close date]]="","",Table1[[#This Row],[Actual close date]]-Table1[[#This Row],[Expected close date]])</f>
        <v/>
      </c>
    </row>
    <row r="1411" spans="1:18" x14ac:dyDescent="0.25">
      <c r="A1411" t="s">
        <v>1182</v>
      </c>
      <c r="B1411" t="s">
        <v>69</v>
      </c>
      <c r="C1411" t="s">
        <v>70</v>
      </c>
      <c r="D1411" t="s">
        <v>71</v>
      </c>
      <c r="E1411" t="s">
        <v>122</v>
      </c>
      <c r="F1411" t="s">
        <v>22</v>
      </c>
      <c r="G1411" t="s">
        <v>85</v>
      </c>
      <c r="H1411" s="1">
        <v>45363</v>
      </c>
      <c r="I1411" t="s">
        <v>64</v>
      </c>
      <c r="J1411" t="s">
        <v>1117</v>
      </c>
      <c r="K1411">
        <v>5</v>
      </c>
      <c r="L1411" t="s">
        <v>1118</v>
      </c>
      <c r="M1411">
        <v>2</v>
      </c>
      <c r="N1411">
        <v>1004</v>
      </c>
      <c r="O1411">
        <v>20</v>
      </c>
      <c r="P1411" s="1">
        <v>45686</v>
      </c>
      <c r="Q1411" s="1"/>
      <c r="R1411" t="str">
        <f>IF(Table1[[#This Row],[Actual close date]]="","",Table1[[#This Row],[Actual close date]]-Table1[[#This Row],[Expected close date]])</f>
        <v/>
      </c>
    </row>
    <row r="1412" spans="1:18" x14ac:dyDescent="0.25">
      <c r="A1412" t="s">
        <v>1649</v>
      </c>
      <c r="B1412" t="s">
        <v>76</v>
      </c>
      <c r="C1412" t="s">
        <v>77</v>
      </c>
      <c r="D1412" t="s">
        <v>78</v>
      </c>
      <c r="E1412" t="s">
        <v>45</v>
      </c>
      <c r="F1412" t="s">
        <v>167</v>
      </c>
      <c r="G1412" t="s">
        <v>46</v>
      </c>
      <c r="H1412" s="1">
        <v>45363</v>
      </c>
      <c r="I1412" t="s">
        <v>64</v>
      </c>
      <c r="J1412" t="s">
        <v>1117</v>
      </c>
      <c r="K1412">
        <v>5</v>
      </c>
      <c r="L1412" t="s">
        <v>1479</v>
      </c>
      <c r="M1412">
        <v>3</v>
      </c>
      <c r="N1412">
        <v>534</v>
      </c>
      <c r="O1412">
        <v>50</v>
      </c>
      <c r="P1412" s="1">
        <v>45695</v>
      </c>
      <c r="Q1412" s="1"/>
      <c r="R1412" t="str">
        <f>IF(Table1[[#This Row],[Actual close date]]="","",Table1[[#This Row],[Actual close date]]-Table1[[#This Row],[Expected close date]])</f>
        <v/>
      </c>
    </row>
    <row r="1413" spans="1:18" x14ac:dyDescent="0.25">
      <c r="A1413" t="s">
        <v>1657</v>
      </c>
      <c r="B1413" t="s">
        <v>18</v>
      </c>
      <c r="C1413" t="s">
        <v>19</v>
      </c>
      <c r="D1413" t="s">
        <v>20</v>
      </c>
      <c r="E1413" t="s">
        <v>42</v>
      </c>
      <c r="F1413" t="s">
        <v>167</v>
      </c>
      <c r="G1413" t="s">
        <v>46</v>
      </c>
      <c r="H1413" s="1">
        <v>45363</v>
      </c>
      <c r="I1413" t="s">
        <v>64</v>
      </c>
      <c r="J1413" t="s">
        <v>1117</v>
      </c>
      <c r="K1413">
        <v>5</v>
      </c>
      <c r="L1413" t="s">
        <v>1479</v>
      </c>
      <c r="M1413">
        <v>3</v>
      </c>
      <c r="N1413">
        <v>5182</v>
      </c>
      <c r="O1413">
        <v>70</v>
      </c>
      <c r="P1413" s="1">
        <v>45685</v>
      </c>
      <c r="Q1413" s="1"/>
      <c r="R1413" t="str">
        <f>IF(Table1[[#This Row],[Actual close date]]="","",Table1[[#This Row],[Actual close date]]-Table1[[#This Row],[Expected close date]])</f>
        <v/>
      </c>
    </row>
    <row r="1414" spans="1:18" x14ac:dyDescent="0.25">
      <c r="A1414" t="s">
        <v>1693</v>
      </c>
      <c r="B1414" t="s">
        <v>59</v>
      </c>
      <c r="C1414" t="s">
        <v>60</v>
      </c>
      <c r="D1414" t="s">
        <v>61</v>
      </c>
      <c r="E1414" t="s">
        <v>101</v>
      </c>
      <c r="F1414" t="s">
        <v>239</v>
      </c>
      <c r="G1414" t="s">
        <v>57</v>
      </c>
      <c r="H1414" s="1">
        <v>45363</v>
      </c>
      <c r="I1414" t="s">
        <v>24</v>
      </c>
      <c r="J1414" t="s">
        <v>1117</v>
      </c>
      <c r="K1414">
        <v>5</v>
      </c>
      <c r="L1414" t="s">
        <v>1479</v>
      </c>
      <c r="M1414">
        <v>3</v>
      </c>
      <c r="N1414">
        <v>8727</v>
      </c>
      <c r="O1414">
        <v>100</v>
      </c>
      <c r="P1414" s="1">
        <v>45615</v>
      </c>
      <c r="Q1414" s="1"/>
      <c r="R1414" t="str">
        <f>IF(Table1[[#This Row],[Actual close date]]="","",Table1[[#This Row],[Actual close date]]-Table1[[#This Row],[Expected close date]])</f>
        <v/>
      </c>
    </row>
    <row r="1415" spans="1:18" x14ac:dyDescent="0.25">
      <c r="A1415" t="s">
        <v>1831</v>
      </c>
      <c r="B1415" t="s">
        <v>18</v>
      </c>
      <c r="C1415" t="s">
        <v>19</v>
      </c>
      <c r="D1415" t="s">
        <v>20</v>
      </c>
      <c r="E1415" t="s">
        <v>52</v>
      </c>
      <c r="F1415" t="s">
        <v>125</v>
      </c>
      <c r="G1415" t="s">
        <v>46</v>
      </c>
      <c r="H1415" s="1">
        <v>45363</v>
      </c>
      <c r="I1415" t="s">
        <v>64</v>
      </c>
      <c r="J1415" t="s">
        <v>1117</v>
      </c>
      <c r="K1415">
        <v>5</v>
      </c>
      <c r="L1415" t="s">
        <v>1766</v>
      </c>
      <c r="M1415">
        <v>4</v>
      </c>
      <c r="N1415">
        <v>219</v>
      </c>
      <c r="O1415">
        <v>40</v>
      </c>
      <c r="P1415" s="1">
        <v>45509</v>
      </c>
      <c r="Q1415" s="1"/>
      <c r="R1415" t="str">
        <f>IF(Table1[[#This Row],[Actual close date]]="","",Table1[[#This Row],[Actual close date]]-Table1[[#This Row],[Expected close date]])</f>
        <v/>
      </c>
    </row>
    <row r="1416" spans="1:18" x14ac:dyDescent="0.25">
      <c r="A1416" t="s">
        <v>1871</v>
      </c>
      <c r="B1416" t="s">
        <v>76</v>
      </c>
      <c r="C1416" t="s">
        <v>77</v>
      </c>
      <c r="D1416" t="s">
        <v>78</v>
      </c>
      <c r="E1416" t="s">
        <v>45</v>
      </c>
      <c r="F1416" t="s">
        <v>167</v>
      </c>
      <c r="G1416" t="s">
        <v>83</v>
      </c>
      <c r="H1416" s="1">
        <v>45363</v>
      </c>
      <c r="I1416" t="s">
        <v>24</v>
      </c>
      <c r="J1416" t="s">
        <v>1117</v>
      </c>
      <c r="K1416">
        <v>5</v>
      </c>
      <c r="L1416" t="s">
        <v>1766</v>
      </c>
      <c r="M1416">
        <v>4</v>
      </c>
      <c r="N1416">
        <v>467</v>
      </c>
      <c r="O1416">
        <v>40</v>
      </c>
      <c r="P1416" s="1">
        <v>45531</v>
      </c>
      <c r="Q1416" s="1"/>
      <c r="R1416" t="str">
        <f>IF(Table1[[#This Row],[Actual close date]]="","",Table1[[#This Row],[Actual close date]]-Table1[[#This Row],[Expected close date]])</f>
        <v/>
      </c>
    </row>
    <row r="1417" spans="1:18" x14ac:dyDescent="0.25">
      <c r="A1417" t="s">
        <v>1783</v>
      </c>
      <c r="B1417" t="s">
        <v>76</v>
      </c>
      <c r="C1417" t="s">
        <v>77</v>
      </c>
      <c r="D1417" t="s">
        <v>78</v>
      </c>
      <c r="E1417" t="s">
        <v>82</v>
      </c>
      <c r="F1417" t="s">
        <v>22</v>
      </c>
      <c r="G1417" t="s">
        <v>57</v>
      </c>
      <c r="H1417" s="1">
        <v>45364</v>
      </c>
      <c r="I1417" t="s">
        <v>24</v>
      </c>
      <c r="J1417" t="s">
        <v>1117</v>
      </c>
      <c r="K1417">
        <v>5</v>
      </c>
      <c r="L1417" t="s">
        <v>1766</v>
      </c>
      <c r="M1417">
        <v>4</v>
      </c>
      <c r="N1417">
        <v>1084</v>
      </c>
      <c r="O1417">
        <v>50</v>
      </c>
      <c r="P1417" s="1">
        <v>45609</v>
      </c>
      <c r="Q1417" s="1"/>
      <c r="R1417" t="str">
        <f>IF(Table1[[#This Row],[Actual close date]]="","",Table1[[#This Row],[Actual close date]]-Table1[[#This Row],[Expected close date]])</f>
        <v/>
      </c>
    </row>
    <row r="1418" spans="1:18" x14ac:dyDescent="0.25">
      <c r="A1418" t="s">
        <v>1814</v>
      </c>
      <c r="B1418" t="s">
        <v>18</v>
      </c>
      <c r="C1418" t="s">
        <v>19</v>
      </c>
      <c r="D1418" t="s">
        <v>20</v>
      </c>
      <c r="E1418" t="s">
        <v>42</v>
      </c>
      <c r="F1418" t="s">
        <v>125</v>
      </c>
      <c r="G1418" t="s">
        <v>57</v>
      </c>
      <c r="H1418" s="1">
        <v>45364</v>
      </c>
      <c r="I1418" t="s">
        <v>64</v>
      </c>
      <c r="J1418" t="s">
        <v>1117</v>
      </c>
      <c r="K1418">
        <v>5</v>
      </c>
      <c r="L1418" t="s">
        <v>1766</v>
      </c>
      <c r="M1418">
        <v>4</v>
      </c>
      <c r="N1418">
        <v>742</v>
      </c>
      <c r="O1418">
        <v>60</v>
      </c>
      <c r="P1418" s="1">
        <v>45486</v>
      </c>
      <c r="Q1418" s="1"/>
      <c r="R1418" t="str">
        <f>IF(Table1[[#This Row],[Actual close date]]="","",Table1[[#This Row],[Actual close date]]-Table1[[#This Row],[Expected close date]])</f>
        <v/>
      </c>
    </row>
    <row r="1419" spans="1:18" x14ac:dyDescent="0.25">
      <c r="A1419" t="s">
        <v>1172</v>
      </c>
      <c r="B1419" t="s">
        <v>69</v>
      </c>
      <c r="C1419" t="s">
        <v>70</v>
      </c>
      <c r="D1419" t="s">
        <v>71</v>
      </c>
      <c r="E1419" t="s">
        <v>52</v>
      </c>
      <c r="F1419" t="s">
        <v>22</v>
      </c>
      <c r="G1419" t="s">
        <v>37</v>
      </c>
      <c r="H1419" s="1">
        <v>45365</v>
      </c>
      <c r="I1419" t="s">
        <v>24</v>
      </c>
      <c r="J1419" t="s">
        <v>1117</v>
      </c>
      <c r="K1419">
        <v>5</v>
      </c>
      <c r="L1419" t="s">
        <v>1118</v>
      </c>
      <c r="M1419">
        <v>2</v>
      </c>
      <c r="N1419">
        <v>1694</v>
      </c>
      <c r="O1419">
        <v>50</v>
      </c>
      <c r="P1419" s="1">
        <v>45606</v>
      </c>
      <c r="Q1419" s="1"/>
      <c r="R1419" t="str">
        <f>IF(Table1[[#This Row],[Actual close date]]="","",Table1[[#This Row],[Actual close date]]-Table1[[#This Row],[Expected close date]])</f>
        <v/>
      </c>
    </row>
    <row r="1420" spans="1:18" x14ac:dyDescent="0.25">
      <c r="A1420" t="s">
        <v>1196</v>
      </c>
      <c r="B1420" t="s">
        <v>27</v>
      </c>
      <c r="C1420" t="s">
        <v>28</v>
      </c>
      <c r="D1420" t="s">
        <v>29</v>
      </c>
      <c r="E1420" t="s">
        <v>45</v>
      </c>
      <c r="F1420" t="s">
        <v>22</v>
      </c>
      <c r="G1420" t="s">
        <v>57</v>
      </c>
      <c r="H1420" s="1">
        <v>45365</v>
      </c>
      <c r="I1420" t="s">
        <v>47</v>
      </c>
      <c r="J1420" t="s">
        <v>1117</v>
      </c>
      <c r="K1420">
        <v>5</v>
      </c>
      <c r="L1420" t="s">
        <v>1118</v>
      </c>
      <c r="M1420">
        <v>2</v>
      </c>
      <c r="N1420">
        <v>251</v>
      </c>
      <c r="O1420">
        <v>60</v>
      </c>
      <c r="P1420" s="1">
        <v>45703</v>
      </c>
      <c r="Q1420" s="1"/>
      <c r="R1420" t="str">
        <f>IF(Table1[[#This Row],[Actual close date]]="","",Table1[[#This Row],[Actual close date]]-Table1[[#This Row],[Expected close date]])</f>
        <v/>
      </c>
    </row>
    <row r="1421" spans="1:18" x14ac:dyDescent="0.25">
      <c r="A1421" t="s">
        <v>1480</v>
      </c>
      <c r="B1421" t="s">
        <v>76</v>
      </c>
      <c r="C1421" t="s">
        <v>77</v>
      </c>
      <c r="D1421" t="s">
        <v>78</v>
      </c>
      <c r="E1421" t="s">
        <v>52</v>
      </c>
      <c r="F1421" t="s">
        <v>22</v>
      </c>
      <c r="G1421" t="s">
        <v>57</v>
      </c>
      <c r="H1421" s="1">
        <v>45365</v>
      </c>
      <c r="I1421" t="s">
        <v>24</v>
      </c>
      <c r="J1421" t="s">
        <v>1117</v>
      </c>
      <c r="K1421">
        <v>5</v>
      </c>
      <c r="L1421" t="s">
        <v>1479</v>
      </c>
      <c r="M1421">
        <v>3</v>
      </c>
      <c r="N1421">
        <v>1138</v>
      </c>
      <c r="O1421">
        <v>30</v>
      </c>
      <c r="P1421" s="1">
        <v>45684</v>
      </c>
      <c r="Q1421" s="1"/>
      <c r="R1421" t="str">
        <f>IF(Table1[[#This Row],[Actual close date]]="","",Table1[[#This Row],[Actual close date]]-Table1[[#This Row],[Expected close date]])</f>
        <v/>
      </c>
    </row>
    <row r="1422" spans="1:18" x14ac:dyDescent="0.25">
      <c r="A1422" t="s">
        <v>1558</v>
      </c>
      <c r="B1422" t="s">
        <v>27</v>
      </c>
      <c r="C1422" t="s">
        <v>28</v>
      </c>
      <c r="D1422" t="s">
        <v>29</v>
      </c>
      <c r="E1422" t="s">
        <v>52</v>
      </c>
      <c r="F1422" t="s">
        <v>125</v>
      </c>
      <c r="G1422" t="s">
        <v>23</v>
      </c>
      <c r="H1422" s="1">
        <v>45365</v>
      </c>
      <c r="I1422" t="s">
        <v>24</v>
      </c>
      <c r="J1422" t="s">
        <v>1117</v>
      </c>
      <c r="K1422">
        <v>5</v>
      </c>
      <c r="L1422" t="s">
        <v>1479</v>
      </c>
      <c r="M1422">
        <v>3</v>
      </c>
      <c r="N1422">
        <v>649</v>
      </c>
      <c r="O1422">
        <v>20</v>
      </c>
      <c r="P1422" s="1">
        <v>45591</v>
      </c>
      <c r="Q1422" s="1"/>
      <c r="R1422" t="str">
        <f>IF(Table1[[#This Row],[Actual close date]]="","",Table1[[#This Row],[Actual close date]]-Table1[[#This Row],[Expected close date]])</f>
        <v/>
      </c>
    </row>
    <row r="1423" spans="1:18" x14ac:dyDescent="0.25">
      <c r="A1423" t="s">
        <v>1769</v>
      </c>
      <c r="B1423" t="s">
        <v>18</v>
      </c>
      <c r="C1423" t="s">
        <v>19</v>
      </c>
      <c r="D1423" t="s">
        <v>20</v>
      </c>
      <c r="E1423" t="s">
        <v>122</v>
      </c>
      <c r="F1423" t="s">
        <v>22</v>
      </c>
      <c r="G1423" t="s">
        <v>57</v>
      </c>
      <c r="H1423" s="1">
        <v>45365</v>
      </c>
      <c r="I1423" t="s">
        <v>47</v>
      </c>
      <c r="J1423" t="s">
        <v>1117</v>
      </c>
      <c r="K1423">
        <v>5</v>
      </c>
      <c r="L1423" t="s">
        <v>1766</v>
      </c>
      <c r="M1423">
        <v>4</v>
      </c>
      <c r="N1423">
        <v>1605</v>
      </c>
      <c r="O1423">
        <v>40</v>
      </c>
      <c r="P1423" s="1">
        <v>45686</v>
      </c>
      <c r="Q1423" s="1"/>
      <c r="R1423" t="str">
        <f>IF(Table1[[#This Row],[Actual close date]]="","",Table1[[#This Row],[Actual close date]]-Table1[[#This Row],[Expected close date]])</f>
        <v/>
      </c>
    </row>
    <row r="1424" spans="1:18" x14ac:dyDescent="0.25">
      <c r="A1424" t="s">
        <v>1782</v>
      </c>
      <c r="B1424" t="s">
        <v>76</v>
      </c>
      <c r="C1424" t="s">
        <v>77</v>
      </c>
      <c r="D1424" t="s">
        <v>78</v>
      </c>
      <c r="E1424" t="s">
        <v>66</v>
      </c>
      <c r="F1424" t="s">
        <v>22</v>
      </c>
      <c r="G1424" t="s">
        <v>57</v>
      </c>
      <c r="H1424" s="1">
        <v>45365</v>
      </c>
      <c r="I1424" t="s">
        <v>64</v>
      </c>
      <c r="J1424" t="s">
        <v>1117</v>
      </c>
      <c r="K1424">
        <v>5</v>
      </c>
      <c r="L1424" t="s">
        <v>1766</v>
      </c>
      <c r="M1424">
        <v>4</v>
      </c>
      <c r="N1424">
        <v>1153</v>
      </c>
      <c r="O1424">
        <v>20</v>
      </c>
      <c r="P1424" s="1">
        <v>45703</v>
      </c>
      <c r="Q1424" s="1"/>
      <c r="R1424" t="str">
        <f>IF(Table1[[#This Row],[Actual close date]]="","",Table1[[#This Row],[Actual close date]]-Table1[[#This Row],[Expected close date]])</f>
        <v/>
      </c>
    </row>
    <row r="1425" spans="1:18" x14ac:dyDescent="0.25">
      <c r="A1425" t="s">
        <v>1116</v>
      </c>
      <c r="B1425" t="s">
        <v>49</v>
      </c>
      <c r="C1425" t="s">
        <v>50</v>
      </c>
      <c r="D1425" t="s">
        <v>51</v>
      </c>
      <c r="E1425" t="s">
        <v>36</v>
      </c>
      <c r="F1425" t="s">
        <v>22</v>
      </c>
      <c r="G1425" t="s">
        <v>57</v>
      </c>
      <c r="H1425" s="1">
        <v>45366</v>
      </c>
      <c r="I1425" t="s">
        <v>64</v>
      </c>
      <c r="J1425" t="s">
        <v>1117</v>
      </c>
      <c r="K1425">
        <v>5</v>
      </c>
      <c r="L1425" t="s">
        <v>1118</v>
      </c>
      <c r="M1425">
        <v>2</v>
      </c>
      <c r="N1425">
        <v>1136</v>
      </c>
      <c r="O1425">
        <v>90</v>
      </c>
      <c r="P1425" s="1">
        <v>45388</v>
      </c>
      <c r="Q1425" s="1"/>
      <c r="R1425" t="str">
        <f>IF(Table1[[#This Row],[Actual close date]]="","",Table1[[#This Row],[Actual close date]]-Table1[[#This Row],[Expected close date]])</f>
        <v/>
      </c>
    </row>
    <row r="1426" spans="1:18" x14ac:dyDescent="0.25">
      <c r="A1426" t="s">
        <v>1236</v>
      </c>
      <c r="B1426" t="s">
        <v>39</v>
      </c>
      <c r="C1426" t="s">
        <v>40</v>
      </c>
      <c r="D1426" t="s">
        <v>41</v>
      </c>
      <c r="E1426" t="s">
        <v>98</v>
      </c>
      <c r="F1426" t="s">
        <v>125</v>
      </c>
      <c r="G1426" t="s">
        <v>83</v>
      </c>
      <c r="H1426" s="1">
        <v>45366</v>
      </c>
      <c r="I1426" t="s">
        <v>24</v>
      </c>
      <c r="J1426" t="s">
        <v>1117</v>
      </c>
      <c r="K1426">
        <v>5</v>
      </c>
      <c r="L1426" t="s">
        <v>1118</v>
      </c>
      <c r="M1426">
        <v>2</v>
      </c>
      <c r="N1426">
        <v>744</v>
      </c>
      <c r="O1426">
        <v>40</v>
      </c>
      <c r="P1426" s="1">
        <v>45518</v>
      </c>
      <c r="Q1426" s="1"/>
      <c r="R1426" t="str">
        <f>IF(Table1[[#This Row],[Actual close date]]="","",Table1[[#This Row],[Actual close date]]-Table1[[#This Row],[Expected close date]])</f>
        <v/>
      </c>
    </row>
    <row r="1427" spans="1:18" x14ac:dyDescent="0.25">
      <c r="A1427" t="s">
        <v>1326</v>
      </c>
      <c r="B1427" t="s">
        <v>39</v>
      </c>
      <c r="C1427" t="s">
        <v>40</v>
      </c>
      <c r="D1427" t="s">
        <v>41</v>
      </c>
      <c r="E1427" t="s">
        <v>62</v>
      </c>
      <c r="F1427" t="s">
        <v>167</v>
      </c>
      <c r="G1427" t="s">
        <v>85</v>
      </c>
      <c r="H1427" s="1">
        <v>45366</v>
      </c>
      <c r="I1427" t="s">
        <v>24</v>
      </c>
      <c r="J1427" t="s">
        <v>1117</v>
      </c>
      <c r="K1427">
        <v>5</v>
      </c>
      <c r="L1427" t="s">
        <v>1118</v>
      </c>
      <c r="M1427">
        <v>2</v>
      </c>
      <c r="N1427">
        <v>4904</v>
      </c>
      <c r="O1427">
        <v>100</v>
      </c>
      <c r="P1427" s="1">
        <v>45587</v>
      </c>
      <c r="Q1427" s="1"/>
      <c r="R1427" t="str">
        <f>IF(Table1[[#This Row],[Actual close date]]="","",Table1[[#This Row],[Actual close date]]-Table1[[#This Row],[Expected close date]])</f>
        <v/>
      </c>
    </row>
    <row r="1428" spans="1:18" x14ac:dyDescent="0.25">
      <c r="A1428" t="s">
        <v>1375</v>
      </c>
      <c r="B1428" t="s">
        <v>49</v>
      </c>
      <c r="C1428" t="s">
        <v>50</v>
      </c>
      <c r="D1428" t="s">
        <v>51</v>
      </c>
      <c r="E1428" t="s">
        <v>21</v>
      </c>
      <c r="F1428" t="s">
        <v>167</v>
      </c>
      <c r="G1428" t="s">
        <v>85</v>
      </c>
      <c r="H1428" s="1">
        <v>45366</v>
      </c>
      <c r="I1428" t="s">
        <v>47</v>
      </c>
      <c r="J1428" t="s">
        <v>1117</v>
      </c>
      <c r="K1428">
        <v>5</v>
      </c>
      <c r="L1428" t="s">
        <v>1118</v>
      </c>
      <c r="M1428">
        <v>2</v>
      </c>
      <c r="N1428">
        <v>6553</v>
      </c>
      <c r="O1428">
        <v>30</v>
      </c>
      <c r="P1428" s="1">
        <v>45564</v>
      </c>
      <c r="Q1428" s="1"/>
      <c r="R1428" t="str">
        <f>IF(Table1[[#This Row],[Actual close date]]="","",Table1[[#This Row],[Actual close date]]-Table1[[#This Row],[Expected close date]])</f>
        <v/>
      </c>
    </row>
    <row r="1429" spans="1:18" x14ac:dyDescent="0.25">
      <c r="A1429" t="s">
        <v>1533</v>
      </c>
      <c r="B1429" t="s">
        <v>39</v>
      </c>
      <c r="C1429" t="s">
        <v>40</v>
      </c>
      <c r="D1429" t="s">
        <v>41</v>
      </c>
      <c r="E1429" t="s">
        <v>82</v>
      </c>
      <c r="F1429" t="s">
        <v>22</v>
      </c>
      <c r="G1429" t="s">
        <v>23</v>
      </c>
      <c r="H1429" s="1">
        <v>45366</v>
      </c>
      <c r="I1429" t="s">
        <v>24</v>
      </c>
      <c r="J1429" t="s">
        <v>1117</v>
      </c>
      <c r="K1429">
        <v>5</v>
      </c>
      <c r="L1429" t="s">
        <v>1479</v>
      </c>
      <c r="M1429">
        <v>3</v>
      </c>
      <c r="N1429">
        <v>292</v>
      </c>
      <c r="O1429">
        <v>30</v>
      </c>
      <c r="P1429" s="1">
        <v>45391</v>
      </c>
      <c r="Q1429" s="1"/>
      <c r="R1429" t="str">
        <f>IF(Table1[[#This Row],[Actual close date]]="","",Table1[[#This Row],[Actual close date]]-Table1[[#This Row],[Expected close date]])</f>
        <v/>
      </c>
    </row>
    <row r="1430" spans="1:18" x14ac:dyDescent="0.25">
      <c r="A1430" t="s">
        <v>1586</v>
      </c>
      <c r="B1430" t="s">
        <v>33</v>
      </c>
      <c r="C1430" t="s">
        <v>34</v>
      </c>
      <c r="D1430" t="s">
        <v>35</v>
      </c>
      <c r="E1430" t="s">
        <v>82</v>
      </c>
      <c r="F1430" t="s">
        <v>125</v>
      </c>
      <c r="G1430" t="s">
        <v>23</v>
      </c>
      <c r="H1430" s="1">
        <v>45366</v>
      </c>
      <c r="I1430" t="s">
        <v>64</v>
      </c>
      <c r="J1430" t="s">
        <v>1117</v>
      </c>
      <c r="K1430">
        <v>5</v>
      </c>
      <c r="L1430" t="s">
        <v>1479</v>
      </c>
      <c r="M1430">
        <v>3</v>
      </c>
      <c r="N1430">
        <v>933</v>
      </c>
      <c r="O1430">
        <v>60</v>
      </c>
      <c r="P1430" s="1">
        <v>45400</v>
      </c>
      <c r="Q1430" s="1"/>
      <c r="R1430" t="str">
        <f>IF(Table1[[#This Row],[Actual close date]]="","",Table1[[#This Row],[Actual close date]]-Table1[[#This Row],[Expected close date]])</f>
        <v/>
      </c>
    </row>
    <row r="1431" spans="1:18" x14ac:dyDescent="0.25">
      <c r="A1431" t="s">
        <v>1849</v>
      </c>
      <c r="B1431" t="s">
        <v>76</v>
      </c>
      <c r="C1431" t="s">
        <v>77</v>
      </c>
      <c r="D1431" t="s">
        <v>78</v>
      </c>
      <c r="E1431" t="s">
        <v>122</v>
      </c>
      <c r="F1431" t="s">
        <v>167</v>
      </c>
      <c r="G1431" t="s">
        <v>85</v>
      </c>
      <c r="H1431" s="1">
        <v>45366</v>
      </c>
      <c r="I1431" t="s">
        <v>24</v>
      </c>
      <c r="J1431" t="s">
        <v>1117</v>
      </c>
      <c r="K1431">
        <v>5</v>
      </c>
      <c r="L1431" t="s">
        <v>1766</v>
      </c>
      <c r="M1431">
        <v>4</v>
      </c>
      <c r="N1431">
        <v>6927</v>
      </c>
      <c r="O1431">
        <v>20</v>
      </c>
      <c r="P1431" s="1">
        <v>45624</v>
      </c>
      <c r="Q1431" s="1"/>
      <c r="R1431" t="str">
        <f>IF(Table1[[#This Row],[Actual close date]]="","",Table1[[#This Row],[Actual close date]]-Table1[[#This Row],[Expected close date]])</f>
        <v/>
      </c>
    </row>
    <row r="1432" spans="1:18" x14ac:dyDescent="0.25">
      <c r="A1432" t="s">
        <v>1173</v>
      </c>
      <c r="B1432" t="s">
        <v>49</v>
      </c>
      <c r="C1432" t="s">
        <v>50</v>
      </c>
      <c r="D1432" t="s">
        <v>51</v>
      </c>
      <c r="E1432" t="s">
        <v>52</v>
      </c>
      <c r="F1432" t="s">
        <v>22</v>
      </c>
      <c r="G1432" t="s">
        <v>31</v>
      </c>
      <c r="H1432" s="1">
        <v>45367</v>
      </c>
      <c r="I1432" t="s">
        <v>47</v>
      </c>
      <c r="J1432" t="s">
        <v>1117</v>
      </c>
      <c r="K1432">
        <v>5</v>
      </c>
      <c r="L1432" t="s">
        <v>1118</v>
      </c>
      <c r="M1432">
        <v>2</v>
      </c>
      <c r="N1432">
        <v>1902</v>
      </c>
      <c r="O1432">
        <v>40</v>
      </c>
      <c r="P1432" s="1">
        <v>45530</v>
      </c>
      <c r="Q1432" s="1"/>
      <c r="R1432" t="str">
        <f>IF(Table1[[#This Row],[Actual close date]]="","",Table1[[#This Row],[Actual close date]]-Table1[[#This Row],[Expected close date]])</f>
        <v/>
      </c>
    </row>
    <row r="1433" spans="1:18" x14ac:dyDescent="0.25">
      <c r="A1433" t="s">
        <v>1211</v>
      </c>
      <c r="B1433" t="s">
        <v>33</v>
      </c>
      <c r="C1433" t="s">
        <v>34</v>
      </c>
      <c r="D1433" t="s">
        <v>35</v>
      </c>
      <c r="E1433" t="s">
        <v>52</v>
      </c>
      <c r="F1433" t="s">
        <v>22</v>
      </c>
      <c r="G1433" t="s">
        <v>57</v>
      </c>
      <c r="H1433" s="1">
        <v>45367</v>
      </c>
      <c r="I1433" t="s">
        <v>24</v>
      </c>
      <c r="J1433" t="s">
        <v>1117</v>
      </c>
      <c r="K1433">
        <v>5</v>
      </c>
      <c r="L1433" t="s">
        <v>1118</v>
      </c>
      <c r="M1433">
        <v>2</v>
      </c>
      <c r="N1433">
        <v>863</v>
      </c>
      <c r="O1433">
        <v>30</v>
      </c>
      <c r="P1433" s="1">
        <v>45663</v>
      </c>
      <c r="Q1433" s="1"/>
      <c r="R1433" t="str">
        <f>IF(Table1[[#This Row],[Actual close date]]="","",Table1[[#This Row],[Actual close date]]-Table1[[#This Row],[Expected close date]])</f>
        <v/>
      </c>
    </row>
    <row r="1434" spans="1:18" x14ac:dyDescent="0.25">
      <c r="A1434" t="s">
        <v>1711</v>
      </c>
      <c r="B1434" t="s">
        <v>54</v>
      </c>
      <c r="C1434" t="s">
        <v>55</v>
      </c>
      <c r="D1434" t="s">
        <v>56</v>
      </c>
      <c r="E1434" t="s">
        <v>21</v>
      </c>
      <c r="F1434" t="s">
        <v>22</v>
      </c>
      <c r="G1434" t="s">
        <v>85</v>
      </c>
      <c r="H1434" s="1">
        <v>45367</v>
      </c>
      <c r="I1434" t="s">
        <v>64</v>
      </c>
      <c r="J1434" t="s">
        <v>1117</v>
      </c>
      <c r="K1434">
        <v>5</v>
      </c>
      <c r="L1434" t="s">
        <v>1700</v>
      </c>
      <c r="M1434">
        <v>1</v>
      </c>
      <c r="N1434">
        <v>1700</v>
      </c>
      <c r="O1434">
        <v>20</v>
      </c>
      <c r="P1434" s="1">
        <v>45667</v>
      </c>
      <c r="Q1434" s="1"/>
      <c r="R1434" t="str">
        <f>IF(Table1[[#This Row],[Actual close date]]="","",Table1[[#This Row],[Actual close date]]-Table1[[#This Row],[Expected close date]])</f>
        <v/>
      </c>
    </row>
    <row r="1435" spans="1:18" x14ac:dyDescent="0.25">
      <c r="A1435" t="s">
        <v>1780</v>
      </c>
      <c r="B1435" t="s">
        <v>33</v>
      </c>
      <c r="C1435" t="s">
        <v>34</v>
      </c>
      <c r="D1435" t="s">
        <v>35</v>
      </c>
      <c r="E1435" t="s">
        <v>45</v>
      </c>
      <c r="F1435" t="s">
        <v>22</v>
      </c>
      <c r="G1435" t="s">
        <v>57</v>
      </c>
      <c r="H1435" s="1">
        <v>45367</v>
      </c>
      <c r="I1435" t="s">
        <v>47</v>
      </c>
      <c r="J1435" t="s">
        <v>1117</v>
      </c>
      <c r="K1435">
        <v>5</v>
      </c>
      <c r="L1435" t="s">
        <v>1766</v>
      </c>
      <c r="M1435">
        <v>4</v>
      </c>
      <c r="N1435">
        <v>663</v>
      </c>
      <c r="O1435">
        <v>50</v>
      </c>
      <c r="P1435" s="1">
        <v>45585</v>
      </c>
      <c r="Q1435" s="1"/>
      <c r="R1435" t="str">
        <f>IF(Table1[[#This Row],[Actual close date]]="","",Table1[[#This Row],[Actual close date]]-Table1[[#This Row],[Expected close date]])</f>
        <v/>
      </c>
    </row>
    <row r="1436" spans="1:18" x14ac:dyDescent="0.25">
      <c r="A1436" t="s">
        <v>1299</v>
      </c>
      <c r="B1436" t="s">
        <v>54</v>
      </c>
      <c r="C1436" t="s">
        <v>55</v>
      </c>
      <c r="D1436" t="s">
        <v>56</v>
      </c>
      <c r="E1436" t="s">
        <v>118</v>
      </c>
      <c r="F1436" t="s">
        <v>167</v>
      </c>
      <c r="G1436" t="s">
        <v>83</v>
      </c>
      <c r="H1436" s="1">
        <v>45368</v>
      </c>
      <c r="I1436" t="s">
        <v>24</v>
      </c>
      <c r="J1436" t="s">
        <v>1117</v>
      </c>
      <c r="K1436">
        <v>5</v>
      </c>
      <c r="L1436" t="s">
        <v>1118</v>
      </c>
      <c r="M1436">
        <v>2</v>
      </c>
      <c r="N1436">
        <v>2418</v>
      </c>
      <c r="O1436">
        <v>20</v>
      </c>
      <c r="P1436" s="1">
        <v>45611</v>
      </c>
      <c r="Q1436" s="1"/>
      <c r="R1436" t="str">
        <f>IF(Table1[[#This Row],[Actual close date]]="","",Table1[[#This Row],[Actual close date]]-Table1[[#This Row],[Expected close date]])</f>
        <v/>
      </c>
    </row>
    <row r="1437" spans="1:18" x14ac:dyDescent="0.25">
      <c r="A1437" t="s">
        <v>1323</v>
      </c>
      <c r="B1437" t="s">
        <v>33</v>
      </c>
      <c r="C1437" t="s">
        <v>34</v>
      </c>
      <c r="D1437" t="s">
        <v>35</v>
      </c>
      <c r="E1437" t="s">
        <v>45</v>
      </c>
      <c r="F1437" t="s">
        <v>167</v>
      </c>
      <c r="G1437" t="s">
        <v>37</v>
      </c>
      <c r="H1437" s="1">
        <v>45368</v>
      </c>
      <c r="I1437" t="s">
        <v>24</v>
      </c>
      <c r="J1437" t="s">
        <v>1117</v>
      </c>
      <c r="K1437">
        <v>5</v>
      </c>
      <c r="L1437" t="s">
        <v>1118</v>
      </c>
      <c r="M1437">
        <v>2</v>
      </c>
      <c r="N1437">
        <v>7500</v>
      </c>
      <c r="O1437">
        <v>50</v>
      </c>
      <c r="P1437" s="1">
        <v>45575</v>
      </c>
      <c r="Q1437" s="1"/>
      <c r="R1437" t="str">
        <f>IF(Table1[[#This Row],[Actual close date]]="","",Table1[[#This Row],[Actual close date]]-Table1[[#This Row],[Expected close date]])</f>
        <v/>
      </c>
    </row>
    <row r="1438" spans="1:18" x14ac:dyDescent="0.25">
      <c r="A1438" t="s">
        <v>1492</v>
      </c>
      <c r="B1438" t="s">
        <v>33</v>
      </c>
      <c r="C1438" t="s">
        <v>34</v>
      </c>
      <c r="D1438" t="s">
        <v>35</v>
      </c>
      <c r="E1438" t="s">
        <v>45</v>
      </c>
      <c r="F1438" t="s">
        <v>22</v>
      </c>
      <c r="G1438" t="s">
        <v>46</v>
      </c>
      <c r="H1438" s="1">
        <v>45368</v>
      </c>
      <c r="I1438" t="s">
        <v>24</v>
      </c>
      <c r="J1438" t="s">
        <v>1117</v>
      </c>
      <c r="K1438">
        <v>5</v>
      </c>
      <c r="L1438" t="s">
        <v>1479</v>
      </c>
      <c r="M1438">
        <v>3</v>
      </c>
      <c r="N1438">
        <v>730</v>
      </c>
      <c r="O1438">
        <v>70</v>
      </c>
      <c r="P1438" s="1">
        <v>45539</v>
      </c>
      <c r="Q1438" s="1"/>
      <c r="R1438" t="str">
        <f>IF(Table1[[#This Row],[Actual close date]]="","",Table1[[#This Row],[Actual close date]]-Table1[[#This Row],[Expected close date]])</f>
        <v/>
      </c>
    </row>
    <row r="1439" spans="1:18" x14ac:dyDescent="0.25">
      <c r="A1439" t="s">
        <v>1807</v>
      </c>
      <c r="B1439" t="s">
        <v>49</v>
      </c>
      <c r="C1439" t="s">
        <v>50</v>
      </c>
      <c r="D1439" t="s">
        <v>51</v>
      </c>
      <c r="E1439" t="s">
        <v>30</v>
      </c>
      <c r="F1439" t="s">
        <v>125</v>
      </c>
      <c r="G1439" t="s">
        <v>57</v>
      </c>
      <c r="H1439" s="1">
        <v>45368</v>
      </c>
      <c r="I1439" t="s">
        <v>64</v>
      </c>
      <c r="J1439" t="s">
        <v>1117</v>
      </c>
      <c r="K1439">
        <v>5</v>
      </c>
      <c r="L1439" t="s">
        <v>1766</v>
      </c>
      <c r="M1439">
        <v>4</v>
      </c>
      <c r="N1439">
        <v>396</v>
      </c>
      <c r="O1439">
        <v>30</v>
      </c>
      <c r="P1439" s="1">
        <v>45568</v>
      </c>
      <c r="Q1439" s="1"/>
      <c r="R1439" t="str">
        <f>IF(Table1[[#This Row],[Actual close date]]="","",Table1[[#This Row],[Actual close date]]-Table1[[#This Row],[Expected close date]])</f>
        <v/>
      </c>
    </row>
    <row r="1440" spans="1:18" x14ac:dyDescent="0.25">
      <c r="A1440" t="s">
        <v>1251</v>
      </c>
      <c r="B1440" t="s">
        <v>59</v>
      </c>
      <c r="C1440" t="s">
        <v>60</v>
      </c>
      <c r="D1440" t="s">
        <v>61</v>
      </c>
      <c r="E1440" t="s">
        <v>74</v>
      </c>
      <c r="F1440" t="s">
        <v>125</v>
      </c>
      <c r="G1440" t="s">
        <v>72</v>
      </c>
      <c r="H1440" s="1">
        <v>45369</v>
      </c>
      <c r="I1440" t="s">
        <v>24</v>
      </c>
      <c r="J1440" t="s">
        <v>1117</v>
      </c>
      <c r="K1440">
        <v>5</v>
      </c>
      <c r="L1440" t="s">
        <v>1118</v>
      </c>
      <c r="M1440">
        <v>2</v>
      </c>
      <c r="N1440">
        <v>1112</v>
      </c>
      <c r="O1440">
        <v>40</v>
      </c>
      <c r="P1440" s="1">
        <v>45622</v>
      </c>
      <c r="Q1440" s="1"/>
      <c r="R1440" t="str">
        <f>IF(Table1[[#This Row],[Actual close date]]="","",Table1[[#This Row],[Actual close date]]-Table1[[#This Row],[Expected close date]])</f>
        <v/>
      </c>
    </row>
    <row r="1441" spans="1:18" x14ac:dyDescent="0.25">
      <c r="A1441" t="s">
        <v>1261</v>
      </c>
      <c r="B1441" t="s">
        <v>39</v>
      </c>
      <c r="C1441" t="s">
        <v>40</v>
      </c>
      <c r="D1441" t="s">
        <v>41</v>
      </c>
      <c r="E1441" t="s">
        <v>52</v>
      </c>
      <c r="F1441" t="s">
        <v>125</v>
      </c>
      <c r="G1441" t="s">
        <v>85</v>
      </c>
      <c r="H1441" s="1">
        <v>45369</v>
      </c>
      <c r="I1441" t="s">
        <v>64</v>
      </c>
      <c r="J1441" t="s">
        <v>1117</v>
      </c>
      <c r="K1441">
        <v>5</v>
      </c>
      <c r="L1441" t="s">
        <v>1118</v>
      </c>
      <c r="M1441">
        <v>2</v>
      </c>
      <c r="N1441">
        <v>544</v>
      </c>
      <c r="O1441">
        <v>20</v>
      </c>
      <c r="P1441" s="1">
        <v>45448</v>
      </c>
      <c r="Q1441" s="1"/>
      <c r="R1441" t="str">
        <f>IF(Table1[[#This Row],[Actual close date]]="","",Table1[[#This Row],[Actual close date]]-Table1[[#This Row],[Expected close date]])</f>
        <v/>
      </c>
    </row>
    <row r="1442" spans="1:18" x14ac:dyDescent="0.25">
      <c r="A1442" t="s">
        <v>1564</v>
      </c>
      <c r="B1442" t="s">
        <v>76</v>
      </c>
      <c r="C1442" t="s">
        <v>77</v>
      </c>
      <c r="D1442" t="s">
        <v>78</v>
      </c>
      <c r="E1442" t="s">
        <v>45</v>
      </c>
      <c r="F1442" t="s">
        <v>125</v>
      </c>
      <c r="G1442" t="s">
        <v>57</v>
      </c>
      <c r="H1442" s="1">
        <v>45369</v>
      </c>
      <c r="I1442" t="s">
        <v>24</v>
      </c>
      <c r="J1442" t="s">
        <v>1117</v>
      </c>
      <c r="K1442">
        <v>5</v>
      </c>
      <c r="L1442" t="s">
        <v>1479</v>
      </c>
      <c r="M1442">
        <v>3</v>
      </c>
      <c r="N1442">
        <v>870</v>
      </c>
      <c r="O1442">
        <v>10</v>
      </c>
      <c r="P1442" s="1">
        <v>45694</v>
      </c>
      <c r="Q1442" s="1"/>
      <c r="R1442" t="str">
        <f>IF(Table1[[#This Row],[Actual close date]]="","",Table1[[#This Row],[Actual close date]]-Table1[[#This Row],[Expected close date]])</f>
        <v/>
      </c>
    </row>
    <row r="1443" spans="1:18" x14ac:dyDescent="0.25">
      <c r="A1443" t="s">
        <v>1588</v>
      </c>
      <c r="B1443" t="s">
        <v>27</v>
      </c>
      <c r="C1443" t="s">
        <v>28</v>
      </c>
      <c r="D1443" t="s">
        <v>29</v>
      </c>
      <c r="E1443" t="s">
        <v>45</v>
      </c>
      <c r="F1443" t="s">
        <v>125</v>
      </c>
      <c r="G1443" t="s">
        <v>46</v>
      </c>
      <c r="H1443" s="1">
        <v>45369</v>
      </c>
      <c r="I1443" t="s">
        <v>64</v>
      </c>
      <c r="J1443" t="s">
        <v>1117</v>
      </c>
      <c r="K1443">
        <v>5</v>
      </c>
      <c r="L1443" t="s">
        <v>1479</v>
      </c>
      <c r="M1443">
        <v>3</v>
      </c>
      <c r="N1443">
        <v>540</v>
      </c>
      <c r="O1443">
        <v>20</v>
      </c>
      <c r="P1443" s="1">
        <v>45551</v>
      </c>
      <c r="Q1443" s="1"/>
      <c r="R1443" t="str">
        <f>IF(Table1[[#This Row],[Actual close date]]="","",Table1[[#This Row],[Actual close date]]-Table1[[#This Row],[Expected close date]])</f>
        <v/>
      </c>
    </row>
    <row r="1444" spans="1:18" x14ac:dyDescent="0.25">
      <c r="A1444" t="s">
        <v>1749</v>
      </c>
      <c r="B1444" t="s">
        <v>39</v>
      </c>
      <c r="C1444" t="s">
        <v>40</v>
      </c>
      <c r="D1444" t="s">
        <v>41</v>
      </c>
      <c r="E1444" t="s">
        <v>45</v>
      </c>
      <c r="F1444" t="s">
        <v>167</v>
      </c>
      <c r="G1444" t="s">
        <v>46</v>
      </c>
      <c r="H1444" s="1">
        <v>45369</v>
      </c>
      <c r="I1444" t="s">
        <v>24</v>
      </c>
      <c r="J1444" t="s">
        <v>1117</v>
      </c>
      <c r="K1444">
        <v>5</v>
      </c>
      <c r="L1444" t="s">
        <v>1700</v>
      </c>
      <c r="M1444">
        <v>1</v>
      </c>
      <c r="N1444">
        <v>1774</v>
      </c>
      <c r="O1444">
        <v>50</v>
      </c>
      <c r="P1444" s="1">
        <v>45420</v>
      </c>
      <c r="Q1444" s="1"/>
      <c r="R1444" t="str">
        <f>IF(Table1[[#This Row],[Actual close date]]="","",Table1[[#This Row],[Actual close date]]-Table1[[#This Row],[Expected close date]])</f>
        <v/>
      </c>
    </row>
    <row r="1445" spans="1:18" x14ac:dyDescent="0.25">
      <c r="A1445" t="s">
        <v>1322</v>
      </c>
      <c r="B1445" t="s">
        <v>33</v>
      </c>
      <c r="C1445" t="s">
        <v>34</v>
      </c>
      <c r="D1445" t="s">
        <v>35</v>
      </c>
      <c r="E1445" t="s">
        <v>45</v>
      </c>
      <c r="F1445" t="s">
        <v>167</v>
      </c>
      <c r="G1445" t="s">
        <v>85</v>
      </c>
      <c r="H1445" s="1">
        <v>45370</v>
      </c>
      <c r="I1445" t="s">
        <v>64</v>
      </c>
      <c r="J1445" t="s">
        <v>1117</v>
      </c>
      <c r="K1445">
        <v>5</v>
      </c>
      <c r="L1445" t="s">
        <v>1118</v>
      </c>
      <c r="M1445">
        <v>2</v>
      </c>
      <c r="N1445">
        <v>3071</v>
      </c>
      <c r="O1445">
        <v>90</v>
      </c>
      <c r="P1445" s="1">
        <v>45513</v>
      </c>
      <c r="Q1445" s="1"/>
      <c r="R1445" t="str">
        <f>IF(Table1[[#This Row],[Actual close date]]="","",Table1[[#This Row],[Actual close date]]-Table1[[#This Row],[Expected close date]])</f>
        <v/>
      </c>
    </row>
    <row r="1446" spans="1:18" x14ac:dyDescent="0.25">
      <c r="A1446" t="s">
        <v>1367</v>
      </c>
      <c r="B1446" t="s">
        <v>33</v>
      </c>
      <c r="C1446" t="s">
        <v>34</v>
      </c>
      <c r="D1446" t="s">
        <v>35</v>
      </c>
      <c r="E1446" t="s">
        <v>45</v>
      </c>
      <c r="F1446" t="s">
        <v>167</v>
      </c>
      <c r="G1446" t="s">
        <v>23</v>
      </c>
      <c r="H1446" s="1">
        <v>45370</v>
      </c>
      <c r="I1446" t="s">
        <v>47</v>
      </c>
      <c r="J1446" t="s">
        <v>1117</v>
      </c>
      <c r="K1446">
        <v>5</v>
      </c>
      <c r="L1446" t="s">
        <v>1118</v>
      </c>
      <c r="M1446">
        <v>2</v>
      </c>
      <c r="N1446">
        <v>1307</v>
      </c>
      <c r="O1446">
        <v>20</v>
      </c>
      <c r="P1446" s="1">
        <v>45658</v>
      </c>
      <c r="Q1446" s="1"/>
      <c r="R1446" t="str">
        <f>IF(Table1[[#This Row],[Actual close date]]="","",Table1[[#This Row],[Actual close date]]-Table1[[#This Row],[Expected close date]])</f>
        <v/>
      </c>
    </row>
    <row r="1447" spans="1:18" x14ac:dyDescent="0.25">
      <c r="A1447" t="s">
        <v>1481</v>
      </c>
      <c r="B1447" t="s">
        <v>59</v>
      </c>
      <c r="C1447" t="s">
        <v>60</v>
      </c>
      <c r="D1447" t="s">
        <v>61</v>
      </c>
      <c r="E1447" t="s">
        <v>21</v>
      </c>
      <c r="F1447" t="s">
        <v>22</v>
      </c>
      <c r="G1447" t="s">
        <v>83</v>
      </c>
      <c r="H1447" s="1">
        <v>45370</v>
      </c>
      <c r="I1447" t="s">
        <v>64</v>
      </c>
      <c r="J1447" t="s">
        <v>1117</v>
      </c>
      <c r="K1447">
        <v>5</v>
      </c>
      <c r="L1447" t="s">
        <v>1479</v>
      </c>
      <c r="M1447">
        <v>3</v>
      </c>
      <c r="N1447">
        <v>1648</v>
      </c>
      <c r="O1447">
        <v>30</v>
      </c>
      <c r="P1447" s="1">
        <v>45447</v>
      </c>
      <c r="Q1447" s="1"/>
      <c r="R1447" t="str">
        <f>IF(Table1[[#This Row],[Actual close date]]="","",Table1[[#This Row],[Actual close date]]-Table1[[#This Row],[Expected close date]])</f>
        <v/>
      </c>
    </row>
    <row r="1448" spans="1:18" x14ac:dyDescent="0.25">
      <c r="A1448" t="s">
        <v>1487</v>
      </c>
      <c r="B1448" t="s">
        <v>33</v>
      </c>
      <c r="C1448" t="s">
        <v>34</v>
      </c>
      <c r="D1448" t="s">
        <v>35</v>
      </c>
      <c r="E1448" t="s">
        <v>45</v>
      </c>
      <c r="F1448" t="s">
        <v>22</v>
      </c>
      <c r="G1448" t="s">
        <v>46</v>
      </c>
      <c r="H1448" s="1">
        <v>45370</v>
      </c>
      <c r="I1448" t="s">
        <v>24</v>
      </c>
      <c r="J1448" t="s">
        <v>1117</v>
      </c>
      <c r="K1448">
        <v>5</v>
      </c>
      <c r="L1448" t="s">
        <v>1479</v>
      </c>
      <c r="M1448">
        <v>3</v>
      </c>
      <c r="N1448">
        <v>687</v>
      </c>
      <c r="O1448">
        <v>20</v>
      </c>
      <c r="P1448" s="1">
        <v>45709</v>
      </c>
      <c r="Q1448" s="1"/>
      <c r="R1448" t="str">
        <f>IF(Table1[[#This Row],[Actual close date]]="","",Table1[[#This Row],[Actual close date]]-Table1[[#This Row],[Expected close date]])</f>
        <v/>
      </c>
    </row>
    <row r="1449" spans="1:18" x14ac:dyDescent="0.25">
      <c r="A1449" t="s">
        <v>1572</v>
      </c>
      <c r="B1449" t="s">
        <v>27</v>
      </c>
      <c r="C1449" t="s">
        <v>28</v>
      </c>
      <c r="D1449" t="s">
        <v>29</v>
      </c>
      <c r="E1449" t="s">
        <v>30</v>
      </c>
      <c r="F1449" t="s">
        <v>125</v>
      </c>
      <c r="G1449" t="s">
        <v>46</v>
      </c>
      <c r="H1449" s="1">
        <v>45370</v>
      </c>
      <c r="I1449" t="s">
        <v>64</v>
      </c>
      <c r="J1449" t="s">
        <v>1117</v>
      </c>
      <c r="K1449">
        <v>5</v>
      </c>
      <c r="L1449" t="s">
        <v>1479</v>
      </c>
      <c r="M1449">
        <v>3</v>
      </c>
      <c r="N1449">
        <v>885</v>
      </c>
      <c r="O1449">
        <v>30</v>
      </c>
      <c r="P1449" s="1">
        <v>45645</v>
      </c>
      <c r="Q1449" s="1"/>
      <c r="R1449" t="str">
        <f>IF(Table1[[#This Row],[Actual close date]]="","",Table1[[#This Row],[Actual close date]]-Table1[[#This Row],[Expected close date]])</f>
        <v/>
      </c>
    </row>
    <row r="1450" spans="1:18" x14ac:dyDescent="0.25">
      <c r="A1450" t="s">
        <v>1583</v>
      </c>
      <c r="B1450" t="s">
        <v>54</v>
      </c>
      <c r="C1450" t="s">
        <v>55</v>
      </c>
      <c r="D1450" t="s">
        <v>56</v>
      </c>
      <c r="E1450" t="s">
        <v>45</v>
      </c>
      <c r="F1450" t="s">
        <v>125</v>
      </c>
      <c r="G1450" t="s">
        <v>37</v>
      </c>
      <c r="H1450" s="1">
        <v>45370</v>
      </c>
      <c r="I1450" t="s">
        <v>47</v>
      </c>
      <c r="J1450" t="s">
        <v>1117</v>
      </c>
      <c r="K1450">
        <v>5</v>
      </c>
      <c r="L1450" t="s">
        <v>1479</v>
      </c>
      <c r="M1450">
        <v>3</v>
      </c>
      <c r="N1450">
        <v>984</v>
      </c>
      <c r="O1450">
        <v>30</v>
      </c>
      <c r="P1450" s="1">
        <v>45578</v>
      </c>
      <c r="Q1450" s="1"/>
      <c r="R1450" t="str">
        <f>IF(Table1[[#This Row],[Actual close date]]="","",Table1[[#This Row],[Actual close date]]-Table1[[#This Row],[Expected close date]])</f>
        <v/>
      </c>
    </row>
    <row r="1451" spans="1:18" x14ac:dyDescent="0.25">
      <c r="A1451" t="s">
        <v>1635</v>
      </c>
      <c r="B1451" t="s">
        <v>59</v>
      </c>
      <c r="C1451" t="s">
        <v>60</v>
      </c>
      <c r="D1451" t="s">
        <v>61</v>
      </c>
      <c r="E1451" t="s">
        <v>122</v>
      </c>
      <c r="F1451" t="s">
        <v>167</v>
      </c>
      <c r="G1451" t="s">
        <v>72</v>
      </c>
      <c r="H1451" s="1">
        <v>45370</v>
      </c>
      <c r="I1451" t="s">
        <v>24</v>
      </c>
      <c r="J1451" t="s">
        <v>1117</v>
      </c>
      <c r="K1451">
        <v>5</v>
      </c>
      <c r="L1451" t="s">
        <v>1479</v>
      </c>
      <c r="M1451">
        <v>3</v>
      </c>
      <c r="N1451">
        <v>3831</v>
      </c>
      <c r="O1451">
        <v>40</v>
      </c>
      <c r="P1451" s="1">
        <v>45428</v>
      </c>
      <c r="Q1451" s="1"/>
      <c r="R1451" t="str">
        <f>IF(Table1[[#This Row],[Actual close date]]="","",Table1[[#This Row],[Actual close date]]-Table1[[#This Row],[Expected close date]])</f>
        <v/>
      </c>
    </row>
    <row r="1452" spans="1:18" x14ac:dyDescent="0.25">
      <c r="A1452" t="s">
        <v>1777</v>
      </c>
      <c r="B1452" t="s">
        <v>54</v>
      </c>
      <c r="C1452" t="s">
        <v>55</v>
      </c>
      <c r="D1452" t="s">
        <v>56</v>
      </c>
      <c r="E1452" t="s">
        <v>21</v>
      </c>
      <c r="F1452" t="s">
        <v>22</v>
      </c>
      <c r="G1452" t="s">
        <v>46</v>
      </c>
      <c r="H1452" s="1">
        <v>45370</v>
      </c>
      <c r="I1452" t="s">
        <v>47</v>
      </c>
      <c r="J1452" t="s">
        <v>1117</v>
      </c>
      <c r="K1452">
        <v>5</v>
      </c>
      <c r="L1452" t="s">
        <v>1766</v>
      </c>
      <c r="M1452">
        <v>4</v>
      </c>
      <c r="N1452">
        <v>1203</v>
      </c>
      <c r="O1452">
        <v>40</v>
      </c>
      <c r="P1452" s="1">
        <v>45630</v>
      </c>
      <c r="Q1452" s="1"/>
      <c r="R1452" t="str">
        <f>IF(Table1[[#This Row],[Actual close date]]="","",Table1[[#This Row],[Actual close date]]-Table1[[#This Row],[Expected close date]])</f>
        <v/>
      </c>
    </row>
    <row r="1453" spans="1:18" x14ac:dyDescent="0.25">
      <c r="A1453" t="s">
        <v>1486</v>
      </c>
      <c r="B1453" t="s">
        <v>39</v>
      </c>
      <c r="C1453" t="s">
        <v>40</v>
      </c>
      <c r="D1453" t="s">
        <v>41</v>
      </c>
      <c r="E1453" t="s">
        <v>74</v>
      </c>
      <c r="F1453" t="s">
        <v>22</v>
      </c>
      <c r="G1453" t="s">
        <v>37</v>
      </c>
      <c r="H1453" s="1">
        <v>45371</v>
      </c>
      <c r="I1453" t="s">
        <v>24</v>
      </c>
      <c r="J1453" t="s">
        <v>1117</v>
      </c>
      <c r="K1453">
        <v>5</v>
      </c>
      <c r="L1453" t="s">
        <v>1479</v>
      </c>
      <c r="M1453">
        <v>3</v>
      </c>
      <c r="N1453">
        <v>1604</v>
      </c>
      <c r="O1453">
        <v>50</v>
      </c>
      <c r="P1453" s="1">
        <v>45610</v>
      </c>
      <c r="Q1453" s="1"/>
      <c r="R1453" t="str">
        <f>IF(Table1[[#This Row],[Actual close date]]="","",Table1[[#This Row],[Actual close date]]-Table1[[#This Row],[Expected close date]])</f>
        <v/>
      </c>
    </row>
    <row r="1454" spans="1:18" x14ac:dyDescent="0.25">
      <c r="A1454" t="s">
        <v>1575</v>
      </c>
      <c r="B1454" t="s">
        <v>39</v>
      </c>
      <c r="C1454" t="s">
        <v>40</v>
      </c>
      <c r="D1454" t="s">
        <v>41</v>
      </c>
      <c r="E1454" t="s">
        <v>74</v>
      </c>
      <c r="F1454" t="s">
        <v>125</v>
      </c>
      <c r="G1454" t="s">
        <v>31</v>
      </c>
      <c r="H1454" s="1">
        <v>45371</v>
      </c>
      <c r="I1454" t="s">
        <v>47</v>
      </c>
      <c r="J1454" t="s">
        <v>1117</v>
      </c>
      <c r="K1454">
        <v>5</v>
      </c>
      <c r="L1454" t="s">
        <v>1479</v>
      </c>
      <c r="M1454">
        <v>3</v>
      </c>
      <c r="N1454">
        <v>1061</v>
      </c>
      <c r="O1454">
        <v>80</v>
      </c>
      <c r="P1454" s="1">
        <v>45689</v>
      </c>
      <c r="Q1454" s="1"/>
      <c r="R1454" t="str">
        <f>IF(Table1[[#This Row],[Actual close date]]="","",Table1[[#This Row],[Actual close date]]-Table1[[#This Row],[Expected close date]])</f>
        <v/>
      </c>
    </row>
    <row r="1455" spans="1:18" x14ac:dyDescent="0.25">
      <c r="A1455" t="s">
        <v>1591</v>
      </c>
      <c r="B1455" t="s">
        <v>69</v>
      </c>
      <c r="C1455" t="s">
        <v>70</v>
      </c>
      <c r="D1455" t="s">
        <v>71</v>
      </c>
      <c r="E1455" t="s">
        <v>118</v>
      </c>
      <c r="F1455" t="s">
        <v>125</v>
      </c>
      <c r="G1455" t="s">
        <v>57</v>
      </c>
      <c r="H1455" s="1">
        <v>45371</v>
      </c>
      <c r="I1455" t="s">
        <v>24</v>
      </c>
      <c r="J1455" t="s">
        <v>1117</v>
      </c>
      <c r="K1455">
        <v>5</v>
      </c>
      <c r="L1455" t="s">
        <v>1479</v>
      </c>
      <c r="M1455">
        <v>3</v>
      </c>
      <c r="N1455">
        <v>404</v>
      </c>
      <c r="O1455">
        <v>80</v>
      </c>
      <c r="P1455" s="1">
        <v>45628</v>
      </c>
      <c r="Q1455" s="1"/>
      <c r="R1455" t="str">
        <f>IF(Table1[[#This Row],[Actual close date]]="","",Table1[[#This Row],[Actual close date]]-Table1[[#This Row],[Expected close date]])</f>
        <v/>
      </c>
    </row>
    <row r="1456" spans="1:18" x14ac:dyDescent="0.25">
      <c r="A1456" t="s">
        <v>1566</v>
      </c>
      <c r="B1456" t="s">
        <v>76</v>
      </c>
      <c r="C1456" t="s">
        <v>77</v>
      </c>
      <c r="D1456" t="s">
        <v>78</v>
      </c>
      <c r="E1456" t="s">
        <v>45</v>
      </c>
      <c r="F1456" t="s">
        <v>125</v>
      </c>
      <c r="G1456" t="s">
        <v>23</v>
      </c>
      <c r="H1456" s="1">
        <v>45372</v>
      </c>
      <c r="I1456" t="s">
        <v>64</v>
      </c>
      <c r="J1456" t="s">
        <v>1117</v>
      </c>
      <c r="K1456">
        <v>5</v>
      </c>
      <c r="L1456" t="s">
        <v>1479</v>
      </c>
      <c r="M1456">
        <v>3</v>
      </c>
      <c r="N1456">
        <v>1149</v>
      </c>
      <c r="O1456">
        <v>20</v>
      </c>
      <c r="P1456" s="1">
        <v>45477</v>
      </c>
      <c r="Q1456" s="1"/>
      <c r="R1456" t="str">
        <f>IF(Table1[[#This Row],[Actual close date]]="","",Table1[[#This Row],[Actual close date]]-Table1[[#This Row],[Expected close date]])</f>
        <v/>
      </c>
    </row>
    <row r="1457" spans="1:18" x14ac:dyDescent="0.25">
      <c r="A1457" t="s">
        <v>1590</v>
      </c>
      <c r="B1457" t="s">
        <v>76</v>
      </c>
      <c r="C1457" t="s">
        <v>77</v>
      </c>
      <c r="D1457" t="s">
        <v>78</v>
      </c>
      <c r="E1457" t="s">
        <v>21</v>
      </c>
      <c r="F1457" t="s">
        <v>125</v>
      </c>
      <c r="G1457" t="s">
        <v>83</v>
      </c>
      <c r="H1457" s="1">
        <v>45372</v>
      </c>
      <c r="I1457" t="s">
        <v>64</v>
      </c>
      <c r="J1457" t="s">
        <v>1117</v>
      </c>
      <c r="K1457">
        <v>5</v>
      </c>
      <c r="L1457" t="s">
        <v>1479</v>
      </c>
      <c r="M1457">
        <v>3</v>
      </c>
      <c r="N1457">
        <v>210</v>
      </c>
      <c r="O1457">
        <v>20</v>
      </c>
      <c r="P1457" s="1">
        <v>45656</v>
      </c>
      <c r="Q1457" s="1"/>
      <c r="R1457" t="str">
        <f>IF(Table1[[#This Row],[Actual close date]]="","",Table1[[#This Row],[Actual close date]]-Table1[[#This Row],[Expected close date]])</f>
        <v/>
      </c>
    </row>
    <row r="1458" spans="1:18" x14ac:dyDescent="0.25">
      <c r="A1458" t="s">
        <v>1592</v>
      </c>
      <c r="B1458" t="s">
        <v>59</v>
      </c>
      <c r="C1458" t="s">
        <v>60</v>
      </c>
      <c r="D1458" t="s">
        <v>61</v>
      </c>
      <c r="E1458" t="s">
        <v>62</v>
      </c>
      <c r="F1458" t="s">
        <v>125</v>
      </c>
      <c r="G1458" t="s">
        <v>83</v>
      </c>
      <c r="H1458" s="1">
        <v>45372</v>
      </c>
      <c r="I1458" t="s">
        <v>24</v>
      </c>
      <c r="J1458" t="s">
        <v>1117</v>
      </c>
      <c r="K1458">
        <v>5</v>
      </c>
      <c r="L1458" t="s">
        <v>1479</v>
      </c>
      <c r="M1458">
        <v>3</v>
      </c>
      <c r="N1458">
        <v>894</v>
      </c>
      <c r="O1458">
        <v>50</v>
      </c>
      <c r="P1458" s="1">
        <v>45497</v>
      </c>
      <c r="Q1458" s="1"/>
      <c r="R1458" t="str">
        <f>IF(Table1[[#This Row],[Actual close date]]="","",Table1[[#This Row],[Actual close date]]-Table1[[#This Row],[Expected close date]])</f>
        <v/>
      </c>
    </row>
    <row r="1459" spans="1:18" x14ac:dyDescent="0.25">
      <c r="A1459" t="s">
        <v>1741</v>
      </c>
      <c r="B1459" t="s">
        <v>76</v>
      </c>
      <c r="C1459" t="s">
        <v>77</v>
      </c>
      <c r="D1459" t="s">
        <v>78</v>
      </c>
      <c r="E1459" t="s">
        <v>82</v>
      </c>
      <c r="F1459" t="s">
        <v>167</v>
      </c>
      <c r="G1459" t="s">
        <v>85</v>
      </c>
      <c r="H1459" s="1">
        <v>45372</v>
      </c>
      <c r="I1459" t="s">
        <v>47</v>
      </c>
      <c r="J1459" t="s">
        <v>1117</v>
      </c>
      <c r="K1459">
        <v>5</v>
      </c>
      <c r="L1459" t="s">
        <v>1700</v>
      </c>
      <c r="M1459">
        <v>1</v>
      </c>
      <c r="N1459">
        <v>1042</v>
      </c>
      <c r="O1459">
        <v>60</v>
      </c>
      <c r="P1459" s="1">
        <v>45646</v>
      </c>
      <c r="Q1459" s="1"/>
      <c r="R1459" t="str">
        <f>IF(Table1[[#This Row],[Actual close date]]="","",Table1[[#This Row],[Actual close date]]-Table1[[#This Row],[Expected close date]])</f>
        <v/>
      </c>
    </row>
    <row r="1460" spans="1:18" x14ac:dyDescent="0.25">
      <c r="A1460" t="s">
        <v>1882</v>
      </c>
      <c r="B1460" t="s">
        <v>33</v>
      </c>
      <c r="C1460" t="s">
        <v>34</v>
      </c>
      <c r="D1460" t="s">
        <v>35</v>
      </c>
      <c r="E1460" t="s">
        <v>45</v>
      </c>
      <c r="F1460" t="s">
        <v>167</v>
      </c>
      <c r="G1460" t="s">
        <v>83</v>
      </c>
      <c r="H1460" s="1">
        <v>45372</v>
      </c>
      <c r="I1460" t="s">
        <v>64</v>
      </c>
      <c r="J1460" t="s">
        <v>1117</v>
      </c>
      <c r="K1460">
        <v>5</v>
      </c>
      <c r="L1460" t="s">
        <v>1766</v>
      </c>
      <c r="M1460">
        <v>4</v>
      </c>
      <c r="N1460">
        <v>4305</v>
      </c>
      <c r="O1460">
        <v>90</v>
      </c>
      <c r="P1460" s="1">
        <v>45535</v>
      </c>
      <c r="Q1460" s="1"/>
      <c r="R1460" t="str">
        <f>IF(Table1[[#This Row],[Actual close date]]="","",Table1[[#This Row],[Actual close date]]-Table1[[#This Row],[Expected close date]])</f>
        <v/>
      </c>
    </row>
    <row r="1461" spans="1:18" x14ac:dyDescent="0.25">
      <c r="A1461" t="s">
        <v>1164</v>
      </c>
      <c r="B1461" t="s">
        <v>59</v>
      </c>
      <c r="C1461" t="s">
        <v>60</v>
      </c>
      <c r="D1461" t="s">
        <v>61</v>
      </c>
      <c r="E1461" t="s">
        <v>122</v>
      </c>
      <c r="F1461" t="s">
        <v>22</v>
      </c>
      <c r="G1461" t="s">
        <v>83</v>
      </c>
      <c r="H1461" s="1">
        <v>45373</v>
      </c>
      <c r="I1461" t="s">
        <v>24</v>
      </c>
      <c r="J1461" t="s">
        <v>1117</v>
      </c>
      <c r="K1461">
        <v>5</v>
      </c>
      <c r="L1461" t="s">
        <v>1118</v>
      </c>
      <c r="M1461">
        <v>2</v>
      </c>
      <c r="N1461">
        <v>992</v>
      </c>
      <c r="O1461">
        <v>90</v>
      </c>
      <c r="P1461" s="1">
        <v>45440</v>
      </c>
      <c r="Q1461" s="1"/>
      <c r="R1461" t="str">
        <f>IF(Table1[[#This Row],[Actual close date]]="","",Table1[[#This Row],[Actual close date]]-Table1[[#This Row],[Expected close date]])</f>
        <v/>
      </c>
    </row>
    <row r="1462" spans="1:18" x14ac:dyDescent="0.25">
      <c r="A1462" t="s">
        <v>1266</v>
      </c>
      <c r="B1462" t="s">
        <v>54</v>
      </c>
      <c r="C1462" t="s">
        <v>55</v>
      </c>
      <c r="D1462" t="s">
        <v>56</v>
      </c>
      <c r="E1462" t="s">
        <v>45</v>
      </c>
      <c r="F1462" t="s">
        <v>125</v>
      </c>
      <c r="G1462" t="s">
        <v>72</v>
      </c>
      <c r="H1462" s="1">
        <v>45373</v>
      </c>
      <c r="I1462" t="s">
        <v>64</v>
      </c>
      <c r="J1462" t="s">
        <v>1117</v>
      </c>
      <c r="K1462">
        <v>5</v>
      </c>
      <c r="L1462" t="s">
        <v>1118</v>
      </c>
      <c r="M1462">
        <v>2</v>
      </c>
      <c r="N1462">
        <v>314</v>
      </c>
      <c r="O1462">
        <v>10</v>
      </c>
      <c r="P1462" s="1">
        <v>45528</v>
      </c>
      <c r="Q1462" s="1"/>
      <c r="R1462" t="str">
        <f>IF(Table1[[#This Row],[Actual close date]]="","",Table1[[#This Row],[Actual close date]]-Table1[[#This Row],[Expected close date]])</f>
        <v/>
      </c>
    </row>
    <row r="1463" spans="1:18" x14ac:dyDescent="0.25">
      <c r="A1463" t="s">
        <v>1412</v>
      </c>
      <c r="B1463" t="s">
        <v>39</v>
      </c>
      <c r="C1463" t="s">
        <v>40</v>
      </c>
      <c r="D1463" t="s">
        <v>41</v>
      </c>
      <c r="E1463" t="s">
        <v>45</v>
      </c>
      <c r="F1463" t="s">
        <v>239</v>
      </c>
      <c r="G1463" t="s">
        <v>57</v>
      </c>
      <c r="H1463" s="1">
        <v>45373</v>
      </c>
      <c r="I1463" t="s">
        <v>47</v>
      </c>
      <c r="J1463" t="s">
        <v>1117</v>
      </c>
      <c r="K1463">
        <v>5</v>
      </c>
      <c r="L1463" t="s">
        <v>1118</v>
      </c>
      <c r="M1463">
        <v>2</v>
      </c>
      <c r="N1463">
        <v>11913</v>
      </c>
      <c r="O1463">
        <v>50</v>
      </c>
      <c r="P1463" s="1">
        <v>45636</v>
      </c>
      <c r="Q1463" s="1"/>
      <c r="R1463" t="str">
        <f>IF(Table1[[#This Row],[Actual close date]]="","",Table1[[#This Row],[Actual close date]]-Table1[[#This Row],[Expected close date]])</f>
        <v/>
      </c>
    </row>
    <row r="1464" spans="1:18" x14ac:dyDescent="0.25">
      <c r="A1464" t="s">
        <v>1529</v>
      </c>
      <c r="B1464" t="s">
        <v>59</v>
      </c>
      <c r="C1464" t="s">
        <v>60</v>
      </c>
      <c r="D1464" t="s">
        <v>61</v>
      </c>
      <c r="E1464" t="s">
        <v>36</v>
      </c>
      <c r="F1464" t="s">
        <v>22</v>
      </c>
      <c r="G1464" t="s">
        <v>72</v>
      </c>
      <c r="H1464" s="1">
        <v>45373</v>
      </c>
      <c r="I1464" t="s">
        <v>64</v>
      </c>
      <c r="J1464" t="s">
        <v>1117</v>
      </c>
      <c r="K1464">
        <v>5</v>
      </c>
      <c r="L1464" t="s">
        <v>1479</v>
      </c>
      <c r="M1464">
        <v>3</v>
      </c>
      <c r="N1464">
        <v>429</v>
      </c>
      <c r="O1464">
        <v>20</v>
      </c>
      <c r="P1464" s="1">
        <v>45434</v>
      </c>
      <c r="Q1464" s="1"/>
      <c r="R1464" t="str">
        <f>IF(Table1[[#This Row],[Actual close date]]="","",Table1[[#This Row],[Actual close date]]-Table1[[#This Row],[Expected close date]])</f>
        <v/>
      </c>
    </row>
    <row r="1465" spans="1:18" x14ac:dyDescent="0.25">
      <c r="A1465" t="s">
        <v>1596</v>
      </c>
      <c r="B1465" t="s">
        <v>69</v>
      </c>
      <c r="C1465" t="s">
        <v>70</v>
      </c>
      <c r="D1465" t="s">
        <v>71</v>
      </c>
      <c r="E1465" t="s">
        <v>52</v>
      </c>
      <c r="F1465" t="s">
        <v>125</v>
      </c>
      <c r="G1465" t="s">
        <v>46</v>
      </c>
      <c r="H1465" s="1">
        <v>45373</v>
      </c>
      <c r="I1465" t="s">
        <v>64</v>
      </c>
      <c r="J1465" t="s">
        <v>1117</v>
      </c>
      <c r="K1465">
        <v>5</v>
      </c>
      <c r="L1465" t="s">
        <v>1479</v>
      </c>
      <c r="M1465">
        <v>3</v>
      </c>
      <c r="N1465">
        <v>365</v>
      </c>
      <c r="O1465">
        <v>90</v>
      </c>
      <c r="P1465" s="1">
        <v>45413</v>
      </c>
      <c r="Q1465" s="1"/>
      <c r="R1465" t="str">
        <f>IF(Table1[[#This Row],[Actual close date]]="","",Table1[[#This Row],[Actual close date]]-Table1[[#This Row],[Expected close date]])</f>
        <v/>
      </c>
    </row>
    <row r="1466" spans="1:18" x14ac:dyDescent="0.25">
      <c r="A1466" t="s">
        <v>1655</v>
      </c>
      <c r="B1466" t="s">
        <v>59</v>
      </c>
      <c r="C1466" t="s">
        <v>60</v>
      </c>
      <c r="D1466" t="s">
        <v>61</v>
      </c>
      <c r="E1466" t="s">
        <v>101</v>
      </c>
      <c r="F1466" t="s">
        <v>167</v>
      </c>
      <c r="G1466" t="s">
        <v>46</v>
      </c>
      <c r="H1466" s="1">
        <v>45373</v>
      </c>
      <c r="I1466" t="s">
        <v>47</v>
      </c>
      <c r="J1466" t="s">
        <v>1117</v>
      </c>
      <c r="K1466">
        <v>5</v>
      </c>
      <c r="L1466" t="s">
        <v>1479</v>
      </c>
      <c r="M1466">
        <v>3</v>
      </c>
      <c r="N1466">
        <v>3423</v>
      </c>
      <c r="O1466">
        <v>60</v>
      </c>
      <c r="P1466" s="1">
        <v>45648</v>
      </c>
      <c r="Q1466" s="1"/>
      <c r="R1466" t="str">
        <f>IF(Table1[[#This Row],[Actual close date]]="","",Table1[[#This Row],[Actual close date]]-Table1[[#This Row],[Expected close date]])</f>
        <v/>
      </c>
    </row>
    <row r="1467" spans="1:18" x14ac:dyDescent="0.25">
      <c r="A1467" t="s">
        <v>1863</v>
      </c>
      <c r="B1467" t="s">
        <v>59</v>
      </c>
      <c r="C1467" t="s">
        <v>60</v>
      </c>
      <c r="D1467" t="s">
        <v>61</v>
      </c>
      <c r="E1467" t="s">
        <v>62</v>
      </c>
      <c r="F1467" t="s">
        <v>167</v>
      </c>
      <c r="G1467" t="s">
        <v>57</v>
      </c>
      <c r="H1467" s="1">
        <v>45373</v>
      </c>
      <c r="I1467" t="s">
        <v>64</v>
      </c>
      <c r="J1467" t="s">
        <v>1117</v>
      </c>
      <c r="K1467">
        <v>5</v>
      </c>
      <c r="L1467" t="s">
        <v>1766</v>
      </c>
      <c r="M1467">
        <v>4</v>
      </c>
      <c r="N1467">
        <v>5386</v>
      </c>
      <c r="O1467">
        <v>40</v>
      </c>
      <c r="P1467" s="1">
        <v>45666</v>
      </c>
      <c r="Q1467" s="1"/>
      <c r="R1467" t="str">
        <f>IF(Table1[[#This Row],[Actual close date]]="","",Table1[[#This Row],[Actual close date]]-Table1[[#This Row],[Expected close date]])</f>
        <v/>
      </c>
    </row>
    <row r="1468" spans="1:18" x14ac:dyDescent="0.25">
      <c r="A1468" t="s">
        <v>1177</v>
      </c>
      <c r="B1468" t="s">
        <v>33</v>
      </c>
      <c r="C1468" t="s">
        <v>34</v>
      </c>
      <c r="D1468" t="s">
        <v>35</v>
      </c>
      <c r="E1468" t="s">
        <v>21</v>
      </c>
      <c r="F1468" t="s">
        <v>22</v>
      </c>
      <c r="G1468" t="s">
        <v>37</v>
      </c>
      <c r="H1468" s="1">
        <v>45374</v>
      </c>
      <c r="I1468" t="s">
        <v>24</v>
      </c>
      <c r="J1468" t="s">
        <v>1117</v>
      </c>
      <c r="K1468">
        <v>5</v>
      </c>
      <c r="L1468" t="s">
        <v>1118</v>
      </c>
      <c r="M1468">
        <v>2</v>
      </c>
      <c r="N1468">
        <v>468</v>
      </c>
      <c r="O1468">
        <v>20</v>
      </c>
      <c r="P1468" s="1">
        <v>45656</v>
      </c>
      <c r="Q1468" s="1"/>
      <c r="R1468" t="str">
        <f>IF(Table1[[#This Row],[Actual close date]]="","",Table1[[#This Row],[Actual close date]]-Table1[[#This Row],[Expected close date]])</f>
        <v/>
      </c>
    </row>
    <row r="1469" spans="1:18" x14ac:dyDescent="0.25">
      <c r="A1469" t="s">
        <v>1249</v>
      </c>
      <c r="B1469" t="s">
        <v>54</v>
      </c>
      <c r="C1469" t="s">
        <v>55</v>
      </c>
      <c r="D1469" t="s">
        <v>56</v>
      </c>
      <c r="E1469" t="s">
        <v>45</v>
      </c>
      <c r="F1469" t="s">
        <v>125</v>
      </c>
      <c r="G1469" t="s">
        <v>83</v>
      </c>
      <c r="H1469" s="1">
        <v>45374</v>
      </c>
      <c r="I1469" t="s">
        <v>24</v>
      </c>
      <c r="J1469" t="s">
        <v>1117</v>
      </c>
      <c r="K1469">
        <v>5</v>
      </c>
      <c r="L1469" t="s">
        <v>1118</v>
      </c>
      <c r="M1469">
        <v>2</v>
      </c>
      <c r="N1469">
        <v>646</v>
      </c>
      <c r="O1469">
        <v>60</v>
      </c>
      <c r="P1469" s="1">
        <v>45410</v>
      </c>
      <c r="Q1469" s="1"/>
      <c r="R1469" t="str">
        <f>IF(Table1[[#This Row],[Actual close date]]="","",Table1[[#This Row],[Actual close date]]-Table1[[#This Row],[Expected close date]])</f>
        <v/>
      </c>
    </row>
    <row r="1470" spans="1:18" x14ac:dyDescent="0.25">
      <c r="A1470" t="s">
        <v>1253</v>
      </c>
      <c r="B1470" t="s">
        <v>49</v>
      </c>
      <c r="C1470" t="s">
        <v>50</v>
      </c>
      <c r="D1470" t="s">
        <v>51</v>
      </c>
      <c r="E1470" t="s">
        <v>45</v>
      </c>
      <c r="F1470" t="s">
        <v>125</v>
      </c>
      <c r="G1470" t="s">
        <v>46</v>
      </c>
      <c r="H1470" s="1">
        <v>45374</v>
      </c>
      <c r="I1470" t="s">
        <v>64</v>
      </c>
      <c r="J1470" t="s">
        <v>1117</v>
      </c>
      <c r="K1470">
        <v>5</v>
      </c>
      <c r="L1470" t="s">
        <v>1118</v>
      </c>
      <c r="M1470">
        <v>2</v>
      </c>
      <c r="N1470">
        <v>683</v>
      </c>
      <c r="O1470">
        <v>40</v>
      </c>
      <c r="P1470" s="1">
        <v>45589</v>
      </c>
      <c r="Q1470" s="1"/>
      <c r="R1470" t="str">
        <f>IF(Table1[[#This Row],[Actual close date]]="","",Table1[[#This Row],[Actual close date]]-Table1[[#This Row],[Expected close date]])</f>
        <v/>
      </c>
    </row>
    <row r="1471" spans="1:18" x14ac:dyDescent="0.25">
      <c r="A1471" t="s">
        <v>1271</v>
      </c>
      <c r="B1471" t="s">
        <v>59</v>
      </c>
      <c r="C1471" t="s">
        <v>60</v>
      </c>
      <c r="D1471" t="s">
        <v>61</v>
      </c>
      <c r="E1471" t="s">
        <v>42</v>
      </c>
      <c r="F1471" t="s">
        <v>125</v>
      </c>
      <c r="G1471" t="s">
        <v>37</v>
      </c>
      <c r="H1471" s="1">
        <v>45374</v>
      </c>
      <c r="I1471" t="s">
        <v>24</v>
      </c>
      <c r="J1471" t="s">
        <v>1117</v>
      </c>
      <c r="K1471">
        <v>5</v>
      </c>
      <c r="L1471" t="s">
        <v>1118</v>
      </c>
      <c r="M1471">
        <v>2</v>
      </c>
      <c r="N1471">
        <v>994</v>
      </c>
      <c r="O1471">
        <v>100</v>
      </c>
      <c r="P1471" s="1">
        <v>45583</v>
      </c>
      <c r="Q1471" s="1"/>
      <c r="R1471" t="str">
        <f>IF(Table1[[#This Row],[Actual close date]]="","",Table1[[#This Row],[Actual close date]]-Table1[[#This Row],[Expected close date]])</f>
        <v/>
      </c>
    </row>
    <row r="1472" spans="1:18" x14ac:dyDescent="0.25">
      <c r="A1472" t="s">
        <v>1298</v>
      </c>
      <c r="B1472" t="s">
        <v>54</v>
      </c>
      <c r="C1472" t="s">
        <v>55</v>
      </c>
      <c r="D1472" t="s">
        <v>56</v>
      </c>
      <c r="E1472" t="s">
        <v>118</v>
      </c>
      <c r="F1472" t="s">
        <v>167</v>
      </c>
      <c r="G1472" t="s">
        <v>37</v>
      </c>
      <c r="H1472" s="1">
        <v>45374</v>
      </c>
      <c r="I1472" t="s">
        <v>64</v>
      </c>
      <c r="J1472" t="s">
        <v>1117</v>
      </c>
      <c r="K1472">
        <v>5</v>
      </c>
      <c r="L1472" t="s">
        <v>1118</v>
      </c>
      <c r="M1472">
        <v>2</v>
      </c>
      <c r="N1472">
        <v>1825</v>
      </c>
      <c r="O1472">
        <v>60</v>
      </c>
      <c r="P1472" s="1">
        <v>45602</v>
      </c>
      <c r="Q1472" s="1"/>
      <c r="R1472" t="str">
        <f>IF(Table1[[#This Row],[Actual close date]]="","",Table1[[#This Row],[Actual close date]]-Table1[[#This Row],[Expected close date]])</f>
        <v/>
      </c>
    </row>
    <row r="1473" spans="1:18" x14ac:dyDescent="0.25">
      <c r="A1473" t="s">
        <v>1333</v>
      </c>
      <c r="B1473" t="s">
        <v>54</v>
      </c>
      <c r="C1473" t="s">
        <v>55</v>
      </c>
      <c r="D1473" t="s">
        <v>56</v>
      </c>
      <c r="E1473" t="s">
        <v>74</v>
      </c>
      <c r="F1473" t="s">
        <v>167</v>
      </c>
      <c r="G1473" t="s">
        <v>57</v>
      </c>
      <c r="H1473" s="1">
        <v>45374</v>
      </c>
      <c r="I1473" t="s">
        <v>24</v>
      </c>
      <c r="J1473" t="s">
        <v>1117</v>
      </c>
      <c r="K1473">
        <v>5</v>
      </c>
      <c r="L1473" t="s">
        <v>1118</v>
      </c>
      <c r="M1473">
        <v>2</v>
      </c>
      <c r="N1473">
        <v>3955</v>
      </c>
      <c r="O1473">
        <v>30</v>
      </c>
      <c r="P1473" s="1">
        <v>45738</v>
      </c>
      <c r="Q1473" s="1"/>
      <c r="R1473" t="str">
        <f>IF(Table1[[#This Row],[Actual close date]]="","",Table1[[#This Row],[Actual close date]]-Table1[[#This Row],[Expected close date]])</f>
        <v/>
      </c>
    </row>
    <row r="1474" spans="1:18" x14ac:dyDescent="0.25">
      <c r="A1474" t="s">
        <v>1352</v>
      </c>
      <c r="B1474" t="s">
        <v>18</v>
      </c>
      <c r="C1474" t="s">
        <v>19</v>
      </c>
      <c r="D1474" t="s">
        <v>20</v>
      </c>
      <c r="E1474" t="s">
        <v>42</v>
      </c>
      <c r="F1474" t="s">
        <v>167</v>
      </c>
      <c r="G1474" t="s">
        <v>83</v>
      </c>
      <c r="H1474" s="1">
        <v>45374</v>
      </c>
      <c r="I1474" t="s">
        <v>64</v>
      </c>
      <c r="J1474" t="s">
        <v>1117</v>
      </c>
      <c r="K1474">
        <v>5</v>
      </c>
      <c r="L1474" t="s">
        <v>1118</v>
      </c>
      <c r="M1474">
        <v>2</v>
      </c>
      <c r="N1474">
        <v>1083</v>
      </c>
      <c r="O1474">
        <v>60</v>
      </c>
      <c r="P1474" s="1">
        <v>45693</v>
      </c>
      <c r="Q1474" s="1"/>
      <c r="R1474" t="str">
        <f>IF(Table1[[#This Row],[Actual close date]]="","",Table1[[#This Row],[Actual close date]]-Table1[[#This Row],[Expected close date]])</f>
        <v/>
      </c>
    </row>
    <row r="1475" spans="1:18" x14ac:dyDescent="0.25">
      <c r="A1475" t="s">
        <v>1396</v>
      </c>
      <c r="B1475" t="s">
        <v>18</v>
      </c>
      <c r="C1475" t="s">
        <v>19</v>
      </c>
      <c r="D1475" t="s">
        <v>20</v>
      </c>
      <c r="E1475" t="s">
        <v>52</v>
      </c>
      <c r="F1475" t="s">
        <v>167</v>
      </c>
      <c r="G1475" t="s">
        <v>46</v>
      </c>
      <c r="H1475" s="1">
        <v>45374</v>
      </c>
      <c r="I1475" t="s">
        <v>64</v>
      </c>
      <c r="J1475" t="s">
        <v>1117</v>
      </c>
      <c r="K1475">
        <v>5</v>
      </c>
      <c r="L1475" t="s">
        <v>1118</v>
      </c>
      <c r="M1475">
        <v>2</v>
      </c>
      <c r="N1475">
        <v>5567</v>
      </c>
      <c r="O1475">
        <v>30</v>
      </c>
      <c r="P1475" s="1">
        <v>45516</v>
      </c>
      <c r="Q1475" s="1"/>
      <c r="R1475" t="str">
        <f>IF(Table1[[#This Row],[Actual close date]]="","",Table1[[#This Row],[Actual close date]]-Table1[[#This Row],[Expected close date]])</f>
        <v/>
      </c>
    </row>
    <row r="1476" spans="1:18" x14ac:dyDescent="0.25">
      <c r="A1476" t="s">
        <v>1691</v>
      </c>
      <c r="B1476" t="s">
        <v>54</v>
      </c>
      <c r="C1476" t="s">
        <v>55</v>
      </c>
      <c r="D1476" t="s">
        <v>56</v>
      </c>
      <c r="E1476" t="s">
        <v>98</v>
      </c>
      <c r="F1476" t="s">
        <v>239</v>
      </c>
      <c r="G1476" t="s">
        <v>23</v>
      </c>
      <c r="H1476" s="1">
        <v>45374</v>
      </c>
      <c r="I1476" t="s">
        <v>47</v>
      </c>
      <c r="J1476" t="s">
        <v>1117</v>
      </c>
      <c r="K1476">
        <v>5</v>
      </c>
      <c r="L1476" t="s">
        <v>1479</v>
      </c>
      <c r="M1476">
        <v>3</v>
      </c>
      <c r="N1476">
        <v>14552</v>
      </c>
      <c r="O1476">
        <v>60</v>
      </c>
      <c r="P1476" s="1">
        <v>45526</v>
      </c>
      <c r="Q1476" s="1"/>
      <c r="R1476" t="str">
        <f>IF(Table1[[#This Row],[Actual close date]]="","",Table1[[#This Row],[Actual close date]]-Table1[[#This Row],[Expected close date]])</f>
        <v/>
      </c>
    </row>
    <row r="1477" spans="1:18" x14ac:dyDescent="0.25">
      <c r="A1477" t="s">
        <v>1753</v>
      </c>
      <c r="B1477" t="s">
        <v>49</v>
      </c>
      <c r="C1477" t="s">
        <v>50</v>
      </c>
      <c r="D1477" t="s">
        <v>51</v>
      </c>
      <c r="E1477" t="s">
        <v>21</v>
      </c>
      <c r="F1477" t="s">
        <v>167</v>
      </c>
      <c r="G1477" t="s">
        <v>46</v>
      </c>
      <c r="H1477" s="1">
        <v>45374</v>
      </c>
      <c r="I1477" t="s">
        <v>64</v>
      </c>
      <c r="J1477" t="s">
        <v>1117</v>
      </c>
      <c r="K1477">
        <v>5</v>
      </c>
      <c r="L1477" t="s">
        <v>1700</v>
      </c>
      <c r="M1477">
        <v>1</v>
      </c>
      <c r="N1477">
        <v>7091</v>
      </c>
      <c r="O1477">
        <v>50</v>
      </c>
      <c r="P1477" s="1">
        <v>45540</v>
      </c>
      <c r="Q1477" s="1"/>
      <c r="R1477" t="str">
        <f>IF(Table1[[#This Row],[Actual close date]]="","",Table1[[#This Row],[Actual close date]]-Table1[[#This Row],[Expected close date]])</f>
        <v/>
      </c>
    </row>
    <row r="1478" spans="1:18" x14ac:dyDescent="0.25">
      <c r="A1478" t="s">
        <v>1790</v>
      </c>
      <c r="B1478" t="s">
        <v>76</v>
      </c>
      <c r="C1478" t="s">
        <v>77</v>
      </c>
      <c r="D1478" t="s">
        <v>78</v>
      </c>
      <c r="E1478" t="s">
        <v>122</v>
      </c>
      <c r="F1478" t="s">
        <v>22</v>
      </c>
      <c r="G1478" t="s">
        <v>57</v>
      </c>
      <c r="H1478" s="1">
        <v>45374</v>
      </c>
      <c r="I1478" t="s">
        <v>64</v>
      </c>
      <c r="J1478" t="s">
        <v>1117</v>
      </c>
      <c r="K1478">
        <v>5</v>
      </c>
      <c r="L1478" t="s">
        <v>1766</v>
      </c>
      <c r="M1478">
        <v>4</v>
      </c>
      <c r="N1478">
        <v>1829</v>
      </c>
      <c r="O1478">
        <v>30</v>
      </c>
      <c r="P1478" s="1">
        <v>45408</v>
      </c>
      <c r="Q1478" s="1"/>
      <c r="R1478" t="str">
        <f>IF(Table1[[#This Row],[Actual close date]]="","",Table1[[#This Row],[Actual close date]]-Table1[[#This Row],[Expected close date]])</f>
        <v/>
      </c>
    </row>
    <row r="1479" spans="1:18" x14ac:dyDescent="0.25">
      <c r="A1479" t="s">
        <v>1792</v>
      </c>
      <c r="B1479" t="s">
        <v>33</v>
      </c>
      <c r="C1479" t="s">
        <v>34</v>
      </c>
      <c r="D1479" t="s">
        <v>35</v>
      </c>
      <c r="E1479" t="s">
        <v>52</v>
      </c>
      <c r="F1479" t="s">
        <v>22</v>
      </c>
      <c r="G1479" t="s">
        <v>37</v>
      </c>
      <c r="H1479" s="1">
        <v>45374</v>
      </c>
      <c r="I1479" t="s">
        <v>24</v>
      </c>
      <c r="J1479" t="s">
        <v>1117</v>
      </c>
      <c r="K1479">
        <v>5</v>
      </c>
      <c r="L1479" t="s">
        <v>1766</v>
      </c>
      <c r="M1479">
        <v>4</v>
      </c>
      <c r="N1479">
        <v>1699</v>
      </c>
      <c r="O1479">
        <v>30</v>
      </c>
      <c r="P1479" s="1">
        <v>45723</v>
      </c>
      <c r="Q1479" s="1"/>
      <c r="R1479" t="str">
        <f>IF(Table1[[#This Row],[Actual close date]]="","",Table1[[#This Row],[Actual close date]]-Table1[[#This Row],[Expected close date]])</f>
        <v/>
      </c>
    </row>
    <row r="1480" spans="1:18" x14ac:dyDescent="0.25">
      <c r="A1480" t="s">
        <v>1843</v>
      </c>
      <c r="B1480" t="s">
        <v>27</v>
      </c>
      <c r="C1480" t="s">
        <v>28</v>
      </c>
      <c r="D1480" t="s">
        <v>29</v>
      </c>
      <c r="E1480" t="s">
        <v>42</v>
      </c>
      <c r="F1480" t="s">
        <v>167</v>
      </c>
      <c r="G1480" t="s">
        <v>85</v>
      </c>
      <c r="H1480" s="1">
        <v>45374</v>
      </c>
      <c r="I1480" t="s">
        <v>47</v>
      </c>
      <c r="J1480" t="s">
        <v>1117</v>
      </c>
      <c r="K1480">
        <v>5</v>
      </c>
      <c r="L1480" t="s">
        <v>1766</v>
      </c>
      <c r="M1480">
        <v>4</v>
      </c>
      <c r="N1480">
        <v>2685</v>
      </c>
      <c r="O1480">
        <v>60</v>
      </c>
      <c r="P1480" s="1">
        <v>45511</v>
      </c>
      <c r="Q1480" s="1"/>
      <c r="R1480" t="str">
        <f>IF(Table1[[#This Row],[Actual close date]]="","",Table1[[#This Row],[Actual close date]]-Table1[[#This Row],[Expected close date]])</f>
        <v/>
      </c>
    </row>
    <row r="1481" spans="1:18" x14ac:dyDescent="0.25">
      <c r="A1481" t="s">
        <v>1879</v>
      </c>
      <c r="B1481" t="s">
        <v>33</v>
      </c>
      <c r="C1481" t="s">
        <v>34</v>
      </c>
      <c r="D1481" t="s">
        <v>35</v>
      </c>
      <c r="E1481" t="s">
        <v>52</v>
      </c>
      <c r="F1481" t="s">
        <v>167</v>
      </c>
      <c r="G1481" t="s">
        <v>57</v>
      </c>
      <c r="H1481" s="1">
        <v>45374</v>
      </c>
      <c r="I1481" t="s">
        <v>24</v>
      </c>
      <c r="J1481" t="s">
        <v>1117</v>
      </c>
      <c r="K1481">
        <v>5</v>
      </c>
      <c r="L1481" t="s">
        <v>1766</v>
      </c>
      <c r="M1481">
        <v>4</v>
      </c>
      <c r="N1481">
        <v>4663</v>
      </c>
      <c r="O1481">
        <v>20</v>
      </c>
      <c r="P1481" s="1">
        <v>45503</v>
      </c>
      <c r="Q1481" s="1"/>
      <c r="R1481" t="str">
        <f>IF(Table1[[#This Row],[Actual close date]]="","",Table1[[#This Row],[Actual close date]]-Table1[[#This Row],[Expected close date]])</f>
        <v/>
      </c>
    </row>
    <row r="1482" spans="1:18" x14ac:dyDescent="0.25">
      <c r="A1482" t="s">
        <v>1127</v>
      </c>
      <c r="B1482" t="s">
        <v>54</v>
      </c>
      <c r="C1482" t="s">
        <v>55</v>
      </c>
      <c r="D1482" t="s">
        <v>56</v>
      </c>
      <c r="E1482" t="s">
        <v>45</v>
      </c>
      <c r="F1482" t="s">
        <v>22</v>
      </c>
      <c r="G1482" t="s">
        <v>46</v>
      </c>
      <c r="H1482" s="1">
        <v>45375</v>
      </c>
      <c r="I1482" t="s">
        <v>64</v>
      </c>
      <c r="J1482" t="s">
        <v>1117</v>
      </c>
      <c r="K1482">
        <v>5</v>
      </c>
      <c r="L1482" t="s">
        <v>1118</v>
      </c>
      <c r="M1482">
        <v>2</v>
      </c>
      <c r="N1482">
        <v>909</v>
      </c>
      <c r="O1482">
        <v>40</v>
      </c>
      <c r="P1482" s="1">
        <v>45411</v>
      </c>
      <c r="Q1482" s="1"/>
      <c r="R1482" t="str">
        <f>IF(Table1[[#This Row],[Actual close date]]="","",Table1[[#This Row],[Actual close date]]-Table1[[#This Row],[Expected close date]])</f>
        <v/>
      </c>
    </row>
    <row r="1483" spans="1:18" x14ac:dyDescent="0.25">
      <c r="A1483" t="s">
        <v>1235</v>
      </c>
      <c r="B1483" t="s">
        <v>27</v>
      </c>
      <c r="C1483" t="s">
        <v>28</v>
      </c>
      <c r="D1483" t="s">
        <v>29</v>
      </c>
      <c r="E1483" t="s">
        <v>45</v>
      </c>
      <c r="F1483" t="s">
        <v>125</v>
      </c>
      <c r="G1483" t="s">
        <v>46</v>
      </c>
      <c r="H1483" s="1">
        <v>45375</v>
      </c>
      <c r="I1483" t="s">
        <v>47</v>
      </c>
      <c r="J1483" t="s">
        <v>1117</v>
      </c>
      <c r="K1483">
        <v>5</v>
      </c>
      <c r="L1483" t="s">
        <v>1118</v>
      </c>
      <c r="M1483">
        <v>2</v>
      </c>
      <c r="N1483">
        <v>900</v>
      </c>
      <c r="O1483">
        <v>20</v>
      </c>
      <c r="P1483" s="1">
        <v>45531</v>
      </c>
      <c r="Q1483" s="1"/>
      <c r="R1483" t="str">
        <f>IF(Table1[[#This Row],[Actual close date]]="","",Table1[[#This Row],[Actual close date]]-Table1[[#This Row],[Expected close date]])</f>
        <v/>
      </c>
    </row>
    <row r="1484" spans="1:18" x14ac:dyDescent="0.25">
      <c r="A1484" t="s">
        <v>1237</v>
      </c>
      <c r="B1484" t="s">
        <v>59</v>
      </c>
      <c r="C1484" t="s">
        <v>60</v>
      </c>
      <c r="D1484" t="s">
        <v>61</v>
      </c>
      <c r="E1484" t="s">
        <v>66</v>
      </c>
      <c r="F1484" t="s">
        <v>125</v>
      </c>
      <c r="G1484" t="s">
        <v>72</v>
      </c>
      <c r="H1484" s="1">
        <v>45375</v>
      </c>
      <c r="I1484" t="s">
        <v>24</v>
      </c>
      <c r="J1484" t="s">
        <v>1117</v>
      </c>
      <c r="K1484">
        <v>5</v>
      </c>
      <c r="L1484" t="s">
        <v>1118</v>
      </c>
      <c r="M1484">
        <v>2</v>
      </c>
      <c r="N1484">
        <v>1139</v>
      </c>
      <c r="O1484">
        <v>20</v>
      </c>
      <c r="P1484" s="1">
        <v>45444</v>
      </c>
      <c r="Q1484" s="1"/>
      <c r="R1484" t="str">
        <f>IF(Table1[[#This Row],[Actual close date]]="","",Table1[[#This Row],[Actual close date]]-Table1[[#This Row],[Expected close date]])</f>
        <v/>
      </c>
    </row>
    <row r="1485" spans="1:18" x14ac:dyDescent="0.25">
      <c r="A1485" t="s">
        <v>1282</v>
      </c>
      <c r="B1485" t="s">
        <v>27</v>
      </c>
      <c r="C1485" t="s">
        <v>28</v>
      </c>
      <c r="D1485" t="s">
        <v>29</v>
      </c>
      <c r="E1485" t="s">
        <v>62</v>
      </c>
      <c r="F1485" t="s">
        <v>167</v>
      </c>
      <c r="G1485" t="s">
        <v>46</v>
      </c>
      <c r="H1485" s="1">
        <v>45375</v>
      </c>
      <c r="I1485" t="s">
        <v>24</v>
      </c>
      <c r="J1485" t="s">
        <v>1117</v>
      </c>
      <c r="K1485">
        <v>5</v>
      </c>
      <c r="L1485" t="s">
        <v>1118</v>
      </c>
      <c r="M1485">
        <v>2</v>
      </c>
      <c r="N1485">
        <v>2102</v>
      </c>
      <c r="O1485">
        <v>50</v>
      </c>
      <c r="P1485" s="1">
        <v>45427</v>
      </c>
      <c r="Q1485" s="1"/>
      <c r="R1485" t="str">
        <f>IF(Table1[[#This Row],[Actual close date]]="","",Table1[[#This Row],[Actual close date]]-Table1[[#This Row],[Expected close date]])</f>
        <v/>
      </c>
    </row>
    <row r="1486" spans="1:18" x14ac:dyDescent="0.25">
      <c r="A1486" t="s">
        <v>1601</v>
      </c>
      <c r="B1486" t="s">
        <v>54</v>
      </c>
      <c r="C1486" t="s">
        <v>55</v>
      </c>
      <c r="D1486" t="s">
        <v>56</v>
      </c>
      <c r="E1486" t="s">
        <v>45</v>
      </c>
      <c r="F1486" t="s">
        <v>125</v>
      </c>
      <c r="G1486" t="s">
        <v>72</v>
      </c>
      <c r="H1486" s="1">
        <v>45375</v>
      </c>
      <c r="I1486" t="s">
        <v>24</v>
      </c>
      <c r="J1486" t="s">
        <v>1117</v>
      </c>
      <c r="K1486">
        <v>5</v>
      </c>
      <c r="L1486" t="s">
        <v>1479</v>
      </c>
      <c r="M1486">
        <v>3</v>
      </c>
      <c r="N1486">
        <v>1005</v>
      </c>
      <c r="O1486">
        <v>30</v>
      </c>
      <c r="P1486" s="1">
        <v>45573</v>
      </c>
      <c r="Q1486" s="1"/>
      <c r="R1486" t="str">
        <f>IF(Table1[[#This Row],[Actual close date]]="","",Table1[[#This Row],[Actual close date]]-Table1[[#This Row],[Expected close date]])</f>
        <v/>
      </c>
    </row>
    <row r="1487" spans="1:18" x14ac:dyDescent="0.25">
      <c r="A1487" t="s">
        <v>1667</v>
      </c>
      <c r="B1487" t="s">
        <v>39</v>
      </c>
      <c r="C1487" t="s">
        <v>40</v>
      </c>
      <c r="D1487" t="s">
        <v>41</v>
      </c>
      <c r="E1487" t="s">
        <v>45</v>
      </c>
      <c r="F1487" t="s">
        <v>167</v>
      </c>
      <c r="G1487" t="s">
        <v>31</v>
      </c>
      <c r="H1487" s="1">
        <v>45375</v>
      </c>
      <c r="I1487" t="s">
        <v>64</v>
      </c>
      <c r="J1487" t="s">
        <v>1117</v>
      </c>
      <c r="K1487">
        <v>5</v>
      </c>
      <c r="L1487" t="s">
        <v>1479</v>
      </c>
      <c r="M1487">
        <v>3</v>
      </c>
      <c r="N1487">
        <v>4073</v>
      </c>
      <c r="O1487">
        <v>30</v>
      </c>
      <c r="P1487" s="1">
        <v>45584</v>
      </c>
      <c r="Q1487" s="1"/>
      <c r="R1487" t="str">
        <f>IF(Table1[[#This Row],[Actual close date]]="","",Table1[[#This Row],[Actual close date]]-Table1[[#This Row],[Expected close date]])</f>
        <v/>
      </c>
    </row>
    <row r="1488" spans="1:18" x14ac:dyDescent="0.25">
      <c r="A1488" t="s">
        <v>1794</v>
      </c>
      <c r="B1488" t="s">
        <v>54</v>
      </c>
      <c r="C1488" t="s">
        <v>55</v>
      </c>
      <c r="D1488" t="s">
        <v>56</v>
      </c>
      <c r="E1488" t="s">
        <v>118</v>
      </c>
      <c r="F1488" t="s">
        <v>22</v>
      </c>
      <c r="G1488" t="s">
        <v>46</v>
      </c>
      <c r="H1488" s="1">
        <v>45375</v>
      </c>
      <c r="I1488" t="s">
        <v>47</v>
      </c>
      <c r="J1488" t="s">
        <v>1117</v>
      </c>
      <c r="K1488">
        <v>5</v>
      </c>
      <c r="L1488" t="s">
        <v>1766</v>
      </c>
      <c r="M1488">
        <v>4</v>
      </c>
      <c r="N1488">
        <v>1971</v>
      </c>
      <c r="O1488">
        <v>40</v>
      </c>
      <c r="P1488" s="1">
        <v>45524</v>
      </c>
      <c r="Q1488" s="1"/>
      <c r="R1488" t="str">
        <f>IF(Table1[[#This Row],[Actual close date]]="","",Table1[[#This Row],[Actual close date]]-Table1[[#This Row],[Expected close date]])</f>
        <v/>
      </c>
    </row>
    <row r="1489" spans="1:18" x14ac:dyDescent="0.25">
      <c r="A1489" t="s">
        <v>1743</v>
      </c>
      <c r="B1489" t="s">
        <v>39</v>
      </c>
      <c r="C1489" t="s">
        <v>40</v>
      </c>
      <c r="D1489" t="s">
        <v>41</v>
      </c>
      <c r="E1489" t="s">
        <v>30</v>
      </c>
      <c r="F1489" t="s">
        <v>167</v>
      </c>
      <c r="G1489" t="s">
        <v>37</v>
      </c>
      <c r="H1489" s="1">
        <v>45376</v>
      </c>
      <c r="I1489" t="s">
        <v>64</v>
      </c>
      <c r="J1489" t="s">
        <v>1117</v>
      </c>
      <c r="K1489">
        <v>5</v>
      </c>
      <c r="L1489" t="s">
        <v>1700</v>
      </c>
      <c r="M1489">
        <v>1</v>
      </c>
      <c r="N1489">
        <v>2976</v>
      </c>
      <c r="O1489">
        <v>30</v>
      </c>
      <c r="P1489" s="1">
        <v>45444</v>
      </c>
      <c r="Q1489" s="1"/>
      <c r="R1489" t="str">
        <f>IF(Table1[[#This Row],[Actual close date]]="","",Table1[[#This Row],[Actual close date]]-Table1[[#This Row],[Expected close date]])</f>
        <v/>
      </c>
    </row>
    <row r="1490" spans="1:18" x14ac:dyDescent="0.25">
      <c r="A1490" t="s">
        <v>1894</v>
      </c>
      <c r="B1490" t="s">
        <v>33</v>
      </c>
      <c r="C1490" t="s">
        <v>34</v>
      </c>
      <c r="D1490" t="s">
        <v>35</v>
      </c>
      <c r="E1490" t="s">
        <v>45</v>
      </c>
      <c r="F1490" t="s">
        <v>167</v>
      </c>
      <c r="G1490" t="s">
        <v>57</v>
      </c>
      <c r="H1490" s="1">
        <v>45376</v>
      </c>
      <c r="I1490" t="s">
        <v>24</v>
      </c>
      <c r="J1490" t="s">
        <v>1117</v>
      </c>
      <c r="K1490">
        <v>5</v>
      </c>
      <c r="L1490" t="s">
        <v>1766</v>
      </c>
      <c r="M1490">
        <v>4</v>
      </c>
      <c r="N1490">
        <v>7195</v>
      </c>
      <c r="O1490">
        <v>100</v>
      </c>
      <c r="P1490" s="1">
        <v>45452</v>
      </c>
      <c r="Q1490" s="1"/>
      <c r="R1490" t="str">
        <f>IF(Table1[[#This Row],[Actual close date]]="","",Table1[[#This Row],[Actual close date]]-Table1[[#This Row],[Expected close date]])</f>
        <v/>
      </c>
    </row>
    <row r="1491" spans="1:18" x14ac:dyDescent="0.25">
      <c r="A1491" t="s">
        <v>1901</v>
      </c>
      <c r="B1491" t="s">
        <v>27</v>
      </c>
      <c r="C1491" t="s">
        <v>28</v>
      </c>
      <c r="D1491" t="s">
        <v>29</v>
      </c>
      <c r="E1491" t="s">
        <v>74</v>
      </c>
      <c r="F1491" t="s">
        <v>239</v>
      </c>
      <c r="G1491" t="s">
        <v>46</v>
      </c>
      <c r="H1491" s="1">
        <v>45376</v>
      </c>
      <c r="I1491" t="s">
        <v>24</v>
      </c>
      <c r="J1491" t="s">
        <v>1117</v>
      </c>
      <c r="K1491">
        <v>5</v>
      </c>
      <c r="L1491" t="s">
        <v>1766</v>
      </c>
      <c r="M1491">
        <v>4</v>
      </c>
      <c r="N1491">
        <v>5135</v>
      </c>
      <c r="O1491">
        <v>40</v>
      </c>
      <c r="P1491" s="1">
        <v>45652</v>
      </c>
      <c r="Q1491" s="1"/>
      <c r="R1491" t="str">
        <f>IF(Table1[[#This Row],[Actual close date]]="","",Table1[[#This Row],[Actual close date]]-Table1[[#This Row],[Expected close date]])</f>
        <v/>
      </c>
    </row>
    <row r="1492" spans="1:18" x14ac:dyDescent="0.25">
      <c r="A1492" t="s">
        <v>1306</v>
      </c>
      <c r="B1492" t="s">
        <v>39</v>
      </c>
      <c r="C1492" t="s">
        <v>40</v>
      </c>
      <c r="D1492" t="s">
        <v>41</v>
      </c>
      <c r="E1492" t="s">
        <v>45</v>
      </c>
      <c r="F1492" t="s">
        <v>167</v>
      </c>
      <c r="G1492" t="s">
        <v>85</v>
      </c>
      <c r="H1492" s="1">
        <v>45377</v>
      </c>
      <c r="I1492" t="s">
        <v>24</v>
      </c>
      <c r="J1492" t="s">
        <v>1117</v>
      </c>
      <c r="K1492">
        <v>5</v>
      </c>
      <c r="L1492" t="s">
        <v>1118</v>
      </c>
      <c r="M1492">
        <v>2</v>
      </c>
      <c r="N1492">
        <v>4185</v>
      </c>
      <c r="O1492">
        <v>60</v>
      </c>
      <c r="P1492" s="1">
        <v>45659</v>
      </c>
      <c r="Q1492" s="1"/>
      <c r="R1492" t="str">
        <f>IF(Table1[[#This Row],[Actual close date]]="","",Table1[[#This Row],[Actual close date]]-Table1[[#This Row],[Expected close date]])</f>
        <v/>
      </c>
    </row>
    <row r="1493" spans="1:18" x14ac:dyDescent="0.25">
      <c r="A1493" t="s">
        <v>1489</v>
      </c>
      <c r="B1493" t="s">
        <v>76</v>
      </c>
      <c r="C1493" t="s">
        <v>77</v>
      </c>
      <c r="D1493" t="s">
        <v>78</v>
      </c>
      <c r="E1493" t="s">
        <v>66</v>
      </c>
      <c r="F1493" t="s">
        <v>22</v>
      </c>
      <c r="G1493" t="s">
        <v>23</v>
      </c>
      <c r="H1493" s="1">
        <v>45377</v>
      </c>
      <c r="I1493" t="s">
        <v>64</v>
      </c>
      <c r="J1493" t="s">
        <v>1117</v>
      </c>
      <c r="K1493">
        <v>5</v>
      </c>
      <c r="L1493" t="s">
        <v>1479</v>
      </c>
      <c r="M1493">
        <v>3</v>
      </c>
      <c r="N1493">
        <v>399</v>
      </c>
      <c r="O1493">
        <v>40</v>
      </c>
      <c r="P1493" s="1">
        <v>45563</v>
      </c>
      <c r="Q1493" s="1"/>
      <c r="R1493" t="str">
        <f>IF(Table1[[#This Row],[Actual close date]]="","",Table1[[#This Row],[Actual close date]]-Table1[[#This Row],[Expected close date]])</f>
        <v/>
      </c>
    </row>
    <row r="1494" spans="1:18" x14ac:dyDescent="0.25">
      <c r="A1494" t="s">
        <v>1540</v>
      </c>
      <c r="B1494" t="s">
        <v>54</v>
      </c>
      <c r="C1494" t="s">
        <v>55</v>
      </c>
      <c r="D1494" t="s">
        <v>56</v>
      </c>
      <c r="E1494" t="s">
        <v>118</v>
      </c>
      <c r="F1494" t="s">
        <v>22</v>
      </c>
      <c r="G1494" t="s">
        <v>57</v>
      </c>
      <c r="H1494" s="1">
        <v>45377</v>
      </c>
      <c r="I1494" t="s">
        <v>64</v>
      </c>
      <c r="J1494" t="s">
        <v>1117</v>
      </c>
      <c r="K1494">
        <v>5</v>
      </c>
      <c r="L1494" t="s">
        <v>1479</v>
      </c>
      <c r="M1494">
        <v>3</v>
      </c>
      <c r="N1494">
        <v>1155</v>
      </c>
      <c r="O1494">
        <v>50</v>
      </c>
      <c r="P1494" s="1">
        <v>45399</v>
      </c>
      <c r="Q1494" s="1"/>
      <c r="R1494" t="str">
        <f>IF(Table1[[#This Row],[Actual close date]]="","",Table1[[#This Row],[Actual close date]]-Table1[[#This Row],[Expected close date]])</f>
        <v/>
      </c>
    </row>
    <row r="1495" spans="1:18" x14ac:dyDescent="0.25">
      <c r="A1495" t="s">
        <v>1548</v>
      </c>
      <c r="B1495" t="s">
        <v>33</v>
      </c>
      <c r="C1495" t="s">
        <v>34</v>
      </c>
      <c r="D1495" t="s">
        <v>35</v>
      </c>
      <c r="E1495" t="s">
        <v>42</v>
      </c>
      <c r="F1495" t="s">
        <v>22</v>
      </c>
      <c r="G1495" t="s">
        <v>57</v>
      </c>
      <c r="H1495" s="1">
        <v>45377</v>
      </c>
      <c r="I1495" t="s">
        <v>64</v>
      </c>
      <c r="J1495" t="s">
        <v>1117</v>
      </c>
      <c r="K1495">
        <v>5</v>
      </c>
      <c r="L1495" t="s">
        <v>1479</v>
      </c>
      <c r="M1495">
        <v>3</v>
      </c>
      <c r="N1495">
        <v>1840</v>
      </c>
      <c r="O1495">
        <v>70</v>
      </c>
      <c r="P1495" s="1">
        <v>45461</v>
      </c>
      <c r="Q1495" s="1"/>
      <c r="R1495" t="str">
        <f>IF(Table1[[#This Row],[Actual close date]]="","",Table1[[#This Row],[Actual close date]]-Table1[[#This Row],[Expected close date]])</f>
        <v/>
      </c>
    </row>
    <row r="1496" spans="1:18" x14ac:dyDescent="0.25">
      <c r="A1496" t="s">
        <v>1654</v>
      </c>
      <c r="B1496" t="s">
        <v>54</v>
      </c>
      <c r="C1496" t="s">
        <v>55</v>
      </c>
      <c r="D1496" t="s">
        <v>56</v>
      </c>
      <c r="E1496" t="s">
        <v>45</v>
      </c>
      <c r="F1496" t="s">
        <v>167</v>
      </c>
      <c r="G1496" t="s">
        <v>83</v>
      </c>
      <c r="H1496" s="1">
        <v>45377</v>
      </c>
      <c r="I1496" t="s">
        <v>47</v>
      </c>
      <c r="J1496" t="s">
        <v>1117</v>
      </c>
      <c r="K1496">
        <v>5</v>
      </c>
      <c r="L1496" t="s">
        <v>1479</v>
      </c>
      <c r="M1496">
        <v>3</v>
      </c>
      <c r="N1496">
        <v>2713</v>
      </c>
      <c r="O1496">
        <v>50</v>
      </c>
      <c r="P1496" s="1">
        <v>45709</v>
      </c>
      <c r="Q1496" s="1"/>
      <c r="R1496" t="str">
        <f>IF(Table1[[#This Row],[Actual close date]]="","",Table1[[#This Row],[Actual close date]]-Table1[[#This Row],[Expected close date]])</f>
        <v/>
      </c>
    </row>
    <row r="1497" spans="1:18" x14ac:dyDescent="0.25">
      <c r="A1497" t="s">
        <v>1688</v>
      </c>
      <c r="B1497" t="s">
        <v>54</v>
      </c>
      <c r="C1497" t="s">
        <v>55</v>
      </c>
      <c r="D1497" t="s">
        <v>56</v>
      </c>
      <c r="E1497" t="s">
        <v>62</v>
      </c>
      <c r="F1497" t="s">
        <v>167</v>
      </c>
      <c r="G1497" t="s">
        <v>72</v>
      </c>
      <c r="H1497" s="1">
        <v>45377</v>
      </c>
      <c r="I1497" t="s">
        <v>24</v>
      </c>
      <c r="J1497" t="s">
        <v>1117</v>
      </c>
      <c r="K1497">
        <v>5</v>
      </c>
      <c r="L1497" t="s">
        <v>1479</v>
      </c>
      <c r="M1497">
        <v>3</v>
      </c>
      <c r="N1497">
        <v>1016</v>
      </c>
      <c r="O1497">
        <v>20</v>
      </c>
      <c r="P1497" s="1">
        <v>45408</v>
      </c>
      <c r="Q1497" s="1"/>
      <c r="R1497" t="str">
        <f>IF(Table1[[#This Row],[Actual close date]]="","",Table1[[#This Row],[Actual close date]]-Table1[[#This Row],[Expected close date]])</f>
        <v/>
      </c>
    </row>
    <row r="1498" spans="1:18" x14ac:dyDescent="0.25">
      <c r="A1498" t="s">
        <v>1609</v>
      </c>
      <c r="B1498" t="s">
        <v>49</v>
      </c>
      <c r="C1498" t="s">
        <v>50</v>
      </c>
      <c r="D1498" t="s">
        <v>51</v>
      </c>
      <c r="E1498" t="s">
        <v>42</v>
      </c>
      <c r="F1498" t="s">
        <v>167</v>
      </c>
      <c r="G1498" t="s">
        <v>37</v>
      </c>
      <c r="H1498" s="1">
        <v>45378</v>
      </c>
      <c r="I1498" t="s">
        <v>64</v>
      </c>
      <c r="J1498" t="s">
        <v>1117</v>
      </c>
      <c r="K1498">
        <v>5</v>
      </c>
      <c r="L1498" t="s">
        <v>1479</v>
      </c>
      <c r="M1498">
        <v>3</v>
      </c>
      <c r="N1498">
        <v>3207</v>
      </c>
      <c r="O1498">
        <v>10</v>
      </c>
      <c r="P1498" s="1">
        <v>45697</v>
      </c>
      <c r="Q1498" s="1"/>
      <c r="R1498" t="str">
        <f>IF(Table1[[#This Row],[Actual close date]]="","",Table1[[#This Row],[Actual close date]]-Table1[[#This Row],[Expected close date]])</f>
        <v/>
      </c>
    </row>
    <row r="1499" spans="1:18" x14ac:dyDescent="0.25">
      <c r="A1499" t="s">
        <v>1119</v>
      </c>
      <c r="B1499" t="s">
        <v>39</v>
      </c>
      <c r="C1499" t="s">
        <v>40</v>
      </c>
      <c r="D1499" t="s">
        <v>41</v>
      </c>
      <c r="E1499" t="s">
        <v>21</v>
      </c>
      <c r="F1499" t="s">
        <v>22</v>
      </c>
      <c r="G1499" t="s">
        <v>83</v>
      </c>
      <c r="H1499" s="1">
        <v>45379</v>
      </c>
      <c r="I1499" t="s">
        <v>24</v>
      </c>
      <c r="J1499" t="s">
        <v>1117</v>
      </c>
      <c r="K1499">
        <v>5</v>
      </c>
      <c r="L1499" t="s">
        <v>1118</v>
      </c>
      <c r="M1499">
        <v>2</v>
      </c>
      <c r="N1499">
        <v>402</v>
      </c>
      <c r="O1499">
        <v>20</v>
      </c>
      <c r="P1499" s="1">
        <v>45644</v>
      </c>
      <c r="Q1499" s="1"/>
      <c r="R1499" t="str">
        <f>IF(Table1[[#This Row],[Actual close date]]="","",Table1[[#This Row],[Actual close date]]-Table1[[#This Row],[Expected close date]])</f>
        <v/>
      </c>
    </row>
    <row r="1500" spans="1:18" x14ac:dyDescent="0.25">
      <c r="A1500" t="s">
        <v>1153</v>
      </c>
      <c r="B1500" t="s">
        <v>33</v>
      </c>
      <c r="C1500" t="s">
        <v>34</v>
      </c>
      <c r="D1500" t="s">
        <v>35</v>
      </c>
      <c r="E1500" t="s">
        <v>52</v>
      </c>
      <c r="F1500" t="s">
        <v>22</v>
      </c>
      <c r="G1500" t="s">
        <v>83</v>
      </c>
      <c r="H1500" s="1">
        <v>45379</v>
      </c>
      <c r="I1500" t="s">
        <v>24</v>
      </c>
      <c r="J1500" t="s">
        <v>1117</v>
      </c>
      <c r="K1500">
        <v>5</v>
      </c>
      <c r="L1500" t="s">
        <v>1118</v>
      </c>
      <c r="M1500">
        <v>2</v>
      </c>
      <c r="N1500">
        <v>453</v>
      </c>
      <c r="O1500">
        <v>80</v>
      </c>
      <c r="P1500" s="1">
        <v>45607</v>
      </c>
      <c r="Q1500" s="1"/>
      <c r="R1500" t="str">
        <f>IF(Table1[[#This Row],[Actual close date]]="","",Table1[[#This Row],[Actual close date]]-Table1[[#This Row],[Expected close date]])</f>
        <v/>
      </c>
    </row>
    <row r="1501" spans="1:18" x14ac:dyDescent="0.25">
      <c r="A1501" t="s">
        <v>1200</v>
      </c>
      <c r="B1501" t="s">
        <v>76</v>
      </c>
      <c r="C1501" t="s">
        <v>77</v>
      </c>
      <c r="D1501" t="s">
        <v>78</v>
      </c>
      <c r="E1501" t="s">
        <v>101</v>
      </c>
      <c r="F1501" t="s">
        <v>22</v>
      </c>
      <c r="G1501" t="s">
        <v>23</v>
      </c>
      <c r="H1501" s="1">
        <v>45379</v>
      </c>
      <c r="I1501" t="s">
        <v>64</v>
      </c>
      <c r="J1501" t="s">
        <v>1117</v>
      </c>
      <c r="K1501">
        <v>5</v>
      </c>
      <c r="L1501" t="s">
        <v>1118</v>
      </c>
      <c r="M1501">
        <v>2</v>
      </c>
      <c r="N1501">
        <v>1936</v>
      </c>
      <c r="O1501">
        <v>20</v>
      </c>
      <c r="P1501" s="1">
        <v>45518</v>
      </c>
      <c r="Q1501" s="1"/>
      <c r="R1501" t="str">
        <f>IF(Table1[[#This Row],[Actual close date]]="","",Table1[[#This Row],[Actual close date]]-Table1[[#This Row],[Expected close date]])</f>
        <v/>
      </c>
    </row>
    <row r="1502" spans="1:18" x14ac:dyDescent="0.25">
      <c r="A1502" t="s">
        <v>1328</v>
      </c>
      <c r="B1502" t="s">
        <v>69</v>
      </c>
      <c r="C1502" t="s">
        <v>70</v>
      </c>
      <c r="D1502" t="s">
        <v>71</v>
      </c>
      <c r="E1502" t="s">
        <v>82</v>
      </c>
      <c r="F1502" t="s">
        <v>167</v>
      </c>
      <c r="G1502" t="s">
        <v>83</v>
      </c>
      <c r="H1502" s="1">
        <v>45379</v>
      </c>
      <c r="I1502" t="s">
        <v>24</v>
      </c>
      <c r="J1502" t="s">
        <v>1117</v>
      </c>
      <c r="K1502">
        <v>5</v>
      </c>
      <c r="L1502" t="s">
        <v>1118</v>
      </c>
      <c r="M1502">
        <v>2</v>
      </c>
      <c r="N1502">
        <v>2112</v>
      </c>
      <c r="O1502">
        <v>70</v>
      </c>
      <c r="P1502" s="1">
        <v>45686</v>
      </c>
      <c r="Q1502" s="1"/>
      <c r="R1502" t="str">
        <f>IF(Table1[[#This Row],[Actual close date]]="","",Table1[[#This Row],[Actual close date]]-Table1[[#This Row],[Expected close date]])</f>
        <v/>
      </c>
    </row>
    <row r="1503" spans="1:18" x14ac:dyDescent="0.25">
      <c r="A1503" t="s">
        <v>1525</v>
      </c>
      <c r="B1503" t="s">
        <v>39</v>
      </c>
      <c r="C1503" t="s">
        <v>40</v>
      </c>
      <c r="D1503" t="s">
        <v>41</v>
      </c>
      <c r="E1503" t="s">
        <v>74</v>
      </c>
      <c r="F1503" t="s">
        <v>22</v>
      </c>
      <c r="G1503" t="s">
        <v>46</v>
      </c>
      <c r="H1503" s="1">
        <v>45379</v>
      </c>
      <c r="I1503" t="s">
        <v>47</v>
      </c>
      <c r="J1503" t="s">
        <v>1117</v>
      </c>
      <c r="K1503">
        <v>5</v>
      </c>
      <c r="L1503" t="s">
        <v>1479</v>
      </c>
      <c r="M1503">
        <v>3</v>
      </c>
      <c r="N1503">
        <v>1458</v>
      </c>
      <c r="O1503">
        <v>40</v>
      </c>
      <c r="P1503" s="1">
        <v>45657</v>
      </c>
      <c r="Q1503" s="1"/>
      <c r="R1503" t="str">
        <f>IF(Table1[[#This Row],[Actual close date]]="","",Table1[[#This Row],[Actual close date]]-Table1[[#This Row],[Expected close date]])</f>
        <v/>
      </c>
    </row>
    <row r="1504" spans="1:18" x14ac:dyDescent="0.25">
      <c r="A1504" t="s">
        <v>1528</v>
      </c>
      <c r="B1504" t="s">
        <v>76</v>
      </c>
      <c r="C1504" t="s">
        <v>77</v>
      </c>
      <c r="D1504" t="s">
        <v>78</v>
      </c>
      <c r="E1504" t="s">
        <v>42</v>
      </c>
      <c r="F1504" t="s">
        <v>22</v>
      </c>
      <c r="G1504" t="s">
        <v>72</v>
      </c>
      <c r="H1504" s="1">
        <v>45379</v>
      </c>
      <c r="I1504" t="s">
        <v>47</v>
      </c>
      <c r="J1504" t="s">
        <v>1117</v>
      </c>
      <c r="K1504">
        <v>5</v>
      </c>
      <c r="L1504" t="s">
        <v>1479</v>
      </c>
      <c r="M1504">
        <v>3</v>
      </c>
      <c r="N1504">
        <v>485</v>
      </c>
      <c r="O1504">
        <v>30</v>
      </c>
      <c r="P1504" s="1">
        <v>45493</v>
      </c>
      <c r="Q1504" s="1"/>
      <c r="R1504" t="str">
        <f>IF(Table1[[#This Row],[Actual close date]]="","",Table1[[#This Row],[Actual close date]]-Table1[[#This Row],[Expected close date]])</f>
        <v/>
      </c>
    </row>
    <row r="1505" spans="1:18" x14ac:dyDescent="0.25">
      <c r="A1505" t="s">
        <v>1549</v>
      </c>
      <c r="B1505" t="s">
        <v>39</v>
      </c>
      <c r="C1505" t="s">
        <v>40</v>
      </c>
      <c r="D1505" t="s">
        <v>41</v>
      </c>
      <c r="E1505" t="s">
        <v>30</v>
      </c>
      <c r="F1505" t="s">
        <v>22</v>
      </c>
      <c r="G1505" t="s">
        <v>23</v>
      </c>
      <c r="H1505" s="1">
        <v>45379</v>
      </c>
      <c r="I1505" t="s">
        <v>64</v>
      </c>
      <c r="J1505" t="s">
        <v>1117</v>
      </c>
      <c r="K1505">
        <v>5</v>
      </c>
      <c r="L1505" t="s">
        <v>1479</v>
      </c>
      <c r="M1505">
        <v>3</v>
      </c>
      <c r="N1505">
        <v>1970</v>
      </c>
      <c r="O1505">
        <v>50</v>
      </c>
      <c r="P1505" s="1">
        <v>45607</v>
      </c>
      <c r="Q1505" s="1"/>
      <c r="R1505" t="str">
        <f>IF(Table1[[#This Row],[Actual close date]]="","",Table1[[#This Row],[Actual close date]]-Table1[[#This Row],[Expected close date]])</f>
        <v/>
      </c>
    </row>
    <row r="1506" spans="1:18" x14ac:dyDescent="0.25">
      <c r="A1506" t="s">
        <v>1620</v>
      </c>
      <c r="B1506" t="s">
        <v>33</v>
      </c>
      <c r="C1506" t="s">
        <v>34</v>
      </c>
      <c r="D1506" t="s">
        <v>35</v>
      </c>
      <c r="E1506" t="s">
        <v>21</v>
      </c>
      <c r="F1506" t="s">
        <v>167</v>
      </c>
      <c r="G1506" t="s">
        <v>46</v>
      </c>
      <c r="H1506" s="1">
        <v>45379</v>
      </c>
      <c r="I1506" t="s">
        <v>64</v>
      </c>
      <c r="J1506" t="s">
        <v>1117</v>
      </c>
      <c r="K1506">
        <v>5</v>
      </c>
      <c r="L1506" t="s">
        <v>1479</v>
      </c>
      <c r="M1506">
        <v>3</v>
      </c>
      <c r="N1506">
        <v>3777</v>
      </c>
      <c r="O1506">
        <v>20</v>
      </c>
      <c r="P1506" s="1">
        <v>45595</v>
      </c>
      <c r="Q1506" s="1"/>
      <c r="R1506" t="str">
        <f>IF(Table1[[#This Row],[Actual close date]]="","",Table1[[#This Row],[Actual close date]]-Table1[[#This Row],[Expected close date]])</f>
        <v/>
      </c>
    </row>
    <row r="1507" spans="1:18" x14ac:dyDescent="0.25">
      <c r="A1507" t="s">
        <v>1697</v>
      </c>
      <c r="B1507" t="s">
        <v>54</v>
      </c>
      <c r="C1507" t="s">
        <v>55</v>
      </c>
      <c r="D1507" t="s">
        <v>56</v>
      </c>
      <c r="E1507" t="s">
        <v>45</v>
      </c>
      <c r="F1507" t="s">
        <v>246</v>
      </c>
      <c r="G1507" t="s">
        <v>85</v>
      </c>
      <c r="H1507" s="1">
        <v>45379</v>
      </c>
      <c r="I1507" t="s">
        <v>47</v>
      </c>
      <c r="J1507" t="s">
        <v>1117</v>
      </c>
      <c r="K1507">
        <v>5</v>
      </c>
      <c r="L1507" t="s">
        <v>1479</v>
      </c>
      <c r="M1507">
        <v>3</v>
      </c>
      <c r="N1507">
        <v>19226</v>
      </c>
      <c r="O1507">
        <v>20</v>
      </c>
      <c r="P1507" s="1">
        <v>45465</v>
      </c>
      <c r="Q1507" s="1"/>
      <c r="R1507" t="str">
        <f>IF(Table1[[#This Row],[Actual close date]]="","",Table1[[#This Row],[Actual close date]]-Table1[[#This Row],[Expected close date]])</f>
        <v/>
      </c>
    </row>
    <row r="1508" spans="1:18" x14ac:dyDescent="0.25">
      <c r="A1508" t="s">
        <v>1222</v>
      </c>
      <c r="B1508" t="s">
        <v>39</v>
      </c>
      <c r="C1508" t="s">
        <v>40</v>
      </c>
      <c r="D1508" t="s">
        <v>41</v>
      </c>
      <c r="E1508" t="s">
        <v>52</v>
      </c>
      <c r="F1508" t="s">
        <v>125</v>
      </c>
      <c r="G1508" t="s">
        <v>72</v>
      </c>
      <c r="H1508" s="1">
        <v>45380</v>
      </c>
      <c r="I1508" t="s">
        <v>64</v>
      </c>
      <c r="J1508" t="s">
        <v>1117</v>
      </c>
      <c r="K1508">
        <v>5</v>
      </c>
      <c r="L1508" t="s">
        <v>1118</v>
      </c>
      <c r="M1508">
        <v>2</v>
      </c>
      <c r="N1508">
        <v>619</v>
      </c>
      <c r="O1508">
        <v>20</v>
      </c>
      <c r="P1508" s="1">
        <v>45730</v>
      </c>
      <c r="Q1508" s="1"/>
      <c r="R1508" t="str">
        <f>IF(Table1[[#This Row],[Actual close date]]="","",Table1[[#This Row],[Actual close date]]-Table1[[#This Row],[Expected close date]])</f>
        <v/>
      </c>
    </row>
    <row r="1509" spans="1:18" x14ac:dyDescent="0.25">
      <c r="A1509" t="s">
        <v>1570</v>
      </c>
      <c r="B1509" t="s">
        <v>59</v>
      </c>
      <c r="C1509" t="s">
        <v>60</v>
      </c>
      <c r="D1509" t="s">
        <v>61</v>
      </c>
      <c r="E1509" t="s">
        <v>82</v>
      </c>
      <c r="F1509" t="s">
        <v>125</v>
      </c>
      <c r="G1509" t="s">
        <v>46</v>
      </c>
      <c r="H1509" s="1">
        <v>45380</v>
      </c>
      <c r="I1509" t="s">
        <v>24</v>
      </c>
      <c r="J1509" t="s">
        <v>1117</v>
      </c>
      <c r="K1509">
        <v>5</v>
      </c>
      <c r="L1509" t="s">
        <v>1479</v>
      </c>
      <c r="M1509">
        <v>3</v>
      </c>
      <c r="N1509">
        <v>551</v>
      </c>
      <c r="O1509">
        <v>100</v>
      </c>
      <c r="P1509" s="1">
        <v>45652</v>
      </c>
      <c r="Q1509" s="1"/>
      <c r="R1509" t="str">
        <f>IF(Table1[[#This Row],[Actual close date]]="","",Table1[[#This Row],[Actual close date]]-Table1[[#This Row],[Expected close date]])</f>
        <v/>
      </c>
    </row>
    <row r="1510" spans="1:18" x14ac:dyDescent="0.25">
      <c r="A1510" t="s">
        <v>1767</v>
      </c>
      <c r="B1510" t="s">
        <v>27</v>
      </c>
      <c r="C1510" t="s">
        <v>28</v>
      </c>
      <c r="D1510" t="s">
        <v>29</v>
      </c>
      <c r="E1510" t="s">
        <v>118</v>
      </c>
      <c r="F1510" t="s">
        <v>22</v>
      </c>
      <c r="G1510" t="s">
        <v>72</v>
      </c>
      <c r="H1510" s="1">
        <v>45380</v>
      </c>
      <c r="I1510" t="s">
        <v>64</v>
      </c>
      <c r="J1510" t="s">
        <v>1117</v>
      </c>
      <c r="K1510">
        <v>5</v>
      </c>
      <c r="L1510" t="s">
        <v>1766</v>
      </c>
      <c r="M1510">
        <v>4</v>
      </c>
      <c r="N1510">
        <v>720</v>
      </c>
      <c r="O1510">
        <v>100</v>
      </c>
      <c r="P1510" s="1">
        <v>45497</v>
      </c>
      <c r="Q1510" s="1"/>
      <c r="R1510" t="str">
        <f>IF(Table1[[#This Row],[Actual close date]]="","",Table1[[#This Row],[Actual close date]]-Table1[[#This Row],[Expected close date]])</f>
        <v/>
      </c>
    </row>
    <row r="1511" spans="1:18" x14ac:dyDescent="0.25">
      <c r="A1511" t="s">
        <v>1377</v>
      </c>
      <c r="B1511" t="s">
        <v>39</v>
      </c>
      <c r="C1511" t="s">
        <v>40</v>
      </c>
      <c r="D1511" t="s">
        <v>41</v>
      </c>
      <c r="E1511" t="s">
        <v>52</v>
      </c>
      <c r="F1511" t="s">
        <v>167</v>
      </c>
      <c r="G1511" t="s">
        <v>46</v>
      </c>
      <c r="H1511" s="1">
        <v>45381</v>
      </c>
      <c r="I1511" t="s">
        <v>24</v>
      </c>
      <c r="J1511" t="s">
        <v>1117</v>
      </c>
      <c r="K1511">
        <v>5</v>
      </c>
      <c r="L1511" t="s">
        <v>1118</v>
      </c>
      <c r="M1511">
        <v>2</v>
      </c>
      <c r="N1511">
        <v>7596</v>
      </c>
      <c r="O1511">
        <v>30</v>
      </c>
      <c r="P1511" s="1">
        <v>45414</v>
      </c>
      <c r="Q1511" s="1"/>
      <c r="R1511" t="str">
        <f>IF(Table1[[#This Row],[Actual close date]]="","",Table1[[#This Row],[Actual close date]]-Table1[[#This Row],[Expected close date]])</f>
        <v/>
      </c>
    </row>
    <row r="1512" spans="1:18" x14ac:dyDescent="0.25">
      <c r="A1512" t="s">
        <v>1482</v>
      </c>
      <c r="B1512" t="s">
        <v>33</v>
      </c>
      <c r="C1512" t="s">
        <v>34</v>
      </c>
      <c r="D1512" t="s">
        <v>35</v>
      </c>
      <c r="E1512" t="s">
        <v>52</v>
      </c>
      <c r="F1512" t="s">
        <v>22</v>
      </c>
      <c r="G1512" t="s">
        <v>85</v>
      </c>
      <c r="H1512" s="1">
        <v>45381</v>
      </c>
      <c r="I1512" t="s">
        <v>24</v>
      </c>
      <c r="J1512" t="s">
        <v>1117</v>
      </c>
      <c r="K1512">
        <v>5</v>
      </c>
      <c r="L1512" t="s">
        <v>1479</v>
      </c>
      <c r="M1512">
        <v>3</v>
      </c>
      <c r="N1512">
        <v>804</v>
      </c>
      <c r="O1512">
        <v>40</v>
      </c>
      <c r="P1512" s="1">
        <v>45618</v>
      </c>
      <c r="Q1512" s="1"/>
      <c r="R1512" t="str">
        <f>IF(Table1[[#This Row],[Actual close date]]="","",Table1[[#This Row],[Actual close date]]-Table1[[#This Row],[Expected close date]])</f>
        <v/>
      </c>
    </row>
    <row r="1513" spans="1:18" x14ac:dyDescent="0.25">
      <c r="A1513" t="s">
        <v>1506</v>
      </c>
      <c r="B1513" t="s">
        <v>54</v>
      </c>
      <c r="C1513" t="s">
        <v>55</v>
      </c>
      <c r="D1513" t="s">
        <v>56</v>
      </c>
      <c r="E1513" t="s">
        <v>62</v>
      </c>
      <c r="F1513" t="s">
        <v>22</v>
      </c>
      <c r="G1513" t="s">
        <v>85</v>
      </c>
      <c r="H1513" s="1">
        <v>45381</v>
      </c>
      <c r="I1513" t="s">
        <v>64</v>
      </c>
      <c r="J1513" t="s">
        <v>1117</v>
      </c>
      <c r="K1513">
        <v>5</v>
      </c>
      <c r="L1513" t="s">
        <v>1479</v>
      </c>
      <c r="M1513">
        <v>3</v>
      </c>
      <c r="N1513">
        <v>927</v>
      </c>
      <c r="O1513">
        <v>80</v>
      </c>
      <c r="P1513" s="1">
        <v>45650</v>
      </c>
      <c r="Q1513" s="1"/>
      <c r="R1513" t="str">
        <f>IF(Table1[[#This Row],[Actual close date]]="","",Table1[[#This Row],[Actual close date]]-Table1[[#This Row],[Expected close date]])</f>
        <v/>
      </c>
    </row>
    <row r="1514" spans="1:18" x14ac:dyDescent="0.25">
      <c r="A1514" t="s">
        <v>1706</v>
      </c>
      <c r="B1514" t="s">
        <v>76</v>
      </c>
      <c r="C1514" t="s">
        <v>77</v>
      </c>
      <c r="D1514" t="s">
        <v>78</v>
      </c>
      <c r="E1514" t="s">
        <v>21</v>
      </c>
      <c r="F1514" t="s">
        <v>22</v>
      </c>
      <c r="G1514" t="s">
        <v>46</v>
      </c>
      <c r="H1514" s="1">
        <v>45381</v>
      </c>
      <c r="I1514" t="s">
        <v>24</v>
      </c>
      <c r="J1514" t="s">
        <v>1117</v>
      </c>
      <c r="K1514">
        <v>5</v>
      </c>
      <c r="L1514" t="s">
        <v>1700</v>
      </c>
      <c r="M1514">
        <v>1</v>
      </c>
      <c r="N1514">
        <v>234</v>
      </c>
      <c r="O1514">
        <v>40</v>
      </c>
      <c r="P1514" s="1">
        <v>45567</v>
      </c>
      <c r="Q1514" s="1"/>
      <c r="R1514" t="str">
        <f>IF(Table1[[#This Row],[Actual close date]]="","",Table1[[#This Row],[Actual close date]]-Table1[[#This Row],[Expected close date]])</f>
        <v/>
      </c>
    </row>
    <row r="1515" spans="1:18" x14ac:dyDescent="0.25">
      <c r="A1515" t="s">
        <v>1888</v>
      </c>
      <c r="B1515" t="s">
        <v>76</v>
      </c>
      <c r="C1515" t="s">
        <v>77</v>
      </c>
      <c r="D1515" t="s">
        <v>78</v>
      </c>
      <c r="E1515" t="s">
        <v>42</v>
      </c>
      <c r="F1515" t="s">
        <v>167</v>
      </c>
      <c r="G1515" t="s">
        <v>57</v>
      </c>
      <c r="H1515" s="1">
        <v>45381</v>
      </c>
      <c r="I1515" t="s">
        <v>64</v>
      </c>
      <c r="J1515" t="s">
        <v>1117</v>
      </c>
      <c r="K1515">
        <v>5</v>
      </c>
      <c r="L1515" t="s">
        <v>1766</v>
      </c>
      <c r="M1515">
        <v>4</v>
      </c>
      <c r="N1515">
        <v>4525</v>
      </c>
      <c r="O1515">
        <v>30</v>
      </c>
      <c r="P1515" s="1">
        <v>45463</v>
      </c>
      <c r="Q1515" s="1"/>
      <c r="R1515" t="str">
        <f>IF(Table1[[#This Row],[Actual close date]]="","",Table1[[#This Row],[Actual close date]]-Table1[[#This Row],[Expected close date]])</f>
        <v/>
      </c>
    </row>
    <row r="1516" spans="1:18" x14ac:dyDescent="0.25">
      <c r="A1516" t="s">
        <v>1903</v>
      </c>
      <c r="B1516" t="s">
        <v>54</v>
      </c>
      <c r="C1516" t="s">
        <v>55</v>
      </c>
      <c r="D1516" t="s">
        <v>56</v>
      </c>
      <c r="E1516" t="s">
        <v>30</v>
      </c>
      <c r="F1516" t="s">
        <v>246</v>
      </c>
      <c r="G1516" t="s">
        <v>37</v>
      </c>
      <c r="H1516" s="1">
        <v>45381</v>
      </c>
      <c r="I1516" t="s">
        <v>24</v>
      </c>
      <c r="J1516" t="s">
        <v>1117</v>
      </c>
      <c r="K1516">
        <v>5</v>
      </c>
      <c r="L1516" t="s">
        <v>1766</v>
      </c>
      <c r="M1516">
        <v>4</v>
      </c>
      <c r="N1516">
        <v>4228</v>
      </c>
      <c r="O1516">
        <v>60</v>
      </c>
      <c r="P1516" s="1">
        <v>45497</v>
      </c>
      <c r="Q1516" s="1"/>
      <c r="R1516" t="str">
        <f>IF(Table1[[#This Row],[Actual close date]]="","",Table1[[#This Row],[Actual close date]]-Table1[[#This Row],[Expected close date]])</f>
        <v/>
      </c>
    </row>
    <row r="1517" spans="1:18" x14ac:dyDescent="0.25">
      <c r="A1517" t="s">
        <v>1244</v>
      </c>
      <c r="B1517" t="s">
        <v>39</v>
      </c>
      <c r="C1517" t="s">
        <v>40</v>
      </c>
      <c r="D1517" t="s">
        <v>41</v>
      </c>
      <c r="E1517" t="s">
        <v>45</v>
      </c>
      <c r="F1517" t="s">
        <v>125</v>
      </c>
      <c r="G1517" t="s">
        <v>85</v>
      </c>
      <c r="H1517" s="1">
        <v>45382</v>
      </c>
      <c r="I1517" t="s">
        <v>47</v>
      </c>
      <c r="J1517" t="s">
        <v>1117</v>
      </c>
      <c r="K1517">
        <v>5</v>
      </c>
      <c r="L1517" t="s">
        <v>1118</v>
      </c>
      <c r="M1517">
        <v>2</v>
      </c>
      <c r="N1517">
        <v>786</v>
      </c>
      <c r="O1517">
        <v>30</v>
      </c>
      <c r="P1517" s="1">
        <v>45539</v>
      </c>
      <c r="Q1517" s="1"/>
      <c r="R1517" t="str">
        <f>IF(Table1[[#This Row],[Actual close date]]="","",Table1[[#This Row],[Actual close date]]-Table1[[#This Row],[Expected close date]])</f>
        <v/>
      </c>
    </row>
    <row r="1518" spans="1:18" x14ac:dyDescent="0.25">
      <c r="A1518" t="s">
        <v>1553</v>
      </c>
      <c r="B1518" t="s">
        <v>33</v>
      </c>
      <c r="C1518" t="s">
        <v>34</v>
      </c>
      <c r="D1518" t="s">
        <v>35</v>
      </c>
      <c r="E1518" t="s">
        <v>74</v>
      </c>
      <c r="F1518" t="s">
        <v>125</v>
      </c>
      <c r="G1518" t="s">
        <v>72</v>
      </c>
      <c r="H1518" s="1">
        <v>45382</v>
      </c>
      <c r="I1518" t="s">
        <v>47</v>
      </c>
      <c r="J1518" t="s">
        <v>1117</v>
      </c>
      <c r="K1518">
        <v>5</v>
      </c>
      <c r="L1518" t="s">
        <v>1479</v>
      </c>
      <c r="M1518">
        <v>3</v>
      </c>
      <c r="N1518">
        <v>357</v>
      </c>
      <c r="O1518">
        <v>40</v>
      </c>
      <c r="P1518" s="1">
        <v>45577</v>
      </c>
      <c r="Q1518" s="1"/>
      <c r="R1518" t="str">
        <f>IF(Table1[[#This Row],[Actual close date]]="","",Table1[[#This Row],[Actual close date]]-Table1[[#This Row],[Expected close date]])</f>
        <v/>
      </c>
    </row>
    <row r="1519" spans="1:18" x14ac:dyDescent="0.25">
      <c r="A1519" t="s">
        <v>1604</v>
      </c>
      <c r="B1519" t="s">
        <v>59</v>
      </c>
      <c r="C1519" t="s">
        <v>60</v>
      </c>
      <c r="D1519" t="s">
        <v>61</v>
      </c>
      <c r="E1519" t="s">
        <v>21</v>
      </c>
      <c r="F1519" t="s">
        <v>167</v>
      </c>
      <c r="G1519" t="s">
        <v>37</v>
      </c>
      <c r="H1519" s="1">
        <v>45382</v>
      </c>
      <c r="I1519" t="s">
        <v>64</v>
      </c>
      <c r="J1519" t="s">
        <v>1117</v>
      </c>
      <c r="K1519">
        <v>5</v>
      </c>
      <c r="L1519" t="s">
        <v>1479</v>
      </c>
      <c r="M1519">
        <v>3</v>
      </c>
      <c r="N1519">
        <v>4935</v>
      </c>
      <c r="O1519">
        <v>50</v>
      </c>
      <c r="P1519" s="1">
        <v>45688</v>
      </c>
      <c r="Q1519" s="1"/>
      <c r="R1519" t="str">
        <f>IF(Table1[[#This Row],[Actual close date]]="","",Table1[[#This Row],[Actual close date]]-Table1[[#This Row],[Expected close date]])</f>
        <v/>
      </c>
    </row>
    <row r="1520" spans="1:18" x14ac:dyDescent="0.25">
      <c r="A1520" t="s">
        <v>1747</v>
      </c>
      <c r="B1520" t="s">
        <v>18</v>
      </c>
      <c r="C1520" t="s">
        <v>19</v>
      </c>
      <c r="D1520" t="s">
        <v>20</v>
      </c>
      <c r="E1520" t="s">
        <v>42</v>
      </c>
      <c r="F1520" t="s">
        <v>167</v>
      </c>
      <c r="G1520" t="s">
        <v>83</v>
      </c>
      <c r="H1520" s="1">
        <v>45382</v>
      </c>
      <c r="I1520" t="s">
        <v>64</v>
      </c>
      <c r="J1520" t="s">
        <v>1117</v>
      </c>
      <c r="K1520">
        <v>5</v>
      </c>
      <c r="L1520" t="s">
        <v>1700</v>
      </c>
      <c r="M1520">
        <v>1</v>
      </c>
      <c r="N1520">
        <v>1935</v>
      </c>
      <c r="O1520">
        <v>20</v>
      </c>
      <c r="P1520" s="1">
        <v>45597</v>
      </c>
      <c r="Q1520" s="1"/>
      <c r="R1520" t="str">
        <f>IF(Table1[[#This Row],[Actual close date]]="","",Table1[[#This Row],[Actual close date]]-Table1[[#This Row],[Expected close date]])</f>
        <v/>
      </c>
    </row>
    <row r="1521" spans="1:18" x14ac:dyDescent="0.25">
      <c r="A1521" t="s">
        <v>1858</v>
      </c>
      <c r="B1521" t="s">
        <v>33</v>
      </c>
      <c r="C1521" t="s">
        <v>34</v>
      </c>
      <c r="D1521" t="s">
        <v>35</v>
      </c>
      <c r="E1521" t="s">
        <v>118</v>
      </c>
      <c r="F1521" t="s">
        <v>167</v>
      </c>
      <c r="G1521" t="s">
        <v>57</v>
      </c>
      <c r="H1521" s="1">
        <v>45382</v>
      </c>
      <c r="I1521" t="s">
        <v>24</v>
      </c>
      <c r="J1521" t="s">
        <v>1117</v>
      </c>
      <c r="K1521">
        <v>5</v>
      </c>
      <c r="L1521" t="s">
        <v>1766</v>
      </c>
      <c r="M1521">
        <v>4</v>
      </c>
      <c r="N1521">
        <v>1235</v>
      </c>
      <c r="O1521">
        <v>100</v>
      </c>
      <c r="P1521" s="1">
        <v>45720</v>
      </c>
      <c r="Q1521" s="1"/>
      <c r="R1521" t="str">
        <f>IF(Table1[[#This Row],[Actual close date]]="","",Table1[[#This Row],[Actual close date]]-Table1[[#This Row],[Expected close date]])</f>
        <v/>
      </c>
    </row>
    <row r="1522" spans="1:18" x14ac:dyDescent="0.25">
      <c r="A1522" t="s">
        <v>1902</v>
      </c>
      <c r="B1522" t="s">
        <v>54</v>
      </c>
      <c r="C1522" t="s">
        <v>55</v>
      </c>
      <c r="D1522" t="s">
        <v>56</v>
      </c>
      <c r="E1522" t="s">
        <v>66</v>
      </c>
      <c r="F1522" t="s">
        <v>239</v>
      </c>
      <c r="G1522" t="s">
        <v>72</v>
      </c>
      <c r="H1522" s="1">
        <v>45382</v>
      </c>
      <c r="I1522" t="s">
        <v>64</v>
      </c>
      <c r="J1522" t="s">
        <v>1117</v>
      </c>
      <c r="K1522">
        <v>5</v>
      </c>
      <c r="L1522" t="s">
        <v>1766</v>
      </c>
      <c r="M1522">
        <v>4</v>
      </c>
      <c r="N1522">
        <v>5645</v>
      </c>
      <c r="O1522">
        <v>20</v>
      </c>
      <c r="P1522" s="1">
        <v>45467</v>
      </c>
      <c r="Q1522" s="1"/>
      <c r="R1522" t="str">
        <f>IF(Table1[[#This Row],[Actual close date]]="","",Table1[[#This Row],[Actual close date]]-Table1[[#This Row],[Expected close date]])</f>
        <v/>
      </c>
    </row>
    <row r="1523" spans="1:18" x14ac:dyDescent="0.25">
      <c r="A1523" t="s">
        <v>1242</v>
      </c>
      <c r="B1523" t="s">
        <v>54</v>
      </c>
      <c r="C1523" t="s">
        <v>55</v>
      </c>
      <c r="D1523" t="s">
        <v>56</v>
      </c>
      <c r="E1523" t="s">
        <v>45</v>
      </c>
      <c r="F1523" t="s">
        <v>125</v>
      </c>
      <c r="G1523" t="s">
        <v>37</v>
      </c>
      <c r="H1523" s="1">
        <v>45383</v>
      </c>
      <c r="I1523" t="s">
        <v>24</v>
      </c>
      <c r="J1523" t="s">
        <v>1117</v>
      </c>
      <c r="K1523">
        <v>5</v>
      </c>
      <c r="L1523" t="s">
        <v>1118</v>
      </c>
      <c r="M1523">
        <v>2</v>
      </c>
      <c r="N1523">
        <v>995</v>
      </c>
      <c r="O1523">
        <v>60</v>
      </c>
      <c r="P1523" s="1">
        <v>45553</v>
      </c>
      <c r="Q1523" s="1"/>
      <c r="R1523" t="str">
        <f>IF(Table1[[#This Row],[Actual close date]]="","",Table1[[#This Row],[Actual close date]]-Table1[[#This Row],[Expected close date]])</f>
        <v/>
      </c>
    </row>
    <row r="1524" spans="1:18" x14ac:dyDescent="0.25">
      <c r="A1524" t="s">
        <v>1406</v>
      </c>
      <c r="B1524" t="s">
        <v>33</v>
      </c>
      <c r="C1524" t="s">
        <v>34</v>
      </c>
      <c r="D1524" t="s">
        <v>35</v>
      </c>
      <c r="E1524" t="s">
        <v>21</v>
      </c>
      <c r="F1524" t="s">
        <v>239</v>
      </c>
      <c r="G1524" t="s">
        <v>23</v>
      </c>
      <c r="H1524" s="1">
        <v>45383</v>
      </c>
      <c r="I1524" t="s">
        <v>24</v>
      </c>
      <c r="J1524" t="s">
        <v>1117</v>
      </c>
      <c r="K1524">
        <v>5</v>
      </c>
      <c r="L1524" t="s">
        <v>1118</v>
      </c>
      <c r="M1524">
        <v>2</v>
      </c>
      <c r="N1524">
        <v>19997</v>
      </c>
      <c r="O1524">
        <v>100</v>
      </c>
      <c r="P1524" s="1">
        <v>45498</v>
      </c>
      <c r="Q1524" s="1"/>
      <c r="R1524" t="str">
        <f>IF(Table1[[#This Row],[Actual close date]]="","",Table1[[#This Row],[Actual close date]]-Table1[[#This Row],[Expected close date]])</f>
        <v/>
      </c>
    </row>
    <row r="1525" spans="1:18" x14ac:dyDescent="0.25">
      <c r="A1525" t="s">
        <v>1650</v>
      </c>
      <c r="B1525" t="s">
        <v>49</v>
      </c>
      <c r="C1525" t="s">
        <v>50</v>
      </c>
      <c r="D1525" t="s">
        <v>51</v>
      </c>
      <c r="E1525" t="s">
        <v>36</v>
      </c>
      <c r="F1525" t="s">
        <v>167</v>
      </c>
      <c r="G1525" t="s">
        <v>37</v>
      </c>
      <c r="H1525" s="1">
        <v>45383</v>
      </c>
      <c r="I1525" t="s">
        <v>24</v>
      </c>
      <c r="J1525" t="s">
        <v>1117</v>
      </c>
      <c r="K1525">
        <v>5</v>
      </c>
      <c r="L1525" t="s">
        <v>1479</v>
      </c>
      <c r="M1525">
        <v>3</v>
      </c>
      <c r="N1525">
        <v>1785</v>
      </c>
      <c r="O1525">
        <v>20</v>
      </c>
      <c r="P1525" s="1">
        <v>45479</v>
      </c>
      <c r="Q1525" s="1"/>
      <c r="R1525" t="str">
        <f>IF(Table1[[#This Row],[Actual close date]]="","",Table1[[#This Row],[Actual close date]]-Table1[[#This Row],[Expected close date]])</f>
        <v/>
      </c>
    </row>
    <row r="1526" spans="1:18" x14ac:dyDescent="0.25">
      <c r="A1526" t="s">
        <v>1725</v>
      </c>
      <c r="B1526" t="s">
        <v>49</v>
      </c>
      <c r="C1526" t="s">
        <v>50</v>
      </c>
      <c r="D1526" t="s">
        <v>51</v>
      </c>
      <c r="E1526" t="s">
        <v>98</v>
      </c>
      <c r="F1526" t="s">
        <v>125</v>
      </c>
      <c r="G1526" t="s">
        <v>23</v>
      </c>
      <c r="H1526" s="1">
        <v>45383</v>
      </c>
      <c r="I1526" t="s">
        <v>47</v>
      </c>
      <c r="J1526" t="s">
        <v>1117</v>
      </c>
      <c r="K1526">
        <v>5</v>
      </c>
      <c r="L1526" t="s">
        <v>1700</v>
      </c>
      <c r="M1526">
        <v>1</v>
      </c>
      <c r="N1526">
        <v>1153</v>
      </c>
      <c r="O1526">
        <v>10</v>
      </c>
      <c r="P1526" s="1">
        <v>45650</v>
      </c>
      <c r="Q1526" s="1"/>
      <c r="R1526" t="str">
        <f>IF(Table1[[#This Row],[Actual close date]]="","",Table1[[#This Row],[Actual close date]]-Table1[[#This Row],[Expected close date]])</f>
        <v/>
      </c>
    </row>
    <row r="1527" spans="1:18" x14ac:dyDescent="0.25">
      <c r="A1527" t="s">
        <v>1186</v>
      </c>
      <c r="B1527" t="s">
        <v>76</v>
      </c>
      <c r="C1527" t="s">
        <v>77</v>
      </c>
      <c r="D1527" t="s">
        <v>78</v>
      </c>
      <c r="E1527" t="s">
        <v>21</v>
      </c>
      <c r="F1527" t="s">
        <v>22</v>
      </c>
      <c r="G1527" t="s">
        <v>46</v>
      </c>
      <c r="H1527" s="1">
        <v>45384</v>
      </c>
      <c r="I1527" t="s">
        <v>47</v>
      </c>
      <c r="J1527" t="s">
        <v>1117</v>
      </c>
      <c r="K1527">
        <v>5</v>
      </c>
      <c r="L1527" t="s">
        <v>1118</v>
      </c>
      <c r="M1527">
        <v>2</v>
      </c>
      <c r="N1527">
        <v>1256</v>
      </c>
      <c r="O1527">
        <v>50</v>
      </c>
      <c r="P1527" s="1">
        <v>45744</v>
      </c>
      <c r="Q1527" s="1"/>
      <c r="R1527" t="str">
        <f>IF(Table1[[#This Row],[Actual close date]]="","",Table1[[#This Row],[Actual close date]]-Table1[[#This Row],[Expected close date]])</f>
        <v/>
      </c>
    </row>
    <row r="1528" spans="1:18" x14ac:dyDescent="0.25">
      <c r="A1528" t="s">
        <v>1206</v>
      </c>
      <c r="B1528" t="s">
        <v>59</v>
      </c>
      <c r="C1528" t="s">
        <v>60</v>
      </c>
      <c r="D1528" t="s">
        <v>61</v>
      </c>
      <c r="E1528" t="s">
        <v>21</v>
      </c>
      <c r="F1528" t="s">
        <v>22</v>
      </c>
      <c r="G1528" t="s">
        <v>37</v>
      </c>
      <c r="H1528" s="1">
        <v>45384</v>
      </c>
      <c r="I1528" t="s">
        <v>24</v>
      </c>
      <c r="J1528" t="s">
        <v>1117</v>
      </c>
      <c r="K1528">
        <v>5</v>
      </c>
      <c r="L1528" t="s">
        <v>1118</v>
      </c>
      <c r="M1528">
        <v>2</v>
      </c>
      <c r="N1528">
        <v>631</v>
      </c>
      <c r="O1528">
        <v>20</v>
      </c>
      <c r="P1528" s="1">
        <v>45730</v>
      </c>
      <c r="Q1528" s="1"/>
      <c r="R1528" t="str">
        <f>IF(Table1[[#This Row],[Actual close date]]="","",Table1[[#This Row],[Actual close date]]-Table1[[#This Row],[Expected close date]])</f>
        <v/>
      </c>
    </row>
    <row r="1529" spans="1:18" x14ac:dyDescent="0.25">
      <c r="A1529" t="s">
        <v>1285</v>
      </c>
      <c r="B1529" t="s">
        <v>59</v>
      </c>
      <c r="C1529" t="s">
        <v>60</v>
      </c>
      <c r="D1529" t="s">
        <v>61</v>
      </c>
      <c r="E1529" t="s">
        <v>62</v>
      </c>
      <c r="F1529" t="s">
        <v>167</v>
      </c>
      <c r="G1529" t="s">
        <v>46</v>
      </c>
      <c r="H1529" s="1">
        <v>45384</v>
      </c>
      <c r="I1529" t="s">
        <v>24</v>
      </c>
      <c r="J1529" t="s">
        <v>1117</v>
      </c>
      <c r="K1529">
        <v>5</v>
      </c>
      <c r="L1529" t="s">
        <v>1118</v>
      </c>
      <c r="M1529">
        <v>2</v>
      </c>
      <c r="N1529">
        <v>4302</v>
      </c>
      <c r="O1529">
        <v>20</v>
      </c>
      <c r="P1529" s="1">
        <v>45704</v>
      </c>
      <c r="Q1529" s="1"/>
      <c r="R1529" t="str">
        <f>IF(Table1[[#This Row],[Actual close date]]="","",Table1[[#This Row],[Actual close date]]-Table1[[#This Row],[Expected close date]])</f>
        <v/>
      </c>
    </row>
    <row r="1530" spans="1:18" x14ac:dyDescent="0.25">
      <c r="A1530" t="s">
        <v>1512</v>
      </c>
      <c r="B1530" t="s">
        <v>76</v>
      </c>
      <c r="C1530" t="s">
        <v>77</v>
      </c>
      <c r="D1530" t="s">
        <v>78</v>
      </c>
      <c r="E1530" t="s">
        <v>36</v>
      </c>
      <c r="F1530" t="s">
        <v>22</v>
      </c>
      <c r="G1530" t="s">
        <v>31</v>
      </c>
      <c r="H1530" s="1">
        <v>45384</v>
      </c>
      <c r="I1530" t="s">
        <v>24</v>
      </c>
      <c r="J1530" t="s">
        <v>1117</v>
      </c>
      <c r="K1530">
        <v>5</v>
      </c>
      <c r="L1530" t="s">
        <v>1479</v>
      </c>
      <c r="M1530">
        <v>3</v>
      </c>
      <c r="N1530">
        <v>935</v>
      </c>
      <c r="O1530">
        <v>30</v>
      </c>
      <c r="P1530" s="1">
        <v>45657</v>
      </c>
      <c r="Q1530" s="1"/>
      <c r="R1530" t="str">
        <f>IF(Table1[[#This Row],[Actual close date]]="","",Table1[[#This Row],[Actual close date]]-Table1[[#This Row],[Expected close date]])</f>
        <v/>
      </c>
    </row>
    <row r="1531" spans="1:18" x14ac:dyDescent="0.25">
      <c r="A1531" t="s">
        <v>1561</v>
      </c>
      <c r="B1531" t="s">
        <v>76</v>
      </c>
      <c r="C1531" t="s">
        <v>77</v>
      </c>
      <c r="D1531" t="s">
        <v>78</v>
      </c>
      <c r="E1531" t="s">
        <v>42</v>
      </c>
      <c r="F1531" t="s">
        <v>125</v>
      </c>
      <c r="G1531" t="s">
        <v>31</v>
      </c>
      <c r="H1531" s="1">
        <v>45384</v>
      </c>
      <c r="I1531" t="s">
        <v>24</v>
      </c>
      <c r="J1531" t="s">
        <v>1117</v>
      </c>
      <c r="K1531">
        <v>5</v>
      </c>
      <c r="L1531" t="s">
        <v>1479</v>
      </c>
      <c r="M1531">
        <v>3</v>
      </c>
      <c r="N1531">
        <v>895</v>
      </c>
      <c r="O1531">
        <v>50</v>
      </c>
      <c r="P1531" s="1">
        <v>45609</v>
      </c>
      <c r="Q1531" s="1"/>
      <c r="R1531" t="str">
        <f>IF(Table1[[#This Row],[Actual close date]]="","",Table1[[#This Row],[Actual close date]]-Table1[[#This Row],[Expected close date]])</f>
        <v/>
      </c>
    </row>
    <row r="1532" spans="1:18" x14ac:dyDescent="0.25">
      <c r="A1532" t="s">
        <v>1694</v>
      </c>
      <c r="B1532" t="s">
        <v>54</v>
      </c>
      <c r="C1532" t="s">
        <v>55</v>
      </c>
      <c r="D1532" t="s">
        <v>56</v>
      </c>
      <c r="E1532" t="s">
        <v>74</v>
      </c>
      <c r="F1532" t="s">
        <v>239</v>
      </c>
      <c r="G1532" t="s">
        <v>85</v>
      </c>
      <c r="H1532" s="1">
        <v>45384</v>
      </c>
      <c r="I1532" t="s">
        <v>64</v>
      </c>
      <c r="J1532" t="s">
        <v>1117</v>
      </c>
      <c r="K1532">
        <v>5</v>
      </c>
      <c r="L1532" t="s">
        <v>1479</v>
      </c>
      <c r="M1532">
        <v>3</v>
      </c>
      <c r="N1532">
        <v>9186</v>
      </c>
      <c r="O1532">
        <v>60</v>
      </c>
      <c r="P1532" s="1">
        <v>45586</v>
      </c>
      <c r="Q1532" s="1"/>
      <c r="R1532" t="str">
        <f>IF(Table1[[#This Row],[Actual close date]]="","",Table1[[#This Row],[Actual close date]]-Table1[[#This Row],[Expected close date]])</f>
        <v/>
      </c>
    </row>
    <row r="1533" spans="1:18" x14ac:dyDescent="0.25">
      <c r="A1533" t="s">
        <v>1893</v>
      </c>
      <c r="B1533" t="s">
        <v>49</v>
      </c>
      <c r="C1533" t="s">
        <v>50</v>
      </c>
      <c r="D1533" t="s">
        <v>51</v>
      </c>
      <c r="E1533" t="s">
        <v>98</v>
      </c>
      <c r="F1533" t="s">
        <v>167</v>
      </c>
      <c r="G1533" t="s">
        <v>85</v>
      </c>
      <c r="H1533" s="1">
        <v>45384</v>
      </c>
      <c r="I1533" t="s">
        <v>47</v>
      </c>
      <c r="J1533" t="s">
        <v>1117</v>
      </c>
      <c r="K1533">
        <v>5</v>
      </c>
      <c r="L1533" t="s">
        <v>1766</v>
      </c>
      <c r="M1533">
        <v>4</v>
      </c>
      <c r="N1533">
        <v>3276</v>
      </c>
      <c r="O1533">
        <v>100</v>
      </c>
      <c r="P1533" s="1">
        <v>45512</v>
      </c>
      <c r="Q1533" s="1"/>
      <c r="R1533" t="str">
        <f>IF(Table1[[#This Row],[Actual close date]]="","",Table1[[#This Row],[Actual close date]]-Table1[[#This Row],[Expected close date]])</f>
        <v/>
      </c>
    </row>
    <row r="1534" spans="1:18" x14ac:dyDescent="0.25">
      <c r="A1534" t="s">
        <v>1905</v>
      </c>
      <c r="B1534" t="s">
        <v>27</v>
      </c>
      <c r="C1534" t="s">
        <v>28</v>
      </c>
      <c r="D1534" t="s">
        <v>29</v>
      </c>
      <c r="E1534" t="s">
        <v>42</v>
      </c>
      <c r="F1534" t="s">
        <v>246</v>
      </c>
      <c r="G1534" t="s">
        <v>72</v>
      </c>
      <c r="H1534" s="1">
        <v>45384</v>
      </c>
      <c r="I1534" t="s">
        <v>64</v>
      </c>
      <c r="J1534" t="s">
        <v>1117</v>
      </c>
      <c r="K1534">
        <v>5</v>
      </c>
      <c r="L1534" t="s">
        <v>1766</v>
      </c>
      <c r="M1534">
        <v>4</v>
      </c>
      <c r="N1534">
        <v>19246</v>
      </c>
      <c r="O1534">
        <v>40</v>
      </c>
      <c r="P1534" s="1">
        <v>45577</v>
      </c>
      <c r="Q1534" s="1"/>
      <c r="R1534" t="str">
        <f>IF(Table1[[#This Row],[Actual close date]]="","",Table1[[#This Row],[Actual close date]]-Table1[[#This Row],[Expected close date]])</f>
        <v/>
      </c>
    </row>
    <row r="1535" spans="1:18" x14ac:dyDescent="0.25">
      <c r="A1535" t="s">
        <v>1140</v>
      </c>
      <c r="B1535" t="s">
        <v>76</v>
      </c>
      <c r="C1535" t="s">
        <v>77</v>
      </c>
      <c r="D1535" t="s">
        <v>78</v>
      </c>
      <c r="E1535" t="s">
        <v>62</v>
      </c>
      <c r="F1535" t="s">
        <v>22</v>
      </c>
      <c r="G1535" t="s">
        <v>46</v>
      </c>
      <c r="H1535" s="1">
        <v>45385</v>
      </c>
      <c r="I1535" t="s">
        <v>24</v>
      </c>
      <c r="J1535" t="s">
        <v>1117</v>
      </c>
      <c r="K1535">
        <v>5</v>
      </c>
      <c r="L1535" t="s">
        <v>1118</v>
      </c>
      <c r="M1535">
        <v>2</v>
      </c>
      <c r="N1535">
        <v>448</v>
      </c>
      <c r="O1535">
        <v>20</v>
      </c>
      <c r="P1535" s="1">
        <v>45643</v>
      </c>
      <c r="Q1535" s="1"/>
      <c r="R1535" t="str">
        <f>IF(Table1[[#This Row],[Actual close date]]="","",Table1[[#This Row],[Actual close date]]-Table1[[#This Row],[Expected close date]])</f>
        <v/>
      </c>
    </row>
    <row r="1536" spans="1:18" x14ac:dyDescent="0.25">
      <c r="A1536" t="s">
        <v>1146</v>
      </c>
      <c r="B1536" t="s">
        <v>59</v>
      </c>
      <c r="C1536" t="s">
        <v>60</v>
      </c>
      <c r="D1536" t="s">
        <v>61</v>
      </c>
      <c r="E1536" t="s">
        <v>45</v>
      </c>
      <c r="F1536" t="s">
        <v>22</v>
      </c>
      <c r="G1536" t="s">
        <v>46</v>
      </c>
      <c r="H1536" s="1">
        <v>45385</v>
      </c>
      <c r="I1536" t="s">
        <v>24</v>
      </c>
      <c r="J1536" t="s">
        <v>1117</v>
      </c>
      <c r="K1536">
        <v>5</v>
      </c>
      <c r="L1536" t="s">
        <v>1118</v>
      </c>
      <c r="M1536">
        <v>2</v>
      </c>
      <c r="N1536">
        <v>1824</v>
      </c>
      <c r="O1536">
        <v>70</v>
      </c>
      <c r="P1536" s="1">
        <v>45441</v>
      </c>
      <c r="Q1536" s="1"/>
      <c r="R1536" t="str">
        <f>IF(Table1[[#This Row],[Actual close date]]="","",Table1[[#This Row],[Actual close date]]-Table1[[#This Row],[Expected close date]])</f>
        <v/>
      </c>
    </row>
    <row r="1537" spans="1:18" x14ac:dyDescent="0.25">
      <c r="A1537" t="s">
        <v>1199</v>
      </c>
      <c r="B1537" t="s">
        <v>18</v>
      </c>
      <c r="C1537" t="s">
        <v>19</v>
      </c>
      <c r="D1537" t="s">
        <v>20</v>
      </c>
      <c r="E1537" t="s">
        <v>122</v>
      </c>
      <c r="F1537" t="s">
        <v>22</v>
      </c>
      <c r="G1537" t="s">
        <v>72</v>
      </c>
      <c r="H1537" s="1">
        <v>45385</v>
      </c>
      <c r="I1537" t="s">
        <v>64</v>
      </c>
      <c r="J1537" t="s">
        <v>1117</v>
      </c>
      <c r="K1537">
        <v>5</v>
      </c>
      <c r="L1537" t="s">
        <v>1118</v>
      </c>
      <c r="M1537">
        <v>2</v>
      </c>
      <c r="N1537">
        <v>1398</v>
      </c>
      <c r="O1537">
        <v>70</v>
      </c>
      <c r="P1537" s="1">
        <v>45491</v>
      </c>
      <c r="Q1537" s="1"/>
      <c r="R1537" t="str">
        <f>IF(Table1[[#This Row],[Actual close date]]="","",Table1[[#This Row],[Actual close date]]-Table1[[#This Row],[Expected close date]])</f>
        <v/>
      </c>
    </row>
    <row r="1538" spans="1:18" x14ac:dyDescent="0.25">
      <c r="A1538" t="s">
        <v>1722</v>
      </c>
      <c r="B1538" t="s">
        <v>39</v>
      </c>
      <c r="C1538" t="s">
        <v>40</v>
      </c>
      <c r="D1538" t="s">
        <v>41</v>
      </c>
      <c r="E1538" t="s">
        <v>30</v>
      </c>
      <c r="F1538" t="s">
        <v>22</v>
      </c>
      <c r="G1538" t="s">
        <v>72</v>
      </c>
      <c r="H1538" s="1">
        <v>45385</v>
      </c>
      <c r="I1538" t="s">
        <v>64</v>
      </c>
      <c r="J1538" t="s">
        <v>1117</v>
      </c>
      <c r="K1538">
        <v>5</v>
      </c>
      <c r="L1538" t="s">
        <v>1700</v>
      </c>
      <c r="M1538">
        <v>1</v>
      </c>
      <c r="N1538">
        <v>462</v>
      </c>
      <c r="O1538">
        <v>90</v>
      </c>
      <c r="P1538" s="1">
        <v>45748</v>
      </c>
      <c r="Q1538" s="1"/>
      <c r="R1538" t="str">
        <f>IF(Table1[[#This Row],[Actual close date]]="","",Table1[[#This Row],[Actual close date]]-Table1[[#This Row],[Expected close date]])</f>
        <v/>
      </c>
    </row>
    <row r="1539" spans="1:18" x14ac:dyDescent="0.25">
      <c r="A1539" t="s">
        <v>1815</v>
      </c>
      <c r="B1539" t="s">
        <v>33</v>
      </c>
      <c r="C1539" t="s">
        <v>34</v>
      </c>
      <c r="D1539" t="s">
        <v>35</v>
      </c>
      <c r="E1539" t="s">
        <v>52</v>
      </c>
      <c r="F1539" t="s">
        <v>125</v>
      </c>
      <c r="G1539" t="s">
        <v>46</v>
      </c>
      <c r="H1539" s="1">
        <v>45385</v>
      </c>
      <c r="I1539" t="s">
        <v>24</v>
      </c>
      <c r="J1539" t="s">
        <v>1117</v>
      </c>
      <c r="K1539">
        <v>5</v>
      </c>
      <c r="L1539" t="s">
        <v>1766</v>
      </c>
      <c r="M1539">
        <v>4</v>
      </c>
      <c r="N1539">
        <v>396</v>
      </c>
      <c r="O1539">
        <v>60</v>
      </c>
      <c r="P1539" s="1">
        <v>45621</v>
      </c>
      <c r="Q1539" s="1"/>
      <c r="R1539" t="str">
        <f>IF(Table1[[#This Row],[Actual close date]]="","",Table1[[#This Row],[Actual close date]]-Table1[[#This Row],[Expected close date]])</f>
        <v/>
      </c>
    </row>
    <row r="1540" spans="1:18" x14ac:dyDescent="0.25">
      <c r="A1540" t="s">
        <v>1855</v>
      </c>
      <c r="B1540" t="s">
        <v>27</v>
      </c>
      <c r="C1540" t="s">
        <v>28</v>
      </c>
      <c r="D1540" t="s">
        <v>29</v>
      </c>
      <c r="E1540" t="s">
        <v>52</v>
      </c>
      <c r="F1540" t="s">
        <v>167</v>
      </c>
      <c r="G1540" t="s">
        <v>83</v>
      </c>
      <c r="H1540" s="1">
        <v>45385</v>
      </c>
      <c r="I1540" t="s">
        <v>64</v>
      </c>
      <c r="J1540" t="s">
        <v>1117</v>
      </c>
      <c r="K1540">
        <v>5</v>
      </c>
      <c r="L1540" t="s">
        <v>1766</v>
      </c>
      <c r="M1540">
        <v>4</v>
      </c>
      <c r="N1540">
        <v>6323</v>
      </c>
      <c r="O1540">
        <v>40</v>
      </c>
      <c r="P1540" s="1">
        <v>45454</v>
      </c>
      <c r="Q1540" s="1"/>
      <c r="R1540" t="str">
        <f>IF(Table1[[#This Row],[Actual close date]]="","",Table1[[#This Row],[Actual close date]]-Table1[[#This Row],[Expected close date]])</f>
        <v/>
      </c>
    </row>
    <row r="1541" spans="1:18" x14ac:dyDescent="0.25">
      <c r="A1541" t="s">
        <v>1526</v>
      </c>
      <c r="B1541" t="s">
        <v>33</v>
      </c>
      <c r="C1541" t="s">
        <v>34</v>
      </c>
      <c r="D1541" t="s">
        <v>35</v>
      </c>
      <c r="E1541" t="s">
        <v>36</v>
      </c>
      <c r="F1541" t="s">
        <v>22</v>
      </c>
      <c r="G1541" t="s">
        <v>46</v>
      </c>
      <c r="H1541" s="1">
        <v>45386</v>
      </c>
      <c r="I1541" t="s">
        <v>64</v>
      </c>
      <c r="J1541" t="s">
        <v>1117</v>
      </c>
      <c r="K1541">
        <v>5</v>
      </c>
      <c r="L1541" t="s">
        <v>1479</v>
      </c>
      <c r="M1541">
        <v>3</v>
      </c>
      <c r="N1541">
        <v>513</v>
      </c>
      <c r="O1541">
        <v>50</v>
      </c>
      <c r="P1541" s="1">
        <v>45528</v>
      </c>
      <c r="Q1541" s="1"/>
      <c r="R1541" t="str">
        <f>IF(Table1[[#This Row],[Actual close date]]="","",Table1[[#This Row],[Actual close date]]-Table1[[#This Row],[Expected close date]])</f>
        <v/>
      </c>
    </row>
    <row r="1542" spans="1:18" x14ac:dyDescent="0.25">
      <c r="A1542" t="s">
        <v>1580</v>
      </c>
      <c r="B1542" t="s">
        <v>54</v>
      </c>
      <c r="C1542" t="s">
        <v>55</v>
      </c>
      <c r="D1542" t="s">
        <v>56</v>
      </c>
      <c r="E1542" t="s">
        <v>74</v>
      </c>
      <c r="F1542" t="s">
        <v>125</v>
      </c>
      <c r="G1542" t="s">
        <v>46</v>
      </c>
      <c r="H1542" s="1">
        <v>45386</v>
      </c>
      <c r="I1542" t="s">
        <v>24</v>
      </c>
      <c r="J1542" t="s">
        <v>1117</v>
      </c>
      <c r="K1542">
        <v>5</v>
      </c>
      <c r="L1542" t="s">
        <v>1479</v>
      </c>
      <c r="M1542">
        <v>3</v>
      </c>
      <c r="N1542">
        <v>715</v>
      </c>
      <c r="O1542">
        <v>20</v>
      </c>
      <c r="P1542" s="1">
        <v>45438</v>
      </c>
      <c r="Q1542" s="1"/>
      <c r="R1542" t="str">
        <f>IF(Table1[[#This Row],[Actual close date]]="","",Table1[[#This Row],[Actual close date]]-Table1[[#This Row],[Expected close date]])</f>
        <v/>
      </c>
    </row>
    <row r="1543" spans="1:18" x14ac:dyDescent="0.25">
      <c r="A1543" t="s">
        <v>1661</v>
      </c>
      <c r="B1543" t="s">
        <v>59</v>
      </c>
      <c r="C1543" t="s">
        <v>60</v>
      </c>
      <c r="D1543" t="s">
        <v>61</v>
      </c>
      <c r="E1543" t="s">
        <v>101</v>
      </c>
      <c r="F1543" t="s">
        <v>167</v>
      </c>
      <c r="G1543" t="s">
        <v>85</v>
      </c>
      <c r="H1543" s="1">
        <v>45386</v>
      </c>
      <c r="I1543" t="s">
        <v>64</v>
      </c>
      <c r="J1543" t="s">
        <v>1117</v>
      </c>
      <c r="K1543">
        <v>5</v>
      </c>
      <c r="L1543" t="s">
        <v>1479</v>
      </c>
      <c r="M1543">
        <v>3</v>
      </c>
      <c r="N1543">
        <v>805</v>
      </c>
      <c r="O1543">
        <v>30</v>
      </c>
      <c r="P1543" s="1">
        <v>45722</v>
      </c>
      <c r="Q1543" s="1"/>
      <c r="R1543" t="str">
        <f>IF(Table1[[#This Row],[Actual close date]]="","",Table1[[#This Row],[Actual close date]]-Table1[[#This Row],[Expected close date]])</f>
        <v/>
      </c>
    </row>
    <row r="1544" spans="1:18" x14ac:dyDescent="0.25">
      <c r="A1544" t="s">
        <v>1676</v>
      </c>
      <c r="B1544" t="s">
        <v>54</v>
      </c>
      <c r="C1544" t="s">
        <v>55</v>
      </c>
      <c r="D1544" t="s">
        <v>56</v>
      </c>
      <c r="E1544" t="s">
        <v>118</v>
      </c>
      <c r="F1544" t="s">
        <v>167</v>
      </c>
      <c r="G1544" t="s">
        <v>46</v>
      </c>
      <c r="H1544" s="1">
        <v>45386</v>
      </c>
      <c r="I1544" t="s">
        <v>64</v>
      </c>
      <c r="J1544" t="s">
        <v>1117</v>
      </c>
      <c r="K1544">
        <v>5</v>
      </c>
      <c r="L1544" t="s">
        <v>1479</v>
      </c>
      <c r="M1544">
        <v>3</v>
      </c>
      <c r="N1544">
        <v>1462</v>
      </c>
      <c r="O1544">
        <v>60</v>
      </c>
      <c r="P1544" s="1">
        <v>45598</v>
      </c>
      <c r="Q1544" s="1"/>
      <c r="R1544" t="str">
        <f>IF(Table1[[#This Row],[Actual close date]]="","",Table1[[#This Row],[Actual close date]]-Table1[[#This Row],[Expected close date]])</f>
        <v/>
      </c>
    </row>
    <row r="1545" spans="1:18" x14ac:dyDescent="0.25">
      <c r="A1545" t="s">
        <v>1840</v>
      </c>
      <c r="B1545" t="s">
        <v>39</v>
      </c>
      <c r="C1545" t="s">
        <v>40</v>
      </c>
      <c r="D1545" t="s">
        <v>41</v>
      </c>
      <c r="E1545" t="s">
        <v>66</v>
      </c>
      <c r="F1545" t="s">
        <v>167</v>
      </c>
      <c r="G1545" t="s">
        <v>83</v>
      </c>
      <c r="H1545" s="1">
        <v>45386</v>
      </c>
      <c r="I1545" t="s">
        <v>64</v>
      </c>
      <c r="J1545" t="s">
        <v>1117</v>
      </c>
      <c r="K1545">
        <v>5</v>
      </c>
      <c r="L1545" t="s">
        <v>1766</v>
      </c>
      <c r="M1545">
        <v>4</v>
      </c>
      <c r="N1545">
        <v>5565</v>
      </c>
      <c r="O1545">
        <v>30</v>
      </c>
      <c r="P1545" s="1">
        <v>45577</v>
      </c>
      <c r="Q1545" s="1"/>
      <c r="R1545" t="str">
        <f>IF(Table1[[#This Row],[Actual close date]]="","",Table1[[#This Row],[Actual close date]]-Table1[[#This Row],[Expected close date]])</f>
        <v/>
      </c>
    </row>
    <row r="1546" spans="1:18" x14ac:dyDescent="0.25">
      <c r="A1546" t="s">
        <v>1876</v>
      </c>
      <c r="B1546" t="s">
        <v>59</v>
      </c>
      <c r="C1546" t="s">
        <v>60</v>
      </c>
      <c r="D1546" t="s">
        <v>61</v>
      </c>
      <c r="E1546" t="s">
        <v>21</v>
      </c>
      <c r="F1546" t="s">
        <v>167</v>
      </c>
      <c r="G1546" t="s">
        <v>46</v>
      </c>
      <c r="H1546" s="1">
        <v>45386</v>
      </c>
      <c r="I1546" t="s">
        <v>64</v>
      </c>
      <c r="J1546" t="s">
        <v>1117</v>
      </c>
      <c r="K1546">
        <v>5</v>
      </c>
      <c r="L1546" t="s">
        <v>1766</v>
      </c>
      <c r="M1546">
        <v>4</v>
      </c>
      <c r="N1546">
        <v>4707</v>
      </c>
      <c r="O1546">
        <v>70</v>
      </c>
      <c r="P1546" s="1">
        <v>45628</v>
      </c>
      <c r="Q1546" s="1"/>
      <c r="R1546" t="str">
        <f>IF(Table1[[#This Row],[Actual close date]]="","",Table1[[#This Row],[Actual close date]]-Table1[[#This Row],[Expected close date]])</f>
        <v/>
      </c>
    </row>
    <row r="1547" spans="1:18" x14ac:dyDescent="0.25">
      <c r="A1547" t="s">
        <v>1221</v>
      </c>
      <c r="B1547" t="s">
        <v>59</v>
      </c>
      <c r="C1547" t="s">
        <v>60</v>
      </c>
      <c r="D1547" t="s">
        <v>61</v>
      </c>
      <c r="E1547" t="s">
        <v>42</v>
      </c>
      <c r="F1547" t="s">
        <v>125</v>
      </c>
      <c r="G1547" t="s">
        <v>85</v>
      </c>
      <c r="H1547" s="1">
        <v>45387</v>
      </c>
      <c r="I1547" t="s">
        <v>24</v>
      </c>
      <c r="J1547" t="s">
        <v>1117</v>
      </c>
      <c r="K1547">
        <v>5</v>
      </c>
      <c r="L1547" t="s">
        <v>1118</v>
      </c>
      <c r="M1547">
        <v>2</v>
      </c>
      <c r="N1547">
        <v>216</v>
      </c>
      <c r="O1547">
        <v>30</v>
      </c>
      <c r="P1547" s="1">
        <v>45563</v>
      </c>
      <c r="Q1547" s="1"/>
      <c r="R1547" t="str">
        <f>IF(Table1[[#This Row],[Actual close date]]="","",Table1[[#This Row],[Actual close date]]-Table1[[#This Row],[Expected close date]])</f>
        <v/>
      </c>
    </row>
    <row r="1548" spans="1:18" x14ac:dyDescent="0.25">
      <c r="A1548" t="s">
        <v>1228</v>
      </c>
      <c r="B1548" t="s">
        <v>76</v>
      </c>
      <c r="C1548" t="s">
        <v>77</v>
      </c>
      <c r="D1548" t="s">
        <v>78</v>
      </c>
      <c r="E1548" t="s">
        <v>42</v>
      </c>
      <c r="F1548" t="s">
        <v>125</v>
      </c>
      <c r="G1548" t="s">
        <v>46</v>
      </c>
      <c r="H1548" s="1">
        <v>45387</v>
      </c>
      <c r="I1548" t="s">
        <v>64</v>
      </c>
      <c r="J1548" t="s">
        <v>1117</v>
      </c>
      <c r="K1548">
        <v>5</v>
      </c>
      <c r="L1548" t="s">
        <v>1118</v>
      </c>
      <c r="M1548">
        <v>2</v>
      </c>
      <c r="N1548">
        <v>213</v>
      </c>
      <c r="O1548">
        <v>30</v>
      </c>
      <c r="P1548" s="1">
        <v>45739</v>
      </c>
      <c r="Q1548" s="1"/>
      <c r="R1548" t="str">
        <f>IF(Table1[[#This Row],[Actual close date]]="","",Table1[[#This Row],[Actual close date]]-Table1[[#This Row],[Expected close date]])</f>
        <v/>
      </c>
    </row>
    <row r="1549" spans="1:18" x14ac:dyDescent="0.25">
      <c r="A1549" t="s">
        <v>1834</v>
      </c>
      <c r="B1549" t="s">
        <v>59</v>
      </c>
      <c r="C1549" t="s">
        <v>60</v>
      </c>
      <c r="D1549" t="s">
        <v>61</v>
      </c>
      <c r="E1549" t="s">
        <v>62</v>
      </c>
      <c r="F1549" t="s">
        <v>125</v>
      </c>
      <c r="G1549" t="s">
        <v>37</v>
      </c>
      <c r="H1549" s="1">
        <v>45387</v>
      </c>
      <c r="I1549" t="s">
        <v>24</v>
      </c>
      <c r="J1549" t="s">
        <v>1117</v>
      </c>
      <c r="K1549">
        <v>5</v>
      </c>
      <c r="L1549" t="s">
        <v>1766</v>
      </c>
      <c r="M1549">
        <v>4</v>
      </c>
      <c r="N1549">
        <v>1132</v>
      </c>
      <c r="O1549">
        <v>50</v>
      </c>
      <c r="P1549" s="1">
        <v>45636</v>
      </c>
      <c r="Q1549" s="1"/>
      <c r="R1549" t="str">
        <f>IF(Table1[[#This Row],[Actual close date]]="","",Table1[[#This Row],[Actual close date]]-Table1[[#This Row],[Expected close date]])</f>
        <v/>
      </c>
    </row>
    <row r="1550" spans="1:18" x14ac:dyDescent="0.25">
      <c r="A1550" t="s">
        <v>1875</v>
      </c>
      <c r="B1550" t="s">
        <v>54</v>
      </c>
      <c r="C1550" t="s">
        <v>55</v>
      </c>
      <c r="D1550" t="s">
        <v>56</v>
      </c>
      <c r="E1550" t="s">
        <v>74</v>
      </c>
      <c r="F1550" t="s">
        <v>167</v>
      </c>
      <c r="G1550" t="s">
        <v>57</v>
      </c>
      <c r="H1550" s="1">
        <v>45387</v>
      </c>
      <c r="I1550" t="s">
        <v>24</v>
      </c>
      <c r="J1550" t="s">
        <v>1117</v>
      </c>
      <c r="K1550">
        <v>5</v>
      </c>
      <c r="L1550" t="s">
        <v>1766</v>
      </c>
      <c r="M1550">
        <v>4</v>
      </c>
      <c r="N1550">
        <v>4290</v>
      </c>
      <c r="O1550">
        <v>30</v>
      </c>
      <c r="P1550" s="1">
        <v>45479</v>
      </c>
      <c r="Q1550" s="1"/>
      <c r="R1550" t="str">
        <f>IF(Table1[[#This Row],[Actual close date]]="","",Table1[[#This Row],[Actual close date]]-Table1[[#This Row],[Expected close date]])</f>
        <v/>
      </c>
    </row>
    <row r="1551" spans="1:18" x14ac:dyDescent="0.25">
      <c r="A1551" t="s">
        <v>1129</v>
      </c>
      <c r="B1551" t="s">
        <v>49</v>
      </c>
      <c r="C1551" t="s">
        <v>50</v>
      </c>
      <c r="D1551" t="s">
        <v>51</v>
      </c>
      <c r="E1551" t="s">
        <v>42</v>
      </c>
      <c r="F1551" t="s">
        <v>22</v>
      </c>
      <c r="G1551" t="s">
        <v>23</v>
      </c>
      <c r="H1551" s="1">
        <v>45388</v>
      </c>
      <c r="I1551" t="s">
        <v>47</v>
      </c>
      <c r="J1551" t="s">
        <v>1117</v>
      </c>
      <c r="K1551">
        <v>5</v>
      </c>
      <c r="L1551" t="s">
        <v>1118</v>
      </c>
      <c r="M1551">
        <v>2</v>
      </c>
      <c r="N1551">
        <v>1498</v>
      </c>
      <c r="O1551">
        <v>60</v>
      </c>
      <c r="P1551" s="1">
        <v>45496</v>
      </c>
      <c r="Q1551" s="1"/>
      <c r="R1551" t="str">
        <f>IF(Table1[[#This Row],[Actual close date]]="","",Table1[[#This Row],[Actual close date]]-Table1[[#This Row],[Expected close date]])</f>
        <v/>
      </c>
    </row>
    <row r="1552" spans="1:18" x14ac:dyDescent="0.25">
      <c r="A1552" t="s">
        <v>1144</v>
      </c>
      <c r="B1552" t="s">
        <v>33</v>
      </c>
      <c r="C1552" t="s">
        <v>34</v>
      </c>
      <c r="D1552" t="s">
        <v>35</v>
      </c>
      <c r="E1552" t="s">
        <v>42</v>
      </c>
      <c r="F1552" t="s">
        <v>22</v>
      </c>
      <c r="G1552" t="s">
        <v>46</v>
      </c>
      <c r="H1552" s="1">
        <v>45388</v>
      </c>
      <c r="I1552" t="s">
        <v>64</v>
      </c>
      <c r="J1552" t="s">
        <v>1117</v>
      </c>
      <c r="K1552">
        <v>5</v>
      </c>
      <c r="L1552" t="s">
        <v>1118</v>
      </c>
      <c r="M1552">
        <v>2</v>
      </c>
      <c r="N1552">
        <v>1054</v>
      </c>
      <c r="O1552">
        <v>50</v>
      </c>
      <c r="P1552" s="1">
        <v>45646</v>
      </c>
      <c r="Q1552" s="1"/>
      <c r="R1552" t="str">
        <f>IF(Table1[[#This Row],[Actual close date]]="","",Table1[[#This Row],[Actual close date]]-Table1[[#This Row],[Expected close date]])</f>
        <v/>
      </c>
    </row>
    <row r="1553" spans="1:18" x14ac:dyDescent="0.25">
      <c r="A1553" t="s">
        <v>1150</v>
      </c>
      <c r="B1553" t="s">
        <v>54</v>
      </c>
      <c r="C1553" t="s">
        <v>55</v>
      </c>
      <c r="D1553" t="s">
        <v>56</v>
      </c>
      <c r="E1553" t="s">
        <v>98</v>
      </c>
      <c r="F1553" t="s">
        <v>22</v>
      </c>
      <c r="G1553" t="s">
        <v>37</v>
      </c>
      <c r="H1553" s="1">
        <v>45388</v>
      </c>
      <c r="I1553" t="s">
        <v>47</v>
      </c>
      <c r="J1553" t="s">
        <v>1117</v>
      </c>
      <c r="K1553">
        <v>5</v>
      </c>
      <c r="L1553" t="s">
        <v>1118</v>
      </c>
      <c r="M1553">
        <v>2</v>
      </c>
      <c r="N1553">
        <v>893</v>
      </c>
      <c r="O1553">
        <v>20</v>
      </c>
      <c r="P1553" s="1">
        <v>45576</v>
      </c>
      <c r="Q1553" s="1"/>
      <c r="R1553" t="str">
        <f>IF(Table1[[#This Row],[Actual close date]]="","",Table1[[#This Row],[Actual close date]]-Table1[[#This Row],[Expected close date]])</f>
        <v/>
      </c>
    </row>
    <row r="1554" spans="1:18" x14ac:dyDescent="0.25">
      <c r="A1554" t="s">
        <v>1280</v>
      </c>
      <c r="B1554" t="s">
        <v>54</v>
      </c>
      <c r="C1554" t="s">
        <v>55</v>
      </c>
      <c r="D1554" t="s">
        <v>56</v>
      </c>
      <c r="E1554" t="s">
        <v>101</v>
      </c>
      <c r="F1554" t="s">
        <v>167</v>
      </c>
      <c r="G1554" t="s">
        <v>46</v>
      </c>
      <c r="H1554" s="1">
        <v>45388</v>
      </c>
      <c r="I1554" t="s">
        <v>64</v>
      </c>
      <c r="J1554" t="s">
        <v>1117</v>
      </c>
      <c r="K1554">
        <v>5</v>
      </c>
      <c r="L1554" t="s">
        <v>1118</v>
      </c>
      <c r="M1554">
        <v>2</v>
      </c>
      <c r="N1554">
        <v>7588</v>
      </c>
      <c r="O1554">
        <v>40</v>
      </c>
      <c r="P1554" s="1">
        <v>45680</v>
      </c>
      <c r="Q1554" s="1"/>
      <c r="R1554" t="str">
        <f>IF(Table1[[#This Row],[Actual close date]]="","",Table1[[#This Row],[Actual close date]]-Table1[[#This Row],[Expected close date]])</f>
        <v/>
      </c>
    </row>
    <row r="1555" spans="1:18" x14ac:dyDescent="0.25">
      <c r="A1555" t="s">
        <v>1288</v>
      </c>
      <c r="B1555" t="s">
        <v>33</v>
      </c>
      <c r="C1555" t="s">
        <v>34</v>
      </c>
      <c r="D1555" t="s">
        <v>35</v>
      </c>
      <c r="E1555" t="s">
        <v>42</v>
      </c>
      <c r="F1555" t="s">
        <v>167</v>
      </c>
      <c r="G1555" t="s">
        <v>31</v>
      </c>
      <c r="H1555" s="1">
        <v>45388</v>
      </c>
      <c r="I1555" t="s">
        <v>24</v>
      </c>
      <c r="J1555" t="s">
        <v>1117</v>
      </c>
      <c r="K1555">
        <v>5</v>
      </c>
      <c r="L1555" t="s">
        <v>1118</v>
      </c>
      <c r="M1555">
        <v>2</v>
      </c>
      <c r="N1555">
        <v>3724</v>
      </c>
      <c r="O1555">
        <v>20</v>
      </c>
      <c r="P1555" s="1">
        <v>45524</v>
      </c>
      <c r="Q1555" s="1"/>
      <c r="R1555" t="str">
        <f>IF(Table1[[#This Row],[Actual close date]]="","",Table1[[#This Row],[Actual close date]]-Table1[[#This Row],[Expected close date]])</f>
        <v/>
      </c>
    </row>
    <row r="1556" spans="1:18" x14ac:dyDescent="0.25">
      <c r="A1556" t="s">
        <v>1408</v>
      </c>
      <c r="B1556" t="s">
        <v>54</v>
      </c>
      <c r="C1556" t="s">
        <v>55</v>
      </c>
      <c r="D1556" t="s">
        <v>56</v>
      </c>
      <c r="E1556" t="s">
        <v>118</v>
      </c>
      <c r="F1556" t="s">
        <v>239</v>
      </c>
      <c r="G1556" t="s">
        <v>23</v>
      </c>
      <c r="H1556" s="1">
        <v>45388</v>
      </c>
      <c r="I1556" t="s">
        <v>47</v>
      </c>
      <c r="J1556" t="s">
        <v>1117</v>
      </c>
      <c r="K1556">
        <v>5</v>
      </c>
      <c r="L1556" t="s">
        <v>1118</v>
      </c>
      <c r="M1556">
        <v>2</v>
      </c>
      <c r="N1556">
        <v>9441</v>
      </c>
      <c r="O1556">
        <v>50</v>
      </c>
      <c r="P1556" s="1">
        <v>45588</v>
      </c>
      <c r="Q1556" s="1"/>
      <c r="R1556" t="str">
        <f>IF(Table1[[#This Row],[Actual close date]]="","",Table1[[#This Row],[Actual close date]]-Table1[[#This Row],[Expected close date]])</f>
        <v/>
      </c>
    </row>
    <row r="1557" spans="1:18" x14ac:dyDescent="0.25">
      <c r="A1557" t="s">
        <v>1673</v>
      </c>
      <c r="B1557" t="s">
        <v>27</v>
      </c>
      <c r="C1557" t="s">
        <v>28</v>
      </c>
      <c r="D1557" t="s">
        <v>29</v>
      </c>
      <c r="E1557" t="s">
        <v>101</v>
      </c>
      <c r="F1557" t="s">
        <v>167</v>
      </c>
      <c r="G1557" t="s">
        <v>83</v>
      </c>
      <c r="H1557" s="1">
        <v>45388</v>
      </c>
      <c r="I1557" t="s">
        <v>64</v>
      </c>
      <c r="J1557" t="s">
        <v>1117</v>
      </c>
      <c r="K1557">
        <v>5</v>
      </c>
      <c r="L1557" t="s">
        <v>1479</v>
      </c>
      <c r="M1557">
        <v>3</v>
      </c>
      <c r="N1557">
        <v>4301</v>
      </c>
      <c r="O1557">
        <v>60</v>
      </c>
      <c r="P1557" s="1">
        <v>45695</v>
      </c>
      <c r="Q1557" s="1"/>
      <c r="R1557" t="str">
        <f>IF(Table1[[#This Row],[Actual close date]]="","",Table1[[#This Row],[Actual close date]]-Table1[[#This Row],[Expected close date]])</f>
        <v/>
      </c>
    </row>
    <row r="1558" spans="1:18" x14ac:dyDescent="0.25">
      <c r="A1558" t="s">
        <v>1707</v>
      </c>
      <c r="B1558" t="s">
        <v>59</v>
      </c>
      <c r="C1558" t="s">
        <v>60</v>
      </c>
      <c r="D1558" t="s">
        <v>61</v>
      </c>
      <c r="E1558" t="s">
        <v>30</v>
      </c>
      <c r="F1558" t="s">
        <v>22</v>
      </c>
      <c r="G1558" t="s">
        <v>37</v>
      </c>
      <c r="H1558" s="1">
        <v>45388</v>
      </c>
      <c r="I1558" t="s">
        <v>64</v>
      </c>
      <c r="J1558" t="s">
        <v>1117</v>
      </c>
      <c r="K1558">
        <v>5</v>
      </c>
      <c r="L1558" t="s">
        <v>1700</v>
      </c>
      <c r="M1558">
        <v>1</v>
      </c>
      <c r="N1558">
        <v>1890</v>
      </c>
      <c r="O1558">
        <v>100</v>
      </c>
      <c r="P1558" s="1">
        <v>45625</v>
      </c>
      <c r="Q1558" s="1"/>
      <c r="R1558" t="str">
        <f>IF(Table1[[#This Row],[Actual close date]]="","",Table1[[#This Row],[Actual close date]]-Table1[[#This Row],[Expected close date]])</f>
        <v/>
      </c>
    </row>
    <row r="1559" spans="1:18" x14ac:dyDescent="0.25">
      <c r="A1559" t="s">
        <v>1737</v>
      </c>
      <c r="B1559" t="s">
        <v>33</v>
      </c>
      <c r="C1559" t="s">
        <v>34</v>
      </c>
      <c r="D1559" t="s">
        <v>35</v>
      </c>
      <c r="E1559" t="s">
        <v>62</v>
      </c>
      <c r="F1559" t="s">
        <v>125</v>
      </c>
      <c r="G1559" t="s">
        <v>57</v>
      </c>
      <c r="H1559" s="1">
        <v>45388</v>
      </c>
      <c r="I1559" t="s">
        <v>64</v>
      </c>
      <c r="J1559" t="s">
        <v>1117</v>
      </c>
      <c r="K1559">
        <v>5</v>
      </c>
      <c r="L1559" t="s">
        <v>1700</v>
      </c>
      <c r="M1559">
        <v>1</v>
      </c>
      <c r="N1559">
        <v>717</v>
      </c>
      <c r="O1559">
        <v>50</v>
      </c>
      <c r="P1559" s="1">
        <v>45515</v>
      </c>
      <c r="Q1559" s="1"/>
      <c r="R1559" t="str">
        <f>IF(Table1[[#This Row],[Actual close date]]="","",Table1[[#This Row],[Actual close date]]-Table1[[#This Row],[Expected close date]])</f>
        <v/>
      </c>
    </row>
    <row r="1560" spans="1:18" x14ac:dyDescent="0.25">
      <c r="A1560" t="s">
        <v>1816</v>
      </c>
      <c r="B1560" t="s">
        <v>33</v>
      </c>
      <c r="C1560" t="s">
        <v>34</v>
      </c>
      <c r="D1560" t="s">
        <v>35</v>
      </c>
      <c r="E1560" t="s">
        <v>101</v>
      </c>
      <c r="F1560" t="s">
        <v>125</v>
      </c>
      <c r="G1560" t="s">
        <v>72</v>
      </c>
      <c r="H1560" s="1">
        <v>45388</v>
      </c>
      <c r="I1560" t="s">
        <v>24</v>
      </c>
      <c r="J1560" t="s">
        <v>1117</v>
      </c>
      <c r="K1560">
        <v>5</v>
      </c>
      <c r="L1560" t="s">
        <v>1766</v>
      </c>
      <c r="M1560">
        <v>4</v>
      </c>
      <c r="N1560">
        <v>1128</v>
      </c>
      <c r="O1560">
        <v>60</v>
      </c>
      <c r="P1560" s="1">
        <v>45733</v>
      </c>
      <c r="Q1560" s="1"/>
      <c r="R1560" t="str">
        <f>IF(Table1[[#This Row],[Actual close date]]="","",Table1[[#This Row],[Actual close date]]-Table1[[#This Row],[Expected close date]])</f>
        <v/>
      </c>
    </row>
    <row r="1561" spans="1:18" x14ac:dyDescent="0.25">
      <c r="A1561" t="s">
        <v>1864</v>
      </c>
      <c r="B1561" t="s">
        <v>69</v>
      </c>
      <c r="C1561" t="s">
        <v>70</v>
      </c>
      <c r="D1561" t="s">
        <v>71</v>
      </c>
      <c r="E1561" t="s">
        <v>36</v>
      </c>
      <c r="F1561" t="s">
        <v>167</v>
      </c>
      <c r="G1561" t="s">
        <v>46</v>
      </c>
      <c r="H1561" s="1">
        <v>45388</v>
      </c>
      <c r="I1561" t="s">
        <v>64</v>
      </c>
      <c r="J1561" t="s">
        <v>1117</v>
      </c>
      <c r="K1561">
        <v>5</v>
      </c>
      <c r="L1561" t="s">
        <v>1766</v>
      </c>
      <c r="M1561">
        <v>4</v>
      </c>
      <c r="N1561">
        <v>5955</v>
      </c>
      <c r="O1561">
        <v>20</v>
      </c>
      <c r="P1561" s="1">
        <v>45423</v>
      </c>
      <c r="Q1561" s="1"/>
      <c r="R1561" t="str">
        <f>IF(Table1[[#This Row],[Actual close date]]="","",Table1[[#This Row],[Actual close date]]-Table1[[#This Row],[Expected close date]])</f>
        <v/>
      </c>
    </row>
    <row r="1562" spans="1:18" x14ac:dyDescent="0.25">
      <c r="A1562" t="s">
        <v>1283</v>
      </c>
      <c r="B1562" t="s">
        <v>59</v>
      </c>
      <c r="C1562" t="s">
        <v>60</v>
      </c>
      <c r="D1562" t="s">
        <v>61</v>
      </c>
      <c r="E1562" t="s">
        <v>62</v>
      </c>
      <c r="F1562" t="s">
        <v>167</v>
      </c>
      <c r="G1562" t="s">
        <v>31</v>
      </c>
      <c r="H1562" s="1">
        <v>45389</v>
      </c>
      <c r="I1562" t="s">
        <v>24</v>
      </c>
      <c r="J1562" t="s">
        <v>1117</v>
      </c>
      <c r="K1562">
        <v>5</v>
      </c>
      <c r="L1562" t="s">
        <v>1118</v>
      </c>
      <c r="M1562">
        <v>2</v>
      </c>
      <c r="N1562">
        <v>7972</v>
      </c>
      <c r="O1562">
        <v>90</v>
      </c>
      <c r="P1562" s="1">
        <v>45527</v>
      </c>
      <c r="Q1562" s="1"/>
      <c r="R1562" t="str">
        <f>IF(Table1[[#This Row],[Actual close date]]="","",Table1[[#This Row],[Actual close date]]-Table1[[#This Row],[Expected close date]])</f>
        <v/>
      </c>
    </row>
    <row r="1563" spans="1:18" x14ac:dyDescent="0.25">
      <c r="A1563" t="s">
        <v>1291</v>
      </c>
      <c r="B1563" t="s">
        <v>18</v>
      </c>
      <c r="C1563" t="s">
        <v>19</v>
      </c>
      <c r="D1563" t="s">
        <v>20</v>
      </c>
      <c r="E1563" t="s">
        <v>52</v>
      </c>
      <c r="F1563" t="s">
        <v>167</v>
      </c>
      <c r="G1563" t="s">
        <v>37</v>
      </c>
      <c r="H1563" s="1">
        <v>45389</v>
      </c>
      <c r="I1563" t="s">
        <v>64</v>
      </c>
      <c r="J1563" t="s">
        <v>1117</v>
      </c>
      <c r="K1563">
        <v>5</v>
      </c>
      <c r="L1563" t="s">
        <v>1118</v>
      </c>
      <c r="M1563">
        <v>2</v>
      </c>
      <c r="N1563">
        <v>1863</v>
      </c>
      <c r="O1563">
        <v>20</v>
      </c>
      <c r="P1563" s="1">
        <v>45628</v>
      </c>
      <c r="Q1563" s="1"/>
      <c r="R1563" t="str">
        <f>IF(Table1[[#This Row],[Actual close date]]="","",Table1[[#This Row],[Actual close date]]-Table1[[#This Row],[Expected close date]])</f>
        <v/>
      </c>
    </row>
    <row r="1564" spans="1:18" x14ac:dyDescent="0.25">
      <c r="A1564" t="s">
        <v>1321</v>
      </c>
      <c r="B1564" t="s">
        <v>54</v>
      </c>
      <c r="C1564" t="s">
        <v>55</v>
      </c>
      <c r="D1564" t="s">
        <v>56</v>
      </c>
      <c r="E1564" t="s">
        <v>98</v>
      </c>
      <c r="F1564" t="s">
        <v>167</v>
      </c>
      <c r="G1564" t="s">
        <v>85</v>
      </c>
      <c r="H1564" s="1">
        <v>45389</v>
      </c>
      <c r="I1564" t="s">
        <v>24</v>
      </c>
      <c r="J1564" t="s">
        <v>1117</v>
      </c>
      <c r="K1564">
        <v>5</v>
      </c>
      <c r="L1564" t="s">
        <v>1118</v>
      </c>
      <c r="M1564">
        <v>2</v>
      </c>
      <c r="N1564">
        <v>3237</v>
      </c>
      <c r="O1564">
        <v>30</v>
      </c>
      <c r="P1564" s="1">
        <v>45654</v>
      </c>
      <c r="Q1564" s="1"/>
      <c r="R1564" t="str">
        <f>IF(Table1[[#This Row],[Actual close date]]="","",Table1[[#This Row],[Actual close date]]-Table1[[#This Row],[Expected close date]])</f>
        <v/>
      </c>
    </row>
    <row r="1565" spans="1:18" x14ac:dyDescent="0.25">
      <c r="A1565" t="s">
        <v>1543</v>
      </c>
      <c r="B1565" t="s">
        <v>18</v>
      </c>
      <c r="C1565" t="s">
        <v>19</v>
      </c>
      <c r="D1565" t="s">
        <v>20</v>
      </c>
      <c r="E1565" t="s">
        <v>101</v>
      </c>
      <c r="F1565" t="s">
        <v>22</v>
      </c>
      <c r="G1565" t="s">
        <v>57</v>
      </c>
      <c r="H1565" s="1">
        <v>45389</v>
      </c>
      <c r="I1565" t="s">
        <v>24</v>
      </c>
      <c r="J1565" t="s">
        <v>1117</v>
      </c>
      <c r="K1565">
        <v>5</v>
      </c>
      <c r="L1565" t="s">
        <v>1479</v>
      </c>
      <c r="M1565">
        <v>3</v>
      </c>
      <c r="N1565">
        <v>545</v>
      </c>
      <c r="O1565">
        <v>60</v>
      </c>
      <c r="P1565" s="1">
        <v>45540</v>
      </c>
      <c r="Q1565" s="1"/>
      <c r="R1565" t="str">
        <f>IF(Table1[[#This Row],[Actual close date]]="","",Table1[[#This Row],[Actual close date]]-Table1[[#This Row],[Expected close date]])</f>
        <v/>
      </c>
    </row>
    <row r="1566" spans="1:18" x14ac:dyDescent="0.25">
      <c r="A1566" t="s">
        <v>1708</v>
      </c>
      <c r="B1566" t="s">
        <v>49</v>
      </c>
      <c r="C1566" t="s">
        <v>50</v>
      </c>
      <c r="D1566" t="s">
        <v>51</v>
      </c>
      <c r="E1566" t="s">
        <v>122</v>
      </c>
      <c r="F1566" t="s">
        <v>22</v>
      </c>
      <c r="G1566" t="s">
        <v>46</v>
      </c>
      <c r="H1566" s="1">
        <v>45389</v>
      </c>
      <c r="I1566" t="s">
        <v>64</v>
      </c>
      <c r="J1566" t="s">
        <v>1117</v>
      </c>
      <c r="K1566">
        <v>5</v>
      </c>
      <c r="L1566" t="s">
        <v>1700</v>
      </c>
      <c r="M1566">
        <v>1</v>
      </c>
      <c r="N1566">
        <v>536</v>
      </c>
      <c r="O1566">
        <v>20</v>
      </c>
      <c r="P1566" s="1">
        <v>45494</v>
      </c>
      <c r="Q1566" s="1"/>
      <c r="R1566" t="str">
        <f>IF(Table1[[#This Row],[Actual close date]]="","",Table1[[#This Row],[Actual close date]]-Table1[[#This Row],[Expected close date]])</f>
        <v/>
      </c>
    </row>
    <row r="1567" spans="1:18" x14ac:dyDescent="0.25">
      <c r="A1567" t="s">
        <v>1865</v>
      </c>
      <c r="B1567" t="s">
        <v>27</v>
      </c>
      <c r="C1567" t="s">
        <v>28</v>
      </c>
      <c r="D1567" t="s">
        <v>29</v>
      </c>
      <c r="E1567" t="s">
        <v>122</v>
      </c>
      <c r="F1567" t="s">
        <v>167</v>
      </c>
      <c r="G1567" t="s">
        <v>57</v>
      </c>
      <c r="H1567" s="1">
        <v>45389</v>
      </c>
      <c r="I1567" t="s">
        <v>64</v>
      </c>
      <c r="J1567" t="s">
        <v>1117</v>
      </c>
      <c r="K1567">
        <v>5</v>
      </c>
      <c r="L1567" t="s">
        <v>1766</v>
      </c>
      <c r="M1567">
        <v>4</v>
      </c>
      <c r="N1567">
        <v>4031</v>
      </c>
      <c r="O1567">
        <v>20</v>
      </c>
      <c r="P1567" s="1">
        <v>45674</v>
      </c>
      <c r="Q1567" s="1"/>
      <c r="R1567" t="str">
        <f>IF(Table1[[#This Row],[Actual close date]]="","",Table1[[#This Row],[Actual close date]]-Table1[[#This Row],[Expected close date]])</f>
        <v/>
      </c>
    </row>
    <row r="1568" spans="1:18" x14ac:dyDescent="0.25">
      <c r="A1568" t="s">
        <v>1202</v>
      </c>
      <c r="B1568" t="s">
        <v>59</v>
      </c>
      <c r="C1568" t="s">
        <v>60</v>
      </c>
      <c r="D1568" t="s">
        <v>61</v>
      </c>
      <c r="E1568" t="s">
        <v>30</v>
      </c>
      <c r="F1568" t="s">
        <v>22</v>
      </c>
      <c r="G1568" t="s">
        <v>37</v>
      </c>
      <c r="H1568" s="1">
        <v>45390</v>
      </c>
      <c r="I1568" t="s">
        <v>24</v>
      </c>
      <c r="J1568" t="s">
        <v>1117</v>
      </c>
      <c r="K1568">
        <v>5</v>
      </c>
      <c r="L1568" t="s">
        <v>1118</v>
      </c>
      <c r="M1568">
        <v>2</v>
      </c>
      <c r="N1568">
        <v>677</v>
      </c>
      <c r="O1568">
        <v>40</v>
      </c>
      <c r="P1568" s="1">
        <v>45624</v>
      </c>
      <c r="Q1568" s="1"/>
      <c r="R1568" t="str">
        <f>IF(Table1[[#This Row],[Actual close date]]="","",Table1[[#This Row],[Actual close date]]-Table1[[#This Row],[Expected close date]])</f>
        <v/>
      </c>
    </row>
    <row r="1569" spans="1:18" x14ac:dyDescent="0.25">
      <c r="A1569" t="s">
        <v>1381</v>
      </c>
      <c r="B1569" t="s">
        <v>54</v>
      </c>
      <c r="C1569" t="s">
        <v>55</v>
      </c>
      <c r="D1569" t="s">
        <v>56</v>
      </c>
      <c r="E1569" t="s">
        <v>21</v>
      </c>
      <c r="F1569" t="s">
        <v>167</v>
      </c>
      <c r="G1569" t="s">
        <v>23</v>
      </c>
      <c r="H1569" s="1">
        <v>45390</v>
      </c>
      <c r="I1569" t="s">
        <v>47</v>
      </c>
      <c r="J1569" t="s">
        <v>1117</v>
      </c>
      <c r="K1569">
        <v>5</v>
      </c>
      <c r="L1569" t="s">
        <v>1118</v>
      </c>
      <c r="M1569">
        <v>2</v>
      </c>
      <c r="N1569">
        <v>529</v>
      </c>
      <c r="O1569">
        <v>20</v>
      </c>
      <c r="P1569" s="1">
        <v>45619</v>
      </c>
      <c r="Q1569" s="1"/>
      <c r="R1569" t="str">
        <f>IF(Table1[[#This Row],[Actual close date]]="","",Table1[[#This Row],[Actual close date]]-Table1[[#This Row],[Expected close date]])</f>
        <v/>
      </c>
    </row>
    <row r="1570" spans="1:18" x14ac:dyDescent="0.25">
      <c r="A1570" t="s">
        <v>1874</v>
      </c>
      <c r="B1570" t="s">
        <v>39</v>
      </c>
      <c r="C1570" t="s">
        <v>40</v>
      </c>
      <c r="D1570" t="s">
        <v>41</v>
      </c>
      <c r="E1570" t="s">
        <v>42</v>
      </c>
      <c r="F1570" t="s">
        <v>167</v>
      </c>
      <c r="G1570" t="s">
        <v>57</v>
      </c>
      <c r="H1570" s="1">
        <v>45390</v>
      </c>
      <c r="I1570" t="s">
        <v>24</v>
      </c>
      <c r="J1570" t="s">
        <v>1117</v>
      </c>
      <c r="K1570">
        <v>5</v>
      </c>
      <c r="L1570" t="s">
        <v>1766</v>
      </c>
      <c r="M1570">
        <v>4</v>
      </c>
      <c r="N1570">
        <v>7667</v>
      </c>
      <c r="O1570">
        <v>80</v>
      </c>
      <c r="P1570" s="1">
        <v>45444</v>
      </c>
      <c r="Q1570" s="1"/>
      <c r="R1570" t="str">
        <f>IF(Table1[[#This Row],[Actual close date]]="","",Table1[[#This Row],[Actual close date]]-Table1[[#This Row],[Expected close date]])</f>
        <v/>
      </c>
    </row>
    <row r="1571" spans="1:18" x14ac:dyDescent="0.25">
      <c r="A1571" t="s">
        <v>1900</v>
      </c>
      <c r="B1571" t="s">
        <v>76</v>
      </c>
      <c r="C1571" t="s">
        <v>77</v>
      </c>
      <c r="D1571" t="s">
        <v>78</v>
      </c>
      <c r="E1571" t="s">
        <v>42</v>
      </c>
      <c r="F1571" t="s">
        <v>239</v>
      </c>
      <c r="G1571" t="s">
        <v>46</v>
      </c>
      <c r="H1571" s="1">
        <v>45390</v>
      </c>
      <c r="I1571" t="s">
        <v>47</v>
      </c>
      <c r="J1571" t="s">
        <v>1117</v>
      </c>
      <c r="K1571">
        <v>5</v>
      </c>
      <c r="L1571" t="s">
        <v>1766</v>
      </c>
      <c r="M1571">
        <v>4</v>
      </c>
      <c r="N1571">
        <v>3294</v>
      </c>
      <c r="O1571">
        <v>50</v>
      </c>
      <c r="P1571" s="1">
        <v>45626</v>
      </c>
      <c r="Q1571" s="1"/>
      <c r="R1571" t="str">
        <f>IF(Table1[[#This Row],[Actual close date]]="","",Table1[[#This Row],[Actual close date]]-Table1[[#This Row],[Expected close date]])</f>
        <v/>
      </c>
    </row>
    <row r="1572" spans="1:18" x14ac:dyDescent="0.25">
      <c r="A1572" t="s">
        <v>1622</v>
      </c>
      <c r="B1572" t="s">
        <v>33</v>
      </c>
      <c r="C1572" t="s">
        <v>34</v>
      </c>
      <c r="D1572" t="s">
        <v>35</v>
      </c>
      <c r="E1572" t="s">
        <v>74</v>
      </c>
      <c r="F1572" t="s">
        <v>167</v>
      </c>
      <c r="G1572" t="s">
        <v>72</v>
      </c>
      <c r="H1572" s="1">
        <v>45391</v>
      </c>
      <c r="I1572" t="s">
        <v>24</v>
      </c>
      <c r="J1572" t="s">
        <v>1117</v>
      </c>
      <c r="K1572">
        <v>5</v>
      </c>
      <c r="L1572" t="s">
        <v>1479</v>
      </c>
      <c r="M1572">
        <v>3</v>
      </c>
      <c r="N1572">
        <v>7344</v>
      </c>
      <c r="O1572">
        <v>60</v>
      </c>
      <c r="P1572" s="1">
        <v>45699</v>
      </c>
      <c r="Q1572" s="1"/>
      <c r="R1572" t="str">
        <f>IF(Table1[[#This Row],[Actual close date]]="","",Table1[[#This Row],[Actual close date]]-Table1[[#This Row],[Expected close date]])</f>
        <v/>
      </c>
    </row>
    <row r="1573" spans="1:18" x14ac:dyDescent="0.25">
      <c r="A1573" t="s">
        <v>1648</v>
      </c>
      <c r="B1573" t="s">
        <v>18</v>
      </c>
      <c r="C1573" t="s">
        <v>19</v>
      </c>
      <c r="D1573" t="s">
        <v>20</v>
      </c>
      <c r="E1573" t="s">
        <v>74</v>
      </c>
      <c r="F1573" t="s">
        <v>167</v>
      </c>
      <c r="G1573" t="s">
        <v>72</v>
      </c>
      <c r="H1573" s="1">
        <v>45391</v>
      </c>
      <c r="I1573" t="s">
        <v>24</v>
      </c>
      <c r="J1573" t="s">
        <v>1117</v>
      </c>
      <c r="K1573">
        <v>5</v>
      </c>
      <c r="L1573" t="s">
        <v>1479</v>
      </c>
      <c r="M1573">
        <v>3</v>
      </c>
      <c r="N1573">
        <v>1299</v>
      </c>
      <c r="O1573">
        <v>50</v>
      </c>
      <c r="P1573" s="1">
        <v>45534</v>
      </c>
      <c r="Q1573" s="1"/>
      <c r="R1573" t="str">
        <f>IF(Table1[[#This Row],[Actual close date]]="","",Table1[[#This Row],[Actual close date]]-Table1[[#This Row],[Expected close date]])</f>
        <v/>
      </c>
    </row>
    <row r="1574" spans="1:18" x14ac:dyDescent="0.25">
      <c r="A1574" t="s">
        <v>1727</v>
      </c>
      <c r="B1574" t="s">
        <v>49</v>
      </c>
      <c r="C1574" t="s">
        <v>50</v>
      </c>
      <c r="D1574" t="s">
        <v>51</v>
      </c>
      <c r="E1574" t="s">
        <v>45</v>
      </c>
      <c r="F1574" t="s">
        <v>125</v>
      </c>
      <c r="G1574" t="s">
        <v>31</v>
      </c>
      <c r="H1574" s="1">
        <v>45391</v>
      </c>
      <c r="I1574" t="s">
        <v>64</v>
      </c>
      <c r="J1574" t="s">
        <v>1117</v>
      </c>
      <c r="K1574">
        <v>5</v>
      </c>
      <c r="L1574" t="s">
        <v>1700</v>
      </c>
      <c r="M1574">
        <v>1</v>
      </c>
      <c r="N1574">
        <v>389</v>
      </c>
      <c r="O1574">
        <v>50</v>
      </c>
      <c r="P1574" s="1">
        <v>45447</v>
      </c>
      <c r="Q1574" s="1"/>
      <c r="R1574" t="str">
        <f>IF(Table1[[#This Row],[Actual close date]]="","",Table1[[#This Row],[Actual close date]]-Table1[[#This Row],[Expected close date]])</f>
        <v/>
      </c>
    </row>
    <row r="1575" spans="1:18" x14ac:dyDescent="0.25">
      <c r="A1575" t="s">
        <v>1748</v>
      </c>
      <c r="B1575" t="s">
        <v>59</v>
      </c>
      <c r="C1575" t="s">
        <v>60</v>
      </c>
      <c r="D1575" t="s">
        <v>61</v>
      </c>
      <c r="E1575" t="s">
        <v>21</v>
      </c>
      <c r="F1575" t="s">
        <v>167</v>
      </c>
      <c r="G1575" t="s">
        <v>31</v>
      </c>
      <c r="H1575" s="1">
        <v>45391</v>
      </c>
      <c r="I1575" t="s">
        <v>24</v>
      </c>
      <c r="J1575" t="s">
        <v>1117</v>
      </c>
      <c r="K1575">
        <v>5</v>
      </c>
      <c r="L1575" t="s">
        <v>1700</v>
      </c>
      <c r="M1575">
        <v>1</v>
      </c>
      <c r="N1575">
        <v>837</v>
      </c>
      <c r="O1575">
        <v>80</v>
      </c>
      <c r="P1575" s="1">
        <v>45720</v>
      </c>
      <c r="Q1575" s="1"/>
      <c r="R1575" t="str">
        <f>IF(Table1[[#This Row],[Actual close date]]="","",Table1[[#This Row],[Actual close date]]-Table1[[#This Row],[Expected close date]])</f>
        <v/>
      </c>
    </row>
    <row r="1576" spans="1:18" x14ac:dyDescent="0.25">
      <c r="A1576" t="s">
        <v>1573</v>
      </c>
      <c r="B1576" t="s">
        <v>33</v>
      </c>
      <c r="C1576" t="s">
        <v>34</v>
      </c>
      <c r="D1576" t="s">
        <v>35</v>
      </c>
      <c r="E1576" t="s">
        <v>122</v>
      </c>
      <c r="F1576" t="s">
        <v>125</v>
      </c>
      <c r="G1576" t="s">
        <v>46</v>
      </c>
      <c r="H1576" s="1">
        <v>45392</v>
      </c>
      <c r="I1576" t="s">
        <v>64</v>
      </c>
      <c r="J1576" t="s">
        <v>1117</v>
      </c>
      <c r="K1576">
        <v>5</v>
      </c>
      <c r="L1576" t="s">
        <v>1479</v>
      </c>
      <c r="M1576">
        <v>3</v>
      </c>
      <c r="N1576">
        <v>585</v>
      </c>
      <c r="O1576">
        <v>40</v>
      </c>
      <c r="P1576" s="1">
        <v>45664</v>
      </c>
      <c r="Q1576" s="1"/>
      <c r="R1576" t="str">
        <f>IF(Table1[[#This Row],[Actual close date]]="","",Table1[[#This Row],[Actual close date]]-Table1[[#This Row],[Expected close date]])</f>
        <v/>
      </c>
    </row>
    <row r="1577" spans="1:18" x14ac:dyDescent="0.25">
      <c r="A1577" t="s">
        <v>1614</v>
      </c>
      <c r="B1577" t="s">
        <v>39</v>
      </c>
      <c r="C1577" t="s">
        <v>40</v>
      </c>
      <c r="D1577" t="s">
        <v>41</v>
      </c>
      <c r="E1577" t="s">
        <v>122</v>
      </c>
      <c r="F1577" t="s">
        <v>167</v>
      </c>
      <c r="G1577" t="s">
        <v>72</v>
      </c>
      <c r="H1577" s="1">
        <v>45392</v>
      </c>
      <c r="I1577" t="s">
        <v>47</v>
      </c>
      <c r="J1577" t="s">
        <v>1117</v>
      </c>
      <c r="K1577">
        <v>5</v>
      </c>
      <c r="L1577" t="s">
        <v>1479</v>
      </c>
      <c r="M1577">
        <v>3</v>
      </c>
      <c r="N1577">
        <v>4577</v>
      </c>
      <c r="O1577">
        <v>20</v>
      </c>
      <c r="P1577" s="1">
        <v>45500</v>
      </c>
      <c r="Q1577" s="1"/>
      <c r="R1577" t="str">
        <f>IF(Table1[[#This Row],[Actual close date]]="","",Table1[[#This Row],[Actual close date]]-Table1[[#This Row],[Expected close date]])</f>
        <v/>
      </c>
    </row>
    <row r="1578" spans="1:18" x14ac:dyDescent="0.25">
      <c r="A1578" t="s">
        <v>1732</v>
      </c>
      <c r="B1578" t="s">
        <v>27</v>
      </c>
      <c r="C1578" t="s">
        <v>28</v>
      </c>
      <c r="D1578" t="s">
        <v>29</v>
      </c>
      <c r="E1578" t="s">
        <v>21</v>
      </c>
      <c r="F1578" t="s">
        <v>125</v>
      </c>
      <c r="G1578" t="s">
        <v>37</v>
      </c>
      <c r="H1578" s="1">
        <v>45392</v>
      </c>
      <c r="I1578" t="s">
        <v>24</v>
      </c>
      <c r="J1578" t="s">
        <v>1117</v>
      </c>
      <c r="K1578">
        <v>5</v>
      </c>
      <c r="L1578" t="s">
        <v>1700</v>
      </c>
      <c r="M1578">
        <v>1</v>
      </c>
      <c r="N1578">
        <v>729</v>
      </c>
      <c r="O1578">
        <v>100</v>
      </c>
      <c r="P1578" s="1">
        <v>45611</v>
      </c>
      <c r="Q1578" s="1"/>
      <c r="R1578" t="str">
        <f>IF(Table1[[#This Row],[Actual close date]]="","",Table1[[#This Row],[Actual close date]]-Table1[[#This Row],[Expected close date]])</f>
        <v/>
      </c>
    </row>
    <row r="1579" spans="1:18" x14ac:dyDescent="0.25">
      <c r="A1579" t="s">
        <v>1833</v>
      </c>
      <c r="B1579" t="s">
        <v>33</v>
      </c>
      <c r="C1579" t="s">
        <v>34</v>
      </c>
      <c r="D1579" t="s">
        <v>35</v>
      </c>
      <c r="E1579" t="s">
        <v>21</v>
      </c>
      <c r="F1579" t="s">
        <v>125</v>
      </c>
      <c r="G1579" t="s">
        <v>46</v>
      </c>
      <c r="H1579" s="1">
        <v>45392</v>
      </c>
      <c r="I1579" t="s">
        <v>24</v>
      </c>
      <c r="J1579" t="s">
        <v>1117</v>
      </c>
      <c r="K1579">
        <v>5</v>
      </c>
      <c r="L1579" t="s">
        <v>1766</v>
      </c>
      <c r="M1579">
        <v>4</v>
      </c>
      <c r="N1579">
        <v>646</v>
      </c>
      <c r="O1579">
        <v>40</v>
      </c>
      <c r="P1579" s="1">
        <v>45566</v>
      </c>
      <c r="Q1579" s="1"/>
      <c r="R1579" t="str">
        <f>IF(Table1[[#This Row],[Actual close date]]="","",Table1[[#This Row],[Actual close date]]-Table1[[#This Row],[Expected close date]])</f>
        <v/>
      </c>
    </row>
    <row r="1580" spans="1:18" x14ac:dyDescent="0.25">
      <c r="A1580" t="s">
        <v>1859</v>
      </c>
      <c r="B1580" t="s">
        <v>59</v>
      </c>
      <c r="C1580" t="s">
        <v>60</v>
      </c>
      <c r="D1580" t="s">
        <v>61</v>
      </c>
      <c r="E1580" t="s">
        <v>122</v>
      </c>
      <c r="F1580" t="s">
        <v>167</v>
      </c>
      <c r="G1580" t="s">
        <v>23</v>
      </c>
      <c r="H1580" s="1">
        <v>45392</v>
      </c>
      <c r="I1580" t="s">
        <v>64</v>
      </c>
      <c r="J1580" t="s">
        <v>1117</v>
      </c>
      <c r="K1580">
        <v>5</v>
      </c>
      <c r="L1580" t="s">
        <v>1766</v>
      </c>
      <c r="M1580">
        <v>4</v>
      </c>
      <c r="N1580">
        <v>7496</v>
      </c>
      <c r="O1580">
        <v>30</v>
      </c>
      <c r="P1580" s="1">
        <v>45686</v>
      </c>
      <c r="Q1580" s="1"/>
      <c r="R1580" t="str">
        <f>IF(Table1[[#This Row],[Actual close date]]="","",Table1[[#This Row],[Actual close date]]-Table1[[#This Row],[Expected close date]])</f>
        <v/>
      </c>
    </row>
    <row r="1581" spans="1:18" x14ac:dyDescent="0.25">
      <c r="A1581" t="s">
        <v>1886</v>
      </c>
      <c r="B1581" t="s">
        <v>39</v>
      </c>
      <c r="C1581" t="s">
        <v>40</v>
      </c>
      <c r="D1581" t="s">
        <v>41</v>
      </c>
      <c r="E1581" t="s">
        <v>30</v>
      </c>
      <c r="F1581" t="s">
        <v>167</v>
      </c>
      <c r="G1581" t="s">
        <v>31</v>
      </c>
      <c r="H1581" s="1">
        <v>45392</v>
      </c>
      <c r="I1581" t="s">
        <v>64</v>
      </c>
      <c r="J1581" t="s">
        <v>1117</v>
      </c>
      <c r="K1581">
        <v>5</v>
      </c>
      <c r="L1581" t="s">
        <v>1766</v>
      </c>
      <c r="M1581">
        <v>4</v>
      </c>
      <c r="N1581">
        <v>6552</v>
      </c>
      <c r="O1581">
        <v>40</v>
      </c>
      <c r="P1581" s="1">
        <v>45510</v>
      </c>
      <c r="Q1581" s="1"/>
      <c r="R1581" t="str">
        <f>IF(Table1[[#This Row],[Actual close date]]="","",Table1[[#This Row],[Actual close date]]-Table1[[#This Row],[Expected close date]])</f>
        <v/>
      </c>
    </row>
    <row r="1582" spans="1:18" x14ac:dyDescent="0.25">
      <c r="A1582" t="s">
        <v>1133</v>
      </c>
      <c r="B1582" t="s">
        <v>18</v>
      </c>
      <c r="C1582" t="s">
        <v>19</v>
      </c>
      <c r="D1582" t="s">
        <v>20</v>
      </c>
      <c r="E1582" t="s">
        <v>74</v>
      </c>
      <c r="F1582" t="s">
        <v>22</v>
      </c>
      <c r="G1582" t="s">
        <v>46</v>
      </c>
      <c r="H1582" s="1">
        <v>45393</v>
      </c>
      <c r="I1582" t="s">
        <v>64</v>
      </c>
      <c r="J1582" t="s">
        <v>1117</v>
      </c>
      <c r="K1582">
        <v>5</v>
      </c>
      <c r="L1582" t="s">
        <v>1118</v>
      </c>
      <c r="M1582">
        <v>2</v>
      </c>
      <c r="N1582">
        <v>927</v>
      </c>
      <c r="O1582">
        <v>100</v>
      </c>
      <c r="P1582" s="1">
        <v>45646</v>
      </c>
      <c r="Q1582" s="1"/>
      <c r="R1582" t="str">
        <f>IF(Table1[[#This Row],[Actual close date]]="","",Table1[[#This Row],[Actual close date]]-Table1[[#This Row],[Expected close date]])</f>
        <v/>
      </c>
    </row>
    <row r="1583" spans="1:18" x14ac:dyDescent="0.25">
      <c r="A1583" t="s">
        <v>1397</v>
      </c>
      <c r="B1583" t="s">
        <v>76</v>
      </c>
      <c r="C1583" t="s">
        <v>77</v>
      </c>
      <c r="D1583" t="s">
        <v>78</v>
      </c>
      <c r="E1583" t="s">
        <v>122</v>
      </c>
      <c r="F1583" t="s">
        <v>167</v>
      </c>
      <c r="G1583" t="s">
        <v>57</v>
      </c>
      <c r="H1583" s="1">
        <v>45393</v>
      </c>
      <c r="I1583" t="s">
        <v>24</v>
      </c>
      <c r="J1583" t="s">
        <v>1117</v>
      </c>
      <c r="K1583">
        <v>5</v>
      </c>
      <c r="L1583" t="s">
        <v>1118</v>
      </c>
      <c r="M1583">
        <v>2</v>
      </c>
      <c r="N1583">
        <v>7438</v>
      </c>
      <c r="O1583">
        <v>60</v>
      </c>
      <c r="P1583" s="1">
        <v>45516</v>
      </c>
      <c r="Q1583" s="1"/>
      <c r="R1583" t="str">
        <f>IF(Table1[[#This Row],[Actual close date]]="","",Table1[[#This Row],[Actual close date]]-Table1[[#This Row],[Expected close date]])</f>
        <v/>
      </c>
    </row>
    <row r="1584" spans="1:18" x14ac:dyDescent="0.25">
      <c r="A1584" t="s">
        <v>1721</v>
      </c>
      <c r="B1584" t="s">
        <v>39</v>
      </c>
      <c r="C1584" t="s">
        <v>40</v>
      </c>
      <c r="D1584" t="s">
        <v>41</v>
      </c>
      <c r="E1584" t="s">
        <v>52</v>
      </c>
      <c r="F1584" t="s">
        <v>22</v>
      </c>
      <c r="G1584" t="s">
        <v>46</v>
      </c>
      <c r="H1584" s="1">
        <v>45393</v>
      </c>
      <c r="I1584" t="s">
        <v>47</v>
      </c>
      <c r="J1584" t="s">
        <v>1117</v>
      </c>
      <c r="K1584">
        <v>5</v>
      </c>
      <c r="L1584" t="s">
        <v>1700</v>
      </c>
      <c r="M1584">
        <v>1</v>
      </c>
      <c r="N1584">
        <v>1600</v>
      </c>
      <c r="O1584">
        <v>40</v>
      </c>
      <c r="P1584" s="1">
        <v>45544</v>
      </c>
      <c r="Q1584" s="1"/>
      <c r="R1584" t="str">
        <f>IF(Table1[[#This Row],[Actual close date]]="","",Table1[[#This Row],[Actual close date]]-Table1[[#This Row],[Expected close date]])</f>
        <v/>
      </c>
    </row>
    <row r="1585" spans="1:18" x14ac:dyDescent="0.25">
      <c r="A1585" t="s">
        <v>1205</v>
      </c>
      <c r="B1585" t="s">
        <v>33</v>
      </c>
      <c r="C1585" t="s">
        <v>34</v>
      </c>
      <c r="D1585" t="s">
        <v>35</v>
      </c>
      <c r="E1585" t="s">
        <v>30</v>
      </c>
      <c r="F1585" t="s">
        <v>22</v>
      </c>
      <c r="G1585" t="s">
        <v>57</v>
      </c>
      <c r="H1585" s="1">
        <v>45394</v>
      </c>
      <c r="I1585" t="s">
        <v>47</v>
      </c>
      <c r="J1585" t="s">
        <v>1117</v>
      </c>
      <c r="K1585">
        <v>5</v>
      </c>
      <c r="L1585" t="s">
        <v>1118</v>
      </c>
      <c r="M1585">
        <v>2</v>
      </c>
      <c r="N1585">
        <v>1248</v>
      </c>
      <c r="O1585">
        <v>90</v>
      </c>
      <c r="P1585" s="1">
        <v>45503</v>
      </c>
      <c r="Q1585" s="1"/>
      <c r="R1585" t="str">
        <f>IF(Table1[[#This Row],[Actual close date]]="","",Table1[[#This Row],[Actual close date]]-Table1[[#This Row],[Expected close date]])</f>
        <v/>
      </c>
    </row>
    <row r="1586" spans="1:18" x14ac:dyDescent="0.25">
      <c r="A1586" t="s">
        <v>1248</v>
      </c>
      <c r="B1586" t="s">
        <v>33</v>
      </c>
      <c r="C1586" t="s">
        <v>34</v>
      </c>
      <c r="D1586" t="s">
        <v>35</v>
      </c>
      <c r="E1586" t="s">
        <v>118</v>
      </c>
      <c r="F1586" t="s">
        <v>125</v>
      </c>
      <c r="G1586" t="s">
        <v>72</v>
      </c>
      <c r="H1586" s="1">
        <v>45394</v>
      </c>
      <c r="I1586" t="s">
        <v>24</v>
      </c>
      <c r="J1586" t="s">
        <v>1117</v>
      </c>
      <c r="K1586">
        <v>5</v>
      </c>
      <c r="L1586" t="s">
        <v>1118</v>
      </c>
      <c r="M1586">
        <v>2</v>
      </c>
      <c r="N1586">
        <v>907</v>
      </c>
      <c r="O1586">
        <v>40</v>
      </c>
      <c r="P1586" s="1">
        <v>45687</v>
      </c>
      <c r="Q1586" s="1"/>
      <c r="R1586" t="str">
        <f>IF(Table1[[#This Row],[Actual close date]]="","",Table1[[#This Row],[Actual close date]]-Table1[[#This Row],[Expected close date]])</f>
        <v/>
      </c>
    </row>
    <row r="1587" spans="1:18" x14ac:dyDescent="0.25">
      <c r="A1587" t="s">
        <v>1294</v>
      </c>
      <c r="B1587" t="s">
        <v>69</v>
      </c>
      <c r="C1587" t="s">
        <v>70</v>
      </c>
      <c r="D1587" t="s">
        <v>71</v>
      </c>
      <c r="E1587" t="s">
        <v>74</v>
      </c>
      <c r="F1587" t="s">
        <v>167</v>
      </c>
      <c r="G1587" t="s">
        <v>31</v>
      </c>
      <c r="H1587" s="1">
        <v>45394</v>
      </c>
      <c r="I1587" t="s">
        <v>24</v>
      </c>
      <c r="J1587" t="s">
        <v>1117</v>
      </c>
      <c r="K1587">
        <v>5</v>
      </c>
      <c r="L1587" t="s">
        <v>1118</v>
      </c>
      <c r="M1587">
        <v>2</v>
      </c>
      <c r="N1587">
        <v>3809</v>
      </c>
      <c r="O1587">
        <v>30</v>
      </c>
      <c r="P1587" s="1">
        <v>45731</v>
      </c>
      <c r="Q1587" s="1"/>
      <c r="R1587" t="str">
        <f>IF(Table1[[#This Row],[Actual close date]]="","",Table1[[#This Row],[Actual close date]]-Table1[[#This Row],[Expected close date]])</f>
        <v/>
      </c>
    </row>
    <row r="1588" spans="1:18" x14ac:dyDescent="0.25">
      <c r="A1588" t="s">
        <v>1550</v>
      </c>
      <c r="B1588" t="s">
        <v>54</v>
      </c>
      <c r="C1588" t="s">
        <v>55</v>
      </c>
      <c r="D1588" t="s">
        <v>56</v>
      </c>
      <c r="E1588" t="s">
        <v>45</v>
      </c>
      <c r="F1588" t="s">
        <v>22</v>
      </c>
      <c r="G1588" t="s">
        <v>46</v>
      </c>
      <c r="H1588" s="1">
        <v>45394</v>
      </c>
      <c r="I1588" t="s">
        <v>64</v>
      </c>
      <c r="J1588" t="s">
        <v>1117</v>
      </c>
      <c r="K1588">
        <v>5</v>
      </c>
      <c r="L1588" t="s">
        <v>1479</v>
      </c>
      <c r="M1588">
        <v>3</v>
      </c>
      <c r="N1588">
        <v>1803</v>
      </c>
      <c r="O1588">
        <v>20</v>
      </c>
      <c r="P1588" s="1">
        <v>45468</v>
      </c>
      <c r="Q1588" s="1"/>
      <c r="R1588" t="str">
        <f>IF(Table1[[#This Row],[Actual close date]]="","",Table1[[#This Row],[Actual close date]]-Table1[[#This Row],[Expected close date]])</f>
        <v/>
      </c>
    </row>
    <row r="1589" spans="1:18" x14ac:dyDescent="0.25">
      <c r="A1589" t="s">
        <v>1687</v>
      </c>
      <c r="B1589" t="s">
        <v>33</v>
      </c>
      <c r="C1589" t="s">
        <v>34</v>
      </c>
      <c r="D1589" t="s">
        <v>35</v>
      </c>
      <c r="E1589" t="s">
        <v>66</v>
      </c>
      <c r="F1589" t="s">
        <v>167</v>
      </c>
      <c r="G1589" t="s">
        <v>37</v>
      </c>
      <c r="H1589" s="1">
        <v>45394</v>
      </c>
      <c r="I1589" t="s">
        <v>24</v>
      </c>
      <c r="J1589" t="s">
        <v>1117</v>
      </c>
      <c r="K1589">
        <v>5</v>
      </c>
      <c r="L1589" t="s">
        <v>1479</v>
      </c>
      <c r="M1589">
        <v>3</v>
      </c>
      <c r="N1589">
        <v>5180</v>
      </c>
      <c r="O1589">
        <v>70</v>
      </c>
      <c r="P1589" s="1">
        <v>45619</v>
      </c>
      <c r="Q1589" s="1"/>
      <c r="R1589" t="str">
        <f>IF(Table1[[#This Row],[Actual close date]]="","",Table1[[#This Row],[Actual close date]]-Table1[[#This Row],[Expected close date]])</f>
        <v/>
      </c>
    </row>
    <row r="1590" spans="1:18" x14ac:dyDescent="0.25">
      <c r="A1590" t="s">
        <v>1730</v>
      </c>
      <c r="B1590" t="s">
        <v>49</v>
      </c>
      <c r="C1590" t="s">
        <v>50</v>
      </c>
      <c r="D1590" t="s">
        <v>51</v>
      </c>
      <c r="E1590" t="s">
        <v>82</v>
      </c>
      <c r="F1590" t="s">
        <v>125</v>
      </c>
      <c r="G1590" t="s">
        <v>57</v>
      </c>
      <c r="H1590" s="1">
        <v>45394</v>
      </c>
      <c r="I1590" t="s">
        <v>24</v>
      </c>
      <c r="J1590" t="s">
        <v>1117</v>
      </c>
      <c r="K1590">
        <v>5</v>
      </c>
      <c r="L1590" t="s">
        <v>1700</v>
      </c>
      <c r="M1590">
        <v>1</v>
      </c>
      <c r="N1590">
        <v>1042</v>
      </c>
      <c r="O1590">
        <v>60</v>
      </c>
      <c r="P1590" s="1">
        <v>45602</v>
      </c>
      <c r="Q1590" s="1"/>
      <c r="R1590" t="str">
        <f>IF(Table1[[#This Row],[Actual close date]]="","",Table1[[#This Row],[Actual close date]]-Table1[[#This Row],[Expected close date]])</f>
        <v/>
      </c>
    </row>
    <row r="1591" spans="1:18" x14ac:dyDescent="0.25">
      <c r="A1591" t="s">
        <v>1738</v>
      </c>
      <c r="B1591" t="s">
        <v>59</v>
      </c>
      <c r="C1591" t="s">
        <v>60</v>
      </c>
      <c r="D1591" t="s">
        <v>61</v>
      </c>
      <c r="E1591" t="s">
        <v>52</v>
      </c>
      <c r="F1591" t="s">
        <v>125</v>
      </c>
      <c r="G1591" t="s">
        <v>37</v>
      </c>
      <c r="H1591" s="1">
        <v>45394</v>
      </c>
      <c r="I1591" t="s">
        <v>24</v>
      </c>
      <c r="J1591" t="s">
        <v>1117</v>
      </c>
      <c r="K1591">
        <v>5</v>
      </c>
      <c r="L1591" t="s">
        <v>1700</v>
      </c>
      <c r="M1591">
        <v>1</v>
      </c>
      <c r="N1591">
        <v>385</v>
      </c>
      <c r="O1591">
        <v>60</v>
      </c>
      <c r="P1591" s="1">
        <v>45670</v>
      </c>
      <c r="Q1591" s="1"/>
      <c r="R1591" t="str">
        <f>IF(Table1[[#This Row],[Actual close date]]="","",Table1[[#This Row],[Actual close date]]-Table1[[#This Row],[Expected close date]])</f>
        <v/>
      </c>
    </row>
    <row r="1592" spans="1:18" x14ac:dyDescent="0.25">
      <c r="A1592" t="s">
        <v>1746</v>
      </c>
      <c r="B1592" t="s">
        <v>33</v>
      </c>
      <c r="C1592" t="s">
        <v>34</v>
      </c>
      <c r="D1592" t="s">
        <v>35</v>
      </c>
      <c r="E1592" t="s">
        <v>45</v>
      </c>
      <c r="F1592" t="s">
        <v>167</v>
      </c>
      <c r="G1592" t="s">
        <v>46</v>
      </c>
      <c r="H1592" s="1">
        <v>45394</v>
      </c>
      <c r="I1592" t="s">
        <v>24</v>
      </c>
      <c r="J1592" t="s">
        <v>1117</v>
      </c>
      <c r="K1592">
        <v>5</v>
      </c>
      <c r="L1592" t="s">
        <v>1700</v>
      </c>
      <c r="M1592">
        <v>1</v>
      </c>
      <c r="N1592">
        <v>2355</v>
      </c>
      <c r="O1592">
        <v>20</v>
      </c>
      <c r="P1592" s="1">
        <v>45561</v>
      </c>
      <c r="Q1592" s="1"/>
      <c r="R1592" t="str">
        <f>IF(Table1[[#This Row],[Actual close date]]="","",Table1[[#This Row],[Actual close date]]-Table1[[#This Row],[Expected close date]])</f>
        <v/>
      </c>
    </row>
    <row r="1593" spans="1:18" x14ac:dyDescent="0.25">
      <c r="A1593" t="s">
        <v>1845</v>
      </c>
      <c r="B1593" t="s">
        <v>27</v>
      </c>
      <c r="C1593" t="s">
        <v>28</v>
      </c>
      <c r="D1593" t="s">
        <v>29</v>
      </c>
      <c r="E1593" t="s">
        <v>118</v>
      </c>
      <c r="F1593" t="s">
        <v>167</v>
      </c>
      <c r="G1593" t="s">
        <v>46</v>
      </c>
      <c r="H1593" s="1">
        <v>45394</v>
      </c>
      <c r="I1593" t="s">
        <v>24</v>
      </c>
      <c r="J1593" t="s">
        <v>1117</v>
      </c>
      <c r="K1593">
        <v>5</v>
      </c>
      <c r="L1593" t="s">
        <v>1766</v>
      </c>
      <c r="M1593">
        <v>4</v>
      </c>
      <c r="N1593">
        <v>1099</v>
      </c>
      <c r="O1593">
        <v>60</v>
      </c>
      <c r="P1593" s="1">
        <v>45624</v>
      </c>
      <c r="Q1593" s="1"/>
      <c r="R1593" t="str">
        <f>IF(Table1[[#This Row],[Actual close date]]="","",Table1[[#This Row],[Actual close date]]-Table1[[#This Row],[Expected close date]])</f>
        <v/>
      </c>
    </row>
    <row r="1594" spans="1:18" x14ac:dyDescent="0.25">
      <c r="A1594" t="s">
        <v>1857</v>
      </c>
      <c r="B1594" t="s">
        <v>59</v>
      </c>
      <c r="C1594" t="s">
        <v>60</v>
      </c>
      <c r="D1594" t="s">
        <v>61</v>
      </c>
      <c r="E1594" t="s">
        <v>62</v>
      </c>
      <c r="F1594" t="s">
        <v>167</v>
      </c>
      <c r="G1594" t="s">
        <v>46</v>
      </c>
      <c r="H1594" s="1">
        <v>45394</v>
      </c>
      <c r="I1594" t="s">
        <v>64</v>
      </c>
      <c r="J1594" t="s">
        <v>1117</v>
      </c>
      <c r="K1594">
        <v>5</v>
      </c>
      <c r="L1594" t="s">
        <v>1766</v>
      </c>
      <c r="M1594">
        <v>4</v>
      </c>
      <c r="N1594">
        <v>2879</v>
      </c>
      <c r="O1594">
        <v>30</v>
      </c>
      <c r="P1594" s="1">
        <v>45749</v>
      </c>
      <c r="Q1594" s="1"/>
      <c r="R1594" t="str">
        <f>IF(Table1[[#This Row],[Actual close date]]="","",Table1[[#This Row],[Actual close date]]-Table1[[#This Row],[Expected close date]])</f>
        <v/>
      </c>
    </row>
    <row r="1595" spans="1:18" x14ac:dyDescent="0.25">
      <c r="A1595" t="s">
        <v>1290</v>
      </c>
      <c r="B1595" t="s">
        <v>33</v>
      </c>
      <c r="C1595" t="s">
        <v>34</v>
      </c>
      <c r="D1595" t="s">
        <v>35</v>
      </c>
      <c r="E1595" t="s">
        <v>101</v>
      </c>
      <c r="F1595" t="s">
        <v>167</v>
      </c>
      <c r="G1595" t="s">
        <v>46</v>
      </c>
      <c r="H1595" s="1">
        <v>45395</v>
      </c>
      <c r="I1595" t="s">
        <v>64</v>
      </c>
      <c r="J1595" t="s">
        <v>1117</v>
      </c>
      <c r="K1595">
        <v>5</v>
      </c>
      <c r="L1595" t="s">
        <v>1118</v>
      </c>
      <c r="M1595">
        <v>2</v>
      </c>
      <c r="N1595">
        <v>5798</v>
      </c>
      <c r="O1595">
        <v>40</v>
      </c>
      <c r="P1595" s="1">
        <v>45702</v>
      </c>
      <c r="Q1595" s="1"/>
      <c r="R1595" t="str">
        <f>IF(Table1[[#This Row],[Actual close date]]="","",Table1[[#This Row],[Actual close date]]-Table1[[#This Row],[Expected close date]])</f>
        <v/>
      </c>
    </row>
    <row r="1596" spans="1:18" x14ac:dyDescent="0.25">
      <c r="A1596" t="s">
        <v>1394</v>
      </c>
      <c r="B1596" t="s">
        <v>33</v>
      </c>
      <c r="C1596" t="s">
        <v>34</v>
      </c>
      <c r="D1596" t="s">
        <v>35</v>
      </c>
      <c r="E1596" t="s">
        <v>45</v>
      </c>
      <c r="F1596" t="s">
        <v>167</v>
      </c>
      <c r="G1596" t="s">
        <v>57</v>
      </c>
      <c r="H1596" s="1">
        <v>45395</v>
      </c>
      <c r="I1596" t="s">
        <v>64</v>
      </c>
      <c r="J1596" t="s">
        <v>1117</v>
      </c>
      <c r="K1596">
        <v>5</v>
      </c>
      <c r="L1596" t="s">
        <v>1118</v>
      </c>
      <c r="M1596">
        <v>2</v>
      </c>
      <c r="N1596">
        <v>4202</v>
      </c>
      <c r="O1596">
        <v>40</v>
      </c>
      <c r="P1596" s="1">
        <v>45599</v>
      </c>
      <c r="Q1596" s="1"/>
      <c r="R1596" t="str">
        <f>IF(Table1[[#This Row],[Actual close date]]="","",Table1[[#This Row],[Actual close date]]-Table1[[#This Row],[Expected close date]])</f>
        <v/>
      </c>
    </row>
    <row r="1597" spans="1:18" x14ac:dyDescent="0.25">
      <c r="A1597" t="s">
        <v>1809</v>
      </c>
      <c r="B1597" t="s">
        <v>33</v>
      </c>
      <c r="C1597" t="s">
        <v>34</v>
      </c>
      <c r="D1597" t="s">
        <v>35</v>
      </c>
      <c r="E1597" t="s">
        <v>82</v>
      </c>
      <c r="F1597" t="s">
        <v>125</v>
      </c>
      <c r="G1597" t="s">
        <v>37</v>
      </c>
      <c r="H1597" s="1">
        <v>45395</v>
      </c>
      <c r="I1597" t="s">
        <v>24</v>
      </c>
      <c r="J1597" t="s">
        <v>1117</v>
      </c>
      <c r="K1597">
        <v>5</v>
      </c>
      <c r="L1597" t="s">
        <v>1766</v>
      </c>
      <c r="M1597">
        <v>4</v>
      </c>
      <c r="N1597">
        <v>845</v>
      </c>
      <c r="O1597">
        <v>40</v>
      </c>
      <c r="P1597" s="1">
        <v>45597</v>
      </c>
      <c r="Q1597" s="1"/>
      <c r="R1597" t="str">
        <f>IF(Table1[[#This Row],[Actual close date]]="","",Table1[[#This Row],[Actual close date]]-Table1[[#This Row],[Expected close date]])</f>
        <v/>
      </c>
    </row>
    <row r="1598" spans="1:18" x14ac:dyDescent="0.25">
      <c r="A1598" t="s">
        <v>1899</v>
      </c>
      <c r="B1598" t="s">
        <v>33</v>
      </c>
      <c r="C1598" t="s">
        <v>34</v>
      </c>
      <c r="D1598" t="s">
        <v>35</v>
      </c>
      <c r="E1598" t="s">
        <v>52</v>
      </c>
      <c r="F1598" t="s">
        <v>239</v>
      </c>
      <c r="G1598" t="s">
        <v>23</v>
      </c>
      <c r="H1598" s="1">
        <v>45395</v>
      </c>
      <c r="I1598" t="s">
        <v>47</v>
      </c>
      <c r="J1598" t="s">
        <v>1117</v>
      </c>
      <c r="K1598">
        <v>5</v>
      </c>
      <c r="L1598" t="s">
        <v>1766</v>
      </c>
      <c r="M1598">
        <v>4</v>
      </c>
      <c r="N1598">
        <v>9742</v>
      </c>
      <c r="O1598">
        <v>40</v>
      </c>
      <c r="P1598" s="1">
        <v>45590</v>
      </c>
      <c r="Q1598" s="1"/>
      <c r="R1598" t="str">
        <f>IF(Table1[[#This Row],[Actual close date]]="","",Table1[[#This Row],[Actual close date]]-Table1[[#This Row],[Expected close date]])</f>
        <v/>
      </c>
    </row>
    <row r="1599" spans="1:18" x14ac:dyDescent="0.25">
      <c r="A1599" t="s">
        <v>1130</v>
      </c>
      <c r="B1599" t="s">
        <v>59</v>
      </c>
      <c r="C1599" t="s">
        <v>60</v>
      </c>
      <c r="D1599" t="s">
        <v>61</v>
      </c>
      <c r="E1599" t="s">
        <v>52</v>
      </c>
      <c r="F1599" t="s">
        <v>22</v>
      </c>
      <c r="G1599" t="s">
        <v>37</v>
      </c>
      <c r="H1599" s="1">
        <v>45396</v>
      </c>
      <c r="I1599" t="s">
        <v>64</v>
      </c>
      <c r="J1599" t="s">
        <v>1117</v>
      </c>
      <c r="K1599">
        <v>5</v>
      </c>
      <c r="L1599" t="s">
        <v>1118</v>
      </c>
      <c r="M1599">
        <v>2</v>
      </c>
      <c r="N1599">
        <v>1710</v>
      </c>
      <c r="O1599">
        <v>10</v>
      </c>
      <c r="P1599" s="1">
        <v>45619</v>
      </c>
      <c r="Q1599" s="1"/>
      <c r="R1599" t="str">
        <f>IF(Table1[[#This Row],[Actual close date]]="","",Table1[[#This Row],[Actual close date]]-Table1[[#This Row],[Expected close date]])</f>
        <v/>
      </c>
    </row>
    <row r="1600" spans="1:18" x14ac:dyDescent="0.25">
      <c r="A1600" t="s">
        <v>1759</v>
      </c>
      <c r="B1600" t="s">
        <v>59</v>
      </c>
      <c r="C1600" t="s">
        <v>60</v>
      </c>
      <c r="D1600" t="s">
        <v>61</v>
      </c>
      <c r="E1600" t="s">
        <v>21</v>
      </c>
      <c r="F1600" t="s">
        <v>167</v>
      </c>
      <c r="G1600" t="s">
        <v>72</v>
      </c>
      <c r="H1600" s="1">
        <v>45396</v>
      </c>
      <c r="I1600" t="s">
        <v>64</v>
      </c>
      <c r="J1600" t="s">
        <v>1117</v>
      </c>
      <c r="K1600">
        <v>5</v>
      </c>
      <c r="L1600" t="s">
        <v>1700</v>
      </c>
      <c r="M1600">
        <v>1</v>
      </c>
      <c r="N1600">
        <v>5056</v>
      </c>
      <c r="O1600">
        <v>80</v>
      </c>
      <c r="P1600" s="1">
        <v>45416</v>
      </c>
      <c r="Q1600" s="1"/>
      <c r="R1600" t="str">
        <f>IF(Table1[[#This Row],[Actual close date]]="","",Table1[[#This Row],[Actual close date]]-Table1[[#This Row],[Expected close date]])</f>
        <v/>
      </c>
    </row>
    <row r="1601" spans="1:18" x14ac:dyDescent="0.25">
      <c r="A1601" t="s">
        <v>1165</v>
      </c>
      <c r="B1601" t="s">
        <v>33</v>
      </c>
      <c r="C1601" t="s">
        <v>34</v>
      </c>
      <c r="D1601" t="s">
        <v>35</v>
      </c>
      <c r="E1601" t="s">
        <v>82</v>
      </c>
      <c r="F1601" t="s">
        <v>22</v>
      </c>
      <c r="G1601" t="s">
        <v>85</v>
      </c>
      <c r="H1601" s="1">
        <v>45397</v>
      </c>
      <c r="I1601" t="s">
        <v>64</v>
      </c>
      <c r="J1601" t="s">
        <v>1117</v>
      </c>
      <c r="K1601">
        <v>5</v>
      </c>
      <c r="L1601" t="s">
        <v>1118</v>
      </c>
      <c r="M1601">
        <v>2</v>
      </c>
      <c r="N1601">
        <v>1369</v>
      </c>
      <c r="O1601">
        <v>50</v>
      </c>
      <c r="P1601" s="1">
        <v>45657</v>
      </c>
      <c r="Q1601" s="1"/>
      <c r="R1601" t="str">
        <f>IF(Table1[[#This Row],[Actual close date]]="","",Table1[[#This Row],[Actual close date]]-Table1[[#This Row],[Expected close date]])</f>
        <v/>
      </c>
    </row>
    <row r="1602" spans="1:18" x14ac:dyDescent="0.25">
      <c r="A1602" t="s">
        <v>1179</v>
      </c>
      <c r="B1602" t="s">
        <v>54</v>
      </c>
      <c r="C1602" t="s">
        <v>55</v>
      </c>
      <c r="D1602" t="s">
        <v>56</v>
      </c>
      <c r="E1602" t="s">
        <v>122</v>
      </c>
      <c r="F1602" t="s">
        <v>22</v>
      </c>
      <c r="G1602" t="s">
        <v>57</v>
      </c>
      <c r="H1602" s="1">
        <v>45397</v>
      </c>
      <c r="I1602" t="s">
        <v>24</v>
      </c>
      <c r="J1602" t="s">
        <v>1117</v>
      </c>
      <c r="K1602">
        <v>5</v>
      </c>
      <c r="L1602" t="s">
        <v>1118</v>
      </c>
      <c r="M1602">
        <v>2</v>
      </c>
      <c r="N1602">
        <v>939</v>
      </c>
      <c r="O1602">
        <v>80</v>
      </c>
      <c r="P1602" s="1">
        <v>45621</v>
      </c>
      <c r="Q1602" s="1"/>
      <c r="R1602" t="str">
        <f>IF(Table1[[#This Row],[Actual close date]]="","",Table1[[#This Row],[Actual close date]]-Table1[[#This Row],[Expected close date]])</f>
        <v/>
      </c>
    </row>
    <row r="1603" spans="1:18" x14ac:dyDescent="0.25">
      <c r="A1603" t="s">
        <v>1410</v>
      </c>
      <c r="B1603" t="s">
        <v>27</v>
      </c>
      <c r="C1603" t="s">
        <v>28</v>
      </c>
      <c r="D1603" t="s">
        <v>29</v>
      </c>
      <c r="E1603" t="s">
        <v>42</v>
      </c>
      <c r="F1603" t="s">
        <v>239</v>
      </c>
      <c r="G1603" t="s">
        <v>57</v>
      </c>
      <c r="H1603" s="1">
        <v>45397</v>
      </c>
      <c r="I1603" t="s">
        <v>24</v>
      </c>
      <c r="J1603" t="s">
        <v>1117</v>
      </c>
      <c r="K1603">
        <v>5</v>
      </c>
      <c r="L1603" t="s">
        <v>1118</v>
      </c>
      <c r="M1603">
        <v>2</v>
      </c>
      <c r="N1603">
        <v>15769</v>
      </c>
      <c r="O1603">
        <v>50</v>
      </c>
      <c r="P1603" s="1">
        <v>45554</v>
      </c>
      <c r="Q1603" s="1"/>
      <c r="R1603" t="str">
        <f>IF(Table1[[#This Row],[Actual close date]]="","",Table1[[#This Row],[Actual close date]]-Table1[[#This Row],[Expected close date]])</f>
        <v/>
      </c>
    </row>
    <row r="1604" spans="1:18" x14ac:dyDescent="0.25">
      <c r="A1604" t="s">
        <v>1681</v>
      </c>
      <c r="B1604" t="s">
        <v>33</v>
      </c>
      <c r="C1604" t="s">
        <v>34</v>
      </c>
      <c r="D1604" t="s">
        <v>35</v>
      </c>
      <c r="E1604" t="s">
        <v>45</v>
      </c>
      <c r="F1604" t="s">
        <v>167</v>
      </c>
      <c r="G1604" t="s">
        <v>85</v>
      </c>
      <c r="H1604" s="1">
        <v>45398</v>
      </c>
      <c r="I1604" t="s">
        <v>47</v>
      </c>
      <c r="J1604" t="s">
        <v>1117</v>
      </c>
      <c r="K1604">
        <v>5</v>
      </c>
      <c r="L1604" t="s">
        <v>1479</v>
      </c>
      <c r="M1604">
        <v>3</v>
      </c>
      <c r="N1604">
        <v>5828</v>
      </c>
      <c r="O1604">
        <v>20</v>
      </c>
      <c r="P1604" s="1">
        <v>45471</v>
      </c>
      <c r="Q1604" s="1"/>
      <c r="R1604" t="str">
        <f>IF(Table1[[#This Row],[Actual close date]]="","",Table1[[#This Row],[Actual close date]]-Table1[[#This Row],[Expected close date]])</f>
        <v/>
      </c>
    </row>
    <row r="1605" spans="1:18" x14ac:dyDescent="0.25">
      <c r="A1605" t="s">
        <v>1798</v>
      </c>
      <c r="B1605" t="s">
        <v>69</v>
      </c>
      <c r="C1605" t="s">
        <v>70</v>
      </c>
      <c r="D1605" t="s">
        <v>71</v>
      </c>
      <c r="E1605" t="s">
        <v>45</v>
      </c>
      <c r="F1605" t="s">
        <v>22</v>
      </c>
      <c r="G1605" t="s">
        <v>31</v>
      </c>
      <c r="H1605" s="1">
        <v>45398</v>
      </c>
      <c r="I1605" t="s">
        <v>24</v>
      </c>
      <c r="J1605" t="s">
        <v>1117</v>
      </c>
      <c r="K1605">
        <v>5</v>
      </c>
      <c r="L1605" t="s">
        <v>1766</v>
      </c>
      <c r="M1605">
        <v>4</v>
      </c>
      <c r="N1605">
        <v>1312</v>
      </c>
      <c r="O1605">
        <v>40</v>
      </c>
      <c r="P1605" s="1">
        <v>45763</v>
      </c>
      <c r="Q1605" s="1"/>
      <c r="R1605" t="str">
        <f>IF(Table1[[#This Row],[Actual close date]]="","",Table1[[#This Row],[Actual close date]]-Table1[[#This Row],[Expected close date]])</f>
        <v/>
      </c>
    </row>
    <row r="1606" spans="1:18" x14ac:dyDescent="0.25">
      <c r="A1606" t="s">
        <v>1805</v>
      </c>
      <c r="B1606" t="s">
        <v>39</v>
      </c>
      <c r="C1606" t="s">
        <v>40</v>
      </c>
      <c r="D1606" t="s">
        <v>41</v>
      </c>
      <c r="E1606" t="s">
        <v>21</v>
      </c>
      <c r="F1606" t="s">
        <v>125</v>
      </c>
      <c r="G1606" t="s">
        <v>46</v>
      </c>
      <c r="H1606" s="1">
        <v>45398</v>
      </c>
      <c r="I1606" t="s">
        <v>64</v>
      </c>
      <c r="J1606" t="s">
        <v>1117</v>
      </c>
      <c r="K1606">
        <v>5</v>
      </c>
      <c r="L1606" t="s">
        <v>1766</v>
      </c>
      <c r="M1606">
        <v>4</v>
      </c>
      <c r="N1606">
        <v>428</v>
      </c>
      <c r="O1606">
        <v>50</v>
      </c>
      <c r="P1606" s="1">
        <v>45616</v>
      </c>
      <c r="Q1606" s="1"/>
      <c r="R1606" t="str">
        <f>IF(Table1[[#This Row],[Actual close date]]="","",Table1[[#This Row],[Actual close date]]-Table1[[#This Row],[Expected close date]])</f>
        <v/>
      </c>
    </row>
    <row r="1607" spans="1:18" x14ac:dyDescent="0.25">
      <c r="A1607" t="s">
        <v>1608</v>
      </c>
      <c r="B1607" t="s">
        <v>27</v>
      </c>
      <c r="C1607" t="s">
        <v>28</v>
      </c>
      <c r="D1607" t="s">
        <v>29</v>
      </c>
      <c r="E1607" t="s">
        <v>45</v>
      </c>
      <c r="F1607" t="s">
        <v>167</v>
      </c>
      <c r="G1607" t="s">
        <v>31</v>
      </c>
      <c r="H1607" s="1">
        <v>45399</v>
      </c>
      <c r="I1607" t="s">
        <v>47</v>
      </c>
      <c r="J1607" t="s">
        <v>1117</v>
      </c>
      <c r="K1607">
        <v>5</v>
      </c>
      <c r="L1607" t="s">
        <v>1479</v>
      </c>
      <c r="M1607">
        <v>3</v>
      </c>
      <c r="N1607">
        <v>3012</v>
      </c>
      <c r="O1607">
        <v>60</v>
      </c>
      <c r="P1607" s="1">
        <v>45726</v>
      </c>
      <c r="Q1607" s="1"/>
      <c r="R1607" t="str">
        <f>IF(Table1[[#This Row],[Actual close date]]="","",Table1[[#This Row],[Actual close date]]-Table1[[#This Row],[Expected close date]])</f>
        <v/>
      </c>
    </row>
    <row r="1608" spans="1:18" x14ac:dyDescent="0.25">
      <c r="A1608" t="s">
        <v>1702</v>
      </c>
      <c r="B1608" t="s">
        <v>33</v>
      </c>
      <c r="C1608" t="s">
        <v>34</v>
      </c>
      <c r="D1608" t="s">
        <v>35</v>
      </c>
      <c r="E1608" t="s">
        <v>45</v>
      </c>
      <c r="F1608" t="s">
        <v>22</v>
      </c>
      <c r="G1608" t="s">
        <v>85</v>
      </c>
      <c r="H1608" s="1">
        <v>45399</v>
      </c>
      <c r="I1608" t="s">
        <v>64</v>
      </c>
      <c r="J1608" t="s">
        <v>1117</v>
      </c>
      <c r="K1608">
        <v>5</v>
      </c>
      <c r="L1608" t="s">
        <v>1700</v>
      </c>
      <c r="M1608">
        <v>1</v>
      </c>
      <c r="N1608">
        <v>1628</v>
      </c>
      <c r="O1608">
        <v>30</v>
      </c>
      <c r="P1608" s="1">
        <v>45725</v>
      </c>
      <c r="Q1608" s="1"/>
      <c r="R1608" t="str">
        <f>IF(Table1[[#This Row],[Actual close date]]="","",Table1[[#This Row],[Actual close date]]-Table1[[#This Row],[Expected close date]])</f>
        <v/>
      </c>
    </row>
    <row r="1609" spans="1:18" x14ac:dyDescent="0.25">
      <c r="A1609" t="s">
        <v>1806</v>
      </c>
      <c r="B1609" t="s">
        <v>18</v>
      </c>
      <c r="C1609" t="s">
        <v>19</v>
      </c>
      <c r="D1609" t="s">
        <v>20</v>
      </c>
      <c r="E1609" t="s">
        <v>52</v>
      </c>
      <c r="F1609" t="s">
        <v>125</v>
      </c>
      <c r="G1609" t="s">
        <v>37</v>
      </c>
      <c r="H1609" s="1">
        <v>45399</v>
      </c>
      <c r="I1609" t="s">
        <v>24</v>
      </c>
      <c r="J1609" t="s">
        <v>1117</v>
      </c>
      <c r="K1609">
        <v>5</v>
      </c>
      <c r="L1609" t="s">
        <v>1766</v>
      </c>
      <c r="M1609">
        <v>4</v>
      </c>
      <c r="N1609">
        <v>238</v>
      </c>
      <c r="O1609">
        <v>10</v>
      </c>
      <c r="P1609" s="1">
        <v>45686</v>
      </c>
      <c r="Q1609" s="1"/>
      <c r="R1609" t="str">
        <f>IF(Table1[[#This Row],[Actual close date]]="","",Table1[[#This Row],[Actual close date]]-Table1[[#This Row],[Expected close date]])</f>
        <v/>
      </c>
    </row>
    <row r="1610" spans="1:18" x14ac:dyDescent="0.25">
      <c r="A1610" t="s">
        <v>1752</v>
      </c>
      <c r="B1610" t="s">
        <v>33</v>
      </c>
      <c r="C1610" t="s">
        <v>34</v>
      </c>
      <c r="D1610" t="s">
        <v>35</v>
      </c>
      <c r="E1610" t="s">
        <v>45</v>
      </c>
      <c r="F1610" t="s">
        <v>167</v>
      </c>
      <c r="G1610" t="s">
        <v>23</v>
      </c>
      <c r="H1610" s="1">
        <v>45400</v>
      </c>
      <c r="I1610" t="s">
        <v>47</v>
      </c>
      <c r="J1610" t="s">
        <v>1117</v>
      </c>
      <c r="K1610">
        <v>5</v>
      </c>
      <c r="L1610" t="s">
        <v>1700</v>
      </c>
      <c r="M1610">
        <v>1</v>
      </c>
      <c r="N1610">
        <v>6618</v>
      </c>
      <c r="O1610">
        <v>10</v>
      </c>
      <c r="P1610" s="1">
        <v>45688</v>
      </c>
      <c r="Q1610" s="1"/>
      <c r="R1610" t="str">
        <f>IF(Table1[[#This Row],[Actual close date]]="","",Table1[[#This Row],[Actual close date]]-Table1[[#This Row],[Expected close date]])</f>
        <v/>
      </c>
    </row>
    <row r="1611" spans="1:18" x14ac:dyDescent="0.25">
      <c r="A1611" t="s">
        <v>1260</v>
      </c>
      <c r="B1611" t="s">
        <v>33</v>
      </c>
      <c r="C1611" t="s">
        <v>34</v>
      </c>
      <c r="D1611" t="s">
        <v>35</v>
      </c>
      <c r="E1611" t="s">
        <v>45</v>
      </c>
      <c r="F1611" t="s">
        <v>125</v>
      </c>
      <c r="G1611" t="s">
        <v>37</v>
      </c>
      <c r="H1611" s="1">
        <v>45401</v>
      </c>
      <c r="I1611" t="s">
        <v>24</v>
      </c>
      <c r="J1611" t="s">
        <v>1117</v>
      </c>
      <c r="K1611">
        <v>5</v>
      </c>
      <c r="L1611" t="s">
        <v>1118</v>
      </c>
      <c r="M1611">
        <v>2</v>
      </c>
      <c r="N1611">
        <v>274</v>
      </c>
      <c r="O1611">
        <v>20</v>
      </c>
      <c r="P1611" s="1">
        <v>45523</v>
      </c>
      <c r="Q1611" s="1"/>
      <c r="R1611" t="str">
        <f>IF(Table1[[#This Row],[Actual close date]]="","",Table1[[#This Row],[Actual close date]]-Table1[[#This Row],[Expected close date]])</f>
        <v/>
      </c>
    </row>
    <row r="1612" spans="1:18" x14ac:dyDescent="0.25">
      <c r="A1612" t="s">
        <v>1268</v>
      </c>
      <c r="B1612" t="s">
        <v>18</v>
      </c>
      <c r="C1612" t="s">
        <v>19</v>
      </c>
      <c r="D1612" t="s">
        <v>20</v>
      </c>
      <c r="E1612" t="s">
        <v>21</v>
      </c>
      <c r="F1612" t="s">
        <v>125</v>
      </c>
      <c r="G1612" t="s">
        <v>57</v>
      </c>
      <c r="H1612" s="1">
        <v>45401</v>
      </c>
      <c r="I1612" t="s">
        <v>47</v>
      </c>
      <c r="J1612" t="s">
        <v>1117</v>
      </c>
      <c r="K1612">
        <v>5</v>
      </c>
      <c r="L1612" t="s">
        <v>1118</v>
      </c>
      <c r="M1612">
        <v>2</v>
      </c>
      <c r="N1612">
        <v>986</v>
      </c>
      <c r="O1612">
        <v>90</v>
      </c>
      <c r="P1612" s="1">
        <v>45676</v>
      </c>
      <c r="Q1612" s="1"/>
      <c r="R1612" t="str">
        <f>IF(Table1[[#This Row],[Actual close date]]="","",Table1[[#This Row],[Actual close date]]-Table1[[#This Row],[Expected close date]])</f>
        <v/>
      </c>
    </row>
    <row r="1613" spans="1:18" x14ac:dyDescent="0.25">
      <c r="A1613" t="s">
        <v>1277</v>
      </c>
      <c r="B1613" t="s">
        <v>33</v>
      </c>
      <c r="C1613" t="s">
        <v>34</v>
      </c>
      <c r="D1613" t="s">
        <v>35</v>
      </c>
      <c r="E1613" t="s">
        <v>52</v>
      </c>
      <c r="F1613" t="s">
        <v>167</v>
      </c>
      <c r="G1613" t="s">
        <v>46</v>
      </c>
      <c r="H1613" s="1">
        <v>45401</v>
      </c>
      <c r="I1613" t="s">
        <v>47</v>
      </c>
      <c r="J1613" t="s">
        <v>1117</v>
      </c>
      <c r="K1613">
        <v>5</v>
      </c>
      <c r="L1613" t="s">
        <v>1118</v>
      </c>
      <c r="M1613">
        <v>2</v>
      </c>
      <c r="N1613">
        <v>7542</v>
      </c>
      <c r="O1613">
        <v>90</v>
      </c>
      <c r="P1613" s="1">
        <v>45755</v>
      </c>
      <c r="Q1613" s="1"/>
      <c r="R1613" t="str">
        <f>IF(Table1[[#This Row],[Actual close date]]="","",Table1[[#This Row],[Actual close date]]-Table1[[#This Row],[Expected close date]])</f>
        <v/>
      </c>
    </row>
    <row r="1614" spans="1:18" x14ac:dyDescent="0.25">
      <c r="A1614" t="s">
        <v>1307</v>
      </c>
      <c r="B1614" t="s">
        <v>39</v>
      </c>
      <c r="C1614" t="s">
        <v>40</v>
      </c>
      <c r="D1614" t="s">
        <v>41</v>
      </c>
      <c r="E1614" t="s">
        <v>45</v>
      </c>
      <c r="F1614" t="s">
        <v>167</v>
      </c>
      <c r="G1614" t="s">
        <v>57</v>
      </c>
      <c r="H1614" s="1">
        <v>45402</v>
      </c>
      <c r="I1614" t="s">
        <v>64</v>
      </c>
      <c r="J1614" t="s">
        <v>1117</v>
      </c>
      <c r="K1614">
        <v>5</v>
      </c>
      <c r="L1614" t="s">
        <v>1118</v>
      </c>
      <c r="M1614">
        <v>2</v>
      </c>
      <c r="N1614">
        <v>4630</v>
      </c>
      <c r="O1614">
        <v>20</v>
      </c>
      <c r="P1614" s="1">
        <v>45678</v>
      </c>
      <c r="Q1614" s="1"/>
      <c r="R1614" t="str">
        <f>IF(Table1[[#This Row],[Actual close date]]="","",Table1[[#This Row],[Actual close date]]-Table1[[#This Row],[Expected close date]])</f>
        <v/>
      </c>
    </row>
    <row r="1615" spans="1:18" x14ac:dyDescent="0.25">
      <c r="A1615" t="s">
        <v>1376</v>
      </c>
      <c r="B1615" t="s">
        <v>39</v>
      </c>
      <c r="C1615" t="s">
        <v>40</v>
      </c>
      <c r="D1615" t="s">
        <v>41</v>
      </c>
      <c r="E1615" t="s">
        <v>98</v>
      </c>
      <c r="F1615" t="s">
        <v>167</v>
      </c>
      <c r="G1615" t="s">
        <v>31</v>
      </c>
      <c r="H1615" s="1">
        <v>45402</v>
      </c>
      <c r="I1615" t="s">
        <v>47</v>
      </c>
      <c r="J1615" t="s">
        <v>1117</v>
      </c>
      <c r="K1615">
        <v>5</v>
      </c>
      <c r="L1615" t="s">
        <v>1118</v>
      </c>
      <c r="M1615">
        <v>2</v>
      </c>
      <c r="N1615">
        <v>6215</v>
      </c>
      <c r="O1615">
        <v>40</v>
      </c>
      <c r="P1615" s="1">
        <v>45473</v>
      </c>
      <c r="Q1615" s="1"/>
      <c r="R1615" t="str">
        <f>IF(Table1[[#This Row],[Actual close date]]="","",Table1[[#This Row],[Actual close date]]-Table1[[#This Row],[Expected close date]])</f>
        <v/>
      </c>
    </row>
    <row r="1616" spans="1:18" x14ac:dyDescent="0.25">
      <c r="A1616" t="s">
        <v>1546</v>
      </c>
      <c r="B1616" t="s">
        <v>18</v>
      </c>
      <c r="C1616" t="s">
        <v>19</v>
      </c>
      <c r="D1616" t="s">
        <v>20</v>
      </c>
      <c r="E1616" t="s">
        <v>118</v>
      </c>
      <c r="F1616" t="s">
        <v>22</v>
      </c>
      <c r="G1616" t="s">
        <v>37</v>
      </c>
      <c r="H1616" s="1">
        <v>45402</v>
      </c>
      <c r="I1616" t="s">
        <v>24</v>
      </c>
      <c r="J1616" t="s">
        <v>1117</v>
      </c>
      <c r="K1616">
        <v>5</v>
      </c>
      <c r="L1616" t="s">
        <v>1479</v>
      </c>
      <c r="M1616">
        <v>3</v>
      </c>
      <c r="N1616">
        <v>1527</v>
      </c>
      <c r="O1616">
        <v>60</v>
      </c>
      <c r="P1616" s="1">
        <v>45494</v>
      </c>
      <c r="Q1616" s="1"/>
      <c r="R1616" t="str">
        <f>IF(Table1[[#This Row],[Actual close date]]="","",Table1[[#This Row],[Actual close date]]-Table1[[#This Row],[Expected close date]])</f>
        <v/>
      </c>
    </row>
    <row r="1617" spans="1:18" x14ac:dyDescent="0.25">
      <c r="A1617" t="s">
        <v>1145</v>
      </c>
      <c r="B1617" t="s">
        <v>54</v>
      </c>
      <c r="C1617" t="s">
        <v>55</v>
      </c>
      <c r="D1617" t="s">
        <v>56</v>
      </c>
      <c r="E1617" t="s">
        <v>122</v>
      </c>
      <c r="F1617" t="s">
        <v>22</v>
      </c>
      <c r="G1617" t="s">
        <v>57</v>
      </c>
      <c r="H1617" s="1">
        <v>45403</v>
      </c>
      <c r="I1617" t="s">
        <v>24</v>
      </c>
      <c r="J1617" t="s">
        <v>1117</v>
      </c>
      <c r="K1617">
        <v>5</v>
      </c>
      <c r="L1617" t="s">
        <v>1118</v>
      </c>
      <c r="M1617">
        <v>2</v>
      </c>
      <c r="N1617">
        <v>288</v>
      </c>
      <c r="O1617">
        <v>60</v>
      </c>
      <c r="P1617" s="1">
        <v>45464</v>
      </c>
      <c r="Q1617" s="1"/>
      <c r="R1617" t="str">
        <f>IF(Table1[[#This Row],[Actual close date]]="","",Table1[[#This Row],[Actual close date]]-Table1[[#This Row],[Expected close date]])</f>
        <v/>
      </c>
    </row>
    <row r="1618" spans="1:18" x14ac:dyDescent="0.25">
      <c r="A1618" t="s">
        <v>1151</v>
      </c>
      <c r="B1618" t="s">
        <v>59</v>
      </c>
      <c r="C1618" t="s">
        <v>60</v>
      </c>
      <c r="D1618" t="s">
        <v>61</v>
      </c>
      <c r="E1618" t="s">
        <v>118</v>
      </c>
      <c r="F1618" t="s">
        <v>22</v>
      </c>
      <c r="G1618" t="s">
        <v>37</v>
      </c>
      <c r="H1618" s="1">
        <v>45403</v>
      </c>
      <c r="I1618" t="s">
        <v>64</v>
      </c>
      <c r="J1618" t="s">
        <v>1117</v>
      </c>
      <c r="K1618">
        <v>5</v>
      </c>
      <c r="L1618" t="s">
        <v>1118</v>
      </c>
      <c r="M1618">
        <v>2</v>
      </c>
      <c r="N1618">
        <v>724</v>
      </c>
      <c r="O1618">
        <v>30</v>
      </c>
      <c r="P1618" s="1">
        <v>45642</v>
      </c>
      <c r="Q1618" s="1"/>
      <c r="R1618" t="str">
        <f>IF(Table1[[#This Row],[Actual close date]]="","",Table1[[#This Row],[Actual close date]]-Table1[[#This Row],[Expected close date]])</f>
        <v/>
      </c>
    </row>
    <row r="1619" spans="1:18" x14ac:dyDescent="0.25">
      <c r="A1619" t="s">
        <v>1176</v>
      </c>
      <c r="B1619" t="s">
        <v>69</v>
      </c>
      <c r="C1619" t="s">
        <v>70</v>
      </c>
      <c r="D1619" t="s">
        <v>71</v>
      </c>
      <c r="E1619" t="s">
        <v>42</v>
      </c>
      <c r="F1619" t="s">
        <v>22</v>
      </c>
      <c r="G1619" t="s">
        <v>23</v>
      </c>
      <c r="H1619" s="1">
        <v>45403</v>
      </c>
      <c r="I1619" t="s">
        <v>24</v>
      </c>
      <c r="J1619" t="s">
        <v>1117</v>
      </c>
      <c r="K1619">
        <v>5</v>
      </c>
      <c r="L1619" t="s">
        <v>1118</v>
      </c>
      <c r="M1619">
        <v>2</v>
      </c>
      <c r="N1619">
        <v>357</v>
      </c>
      <c r="O1619">
        <v>40</v>
      </c>
      <c r="P1619" s="1">
        <v>45557</v>
      </c>
      <c r="Q1619" s="1"/>
      <c r="R1619" t="str">
        <f>IF(Table1[[#This Row],[Actual close date]]="","",Table1[[#This Row],[Actual close date]]-Table1[[#This Row],[Expected close date]])</f>
        <v/>
      </c>
    </row>
    <row r="1620" spans="1:18" x14ac:dyDescent="0.25">
      <c r="A1620" t="s">
        <v>1247</v>
      </c>
      <c r="B1620" t="s">
        <v>54</v>
      </c>
      <c r="C1620" t="s">
        <v>55</v>
      </c>
      <c r="D1620" t="s">
        <v>56</v>
      </c>
      <c r="E1620" t="s">
        <v>42</v>
      </c>
      <c r="F1620" t="s">
        <v>125</v>
      </c>
      <c r="G1620" t="s">
        <v>23</v>
      </c>
      <c r="H1620" s="1">
        <v>45403</v>
      </c>
      <c r="I1620" t="s">
        <v>64</v>
      </c>
      <c r="J1620" t="s">
        <v>1117</v>
      </c>
      <c r="K1620">
        <v>5</v>
      </c>
      <c r="L1620" t="s">
        <v>1118</v>
      </c>
      <c r="M1620">
        <v>2</v>
      </c>
      <c r="N1620">
        <v>614</v>
      </c>
      <c r="O1620">
        <v>20</v>
      </c>
      <c r="P1620" s="1">
        <v>45676</v>
      </c>
      <c r="Q1620" s="1"/>
      <c r="R1620" t="str">
        <f>IF(Table1[[#This Row],[Actual close date]]="","",Table1[[#This Row],[Actual close date]]-Table1[[#This Row],[Expected close date]])</f>
        <v/>
      </c>
    </row>
    <row r="1621" spans="1:18" x14ac:dyDescent="0.25">
      <c r="A1621" t="s">
        <v>1342</v>
      </c>
      <c r="B1621" t="s">
        <v>59</v>
      </c>
      <c r="C1621" t="s">
        <v>60</v>
      </c>
      <c r="D1621" t="s">
        <v>61</v>
      </c>
      <c r="E1621" t="s">
        <v>74</v>
      </c>
      <c r="F1621" t="s">
        <v>167</v>
      </c>
      <c r="G1621" t="s">
        <v>83</v>
      </c>
      <c r="H1621" s="1">
        <v>45403</v>
      </c>
      <c r="I1621" t="s">
        <v>24</v>
      </c>
      <c r="J1621" t="s">
        <v>1117</v>
      </c>
      <c r="K1621">
        <v>5</v>
      </c>
      <c r="L1621" t="s">
        <v>1118</v>
      </c>
      <c r="M1621">
        <v>2</v>
      </c>
      <c r="N1621">
        <v>1094</v>
      </c>
      <c r="O1621">
        <v>50</v>
      </c>
      <c r="P1621" s="1">
        <v>45616</v>
      </c>
      <c r="Q1621" s="1"/>
      <c r="R1621" t="str">
        <f>IF(Table1[[#This Row],[Actual close date]]="","",Table1[[#This Row],[Actual close date]]-Table1[[#This Row],[Expected close date]])</f>
        <v/>
      </c>
    </row>
    <row r="1622" spans="1:18" x14ac:dyDescent="0.25">
      <c r="A1622" t="s">
        <v>1345</v>
      </c>
      <c r="B1622" t="s">
        <v>39</v>
      </c>
      <c r="C1622" t="s">
        <v>40</v>
      </c>
      <c r="D1622" t="s">
        <v>41</v>
      </c>
      <c r="E1622" t="s">
        <v>74</v>
      </c>
      <c r="F1622" t="s">
        <v>167</v>
      </c>
      <c r="G1622" t="s">
        <v>23</v>
      </c>
      <c r="H1622" s="1">
        <v>45403</v>
      </c>
      <c r="I1622" t="s">
        <v>64</v>
      </c>
      <c r="J1622" t="s">
        <v>1117</v>
      </c>
      <c r="K1622">
        <v>5</v>
      </c>
      <c r="L1622" t="s">
        <v>1118</v>
      </c>
      <c r="M1622">
        <v>2</v>
      </c>
      <c r="N1622">
        <v>1906</v>
      </c>
      <c r="O1622">
        <v>50</v>
      </c>
      <c r="P1622" s="1">
        <v>45660</v>
      </c>
      <c r="Q1622" s="1"/>
      <c r="R1622" t="str">
        <f>IF(Table1[[#This Row],[Actual close date]]="","",Table1[[#This Row],[Actual close date]]-Table1[[#This Row],[Expected close date]])</f>
        <v/>
      </c>
    </row>
    <row r="1623" spans="1:18" x14ac:dyDescent="0.25">
      <c r="A1623" t="s">
        <v>1808</v>
      </c>
      <c r="B1623" t="s">
        <v>59</v>
      </c>
      <c r="C1623" t="s">
        <v>60</v>
      </c>
      <c r="D1623" t="s">
        <v>61</v>
      </c>
      <c r="E1623" t="s">
        <v>74</v>
      </c>
      <c r="F1623" t="s">
        <v>125</v>
      </c>
      <c r="G1623" t="s">
        <v>23</v>
      </c>
      <c r="H1623" s="1">
        <v>45403</v>
      </c>
      <c r="I1623" t="s">
        <v>24</v>
      </c>
      <c r="J1623" t="s">
        <v>1117</v>
      </c>
      <c r="K1623">
        <v>5</v>
      </c>
      <c r="L1623" t="s">
        <v>1766</v>
      </c>
      <c r="M1623">
        <v>4</v>
      </c>
      <c r="N1623">
        <v>559</v>
      </c>
      <c r="O1623">
        <v>90</v>
      </c>
      <c r="P1623" s="1">
        <v>45425</v>
      </c>
      <c r="Q1623" s="1"/>
      <c r="R1623" t="str">
        <f>IF(Table1[[#This Row],[Actual close date]]="","",Table1[[#This Row],[Actual close date]]-Table1[[#This Row],[Expected close date]])</f>
        <v/>
      </c>
    </row>
    <row r="1624" spans="1:18" x14ac:dyDescent="0.25">
      <c r="A1624" t="s">
        <v>1147</v>
      </c>
      <c r="B1624" t="s">
        <v>76</v>
      </c>
      <c r="C1624" t="s">
        <v>77</v>
      </c>
      <c r="D1624" t="s">
        <v>78</v>
      </c>
      <c r="E1624" t="s">
        <v>52</v>
      </c>
      <c r="F1624" t="s">
        <v>22</v>
      </c>
      <c r="G1624" t="s">
        <v>57</v>
      </c>
      <c r="H1624" s="1">
        <v>45404</v>
      </c>
      <c r="I1624" t="s">
        <v>64</v>
      </c>
      <c r="J1624" t="s">
        <v>1117</v>
      </c>
      <c r="K1624">
        <v>5</v>
      </c>
      <c r="L1624" t="s">
        <v>1118</v>
      </c>
      <c r="M1624">
        <v>2</v>
      </c>
      <c r="N1624">
        <v>1987</v>
      </c>
      <c r="O1624">
        <v>30</v>
      </c>
      <c r="P1624" s="1">
        <v>45536</v>
      </c>
      <c r="Q1624" s="1"/>
      <c r="R1624" t="str">
        <f>IF(Table1[[#This Row],[Actual close date]]="","",Table1[[#This Row],[Actual close date]]-Table1[[#This Row],[Expected close date]])</f>
        <v/>
      </c>
    </row>
    <row r="1625" spans="1:18" x14ac:dyDescent="0.25">
      <c r="A1625" t="s">
        <v>1270</v>
      </c>
      <c r="B1625" t="s">
        <v>18</v>
      </c>
      <c r="C1625" t="s">
        <v>19</v>
      </c>
      <c r="D1625" t="s">
        <v>20</v>
      </c>
      <c r="E1625" t="s">
        <v>74</v>
      </c>
      <c r="F1625" t="s">
        <v>125</v>
      </c>
      <c r="G1625" t="s">
        <v>57</v>
      </c>
      <c r="H1625" s="1">
        <v>45404</v>
      </c>
      <c r="I1625" t="s">
        <v>47</v>
      </c>
      <c r="J1625" t="s">
        <v>1117</v>
      </c>
      <c r="K1625">
        <v>5</v>
      </c>
      <c r="L1625" t="s">
        <v>1118</v>
      </c>
      <c r="M1625">
        <v>2</v>
      </c>
      <c r="N1625">
        <v>401</v>
      </c>
      <c r="O1625">
        <v>40</v>
      </c>
      <c r="P1625" s="1">
        <v>45730</v>
      </c>
      <c r="Q1625" s="1"/>
      <c r="R1625" t="str">
        <f>IF(Table1[[#This Row],[Actual close date]]="","",Table1[[#This Row],[Actual close date]]-Table1[[#This Row],[Expected close date]])</f>
        <v/>
      </c>
    </row>
    <row r="1626" spans="1:18" x14ac:dyDescent="0.25">
      <c r="A1626" t="s">
        <v>1284</v>
      </c>
      <c r="B1626" t="s">
        <v>33</v>
      </c>
      <c r="C1626" t="s">
        <v>34</v>
      </c>
      <c r="D1626" t="s">
        <v>35</v>
      </c>
      <c r="E1626" t="s">
        <v>30</v>
      </c>
      <c r="F1626" t="s">
        <v>167</v>
      </c>
      <c r="G1626" t="s">
        <v>23</v>
      </c>
      <c r="H1626" s="1">
        <v>45404</v>
      </c>
      <c r="I1626" t="s">
        <v>64</v>
      </c>
      <c r="J1626" t="s">
        <v>1117</v>
      </c>
      <c r="K1626">
        <v>5</v>
      </c>
      <c r="L1626" t="s">
        <v>1118</v>
      </c>
      <c r="M1626">
        <v>2</v>
      </c>
      <c r="N1626">
        <v>482</v>
      </c>
      <c r="O1626">
        <v>50</v>
      </c>
      <c r="P1626" s="1">
        <v>45441</v>
      </c>
      <c r="Q1626" s="1"/>
      <c r="R1626" t="str">
        <f>IF(Table1[[#This Row],[Actual close date]]="","",Table1[[#This Row],[Actual close date]]-Table1[[#This Row],[Expected close date]])</f>
        <v/>
      </c>
    </row>
    <row r="1627" spans="1:18" x14ac:dyDescent="0.25">
      <c r="A1627" t="s">
        <v>1320</v>
      </c>
      <c r="B1627" t="s">
        <v>76</v>
      </c>
      <c r="C1627" t="s">
        <v>77</v>
      </c>
      <c r="D1627" t="s">
        <v>78</v>
      </c>
      <c r="E1627" t="s">
        <v>74</v>
      </c>
      <c r="F1627" t="s">
        <v>167</v>
      </c>
      <c r="G1627" t="s">
        <v>23</v>
      </c>
      <c r="H1627" s="1">
        <v>45404</v>
      </c>
      <c r="I1627" t="s">
        <v>47</v>
      </c>
      <c r="J1627" t="s">
        <v>1117</v>
      </c>
      <c r="K1627">
        <v>5</v>
      </c>
      <c r="L1627" t="s">
        <v>1118</v>
      </c>
      <c r="M1627">
        <v>2</v>
      </c>
      <c r="N1627">
        <v>3640</v>
      </c>
      <c r="O1627">
        <v>30</v>
      </c>
      <c r="P1627" s="1">
        <v>45644</v>
      </c>
      <c r="Q1627" s="1"/>
      <c r="R1627" t="str">
        <f>IF(Table1[[#This Row],[Actual close date]]="","",Table1[[#This Row],[Actual close date]]-Table1[[#This Row],[Expected close date]])</f>
        <v/>
      </c>
    </row>
    <row r="1628" spans="1:18" x14ac:dyDescent="0.25">
      <c r="A1628" t="s">
        <v>1625</v>
      </c>
      <c r="B1628" t="s">
        <v>59</v>
      </c>
      <c r="C1628" t="s">
        <v>60</v>
      </c>
      <c r="D1628" t="s">
        <v>61</v>
      </c>
      <c r="E1628" t="s">
        <v>62</v>
      </c>
      <c r="F1628" t="s">
        <v>167</v>
      </c>
      <c r="G1628" t="s">
        <v>57</v>
      </c>
      <c r="H1628" s="1">
        <v>45404</v>
      </c>
      <c r="I1628" t="s">
        <v>24</v>
      </c>
      <c r="J1628" t="s">
        <v>1117</v>
      </c>
      <c r="K1628">
        <v>5</v>
      </c>
      <c r="L1628" t="s">
        <v>1479</v>
      </c>
      <c r="M1628">
        <v>3</v>
      </c>
      <c r="N1628">
        <v>4610</v>
      </c>
      <c r="O1628">
        <v>20</v>
      </c>
      <c r="P1628" s="1">
        <v>45755</v>
      </c>
      <c r="Q1628" s="1"/>
      <c r="R1628" t="str">
        <f>IF(Table1[[#This Row],[Actual close date]]="","",Table1[[#This Row],[Actual close date]]-Table1[[#This Row],[Expected close date]])</f>
        <v/>
      </c>
    </row>
    <row r="1629" spans="1:18" x14ac:dyDescent="0.25">
      <c r="A1629" t="s">
        <v>1651</v>
      </c>
      <c r="B1629" t="s">
        <v>33</v>
      </c>
      <c r="C1629" t="s">
        <v>34</v>
      </c>
      <c r="D1629" t="s">
        <v>35</v>
      </c>
      <c r="E1629" t="s">
        <v>62</v>
      </c>
      <c r="F1629" t="s">
        <v>167</v>
      </c>
      <c r="G1629" t="s">
        <v>57</v>
      </c>
      <c r="H1629" s="1">
        <v>45404</v>
      </c>
      <c r="I1629" t="s">
        <v>24</v>
      </c>
      <c r="J1629" t="s">
        <v>1117</v>
      </c>
      <c r="K1629">
        <v>5</v>
      </c>
      <c r="L1629" t="s">
        <v>1479</v>
      </c>
      <c r="M1629">
        <v>3</v>
      </c>
      <c r="N1629">
        <v>7551</v>
      </c>
      <c r="O1629">
        <v>20</v>
      </c>
      <c r="P1629" s="1">
        <v>45581</v>
      </c>
      <c r="Q1629" s="1"/>
      <c r="R1629" t="str">
        <f>IF(Table1[[#This Row],[Actual close date]]="","",Table1[[#This Row],[Actual close date]]-Table1[[#This Row],[Expected close date]])</f>
        <v/>
      </c>
    </row>
    <row r="1630" spans="1:18" x14ac:dyDescent="0.25">
      <c r="A1630" t="s">
        <v>1491</v>
      </c>
      <c r="B1630" t="s">
        <v>76</v>
      </c>
      <c r="C1630" t="s">
        <v>77</v>
      </c>
      <c r="D1630" t="s">
        <v>78</v>
      </c>
      <c r="E1630" t="s">
        <v>21</v>
      </c>
      <c r="F1630" t="s">
        <v>22</v>
      </c>
      <c r="G1630" t="s">
        <v>85</v>
      </c>
      <c r="H1630" s="1">
        <v>45405</v>
      </c>
      <c r="I1630" t="s">
        <v>24</v>
      </c>
      <c r="J1630" t="s">
        <v>1117</v>
      </c>
      <c r="K1630">
        <v>5</v>
      </c>
      <c r="L1630" t="s">
        <v>1479</v>
      </c>
      <c r="M1630">
        <v>3</v>
      </c>
      <c r="N1630">
        <v>334</v>
      </c>
      <c r="O1630">
        <v>40</v>
      </c>
      <c r="P1630" s="1">
        <v>45494</v>
      </c>
      <c r="Q1630" s="1"/>
      <c r="R1630" t="str">
        <f>IF(Table1[[#This Row],[Actual close date]]="","",Table1[[#This Row],[Actual close date]]-Table1[[#This Row],[Expected close date]])</f>
        <v/>
      </c>
    </row>
    <row r="1631" spans="1:18" x14ac:dyDescent="0.25">
      <c r="A1631" t="s">
        <v>1773</v>
      </c>
      <c r="B1631" t="s">
        <v>39</v>
      </c>
      <c r="C1631" t="s">
        <v>40</v>
      </c>
      <c r="D1631" t="s">
        <v>41</v>
      </c>
      <c r="E1631" t="s">
        <v>74</v>
      </c>
      <c r="F1631" t="s">
        <v>22</v>
      </c>
      <c r="G1631" t="s">
        <v>57</v>
      </c>
      <c r="H1631" s="1">
        <v>45405</v>
      </c>
      <c r="I1631" t="s">
        <v>24</v>
      </c>
      <c r="J1631" t="s">
        <v>1117</v>
      </c>
      <c r="K1631">
        <v>5</v>
      </c>
      <c r="L1631" t="s">
        <v>1766</v>
      </c>
      <c r="M1631">
        <v>4</v>
      </c>
      <c r="N1631">
        <v>826</v>
      </c>
      <c r="O1631">
        <v>60</v>
      </c>
      <c r="P1631" s="1">
        <v>45496</v>
      </c>
      <c r="Q1631" s="1"/>
      <c r="R1631" t="str">
        <f>IF(Table1[[#This Row],[Actual close date]]="","",Table1[[#This Row],[Actual close date]]-Table1[[#This Row],[Expected close date]])</f>
        <v/>
      </c>
    </row>
    <row r="1632" spans="1:18" x14ac:dyDescent="0.25">
      <c r="A1632" t="s">
        <v>1821</v>
      </c>
      <c r="B1632" t="s">
        <v>33</v>
      </c>
      <c r="C1632" t="s">
        <v>34</v>
      </c>
      <c r="D1632" t="s">
        <v>35</v>
      </c>
      <c r="E1632" t="s">
        <v>45</v>
      </c>
      <c r="F1632" t="s">
        <v>125</v>
      </c>
      <c r="G1632" t="s">
        <v>83</v>
      </c>
      <c r="H1632" s="1">
        <v>45405</v>
      </c>
      <c r="I1632" t="s">
        <v>24</v>
      </c>
      <c r="J1632" t="s">
        <v>1117</v>
      </c>
      <c r="K1632">
        <v>5</v>
      </c>
      <c r="L1632" t="s">
        <v>1766</v>
      </c>
      <c r="M1632">
        <v>4</v>
      </c>
      <c r="N1632">
        <v>595</v>
      </c>
      <c r="O1632">
        <v>60</v>
      </c>
      <c r="P1632" s="1">
        <v>45733</v>
      </c>
      <c r="Q1632" s="1"/>
      <c r="R1632" t="str">
        <f>IF(Table1[[#This Row],[Actual close date]]="","",Table1[[#This Row],[Actual close date]]-Table1[[#This Row],[Expected close date]])</f>
        <v/>
      </c>
    </row>
    <row r="1633" spans="1:18" x14ac:dyDescent="0.25">
      <c r="A1633" t="s">
        <v>1171</v>
      </c>
      <c r="B1633" t="s">
        <v>59</v>
      </c>
      <c r="C1633" t="s">
        <v>60</v>
      </c>
      <c r="D1633" t="s">
        <v>61</v>
      </c>
      <c r="E1633" t="s">
        <v>52</v>
      </c>
      <c r="F1633" t="s">
        <v>22</v>
      </c>
      <c r="G1633" t="s">
        <v>31</v>
      </c>
      <c r="H1633" s="1">
        <v>45406</v>
      </c>
      <c r="I1633" t="s">
        <v>24</v>
      </c>
      <c r="J1633" t="s">
        <v>1117</v>
      </c>
      <c r="K1633">
        <v>5</v>
      </c>
      <c r="L1633" t="s">
        <v>1118</v>
      </c>
      <c r="M1633">
        <v>2</v>
      </c>
      <c r="N1633">
        <v>889</v>
      </c>
      <c r="O1633">
        <v>20</v>
      </c>
      <c r="P1633" s="1">
        <v>45759</v>
      </c>
      <c r="Q1633" s="1"/>
      <c r="R1633" t="str">
        <f>IF(Table1[[#This Row],[Actual close date]]="","",Table1[[#This Row],[Actual close date]]-Table1[[#This Row],[Expected close date]])</f>
        <v/>
      </c>
    </row>
    <row r="1634" spans="1:18" x14ac:dyDescent="0.25">
      <c r="A1634" t="s">
        <v>1234</v>
      </c>
      <c r="B1634" t="s">
        <v>59</v>
      </c>
      <c r="C1634" t="s">
        <v>60</v>
      </c>
      <c r="D1634" t="s">
        <v>61</v>
      </c>
      <c r="E1634" t="s">
        <v>52</v>
      </c>
      <c r="F1634" t="s">
        <v>125</v>
      </c>
      <c r="G1634" t="s">
        <v>85</v>
      </c>
      <c r="H1634" s="1">
        <v>45406</v>
      </c>
      <c r="I1634" t="s">
        <v>64</v>
      </c>
      <c r="J1634" t="s">
        <v>1117</v>
      </c>
      <c r="K1634">
        <v>5</v>
      </c>
      <c r="L1634" t="s">
        <v>1118</v>
      </c>
      <c r="M1634">
        <v>2</v>
      </c>
      <c r="N1634">
        <v>1084</v>
      </c>
      <c r="O1634">
        <v>40</v>
      </c>
      <c r="P1634" s="1">
        <v>45589</v>
      </c>
      <c r="Q1634" s="1"/>
      <c r="R1634" t="str">
        <f>IF(Table1[[#This Row],[Actual close date]]="","",Table1[[#This Row],[Actual close date]]-Table1[[#This Row],[Expected close date]])</f>
        <v/>
      </c>
    </row>
    <row r="1635" spans="1:18" x14ac:dyDescent="0.25">
      <c r="A1635" t="s">
        <v>1302</v>
      </c>
      <c r="B1635" t="s">
        <v>33</v>
      </c>
      <c r="C1635" t="s">
        <v>34</v>
      </c>
      <c r="D1635" t="s">
        <v>35</v>
      </c>
      <c r="E1635" t="s">
        <v>42</v>
      </c>
      <c r="F1635" t="s">
        <v>167</v>
      </c>
      <c r="G1635" t="s">
        <v>83</v>
      </c>
      <c r="H1635" s="1">
        <v>45406</v>
      </c>
      <c r="I1635" t="s">
        <v>24</v>
      </c>
      <c r="J1635" t="s">
        <v>1117</v>
      </c>
      <c r="K1635">
        <v>5</v>
      </c>
      <c r="L1635" t="s">
        <v>1118</v>
      </c>
      <c r="M1635">
        <v>2</v>
      </c>
      <c r="N1635">
        <v>2127</v>
      </c>
      <c r="O1635">
        <v>50</v>
      </c>
      <c r="P1635" s="1">
        <v>45690</v>
      </c>
      <c r="Q1635" s="1"/>
      <c r="R1635" t="str">
        <f>IF(Table1[[#This Row],[Actual close date]]="","",Table1[[#This Row],[Actual close date]]-Table1[[#This Row],[Expected close date]])</f>
        <v/>
      </c>
    </row>
    <row r="1636" spans="1:18" x14ac:dyDescent="0.25">
      <c r="A1636" t="s">
        <v>1822</v>
      </c>
      <c r="B1636" t="s">
        <v>76</v>
      </c>
      <c r="C1636" t="s">
        <v>77</v>
      </c>
      <c r="D1636" t="s">
        <v>78</v>
      </c>
      <c r="E1636" t="s">
        <v>36</v>
      </c>
      <c r="F1636" t="s">
        <v>125</v>
      </c>
      <c r="G1636" t="s">
        <v>37</v>
      </c>
      <c r="H1636" s="1">
        <v>45406</v>
      </c>
      <c r="I1636" t="s">
        <v>24</v>
      </c>
      <c r="J1636" t="s">
        <v>1117</v>
      </c>
      <c r="K1636">
        <v>5</v>
      </c>
      <c r="L1636" t="s">
        <v>1766</v>
      </c>
      <c r="M1636">
        <v>4</v>
      </c>
      <c r="N1636">
        <v>690</v>
      </c>
      <c r="O1636">
        <v>10</v>
      </c>
      <c r="P1636" s="1">
        <v>45549</v>
      </c>
      <c r="Q1636" s="1"/>
      <c r="R1636" t="str">
        <f>IF(Table1[[#This Row],[Actual close date]]="","",Table1[[#This Row],[Actual close date]]-Table1[[#This Row],[Expected close date]])</f>
        <v/>
      </c>
    </row>
    <row r="1637" spans="1:18" x14ac:dyDescent="0.25">
      <c r="A1637" t="s">
        <v>1355</v>
      </c>
      <c r="B1637" t="s">
        <v>27</v>
      </c>
      <c r="C1637" t="s">
        <v>28</v>
      </c>
      <c r="D1637" t="s">
        <v>29</v>
      </c>
      <c r="E1637" t="s">
        <v>45</v>
      </c>
      <c r="F1637" t="s">
        <v>167</v>
      </c>
      <c r="G1637" t="s">
        <v>57</v>
      </c>
      <c r="H1637" s="1">
        <v>45407</v>
      </c>
      <c r="I1637" t="s">
        <v>24</v>
      </c>
      <c r="J1637" t="s">
        <v>1117</v>
      </c>
      <c r="K1637">
        <v>5</v>
      </c>
      <c r="L1637" t="s">
        <v>1118</v>
      </c>
      <c r="M1637">
        <v>2</v>
      </c>
      <c r="N1637">
        <v>5053</v>
      </c>
      <c r="O1637">
        <v>20</v>
      </c>
      <c r="P1637" s="1">
        <v>45754</v>
      </c>
      <c r="Q1637" s="1"/>
      <c r="R1637" t="str">
        <f>IF(Table1[[#This Row],[Actual close date]]="","",Table1[[#This Row],[Actual close date]]-Table1[[#This Row],[Expected close date]])</f>
        <v/>
      </c>
    </row>
    <row r="1638" spans="1:18" x14ac:dyDescent="0.25">
      <c r="A1638" t="s">
        <v>1562</v>
      </c>
      <c r="B1638" t="s">
        <v>54</v>
      </c>
      <c r="C1638" t="s">
        <v>55</v>
      </c>
      <c r="D1638" t="s">
        <v>56</v>
      </c>
      <c r="E1638" t="s">
        <v>52</v>
      </c>
      <c r="F1638" t="s">
        <v>125</v>
      </c>
      <c r="G1638" t="s">
        <v>37</v>
      </c>
      <c r="H1638" s="1">
        <v>45407</v>
      </c>
      <c r="I1638" t="s">
        <v>24</v>
      </c>
      <c r="J1638" t="s">
        <v>1117</v>
      </c>
      <c r="K1638">
        <v>5</v>
      </c>
      <c r="L1638" t="s">
        <v>1479</v>
      </c>
      <c r="M1638">
        <v>3</v>
      </c>
      <c r="N1638">
        <v>617</v>
      </c>
      <c r="O1638">
        <v>20</v>
      </c>
      <c r="P1638" s="1">
        <v>45626</v>
      </c>
      <c r="Q1638" s="1"/>
      <c r="R1638" t="str">
        <f>IF(Table1[[#This Row],[Actual close date]]="","",Table1[[#This Row],[Actual close date]]-Table1[[#This Row],[Expected close date]])</f>
        <v/>
      </c>
    </row>
    <row r="1639" spans="1:18" x14ac:dyDescent="0.25">
      <c r="A1639" t="s">
        <v>1872</v>
      </c>
      <c r="B1639" t="s">
        <v>33</v>
      </c>
      <c r="C1639" t="s">
        <v>34</v>
      </c>
      <c r="D1639" t="s">
        <v>35</v>
      </c>
      <c r="E1639" t="s">
        <v>118</v>
      </c>
      <c r="F1639" t="s">
        <v>167</v>
      </c>
      <c r="G1639" t="s">
        <v>23</v>
      </c>
      <c r="H1639" s="1">
        <v>45407</v>
      </c>
      <c r="I1639" t="s">
        <v>47</v>
      </c>
      <c r="J1639" t="s">
        <v>1117</v>
      </c>
      <c r="K1639">
        <v>5</v>
      </c>
      <c r="L1639" t="s">
        <v>1766</v>
      </c>
      <c r="M1639">
        <v>4</v>
      </c>
      <c r="N1639">
        <v>1148</v>
      </c>
      <c r="O1639">
        <v>60</v>
      </c>
      <c r="P1639" s="1">
        <v>45712</v>
      </c>
      <c r="Q1639" s="1"/>
      <c r="R1639" t="str">
        <f>IF(Table1[[#This Row],[Actual close date]]="","",Table1[[#This Row],[Actual close date]]-Table1[[#This Row],[Expected close date]])</f>
        <v/>
      </c>
    </row>
    <row r="1640" spans="1:18" x14ac:dyDescent="0.25">
      <c r="A1640" t="s">
        <v>1369</v>
      </c>
      <c r="B1640" t="s">
        <v>69</v>
      </c>
      <c r="C1640" t="s">
        <v>70</v>
      </c>
      <c r="D1640" t="s">
        <v>71</v>
      </c>
      <c r="E1640" t="s">
        <v>30</v>
      </c>
      <c r="F1640" t="s">
        <v>167</v>
      </c>
      <c r="G1640" t="s">
        <v>57</v>
      </c>
      <c r="H1640" s="1">
        <v>45408</v>
      </c>
      <c r="I1640" t="s">
        <v>64</v>
      </c>
      <c r="J1640" t="s">
        <v>1117</v>
      </c>
      <c r="K1640">
        <v>5</v>
      </c>
      <c r="L1640" t="s">
        <v>1118</v>
      </c>
      <c r="M1640">
        <v>2</v>
      </c>
      <c r="N1640">
        <v>5200</v>
      </c>
      <c r="O1640">
        <v>40</v>
      </c>
      <c r="P1640" s="1">
        <v>45655</v>
      </c>
      <c r="Q1640" s="1"/>
      <c r="R1640" t="str">
        <f>IF(Table1[[#This Row],[Actual close date]]="","",Table1[[#This Row],[Actual close date]]-Table1[[#This Row],[Expected close date]])</f>
        <v/>
      </c>
    </row>
    <row r="1641" spans="1:18" x14ac:dyDescent="0.25">
      <c r="A1641" t="s">
        <v>1409</v>
      </c>
      <c r="B1641" t="s">
        <v>76</v>
      </c>
      <c r="C1641" t="s">
        <v>77</v>
      </c>
      <c r="D1641" t="s">
        <v>78</v>
      </c>
      <c r="E1641" t="s">
        <v>21</v>
      </c>
      <c r="F1641" t="s">
        <v>239</v>
      </c>
      <c r="G1641" t="s">
        <v>46</v>
      </c>
      <c r="H1641" s="1">
        <v>45408</v>
      </c>
      <c r="I1641" t="s">
        <v>64</v>
      </c>
      <c r="J1641" t="s">
        <v>1117</v>
      </c>
      <c r="K1641">
        <v>5</v>
      </c>
      <c r="L1641" t="s">
        <v>1118</v>
      </c>
      <c r="M1641">
        <v>2</v>
      </c>
      <c r="N1641">
        <v>16217</v>
      </c>
      <c r="O1641">
        <v>40</v>
      </c>
      <c r="P1641" s="1">
        <v>45715</v>
      </c>
      <c r="Q1641" s="1"/>
      <c r="R1641" t="str">
        <f>IF(Table1[[#This Row],[Actual close date]]="","",Table1[[#This Row],[Actual close date]]-Table1[[#This Row],[Expected close date]])</f>
        <v/>
      </c>
    </row>
    <row r="1642" spans="1:18" x14ac:dyDescent="0.25">
      <c r="A1642" t="s">
        <v>1522</v>
      </c>
      <c r="B1642" t="s">
        <v>76</v>
      </c>
      <c r="C1642" t="s">
        <v>77</v>
      </c>
      <c r="D1642" t="s">
        <v>78</v>
      </c>
      <c r="E1642" t="s">
        <v>45</v>
      </c>
      <c r="F1642" t="s">
        <v>22</v>
      </c>
      <c r="G1642" t="s">
        <v>85</v>
      </c>
      <c r="H1642" s="1">
        <v>45408</v>
      </c>
      <c r="I1642" t="s">
        <v>24</v>
      </c>
      <c r="J1642" t="s">
        <v>1117</v>
      </c>
      <c r="K1642">
        <v>5</v>
      </c>
      <c r="L1642" t="s">
        <v>1479</v>
      </c>
      <c r="M1642">
        <v>3</v>
      </c>
      <c r="N1642">
        <v>995</v>
      </c>
      <c r="O1642">
        <v>80</v>
      </c>
      <c r="P1642" s="1">
        <v>45743</v>
      </c>
      <c r="Q1642" s="1"/>
      <c r="R1642" t="str">
        <f>IF(Table1[[#This Row],[Actual close date]]="","",Table1[[#This Row],[Actual close date]]-Table1[[#This Row],[Expected close date]])</f>
        <v/>
      </c>
    </row>
    <row r="1643" spans="1:18" x14ac:dyDescent="0.25">
      <c r="A1643" t="s">
        <v>1541</v>
      </c>
      <c r="B1643" t="s">
        <v>69</v>
      </c>
      <c r="C1643" t="s">
        <v>70</v>
      </c>
      <c r="D1643" t="s">
        <v>71</v>
      </c>
      <c r="E1643" t="s">
        <v>36</v>
      </c>
      <c r="F1643" t="s">
        <v>22</v>
      </c>
      <c r="G1643" t="s">
        <v>57</v>
      </c>
      <c r="H1643" s="1">
        <v>45408</v>
      </c>
      <c r="I1643" t="s">
        <v>24</v>
      </c>
      <c r="J1643" t="s">
        <v>1117</v>
      </c>
      <c r="K1643">
        <v>5</v>
      </c>
      <c r="L1643" t="s">
        <v>1479</v>
      </c>
      <c r="M1643">
        <v>3</v>
      </c>
      <c r="N1643">
        <v>361</v>
      </c>
      <c r="O1643">
        <v>20</v>
      </c>
      <c r="P1643" s="1">
        <v>45441</v>
      </c>
      <c r="Q1643" s="1"/>
      <c r="R1643" t="str">
        <f>IF(Table1[[#This Row],[Actual close date]]="","",Table1[[#This Row],[Actual close date]]-Table1[[#This Row],[Expected close date]])</f>
        <v/>
      </c>
    </row>
    <row r="1644" spans="1:18" x14ac:dyDescent="0.25">
      <c r="A1644" t="s">
        <v>1881</v>
      </c>
      <c r="B1644" t="s">
        <v>33</v>
      </c>
      <c r="C1644" t="s">
        <v>34</v>
      </c>
      <c r="D1644" t="s">
        <v>35</v>
      </c>
      <c r="E1644" t="s">
        <v>62</v>
      </c>
      <c r="F1644" t="s">
        <v>167</v>
      </c>
      <c r="G1644" t="s">
        <v>85</v>
      </c>
      <c r="H1644" s="1">
        <v>45408</v>
      </c>
      <c r="I1644" t="s">
        <v>24</v>
      </c>
      <c r="J1644" t="s">
        <v>1117</v>
      </c>
      <c r="K1644">
        <v>5</v>
      </c>
      <c r="L1644" t="s">
        <v>1766</v>
      </c>
      <c r="M1644">
        <v>4</v>
      </c>
      <c r="N1644">
        <v>1156</v>
      </c>
      <c r="O1644">
        <v>20</v>
      </c>
      <c r="P1644" s="1">
        <v>45478</v>
      </c>
      <c r="Q1644" s="1"/>
      <c r="R1644" t="str">
        <f>IF(Table1[[#This Row],[Actual close date]]="","",Table1[[#This Row],[Actual close date]]-Table1[[#This Row],[Expected close date]])</f>
        <v/>
      </c>
    </row>
    <row r="1645" spans="1:18" x14ac:dyDescent="0.25">
      <c r="A1645" t="s">
        <v>1305</v>
      </c>
      <c r="B1645" t="s">
        <v>33</v>
      </c>
      <c r="C1645" t="s">
        <v>34</v>
      </c>
      <c r="D1645" t="s">
        <v>35</v>
      </c>
      <c r="E1645" t="s">
        <v>45</v>
      </c>
      <c r="F1645" t="s">
        <v>167</v>
      </c>
      <c r="G1645" t="s">
        <v>46</v>
      </c>
      <c r="H1645" s="1">
        <v>45409</v>
      </c>
      <c r="I1645" t="s">
        <v>24</v>
      </c>
      <c r="J1645" t="s">
        <v>1117</v>
      </c>
      <c r="K1645">
        <v>5</v>
      </c>
      <c r="L1645" t="s">
        <v>1118</v>
      </c>
      <c r="M1645">
        <v>2</v>
      </c>
      <c r="N1645">
        <v>2746</v>
      </c>
      <c r="O1645">
        <v>10</v>
      </c>
      <c r="P1645" s="1">
        <v>45621</v>
      </c>
      <c r="Q1645" s="1"/>
      <c r="R1645" t="str">
        <f>IF(Table1[[#This Row],[Actual close date]]="","",Table1[[#This Row],[Actual close date]]-Table1[[#This Row],[Expected close date]])</f>
        <v/>
      </c>
    </row>
    <row r="1646" spans="1:18" x14ac:dyDescent="0.25">
      <c r="A1646" t="s">
        <v>1366</v>
      </c>
      <c r="B1646" t="s">
        <v>59</v>
      </c>
      <c r="C1646" t="s">
        <v>60</v>
      </c>
      <c r="D1646" t="s">
        <v>61</v>
      </c>
      <c r="E1646" t="s">
        <v>118</v>
      </c>
      <c r="F1646" t="s">
        <v>167</v>
      </c>
      <c r="G1646" t="s">
        <v>31</v>
      </c>
      <c r="H1646" s="1">
        <v>45409</v>
      </c>
      <c r="I1646" t="s">
        <v>24</v>
      </c>
      <c r="J1646" t="s">
        <v>1117</v>
      </c>
      <c r="K1646">
        <v>5</v>
      </c>
      <c r="L1646" t="s">
        <v>1118</v>
      </c>
      <c r="M1646">
        <v>2</v>
      </c>
      <c r="N1646">
        <v>2968</v>
      </c>
      <c r="O1646">
        <v>20</v>
      </c>
      <c r="P1646" s="1">
        <v>45450</v>
      </c>
      <c r="Q1646" s="1"/>
      <c r="R1646" t="str">
        <f>IF(Table1[[#This Row],[Actual close date]]="","",Table1[[#This Row],[Actual close date]]-Table1[[#This Row],[Expected close date]])</f>
        <v/>
      </c>
    </row>
    <row r="1647" spans="1:18" x14ac:dyDescent="0.25">
      <c r="A1647" t="s">
        <v>1638</v>
      </c>
      <c r="B1647" t="s">
        <v>54</v>
      </c>
      <c r="C1647" t="s">
        <v>55</v>
      </c>
      <c r="D1647" t="s">
        <v>56</v>
      </c>
      <c r="E1647" t="s">
        <v>45</v>
      </c>
      <c r="F1647" t="s">
        <v>167</v>
      </c>
      <c r="G1647" t="s">
        <v>57</v>
      </c>
      <c r="H1647" s="1">
        <v>45409</v>
      </c>
      <c r="I1647" t="s">
        <v>24</v>
      </c>
      <c r="J1647" t="s">
        <v>1117</v>
      </c>
      <c r="K1647">
        <v>5</v>
      </c>
      <c r="L1647" t="s">
        <v>1479</v>
      </c>
      <c r="M1647">
        <v>3</v>
      </c>
      <c r="N1647">
        <v>6841</v>
      </c>
      <c r="O1647">
        <v>40</v>
      </c>
      <c r="P1647" s="1">
        <v>45631</v>
      </c>
      <c r="Q1647" s="1"/>
      <c r="R1647" t="str">
        <f>IF(Table1[[#This Row],[Actual close date]]="","",Table1[[#This Row],[Actual close date]]-Table1[[#This Row],[Expected close date]])</f>
        <v/>
      </c>
    </row>
    <row r="1648" spans="1:18" x14ac:dyDescent="0.25">
      <c r="A1648" t="s">
        <v>1779</v>
      </c>
      <c r="B1648" t="s">
        <v>54</v>
      </c>
      <c r="C1648" t="s">
        <v>55</v>
      </c>
      <c r="D1648" t="s">
        <v>56</v>
      </c>
      <c r="E1648" t="s">
        <v>52</v>
      </c>
      <c r="F1648" t="s">
        <v>22</v>
      </c>
      <c r="G1648" t="s">
        <v>46</v>
      </c>
      <c r="H1648" s="1">
        <v>45409</v>
      </c>
      <c r="I1648" t="s">
        <v>24</v>
      </c>
      <c r="J1648" t="s">
        <v>1117</v>
      </c>
      <c r="K1648">
        <v>5</v>
      </c>
      <c r="L1648" t="s">
        <v>1766</v>
      </c>
      <c r="M1648">
        <v>4</v>
      </c>
      <c r="N1648">
        <v>1856</v>
      </c>
      <c r="O1648">
        <v>20</v>
      </c>
      <c r="P1648" s="1">
        <v>45761</v>
      </c>
      <c r="Q1648" s="1"/>
      <c r="R1648" t="str">
        <f>IF(Table1[[#This Row],[Actual close date]]="","",Table1[[#This Row],[Actual close date]]-Table1[[#This Row],[Expected close date]])</f>
        <v/>
      </c>
    </row>
    <row r="1649" spans="1:18" x14ac:dyDescent="0.25">
      <c r="A1649" t="s">
        <v>1811</v>
      </c>
      <c r="B1649" t="s">
        <v>59</v>
      </c>
      <c r="C1649" t="s">
        <v>60</v>
      </c>
      <c r="D1649" t="s">
        <v>61</v>
      </c>
      <c r="E1649" t="s">
        <v>45</v>
      </c>
      <c r="F1649" t="s">
        <v>125</v>
      </c>
      <c r="G1649" t="s">
        <v>31</v>
      </c>
      <c r="H1649" s="1">
        <v>45409</v>
      </c>
      <c r="I1649" t="s">
        <v>24</v>
      </c>
      <c r="J1649" t="s">
        <v>1117</v>
      </c>
      <c r="K1649">
        <v>5</v>
      </c>
      <c r="L1649" t="s">
        <v>1766</v>
      </c>
      <c r="M1649">
        <v>4</v>
      </c>
      <c r="N1649">
        <v>1100</v>
      </c>
      <c r="O1649">
        <v>40</v>
      </c>
      <c r="P1649" s="1">
        <v>45576</v>
      </c>
      <c r="Q1649" s="1"/>
      <c r="R1649" t="str">
        <f>IF(Table1[[#This Row],[Actual close date]]="","",Table1[[#This Row],[Actual close date]]-Table1[[#This Row],[Expected close date]])</f>
        <v/>
      </c>
    </row>
    <row r="1650" spans="1:18" x14ac:dyDescent="0.25">
      <c r="A1650" t="s">
        <v>1889</v>
      </c>
      <c r="B1650" t="s">
        <v>69</v>
      </c>
      <c r="C1650" t="s">
        <v>70</v>
      </c>
      <c r="D1650" t="s">
        <v>71</v>
      </c>
      <c r="E1650" t="s">
        <v>98</v>
      </c>
      <c r="F1650" t="s">
        <v>167</v>
      </c>
      <c r="G1650" t="s">
        <v>37</v>
      </c>
      <c r="H1650" s="1">
        <v>45409</v>
      </c>
      <c r="I1650" t="s">
        <v>64</v>
      </c>
      <c r="J1650" t="s">
        <v>1117</v>
      </c>
      <c r="K1650">
        <v>5</v>
      </c>
      <c r="L1650" t="s">
        <v>1766</v>
      </c>
      <c r="M1650">
        <v>4</v>
      </c>
      <c r="N1650">
        <v>3490</v>
      </c>
      <c r="O1650">
        <v>40</v>
      </c>
      <c r="P1650" s="1">
        <v>45620</v>
      </c>
      <c r="Q1650" s="1"/>
      <c r="R1650" t="str">
        <f>IF(Table1[[#This Row],[Actual close date]]="","",Table1[[#This Row],[Actual close date]]-Table1[[#This Row],[Expected close date]])</f>
        <v/>
      </c>
    </row>
    <row r="1651" spans="1:18" x14ac:dyDescent="0.25">
      <c r="A1651" t="s">
        <v>1175</v>
      </c>
      <c r="B1651" t="s">
        <v>18</v>
      </c>
      <c r="C1651" t="s">
        <v>19</v>
      </c>
      <c r="D1651" t="s">
        <v>20</v>
      </c>
      <c r="E1651" t="s">
        <v>42</v>
      </c>
      <c r="F1651" t="s">
        <v>22</v>
      </c>
      <c r="G1651" t="s">
        <v>37</v>
      </c>
      <c r="H1651" s="1">
        <v>45410</v>
      </c>
      <c r="I1651" t="s">
        <v>47</v>
      </c>
      <c r="J1651" t="s">
        <v>1117</v>
      </c>
      <c r="K1651">
        <v>5</v>
      </c>
      <c r="L1651" t="s">
        <v>1118</v>
      </c>
      <c r="M1651">
        <v>2</v>
      </c>
      <c r="N1651">
        <v>1568</v>
      </c>
      <c r="O1651">
        <v>40</v>
      </c>
      <c r="P1651" s="1">
        <v>45642</v>
      </c>
      <c r="Q1651" s="1"/>
      <c r="R1651" t="str">
        <f>IF(Table1[[#This Row],[Actual close date]]="","",Table1[[#This Row],[Actual close date]]-Table1[[#This Row],[Expected close date]])</f>
        <v/>
      </c>
    </row>
    <row r="1652" spans="1:18" x14ac:dyDescent="0.25">
      <c r="A1652" t="s">
        <v>1216</v>
      </c>
      <c r="B1652" t="s">
        <v>76</v>
      </c>
      <c r="C1652" t="s">
        <v>77</v>
      </c>
      <c r="D1652" t="s">
        <v>78</v>
      </c>
      <c r="E1652" t="s">
        <v>45</v>
      </c>
      <c r="F1652" t="s">
        <v>125</v>
      </c>
      <c r="G1652" t="s">
        <v>46</v>
      </c>
      <c r="H1652" s="1">
        <v>45410</v>
      </c>
      <c r="I1652" t="s">
        <v>24</v>
      </c>
      <c r="J1652" t="s">
        <v>1117</v>
      </c>
      <c r="K1652">
        <v>5</v>
      </c>
      <c r="L1652" t="s">
        <v>1118</v>
      </c>
      <c r="M1652">
        <v>2</v>
      </c>
      <c r="N1652">
        <v>767</v>
      </c>
      <c r="O1652">
        <v>50</v>
      </c>
      <c r="P1652" s="1">
        <v>45532</v>
      </c>
      <c r="Q1652" s="1"/>
      <c r="R1652" t="str">
        <f>IF(Table1[[#This Row],[Actual close date]]="","",Table1[[#This Row],[Actual close date]]-Table1[[#This Row],[Expected close date]])</f>
        <v/>
      </c>
    </row>
    <row r="1653" spans="1:18" x14ac:dyDescent="0.25">
      <c r="A1653" t="s">
        <v>1292</v>
      </c>
      <c r="B1653" t="s">
        <v>39</v>
      </c>
      <c r="C1653" t="s">
        <v>40</v>
      </c>
      <c r="D1653" t="s">
        <v>41</v>
      </c>
      <c r="E1653" t="s">
        <v>74</v>
      </c>
      <c r="F1653" t="s">
        <v>167</v>
      </c>
      <c r="G1653" t="s">
        <v>46</v>
      </c>
      <c r="H1653" s="1">
        <v>45410</v>
      </c>
      <c r="I1653" t="s">
        <v>24</v>
      </c>
      <c r="J1653" t="s">
        <v>1117</v>
      </c>
      <c r="K1653">
        <v>5</v>
      </c>
      <c r="L1653" t="s">
        <v>1118</v>
      </c>
      <c r="M1653">
        <v>2</v>
      </c>
      <c r="N1653">
        <v>2059</v>
      </c>
      <c r="O1653">
        <v>40</v>
      </c>
      <c r="P1653" s="1">
        <v>45748</v>
      </c>
      <c r="Q1653" s="1"/>
      <c r="R1653" t="str">
        <f>IF(Table1[[#This Row],[Actual close date]]="","",Table1[[#This Row],[Actual close date]]-Table1[[#This Row],[Expected close date]])</f>
        <v/>
      </c>
    </row>
    <row r="1654" spans="1:18" x14ac:dyDescent="0.25">
      <c r="A1654" t="s">
        <v>1325</v>
      </c>
      <c r="B1654" t="s">
        <v>76</v>
      </c>
      <c r="C1654" t="s">
        <v>77</v>
      </c>
      <c r="D1654" t="s">
        <v>78</v>
      </c>
      <c r="E1654" t="s">
        <v>45</v>
      </c>
      <c r="F1654" t="s">
        <v>167</v>
      </c>
      <c r="G1654" t="s">
        <v>37</v>
      </c>
      <c r="H1654" s="1">
        <v>45410</v>
      </c>
      <c r="I1654" t="s">
        <v>64</v>
      </c>
      <c r="J1654" t="s">
        <v>1117</v>
      </c>
      <c r="K1654">
        <v>5</v>
      </c>
      <c r="L1654" t="s">
        <v>1118</v>
      </c>
      <c r="M1654">
        <v>2</v>
      </c>
      <c r="N1654">
        <v>7677</v>
      </c>
      <c r="O1654">
        <v>100</v>
      </c>
      <c r="P1654" s="1">
        <v>45653</v>
      </c>
      <c r="Q1654" s="1"/>
      <c r="R1654" t="str">
        <f>IF(Table1[[#This Row],[Actual close date]]="","",Table1[[#This Row],[Actual close date]]-Table1[[#This Row],[Expected close date]])</f>
        <v/>
      </c>
    </row>
    <row r="1655" spans="1:18" x14ac:dyDescent="0.25">
      <c r="A1655" t="s">
        <v>1384</v>
      </c>
      <c r="B1655" t="s">
        <v>39</v>
      </c>
      <c r="C1655" t="s">
        <v>40</v>
      </c>
      <c r="D1655" t="s">
        <v>41</v>
      </c>
      <c r="E1655" t="s">
        <v>45</v>
      </c>
      <c r="F1655" t="s">
        <v>167</v>
      </c>
      <c r="G1655" t="s">
        <v>57</v>
      </c>
      <c r="H1655" s="1">
        <v>45410</v>
      </c>
      <c r="I1655" t="s">
        <v>64</v>
      </c>
      <c r="J1655" t="s">
        <v>1117</v>
      </c>
      <c r="K1655">
        <v>5</v>
      </c>
      <c r="L1655" t="s">
        <v>1118</v>
      </c>
      <c r="M1655">
        <v>2</v>
      </c>
      <c r="N1655">
        <v>360</v>
      </c>
      <c r="O1655">
        <v>10</v>
      </c>
      <c r="P1655" s="1">
        <v>45601</v>
      </c>
      <c r="Q1655" s="1"/>
      <c r="R1655" t="str">
        <f>IF(Table1[[#This Row],[Actual close date]]="","",Table1[[#This Row],[Actual close date]]-Table1[[#This Row],[Expected close date]])</f>
        <v/>
      </c>
    </row>
    <row r="1656" spans="1:18" x14ac:dyDescent="0.25">
      <c r="A1656" t="s">
        <v>1716</v>
      </c>
      <c r="B1656" t="s">
        <v>33</v>
      </c>
      <c r="C1656" t="s">
        <v>34</v>
      </c>
      <c r="D1656" t="s">
        <v>35</v>
      </c>
      <c r="E1656" t="s">
        <v>52</v>
      </c>
      <c r="F1656" t="s">
        <v>22</v>
      </c>
      <c r="G1656" t="s">
        <v>57</v>
      </c>
      <c r="H1656" s="1">
        <v>45410</v>
      </c>
      <c r="I1656" t="s">
        <v>24</v>
      </c>
      <c r="J1656" t="s">
        <v>1117</v>
      </c>
      <c r="K1656">
        <v>5</v>
      </c>
      <c r="L1656" t="s">
        <v>1700</v>
      </c>
      <c r="M1656">
        <v>1</v>
      </c>
      <c r="N1656">
        <v>1134</v>
      </c>
      <c r="O1656">
        <v>40</v>
      </c>
      <c r="P1656" s="1">
        <v>45567</v>
      </c>
      <c r="Q1656" s="1"/>
      <c r="R1656" t="str">
        <f>IF(Table1[[#This Row],[Actual close date]]="","",Table1[[#This Row],[Actual close date]]-Table1[[#This Row],[Expected close date]])</f>
        <v/>
      </c>
    </row>
    <row r="1657" spans="1:18" x14ac:dyDescent="0.25">
      <c r="A1657" t="s">
        <v>1154</v>
      </c>
      <c r="B1657" t="s">
        <v>39</v>
      </c>
      <c r="C1657" t="s">
        <v>40</v>
      </c>
      <c r="D1657" t="s">
        <v>41</v>
      </c>
      <c r="E1657" t="s">
        <v>21</v>
      </c>
      <c r="F1657" t="s">
        <v>22</v>
      </c>
      <c r="G1657" t="s">
        <v>46</v>
      </c>
      <c r="H1657" s="1">
        <v>45411</v>
      </c>
      <c r="I1657" t="s">
        <v>64</v>
      </c>
      <c r="J1657" t="s">
        <v>1117</v>
      </c>
      <c r="K1657">
        <v>5</v>
      </c>
      <c r="L1657" t="s">
        <v>1118</v>
      </c>
      <c r="M1657">
        <v>2</v>
      </c>
      <c r="N1657">
        <v>1881</v>
      </c>
      <c r="O1657">
        <v>70</v>
      </c>
      <c r="P1657" s="1">
        <v>45514</v>
      </c>
      <c r="Q1657" s="1"/>
      <c r="R1657" t="str">
        <f>IF(Table1[[#This Row],[Actual close date]]="","",Table1[[#This Row],[Actual close date]]-Table1[[#This Row],[Expected close date]])</f>
        <v/>
      </c>
    </row>
    <row r="1658" spans="1:18" x14ac:dyDescent="0.25">
      <c r="A1658" t="s">
        <v>1161</v>
      </c>
      <c r="B1658" t="s">
        <v>33</v>
      </c>
      <c r="C1658" t="s">
        <v>34</v>
      </c>
      <c r="D1658" t="s">
        <v>35</v>
      </c>
      <c r="E1658" t="s">
        <v>21</v>
      </c>
      <c r="F1658" t="s">
        <v>22</v>
      </c>
      <c r="G1658" t="s">
        <v>85</v>
      </c>
      <c r="H1658" s="1">
        <v>45411</v>
      </c>
      <c r="I1658" t="s">
        <v>24</v>
      </c>
      <c r="J1658" t="s">
        <v>1117</v>
      </c>
      <c r="K1658">
        <v>5</v>
      </c>
      <c r="L1658" t="s">
        <v>1118</v>
      </c>
      <c r="M1658">
        <v>2</v>
      </c>
      <c r="N1658">
        <v>307</v>
      </c>
      <c r="O1658">
        <v>20</v>
      </c>
      <c r="P1658" s="1">
        <v>45772</v>
      </c>
      <c r="Q1658" s="1"/>
      <c r="R1658" t="str">
        <f>IF(Table1[[#This Row],[Actual close date]]="","",Table1[[#This Row],[Actual close date]]-Table1[[#This Row],[Expected close date]])</f>
        <v/>
      </c>
    </row>
    <row r="1659" spans="1:18" x14ac:dyDescent="0.25">
      <c r="A1659" t="s">
        <v>1334</v>
      </c>
      <c r="B1659" t="s">
        <v>33</v>
      </c>
      <c r="C1659" t="s">
        <v>34</v>
      </c>
      <c r="D1659" t="s">
        <v>35</v>
      </c>
      <c r="E1659" t="s">
        <v>30</v>
      </c>
      <c r="F1659" t="s">
        <v>167</v>
      </c>
      <c r="G1659" t="s">
        <v>37</v>
      </c>
      <c r="H1659" s="1">
        <v>45411</v>
      </c>
      <c r="I1659" t="s">
        <v>64</v>
      </c>
      <c r="J1659" t="s">
        <v>1117</v>
      </c>
      <c r="K1659">
        <v>5</v>
      </c>
      <c r="L1659" t="s">
        <v>1118</v>
      </c>
      <c r="M1659">
        <v>2</v>
      </c>
      <c r="N1659">
        <v>7725</v>
      </c>
      <c r="O1659">
        <v>20</v>
      </c>
      <c r="P1659" s="1">
        <v>45579</v>
      </c>
      <c r="Q1659" s="1"/>
      <c r="R1659" t="str">
        <f>IF(Table1[[#This Row],[Actual close date]]="","",Table1[[#This Row],[Actual close date]]-Table1[[#This Row],[Expected close date]])</f>
        <v/>
      </c>
    </row>
    <row r="1660" spans="1:18" x14ac:dyDescent="0.25">
      <c r="A1660" t="s">
        <v>1385</v>
      </c>
      <c r="B1660" t="s">
        <v>39</v>
      </c>
      <c r="C1660" t="s">
        <v>40</v>
      </c>
      <c r="D1660" t="s">
        <v>41</v>
      </c>
      <c r="E1660" t="s">
        <v>52</v>
      </c>
      <c r="F1660" t="s">
        <v>167</v>
      </c>
      <c r="G1660" t="s">
        <v>46</v>
      </c>
      <c r="H1660" s="1">
        <v>45411</v>
      </c>
      <c r="I1660" t="s">
        <v>24</v>
      </c>
      <c r="J1660" t="s">
        <v>1117</v>
      </c>
      <c r="K1660">
        <v>5</v>
      </c>
      <c r="L1660" t="s">
        <v>1118</v>
      </c>
      <c r="M1660">
        <v>2</v>
      </c>
      <c r="N1660">
        <v>7973</v>
      </c>
      <c r="O1660">
        <v>30</v>
      </c>
      <c r="P1660" s="1">
        <v>45548</v>
      </c>
      <c r="Q1660" s="1"/>
      <c r="R1660" t="str">
        <f>IF(Table1[[#This Row],[Actual close date]]="","",Table1[[#This Row],[Actual close date]]-Table1[[#This Row],[Expected close date]])</f>
        <v/>
      </c>
    </row>
    <row r="1661" spans="1:18" x14ac:dyDescent="0.25">
      <c r="A1661" t="s">
        <v>1407</v>
      </c>
      <c r="B1661" t="s">
        <v>33</v>
      </c>
      <c r="C1661" t="s">
        <v>34</v>
      </c>
      <c r="D1661" t="s">
        <v>35</v>
      </c>
      <c r="E1661" t="s">
        <v>118</v>
      </c>
      <c r="F1661" t="s">
        <v>239</v>
      </c>
      <c r="G1661" t="s">
        <v>37</v>
      </c>
      <c r="H1661" s="1">
        <v>45411</v>
      </c>
      <c r="I1661" t="s">
        <v>64</v>
      </c>
      <c r="J1661" t="s">
        <v>1117</v>
      </c>
      <c r="K1661">
        <v>5</v>
      </c>
      <c r="L1661" t="s">
        <v>1118</v>
      </c>
      <c r="M1661">
        <v>2</v>
      </c>
      <c r="N1661">
        <v>3823</v>
      </c>
      <c r="O1661">
        <v>50</v>
      </c>
      <c r="P1661" s="1">
        <v>45636</v>
      </c>
      <c r="Q1661" s="1"/>
      <c r="R1661" t="str">
        <f>IF(Table1[[#This Row],[Actual close date]]="","",Table1[[#This Row],[Actual close date]]-Table1[[#This Row],[Expected close date]])</f>
        <v/>
      </c>
    </row>
    <row r="1662" spans="1:18" x14ac:dyDescent="0.25">
      <c r="A1662" t="s">
        <v>1490</v>
      </c>
      <c r="B1662" t="s">
        <v>54</v>
      </c>
      <c r="C1662" t="s">
        <v>55</v>
      </c>
      <c r="D1662" t="s">
        <v>56</v>
      </c>
      <c r="E1662" t="s">
        <v>52</v>
      </c>
      <c r="F1662" t="s">
        <v>22</v>
      </c>
      <c r="G1662" t="s">
        <v>31</v>
      </c>
      <c r="H1662" s="1">
        <v>45411</v>
      </c>
      <c r="I1662" t="s">
        <v>24</v>
      </c>
      <c r="J1662" t="s">
        <v>1117</v>
      </c>
      <c r="K1662">
        <v>5</v>
      </c>
      <c r="L1662" t="s">
        <v>1479</v>
      </c>
      <c r="M1662">
        <v>3</v>
      </c>
      <c r="N1662">
        <v>904</v>
      </c>
      <c r="O1662">
        <v>30</v>
      </c>
      <c r="P1662" s="1">
        <v>45437</v>
      </c>
      <c r="Q1662" s="1"/>
      <c r="R1662" t="str">
        <f>IF(Table1[[#This Row],[Actual close date]]="","",Table1[[#This Row],[Actual close date]]-Table1[[#This Row],[Expected close date]])</f>
        <v/>
      </c>
    </row>
    <row r="1663" spans="1:18" x14ac:dyDescent="0.25">
      <c r="A1663" t="s">
        <v>1804</v>
      </c>
      <c r="B1663" t="s">
        <v>76</v>
      </c>
      <c r="C1663" t="s">
        <v>77</v>
      </c>
      <c r="D1663" t="s">
        <v>78</v>
      </c>
      <c r="E1663" t="s">
        <v>62</v>
      </c>
      <c r="F1663" t="s">
        <v>125</v>
      </c>
      <c r="G1663" t="s">
        <v>37</v>
      </c>
      <c r="H1663" s="1">
        <v>45411</v>
      </c>
      <c r="I1663" t="s">
        <v>47</v>
      </c>
      <c r="J1663" t="s">
        <v>1117</v>
      </c>
      <c r="K1663">
        <v>5</v>
      </c>
      <c r="L1663" t="s">
        <v>1766</v>
      </c>
      <c r="M1663">
        <v>4</v>
      </c>
      <c r="N1663">
        <v>379</v>
      </c>
      <c r="O1663">
        <v>20</v>
      </c>
      <c r="P1663" s="1">
        <v>45691</v>
      </c>
      <c r="Q1663" s="1"/>
      <c r="R1663" t="str">
        <f>IF(Table1[[#This Row],[Actual close date]]="","",Table1[[#This Row],[Actual close date]]-Table1[[#This Row],[Expected close date]])</f>
        <v/>
      </c>
    </row>
    <row r="1664" spans="1:18" x14ac:dyDescent="0.25">
      <c r="A1664" t="s">
        <v>1224</v>
      </c>
      <c r="B1664" t="s">
        <v>54</v>
      </c>
      <c r="C1664" t="s">
        <v>55</v>
      </c>
      <c r="D1664" t="s">
        <v>56</v>
      </c>
      <c r="E1664" t="s">
        <v>42</v>
      </c>
      <c r="F1664" t="s">
        <v>125</v>
      </c>
      <c r="G1664" t="s">
        <v>57</v>
      </c>
      <c r="H1664" s="1">
        <v>45412</v>
      </c>
      <c r="I1664" t="s">
        <v>64</v>
      </c>
      <c r="J1664" t="s">
        <v>1117</v>
      </c>
      <c r="K1664">
        <v>5</v>
      </c>
      <c r="L1664" t="s">
        <v>1118</v>
      </c>
      <c r="M1664">
        <v>2</v>
      </c>
      <c r="N1664">
        <v>461</v>
      </c>
      <c r="O1664">
        <v>40</v>
      </c>
      <c r="P1664" s="1">
        <v>45616</v>
      </c>
      <c r="Q1664" s="1"/>
      <c r="R1664" t="str">
        <f>IF(Table1[[#This Row],[Actual close date]]="","",Table1[[#This Row],[Actual close date]]-Table1[[#This Row],[Expected close date]])</f>
        <v/>
      </c>
    </row>
    <row r="1665" spans="1:18" x14ac:dyDescent="0.25">
      <c r="A1665" t="s">
        <v>1273</v>
      </c>
      <c r="B1665" t="s">
        <v>18</v>
      </c>
      <c r="C1665" t="s">
        <v>19</v>
      </c>
      <c r="D1665" t="s">
        <v>20</v>
      </c>
      <c r="E1665" t="s">
        <v>66</v>
      </c>
      <c r="F1665" t="s">
        <v>167</v>
      </c>
      <c r="G1665" t="s">
        <v>83</v>
      </c>
      <c r="H1665" s="1">
        <v>45412</v>
      </c>
      <c r="I1665" t="s">
        <v>24</v>
      </c>
      <c r="J1665" t="s">
        <v>1117</v>
      </c>
      <c r="K1665">
        <v>5</v>
      </c>
      <c r="L1665" t="s">
        <v>1118</v>
      </c>
      <c r="M1665">
        <v>2</v>
      </c>
      <c r="N1665">
        <v>4836</v>
      </c>
      <c r="O1665">
        <v>30</v>
      </c>
      <c r="P1665" s="1">
        <v>45560</v>
      </c>
      <c r="Q1665" s="1"/>
      <c r="R1665" t="str">
        <f>IF(Table1[[#This Row],[Actual close date]]="","",Table1[[#This Row],[Actual close date]]-Table1[[#This Row],[Expected close date]])</f>
        <v/>
      </c>
    </row>
    <row r="1666" spans="1:18" x14ac:dyDescent="0.25">
      <c r="A1666" t="s">
        <v>1364</v>
      </c>
      <c r="B1666" t="s">
        <v>54</v>
      </c>
      <c r="C1666" t="s">
        <v>55</v>
      </c>
      <c r="D1666" t="s">
        <v>56</v>
      </c>
      <c r="E1666" t="s">
        <v>118</v>
      </c>
      <c r="F1666" t="s">
        <v>167</v>
      </c>
      <c r="G1666" t="s">
        <v>57</v>
      </c>
      <c r="H1666" s="1">
        <v>45412</v>
      </c>
      <c r="I1666" t="s">
        <v>24</v>
      </c>
      <c r="J1666" t="s">
        <v>1117</v>
      </c>
      <c r="K1666">
        <v>5</v>
      </c>
      <c r="L1666" t="s">
        <v>1118</v>
      </c>
      <c r="M1666">
        <v>2</v>
      </c>
      <c r="N1666">
        <v>1672</v>
      </c>
      <c r="O1666">
        <v>90</v>
      </c>
      <c r="P1666" s="1">
        <v>45459</v>
      </c>
      <c r="Q1666" s="1"/>
      <c r="R1666" t="str">
        <f>IF(Table1[[#This Row],[Actual close date]]="","",Table1[[#This Row],[Actual close date]]-Table1[[#This Row],[Expected close date]])</f>
        <v/>
      </c>
    </row>
    <row r="1667" spans="1:18" x14ac:dyDescent="0.25">
      <c r="A1667" t="s">
        <v>1646</v>
      </c>
      <c r="B1667" t="s">
        <v>39</v>
      </c>
      <c r="C1667" t="s">
        <v>40</v>
      </c>
      <c r="D1667" t="s">
        <v>41</v>
      </c>
      <c r="E1667" t="s">
        <v>82</v>
      </c>
      <c r="F1667" t="s">
        <v>167</v>
      </c>
      <c r="G1667" t="s">
        <v>85</v>
      </c>
      <c r="H1667" s="1">
        <v>45412</v>
      </c>
      <c r="I1667" t="s">
        <v>64</v>
      </c>
      <c r="J1667" t="s">
        <v>1117</v>
      </c>
      <c r="K1667">
        <v>5</v>
      </c>
      <c r="L1667" t="s">
        <v>1479</v>
      </c>
      <c r="M1667">
        <v>3</v>
      </c>
      <c r="N1667">
        <v>7169</v>
      </c>
      <c r="O1667">
        <v>20</v>
      </c>
      <c r="P1667" s="1">
        <v>45571</v>
      </c>
      <c r="Q1667" s="1"/>
      <c r="R1667" t="str">
        <f>IF(Table1[[#This Row],[Actual close date]]="","",Table1[[#This Row],[Actual close date]]-Table1[[#This Row],[Expected close date]])</f>
        <v/>
      </c>
    </row>
    <row r="1668" spans="1:18" x14ac:dyDescent="0.25">
      <c r="A1668" t="s">
        <v>1653</v>
      </c>
      <c r="B1668" t="s">
        <v>59</v>
      </c>
      <c r="C1668" t="s">
        <v>60</v>
      </c>
      <c r="D1668" t="s">
        <v>61</v>
      </c>
      <c r="E1668" t="s">
        <v>101</v>
      </c>
      <c r="F1668" t="s">
        <v>167</v>
      </c>
      <c r="G1668" t="s">
        <v>85</v>
      </c>
      <c r="H1668" s="1">
        <v>45412</v>
      </c>
      <c r="I1668" t="s">
        <v>24</v>
      </c>
      <c r="J1668" t="s">
        <v>1117</v>
      </c>
      <c r="K1668">
        <v>5</v>
      </c>
      <c r="L1668" t="s">
        <v>1479</v>
      </c>
      <c r="M1668">
        <v>3</v>
      </c>
      <c r="N1668">
        <v>7055</v>
      </c>
      <c r="O1668">
        <v>70</v>
      </c>
      <c r="P1668" s="1">
        <v>45707</v>
      </c>
      <c r="Q1668" s="1"/>
      <c r="R1668" t="str">
        <f>IF(Table1[[#This Row],[Actual close date]]="","",Table1[[#This Row],[Actual close date]]-Table1[[#This Row],[Expected close date]])</f>
        <v/>
      </c>
    </row>
    <row r="1669" spans="1:18" x14ac:dyDescent="0.25">
      <c r="A1669" t="s">
        <v>1724</v>
      </c>
      <c r="B1669" t="s">
        <v>76</v>
      </c>
      <c r="C1669" t="s">
        <v>77</v>
      </c>
      <c r="D1669" t="s">
        <v>78</v>
      </c>
      <c r="E1669" t="s">
        <v>101</v>
      </c>
      <c r="F1669" t="s">
        <v>125</v>
      </c>
      <c r="G1669" t="s">
        <v>57</v>
      </c>
      <c r="H1669" s="1">
        <v>45412</v>
      </c>
      <c r="I1669" t="s">
        <v>47</v>
      </c>
      <c r="J1669" t="s">
        <v>1117</v>
      </c>
      <c r="K1669">
        <v>5</v>
      </c>
      <c r="L1669" t="s">
        <v>1700</v>
      </c>
      <c r="M1669">
        <v>1</v>
      </c>
      <c r="N1669">
        <v>1000</v>
      </c>
      <c r="O1669">
        <v>20</v>
      </c>
      <c r="P1669" s="1">
        <v>45435</v>
      </c>
      <c r="Q1669" s="1"/>
      <c r="R1669" t="str">
        <f>IF(Table1[[#This Row],[Actual close date]]="","",Table1[[#This Row],[Actual close date]]-Table1[[#This Row],[Expected close date]])</f>
        <v/>
      </c>
    </row>
    <row r="1670" spans="1:18" x14ac:dyDescent="0.25">
      <c r="A1670" t="s">
        <v>1281</v>
      </c>
      <c r="B1670" t="s">
        <v>33</v>
      </c>
      <c r="C1670" t="s">
        <v>34</v>
      </c>
      <c r="D1670" t="s">
        <v>35</v>
      </c>
      <c r="E1670" t="s">
        <v>101</v>
      </c>
      <c r="F1670" t="s">
        <v>167</v>
      </c>
      <c r="G1670" t="s">
        <v>83</v>
      </c>
      <c r="H1670" s="1">
        <v>45413</v>
      </c>
      <c r="I1670" t="s">
        <v>24</v>
      </c>
      <c r="J1670" t="s">
        <v>1117</v>
      </c>
      <c r="K1670">
        <v>5</v>
      </c>
      <c r="L1670" t="s">
        <v>1118</v>
      </c>
      <c r="M1670">
        <v>2</v>
      </c>
      <c r="N1670">
        <v>409</v>
      </c>
      <c r="O1670">
        <v>20</v>
      </c>
      <c r="P1670" s="1">
        <v>45745</v>
      </c>
      <c r="Q1670" s="1"/>
      <c r="R1670" t="str">
        <f>IF(Table1[[#This Row],[Actual close date]]="","",Table1[[#This Row],[Actual close date]]-Table1[[#This Row],[Expected close date]])</f>
        <v/>
      </c>
    </row>
    <row r="1671" spans="1:18" x14ac:dyDescent="0.25">
      <c r="A1671" t="s">
        <v>1555</v>
      </c>
      <c r="B1671" t="s">
        <v>27</v>
      </c>
      <c r="C1671" t="s">
        <v>28</v>
      </c>
      <c r="D1671" t="s">
        <v>29</v>
      </c>
      <c r="E1671" t="s">
        <v>82</v>
      </c>
      <c r="F1671" t="s">
        <v>125</v>
      </c>
      <c r="G1671" t="s">
        <v>72</v>
      </c>
      <c r="H1671" s="1">
        <v>45413</v>
      </c>
      <c r="I1671" t="s">
        <v>64</v>
      </c>
      <c r="J1671" t="s">
        <v>1117</v>
      </c>
      <c r="K1671">
        <v>5</v>
      </c>
      <c r="L1671" t="s">
        <v>1479</v>
      </c>
      <c r="M1671">
        <v>3</v>
      </c>
      <c r="N1671">
        <v>830</v>
      </c>
      <c r="O1671">
        <v>100</v>
      </c>
      <c r="P1671" s="1">
        <v>45498</v>
      </c>
      <c r="Q1671" s="1"/>
      <c r="R1671" t="str">
        <f>IF(Table1[[#This Row],[Actual close date]]="","",Table1[[#This Row],[Actual close date]]-Table1[[#This Row],[Expected close date]])</f>
        <v/>
      </c>
    </row>
    <row r="1672" spans="1:18" x14ac:dyDescent="0.25">
      <c r="A1672" t="s">
        <v>1612</v>
      </c>
      <c r="B1672" t="s">
        <v>39</v>
      </c>
      <c r="C1672" t="s">
        <v>40</v>
      </c>
      <c r="D1672" t="s">
        <v>41</v>
      </c>
      <c r="E1672" t="s">
        <v>52</v>
      </c>
      <c r="F1672" t="s">
        <v>167</v>
      </c>
      <c r="G1672" t="s">
        <v>72</v>
      </c>
      <c r="H1672" s="1">
        <v>45413</v>
      </c>
      <c r="I1672" t="s">
        <v>64</v>
      </c>
      <c r="J1672" t="s">
        <v>1117</v>
      </c>
      <c r="K1672">
        <v>5</v>
      </c>
      <c r="L1672" t="s">
        <v>1479</v>
      </c>
      <c r="M1672">
        <v>3</v>
      </c>
      <c r="N1672">
        <v>7472</v>
      </c>
      <c r="O1672">
        <v>60</v>
      </c>
      <c r="P1672" s="1">
        <v>45653</v>
      </c>
      <c r="Q1672" s="1"/>
      <c r="R1672" t="str">
        <f>IF(Table1[[#This Row],[Actual close date]]="","",Table1[[#This Row],[Actual close date]]-Table1[[#This Row],[Expected close date]])</f>
        <v/>
      </c>
    </row>
    <row r="1673" spans="1:18" x14ac:dyDescent="0.25">
      <c r="A1673" t="s">
        <v>1720</v>
      </c>
      <c r="B1673" t="s">
        <v>39</v>
      </c>
      <c r="C1673" t="s">
        <v>40</v>
      </c>
      <c r="D1673" t="s">
        <v>41</v>
      </c>
      <c r="E1673" t="s">
        <v>74</v>
      </c>
      <c r="F1673" t="s">
        <v>22</v>
      </c>
      <c r="G1673" t="s">
        <v>57</v>
      </c>
      <c r="H1673" s="1">
        <v>45413</v>
      </c>
      <c r="I1673" t="s">
        <v>64</v>
      </c>
      <c r="J1673" t="s">
        <v>1117</v>
      </c>
      <c r="K1673">
        <v>5</v>
      </c>
      <c r="L1673" t="s">
        <v>1700</v>
      </c>
      <c r="M1673">
        <v>1</v>
      </c>
      <c r="N1673">
        <v>1332</v>
      </c>
      <c r="O1673">
        <v>90</v>
      </c>
      <c r="P1673" s="1">
        <v>45599</v>
      </c>
      <c r="Q1673" s="1"/>
      <c r="R1673" t="str">
        <f>IF(Table1[[#This Row],[Actual close date]]="","",Table1[[#This Row],[Actual close date]]-Table1[[#This Row],[Expected close date]])</f>
        <v/>
      </c>
    </row>
    <row r="1674" spans="1:18" x14ac:dyDescent="0.25">
      <c r="A1674" t="s">
        <v>1726</v>
      </c>
      <c r="B1674" t="s">
        <v>39</v>
      </c>
      <c r="C1674" t="s">
        <v>40</v>
      </c>
      <c r="D1674" t="s">
        <v>41</v>
      </c>
      <c r="E1674" t="s">
        <v>74</v>
      </c>
      <c r="F1674" t="s">
        <v>125</v>
      </c>
      <c r="G1674" t="s">
        <v>57</v>
      </c>
      <c r="H1674" s="1">
        <v>45413</v>
      </c>
      <c r="I1674" t="s">
        <v>64</v>
      </c>
      <c r="J1674" t="s">
        <v>1117</v>
      </c>
      <c r="K1674">
        <v>5</v>
      </c>
      <c r="L1674" t="s">
        <v>1700</v>
      </c>
      <c r="M1674">
        <v>1</v>
      </c>
      <c r="N1674">
        <v>207</v>
      </c>
      <c r="O1674">
        <v>10</v>
      </c>
      <c r="P1674" s="1">
        <v>45700</v>
      </c>
      <c r="Q1674" s="1"/>
      <c r="R1674" t="str">
        <f>IF(Table1[[#This Row],[Actual close date]]="","",Table1[[#This Row],[Actual close date]]-Table1[[#This Row],[Expected close date]])</f>
        <v/>
      </c>
    </row>
    <row r="1675" spans="1:18" x14ac:dyDescent="0.25">
      <c r="A1675" t="s">
        <v>1252</v>
      </c>
      <c r="B1675" t="s">
        <v>54</v>
      </c>
      <c r="C1675" t="s">
        <v>55</v>
      </c>
      <c r="D1675" t="s">
        <v>56</v>
      </c>
      <c r="E1675" t="s">
        <v>101</v>
      </c>
      <c r="F1675" t="s">
        <v>125</v>
      </c>
      <c r="G1675" t="s">
        <v>23</v>
      </c>
      <c r="H1675" s="1">
        <v>45414</v>
      </c>
      <c r="I1675" t="s">
        <v>64</v>
      </c>
      <c r="J1675" t="s">
        <v>1117</v>
      </c>
      <c r="K1675">
        <v>5</v>
      </c>
      <c r="L1675" t="s">
        <v>1118</v>
      </c>
      <c r="M1675">
        <v>2</v>
      </c>
      <c r="N1675">
        <v>206</v>
      </c>
      <c r="O1675">
        <v>10</v>
      </c>
      <c r="P1675" s="1">
        <v>45742</v>
      </c>
      <c r="Q1675" s="1"/>
      <c r="R1675" t="str">
        <f>IF(Table1[[#This Row],[Actual close date]]="","",Table1[[#This Row],[Actual close date]]-Table1[[#This Row],[Expected close date]])</f>
        <v/>
      </c>
    </row>
    <row r="1676" spans="1:18" x14ac:dyDescent="0.25">
      <c r="A1676" t="s">
        <v>1829</v>
      </c>
      <c r="B1676" t="s">
        <v>33</v>
      </c>
      <c r="C1676" t="s">
        <v>34</v>
      </c>
      <c r="D1676" t="s">
        <v>35</v>
      </c>
      <c r="E1676" t="s">
        <v>101</v>
      </c>
      <c r="F1676" t="s">
        <v>125</v>
      </c>
      <c r="G1676" t="s">
        <v>83</v>
      </c>
      <c r="H1676" s="1">
        <v>45414</v>
      </c>
      <c r="I1676" t="s">
        <v>64</v>
      </c>
      <c r="J1676" t="s">
        <v>1117</v>
      </c>
      <c r="K1676">
        <v>5</v>
      </c>
      <c r="L1676" t="s">
        <v>1766</v>
      </c>
      <c r="M1676">
        <v>4</v>
      </c>
      <c r="N1676">
        <v>314</v>
      </c>
      <c r="O1676">
        <v>80</v>
      </c>
      <c r="P1676" s="1">
        <v>45523</v>
      </c>
      <c r="Q1676" s="1"/>
      <c r="R1676" t="str">
        <f>IF(Table1[[#This Row],[Actual close date]]="","",Table1[[#This Row],[Actual close date]]-Table1[[#This Row],[Expected close date]])</f>
        <v/>
      </c>
    </row>
    <row r="1677" spans="1:18" x14ac:dyDescent="0.25">
      <c r="A1677" t="s">
        <v>1121</v>
      </c>
      <c r="B1677" t="s">
        <v>33</v>
      </c>
      <c r="C1677" t="s">
        <v>34</v>
      </c>
      <c r="D1677" t="s">
        <v>35</v>
      </c>
      <c r="E1677" t="s">
        <v>45</v>
      </c>
      <c r="F1677" t="s">
        <v>22</v>
      </c>
      <c r="G1677" t="s">
        <v>72</v>
      </c>
      <c r="H1677" s="1">
        <v>45415</v>
      </c>
      <c r="I1677" t="s">
        <v>64</v>
      </c>
      <c r="J1677" t="s">
        <v>1117</v>
      </c>
      <c r="K1677">
        <v>5</v>
      </c>
      <c r="L1677" t="s">
        <v>1118</v>
      </c>
      <c r="M1677">
        <v>2</v>
      </c>
      <c r="N1677">
        <v>1626</v>
      </c>
      <c r="O1677">
        <v>40</v>
      </c>
      <c r="P1677" s="1">
        <v>45568</v>
      </c>
      <c r="Q1677" s="1"/>
      <c r="R1677" t="str">
        <f>IF(Table1[[#This Row],[Actual close date]]="","",Table1[[#This Row],[Actual close date]]-Table1[[#This Row],[Expected close date]])</f>
        <v/>
      </c>
    </row>
    <row r="1678" spans="1:18" x14ac:dyDescent="0.25">
      <c r="A1678" t="s">
        <v>1124</v>
      </c>
      <c r="B1678" t="s">
        <v>27</v>
      </c>
      <c r="C1678" t="s">
        <v>28</v>
      </c>
      <c r="D1678" t="s">
        <v>29</v>
      </c>
      <c r="E1678" t="s">
        <v>62</v>
      </c>
      <c r="F1678" t="s">
        <v>22</v>
      </c>
      <c r="G1678" t="s">
        <v>57</v>
      </c>
      <c r="H1678" s="1">
        <v>45415</v>
      </c>
      <c r="I1678" t="s">
        <v>64</v>
      </c>
      <c r="J1678" t="s">
        <v>1117</v>
      </c>
      <c r="K1678">
        <v>5</v>
      </c>
      <c r="L1678" t="s">
        <v>1118</v>
      </c>
      <c r="M1678">
        <v>2</v>
      </c>
      <c r="N1678">
        <v>1885</v>
      </c>
      <c r="O1678">
        <v>70</v>
      </c>
      <c r="P1678" s="1">
        <v>45580</v>
      </c>
      <c r="Q1678" s="1"/>
      <c r="R1678" t="str">
        <f>IF(Table1[[#This Row],[Actual close date]]="","",Table1[[#This Row],[Actual close date]]-Table1[[#This Row],[Expected close date]])</f>
        <v/>
      </c>
    </row>
    <row r="1679" spans="1:18" x14ac:dyDescent="0.25">
      <c r="A1679" t="s">
        <v>1315</v>
      </c>
      <c r="B1679" t="s">
        <v>54</v>
      </c>
      <c r="C1679" t="s">
        <v>55</v>
      </c>
      <c r="D1679" t="s">
        <v>56</v>
      </c>
      <c r="E1679" t="s">
        <v>42</v>
      </c>
      <c r="F1679" t="s">
        <v>167</v>
      </c>
      <c r="G1679" t="s">
        <v>46</v>
      </c>
      <c r="H1679" s="1">
        <v>45415</v>
      </c>
      <c r="I1679" t="s">
        <v>24</v>
      </c>
      <c r="J1679" t="s">
        <v>1117</v>
      </c>
      <c r="K1679">
        <v>5</v>
      </c>
      <c r="L1679" t="s">
        <v>1118</v>
      </c>
      <c r="M1679">
        <v>2</v>
      </c>
      <c r="N1679">
        <v>5152</v>
      </c>
      <c r="O1679">
        <v>40</v>
      </c>
      <c r="P1679" s="1">
        <v>45700</v>
      </c>
      <c r="Q1679" s="1"/>
      <c r="R1679" t="str">
        <f>IF(Table1[[#This Row],[Actual close date]]="","",Table1[[#This Row],[Actual close date]]-Table1[[#This Row],[Expected close date]])</f>
        <v/>
      </c>
    </row>
    <row r="1680" spans="1:18" x14ac:dyDescent="0.25">
      <c r="A1680" t="s">
        <v>1501</v>
      </c>
      <c r="B1680" t="s">
        <v>33</v>
      </c>
      <c r="C1680" t="s">
        <v>34</v>
      </c>
      <c r="D1680" t="s">
        <v>35</v>
      </c>
      <c r="E1680" t="s">
        <v>74</v>
      </c>
      <c r="F1680" t="s">
        <v>22</v>
      </c>
      <c r="G1680" t="s">
        <v>57</v>
      </c>
      <c r="H1680" s="1">
        <v>45415</v>
      </c>
      <c r="I1680" t="s">
        <v>47</v>
      </c>
      <c r="J1680" t="s">
        <v>1117</v>
      </c>
      <c r="K1680">
        <v>5</v>
      </c>
      <c r="L1680" t="s">
        <v>1479</v>
      </c>
      <c r="M1680">
        <v>3</v>
      </c>
      <c r="N1680">
        <v>1101</v>
      </c>
      <c r="O1680">
        <v>10</v>
      </c>
      <c r="P1680" s="1">
        <v>45578</v>
      </c>
      <c r="Q1680" s="1"/>
      <c r="R1680" t="str">
        <f>IF(Table1[[#This Row],[Actual close date]]="","",Table1[[#This Row],[Actual close date]]-Table1[[#This Row],[Expected close date]])</f>
        <v/>
      </c>
    </row>
    <row r="1681" spans="1:18" x14ac:dyDescent="0.25">
      <c r="A1681" t="s">
        <v>1684</v>
      </c>
      <c r="B1681" t="s">
        <v>33</v>
      </c>
      <c r="C1681" t="s">
        <v>34</v>
      </c>
      <c r="D1681" t="s">
        <v>35</v>
      </c>
      <c r="E1681" t="s">
        <v>62</v>
      </c>
      <c r="F1681" t="s">
        <v>167</v>
      </c>
      <c r="G1681" t="s">
        <v>57</v>
      </c>
      <c r="H1681" s="1">
        <v>45415</v>
      </c>
      <c r="I1681" t="s">
        <v>47</v>
      </c>
      <c r="J1681" t="s">
        <v>1117</v>
      </c>
      <c r="K1681">
        <v>5</v>
      </c>
      <c r="L1681" t="s">
        <v>1479</v>
      </c>
      <c r="M1681">
        <v>3</v>
      </c>
      <c r="N1681">
        <v>4480</v>
      </c>
      <c r="O1681">
        <v>50</v>
      </c>
      <c r="P1681" s="1">
        <v>45461</v>
      </c>
      <c r="Q1681" s="1"/>
      <c r="R1681" t="str">
        <f>IF(Table1[[#This Row],[Actual close date]]="","",Table1[[#This Row],[Actual close date]]-Table1[[#This Row],[Expected close date]])</f>
        <v/>
      </c>
    </row>
    <row r="1682" spans="1:18" x14ac:dyDescent="0.25">
      <c r="A1682" t="s">
        <v>1496</v>
      </c>
      <c r="B1682" t="s">
        <v>76</v>
      </c>
      <c r="C1682" t="s">
        <v>77</v>
      </c>
      <c r="D1682" t="s">
        <v>78</v>
      </c>
      <c r="E1682" t="s">
        <v>52</v>
      </c>
      <c r="F1682" t="s">
        <v>22</v>
      </c>
      <c r="G1682" t="s">
        <v>46</v>
      </c>
      <c r="H1682" s="1">
        <v>45416</v>
      </c>
      <c r="I1682" t="s">
        <v>24</v>
      </c>
      <c r="J1682" t="s">
        <v>1117</v>
      </c>
      <c r="K1682">
        <v>5</v>
      </c>
      <c r="L1682" t="s">
        <v>1479</v>
      </c>
      <c r="M1682">
        <v>3</v>
      </c>
      <c r="N1682">
        <v>498</v>
      </c>
      <c r="O1682">
        <v>80</v>
      </c>
      <c r="P1682" s="1">
        <v>45600</v>
      </c>
      <c r="Q1682" s="1"/>
      <c r="R1682" t="str">
        <f>IF(Table1[[#This Row],[Actual close date]]="","",Table1[[#This Row],[Actual close date]]-Table1[[#This Row],[Expected close date]])</f>
        <v/>
      </c>
    </row>
    <row r="1683" spans="1:18" x14ac:dyDescent="0.25">
      <c r="A1683" t="s">
        <v>1674</v>
      </c>
      <c r="B1683" t="s">
        <v>49</v>
      </c>
      <c r="C1683" t="s">
        <v>50</v>
      </c>
      <c r="D1683" t="s">
        <v>51</v>
      </c>
      <c r="E1683" t="s">
        <v>98</v>
      </c>
      <c r="F1683" t="s">
        <v>167</v>
      </c>
      <c r="G1683" t="s">
        <v>23</v>
      </c>
      <c r="H1683" s="1">
        <v>45416</v>
      </c>
      <c r="I1683" t="s">
        <v>24</v>
      </c>
      <c r="J1683" t="s">
        <v>1117</v>
      </c>
      <c r="K1683">
        <v>5</v>
      </c>
      <c r="L1683" t="s">
        <v>1479</v>
      </c>
      <c r="M1683">
        <v>3</v>
      </c>
      <c r="N1683">
        <v>6505</v>
      </c>
      <c r="O1683">
        <v>80</v>
      </c>
      <c r="P1683" s="1">
        <v>45614</v>
      </c>
      <c r="Q1683" s="1"/>
      <c r="R1683" t="str">
        <f>IF(Table1[[#This Row],[Actual close date]]="","",Table1[[#This Row],[Actual close date]]-Table1[[#This Row],[Expected close date]])</f>
        <v/>
      </c>
    </row>
    <row r="1684" spans="1:18" x14ac:dyDescent="0.25">
      <c r="A1684" t="s">
        <v>1239</v>
      </c>
      <c r="B1684" t="s">
        <v>69</v>
      </c>
      <c r="C1684" t="s">
        <v>70</v>
      </c>
      <c r="D1684" t="s">
        <v>71</v>
      </c>
      <c r="E1684" t="s">
        <v>66</v>
      </c>
      <c r="F1684" t="s">
        <v>125</v>
      </c>
      <c r="G1684" t="s">
        <v>46</v>
      </c>
      <c r="H1684" s="1">
        <v>45417</v>
      </c>
      <c r="I1684" t="s">
        <v>47</v>
      </c>
      <c r="J1684" t="s">
        <v>1117</v>
      </c>
      <c r="K1684">
        <v>5</v>
      </c>
      <c r="L1684" t="s">
        <v>1118</v>
      </c>
      <c r="M1684">
        <v>2</v>
      </c>
      <c r="N1684">
        <v>981</v>
      </c>
      <c r="O1684">
        <v>20</v>
      </c>
      <c r="P1684" s="1">
        <v>45481</v>
      </c>
      <c r="Q1684" s="1"/>
      <c r="R1684" t="str">
        <f>IF(Table1[[#This Row],[Actual close date]]="","",Table1[[#This Row],[Actual close date]]-Table1[[#This Row],[Expected close date]])</f>
        <v/>
      </c>
    </row>
    <row r="1685" spans="1:18" x14ac:dyDescent="0.25">
      <c r="A1685" t="s">
        <v>1372</v>
      </c>
      <c r="B1685" t="s">
        <v>76</v>
      </c>
      <c r="C1685" t="s">
        <v>77</v>
      </c>
      <c r="D1685" t="s">
        <v>78</v>
      </c>
      <c r="E1685" t="s">
        <v>62</v>
      </c>
      <c r="F1685" t="s">
        <v>167</v>
      </c>
      <c r="G1685" t="s">
        <v>85</v>
      </c>
      <c r="H1685" s="1">
        <v>45417</v>
      </c>
      <c r="I1685" t="s">
        <v>47</v>
      </c>
      <c r="J1685" t="s">
        <v>1117</v>
      </c>
      <c r="K1685">
        <v>5</v>
      </c>
      <c r="L1685" t="s">
        <v>1118</v>
      </c>
      <c r="M1685">
        <v>2</v>
      </c>
      <c r="N1685">
        <v>7339</v>
      </c>
      <c r="O1685">
        <v>70</v>
      </c>
      <c r="P1685" s="1">
        <v>45656</v>
      </c>
      <c r="Q1685" s="1"/>
      <c r="R1685" t="str">
        <f>IF(Table1[[#This Row],[Actual close date]]="","",Table1[[#This Row],[Actual close date]]-Table1[[#This Row],[Expected close date]])</f>
        <v/>
      </c>
    </row>
    <row r="1686" spans="1:18" x14ac:dyDescent="0.25">
      <c r="A1686" t="s">
        <v>1605</v>
      </c>
      <c r="B1686" t="s">
        <v>69</v>
      </c>
      <c r="C1686" t="s">
        <v>70</v>
      </c>
      <c r="D1686" t="s">
        <v>71</v>
      </c>
      <c r="E1686" t="s">
        <v>45</v>
      </c>
      <c r="F1686" t="s">
        <v>167</v>
      </c>
      <c r="G1686" t="s">
        <v>46</v>
      </c>
      <c r="H1686" s="1">
        <v>45417</v>
      </c>
      <c r="I1686" t="s">
        <v>64</v>
      </c>
      <c r="J1686" t="s">
        <v>1117</v>
      </c>
      <c r="K1686">
        <v>5</v>
      </c>
      <c r="L1686" t="s">
        <v>1479</v>
      </c>
      <c r="M1686">
        <v>3</v>
      </c>
      <c r="N1686">
        <v>4189</v>
      </c>
      <c r="O1686">
        <v>80</v>
      </c>
      <c r="P1686" s="1">
        <v>45650</v>
      </c>
      <c r="Q1686" s="1"/>
      <c r="R1686" t="str">
        <f>IF(Table1[[#This Row],[Actual close date]]="","",Table1[[#This Row],[Actual close date]]-Table1[[#This Row],[Expected close date]])</f>
        <v/>
      </c>
    </row>
    <row r="1687" spans="1:18" x14ac:dyDescent="0.25">
      <c r="A1687" t="s">
        <v>1799</v>
      </c>
      <c r="B1687" t="s">
        <v>33</v>
      </c>
      <c r="C1687" t="s">
        <v>34</v>
      </c>
      <c r="D1687" t="s">
        <v>35</v>
      </c>
      <c r="E1687" t="s">
        <v>98</v>
      </c>
      <c r="F1687" t="s">
        <v>22</v>
      </c>
      <c r="G1687" t="s">
        <v>72</v>
      </c>
      <c r="H1687" s="1">
        <v>45417</v>
      </c>
      <c r="I1687" t="s">
        <v>47</v>
      </c>
      <c r="J1687" t="s">
        <v>1117</v>
      </c>
      <c r="K1687">
        <v>5</v>
      </c>
      <c r="L1687" t="s">
        <v>1766</v>
      </c>
      <c r="M1687">
        <v>4</v>
      </c>
      <c r="N1687">
        <v>1424</v>
      </c>
      <c r="O1687">
        <v>30</v>
      </c>
      <c r="P1687" s="1">
        <v>45679</v>
      </c>
      <c r="Q1687" s="1"/>
      <c r="R1687" t="str">
        <f>IF(Table1[[#This Row],[Actual close date]]="","",Table1[[#This Row],[Actual close date]]-Table1[[#This Row],[Expected close date]])</f>
        <v/>
      </c>
    </row>
    <row r="1688" spans="1:18" x14ac:dyDescent="0.25">
      <c r="A1688" t="s">
        <v>1820</v>
      </c>
      <c r="B1688" t="s">
        <v>76</v>
      </c>
      <c r="C1688" t="s">
        <v>77</v>
      </c>
      <c r="D1688" t="s">
        <v>78</v>
      </c>
      <c r="E1688" t="s">
        <v>45</v>
      </c>
      <c r="F1688" t="s">
        <v>125</v>
      </c>
      <c r="G1688" t="s">
        <v>31</v>
      </c>
      <c r="H1688" s="1">
        <v>45417</v>
      </c>
      <c r="I1688" t="s">
        <v>24</v>
      </c>
      <c r="J1688" t="s">
        <v>1117</v>
      </c>
      <c r="K1688">
        <v>5</v>
      </c>
      <c r="L1688" t="s">
        <v>1766</v>
      </c>
      <c r="M1688">
        <v>4</v>
      </c>
      <c r="N1688">
        <v>1057</v>
      </c>
      <c r="O1688">
        <v>20</v>
      </c>
      <c r="P1688" s="1">
        <v>45512</v>
      </c>
      <c r="Q1688" s="1"/>
      <c r="R1688" t="str">
        <f>IF(Table1[[#This Row],[Actual close date]]="","",Table1[[#This Row],[Actual close date]]-Table1[[#This Row],[Expected close date]])</f>
        <v/>
      </c>
    </row>
    <row r="1689" spans="1:18" x14ac:dyDescent="0.25">
      <c r="A1689" t="s">
        <v>1823</v>
      </c>
      <c r="B1689" t="s">
        <v>33</v>
      </c>
      <c r="C1689" t="s">
        <v>34</v>
      </c>
      <c r="D1689" t="s">
        <v>35</v>
      </c>
      <c r="E1689" t="s">
        <v>52</v>
      </c>
      <c r="F1689" t="s">
        <v>125</v>
      </c>
      <c r="G1689" t="s">
        <v>23</v>
      </c>
      <c r="H1689" s="1">
        <v>45417</v>
      </c>
      <c r="I1689" t="s">
        <v>24</v>
      </c>
      <c r="J1689" t="s">
        <v>1117</v>
      </c>
      <c r="K1689">
        <v>5</v>
      </c>
      <c r="L1689" t="s">
        <v>1766</v>
      </c>
      <c r="M1689">
        <v>4</v>
      </c>
      <c r="N1689">
        <v>1133</v>
      </c>
      <c r="O1689">
        <v>20</v>
      </c>
      <c r="P1689" s="1">
        <v>45681</v>
      </c>
      <c r="Q1689" s="1"/>
      <c r="R1689" t="str">
        <f>IF(Table1[[#This Row],[Actual close date]]="","",Table1[[#This Row],[Actual close date]]-Table1[[#This Row],[Expected close date]])</f>
        <v/>
      </c>
    </row>
    <row r="1690" spans="1:18" x14ac:dyDescent="0.25">
      <c r="A1690" t="s">
        <v>1269</v>
      </c>
      <c r="B1690" t="s">
        <v>54</v>
      </c>
      <c r="C1690" t="s">
        <v>55</v>
      </c>
      <c r="D1690" t="s">
        <v>56</v>
      </c>
      <c r="E1690" t="s">
        <v>42</v>
      </c>
      <c r="F1690" t="s">
        <v>125</v>
      </c>
      <c r="G1690" t="s">
        <v>83</v>
      </c>
      <c r="H1690" s="1">
        <v>45418</v>
      </c>
      <c r="I1690" t="s">
        <v>64</v>
      </c>
      <c r="J1690" t="s">
        <v>1117</v>
      </c>
      <c r="K1690">
        <v>5</v>
      </c>
      <c r="L1690" t="s">
        <v>1118</v>
      </c>
      <c r="M1690">
        <v>2</v>
      </c>
      <c r="N1690">
        <v>213</v>
      </c>
      <c r="O1690">
        <v>60</v>
      </c>
      <c r="P1690" s="1">
        <v>45540</v>
      </c>
      <c r="Q1690" s="1"/>
      <c r="R1690" t="str">
        <f>IF(Table1[[#This Row],[Actual close date]]="","",Table1[[#This Row],[Actual close date]]-Table1[[#This Row],[Expected close date]])</f>
        <v/>
      </c>
    </row>
    <row r="1691" spans="1:18" x14ac:dyDescent="0.25">
      <c r="A1691" t="s">
        <v>1669</v>
      </c>
      <c r="B1691" t="s">
        <v>39</v>
      </c>
      <c r="C1691" t="s">
        <v>40</v>
      </c>
      <c r="D1691" t="s">
        <v>41</v>
      </c>
      <c r="E1691" t="s">
        <v>52</v>
      </c>
      <c r="F1691" t="s">
        <v>167</v>
      </c>
      <c r="G1691" t="s">
        <v>23</v>
      </c>
      <c r="H1691" s="1">
        <v>45418</v>
      </c>
      <c r="I1691" t="s">
        <v>24</v>
      </c>
      <c r="J1691" t="s">
        <v>1117</v>
      </c>
      <c r="K1691">
        <v>5</v>
      </c>
      <c r="L1691" t="s">
        <v>1479</v>
      </c>
      <c r="M1691">
        <v>3</v>
      </c>
      <c r="N1691">
        <v>2950</v>
      </c>
      <c r="O1691">
        <v>100</v>
      </c>
      <c r="P1691" s="1">
        <v>45463</v>
      </c>
      <c r="Q1691" s="1"/>
      <c r="R1691" t="str">
        <f>IF(Table1[[#This Row],[Actual close date]]="","",Table1[[#This Row],[Actual close date]]-Table1[[#This Row],[Expected close date]])</f>
        <v/>
      </c>
    </row>
    <row r="1692" spans="1:18" x14ac:dyDescent="0.25">
      <c r="A1692" t="s">
        <v>1703</v>
      </c>
      <c r="B1692" t="s">
        <v>33</v>
      </c>
      <c r="C1692" t="s">
        <v>34</v>
      </c>
      <c r="D1692" t="s">
        <v>35</v>
      </c>
      <c r="E1692" t="s">
        <v>30</v>
      </c>
      <c r="F1692" t="s">
        <v>22</v>
      </c>
      <c r="G1692" t="s">
        <v>46</v>
      </c>
      <c r="H1692" s="1">
        <v>45418</v>
      </c>
      <c r="I1692" t="s">
        <v>24</v>
      </c>
      <c r="J1692" t="s">
        <v>1117</v>
      </c>
      <c r="K1692">
        <v>5</v>
      </c>
      <c r="L1692" t="s">
        <v>1700</v>
      </c>
      <c r="M1692">
        <v>1</v>
      </c>
      <c r="N1692">
        <v>1546</v>
      </c>
      <c r="O1692">
        <v>60</v>
      </c>
      <c r="P1692" s="1">
        <v>45769</v>
      </c>
      <c r="Q1692" s="1"/>
      <c r="R1692" t="str">
        <f>IF(Table1[[#This Row],[Actual close date]]="","",Table1[[#This Row],[Actual close date]]-Table1[[#This Row],[Expected close date]])</f>
        <v/>
      </c>
    </row>
    <row r="1693" spans="1:18" x14ac:dyDescent="0.25">
      <c r="A1693" t="s">
        <v>1788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t="s">
        <v>46</v>
      </c>
      <c r="H1693" s="1">
        <v>45418</v>
      </c>
      <c r="I1693" t="s">
        <v>64</v>
      </c>
      <c r="J1693" t="s">
        <v>1117</v>
      </c>
      <c r="K1693">
        <v>5</v>
      </c>
      <c r="L1693" t="s">
        <v>1766</v>
      </c>
      <c r="M1693">
        <v>4</v>
      </c>
      <c r="N1693">
        <v>1516</v>
      </c>
      <c r="O1693">
        <v>20</v>
      </c>
      <c r="P1693" s="1">
        <v>45487</v>
      </c>
      <c r="Q1693" s="1"/>
      <c r="R1693" t="str">
        <f>IF(Table1[[#This Row],[Actual close date]]="","",Table1[[#This Row],[Actual close date]]-Table1[[#This Row],[Expected close date]])</f>
        <v/>
      </c>
    </row>
    <row r="1694" spans="1:18" x14ac:dyDescent="0.25">
      <c r="A1694" t="s">
        <v>1819</v>
      </c>
      <c r="B1694" t="s">
        <v>39</v>
      </c>
      <c r="C1694" t="s">
        <v>40</v>
      </c>
      <c r="D1694" t="s">
        <v>41</v>
      </c>
      <c r="E1694" t="s">
        <v>66</v>
      </c>
      <c r="F1694" t="s">
        <v>125</v>
      </c>
      <c r="G1694" t="s">
        <v>37</v>
      </c>
      <c r="H1694" s="1">
        <v>45418</v>
      </c>
      <c r="I1694" t="s">
        <v>64</v>
      </c>
      <c r="J1694" t="s">
        <v>1117</v>
      </c>
      <c r="K1694">
        <v>5</v>
      </c>
      <c r="L1694" t="s">
        <v>1766</v>
      </c>
      <c r="M1694">
        <v>4</v>
      </c>
      <c r="N1694">
        <v>1102</v>
      </c>
      <c r="O1694">
        <v>50</v>
      </c>
      <c r="P1694" s="1">
        <v>45478</v>
      </c>
      <c r="Q1694" s="1"/>
      <c r="R1694" t="str">
        <f>IF(Table1[[#This Row],[Actual close date]]="","",Table1[[#This Row],[Actual close date]]-Table1[[#This Row],[Expected close date]])</f>
        <v/>
      </c>
    </row>
    <row r="1695" spans="1:18" x14ac:dyDescent="0.25">
      <c r="A1695" t="s">
        <v>1233</v>
      </c>
      <c r="B1695" t="s">
        <v>54</v>
      </c>
      <c r="C1695" t="s">
        <v>55</v>
      </c>
      <c r="D1695" t="s">
        <v>56</v>
      </c>
      <c r="E1695" t="s">
        <v>101</v>
      </c>
      <c r="F1695" t="s">
        <v>125</v>
      </c>
      <c r="G1695" t="s">
        <v>83</v>
      </c>
      <c r="H1695" s="1">
        <v>45419</v>
      </c>
      <c r="I1695" t="s">
        <v>64</v>
      </c>
      <c r="J1695" t="s">
        <v>1117</v>
      </c>
      <c r="K1695">
        <v>5</v>
      </c>
      <c r="L1695" t="s">
        <v>1118</v>
      </c>
      <c r="M1695">
        <v>2</v>
      </c>
      <c r="N1695">
        <v>1188</v>
      </c>
      <c r="O1695">
        <v>40</v>
      </c>
      <c r="P1695" s="1">
        <v>45639</v>
      </c>
      <c r="Q1695" s="1"/>
      <c r="R1695" t="str">
        <f>IF(Table1[[#This Row],[Actual close date]]="","",Table1[[#This Row],[Actual close date]]-Table1[[#This Row],[Expected close date]])</f>
        <v/>
      </c>
    </row>
    <row r="1696" spans="1:18" x14ac:dyDescent="0.25">
      <c r="A1696" t="s">
        <v>1304</v>
      </c>
      <c r="B1696" t="s">
        <v>76</v>
      </c>
      <c r="C1696" t="s">
        <v>77</v>
      </c>
      <c r="D1696" t="s">
        <v>78</v>
      </c>
      <c r="E1696" t="s">
        <v>74</v>
      </c>
      <c r="F1696" t="s">
        <v>167</v>
      </c>
      <c r="G1696" t="s">
        <v>57</v>
      </c>
      <c r="H1696" s="1">
        <v>45419</v>
      </c>
      <c r="I1696" t="s">
        <v>64</v>
      </c>
      <c r="J1696" t="s">
        <v>1117</v>
      </c>
      <c r="K1696">
        <v>5</v>
      </c>
      <c r="L1696" t="s">
        <v>1118</v>
      </c>
      <c r="M1696">
        <v>2</v>
      </c>
      <c r="N1696">
        <v>1227</v>
      </c>
      <c r="O1696">
        <v>30</v>
      </c>
      <c r="P1696" s="1">
        <v>45774</v>
      </c>
      <c r="Q1696" s="1"/>
      <c r="R1696" t="str">
        <f>IF(Table1[[#This Row],[Actual close date]]="","",Table1[[#This Row],[Actual close date]]-Table1[[#This Row],[Expected close date]])</f>
        <v/>
      </c>
    </row>
    <row r="1697" spans="1:18" x14ac:dyDescent="0.25">
      <c r="A1697" t="s">
        <v>1340</v>
      </c>
      <c r="B1697" t="s">
        <v>54</v>
      </c>
      <c r="C1697" t="s">
        <v>55</v>
      </c>
      <c r="D1697" t="s">
        <v>56</v>
      </c>
      <c r="E1697" t="s">
        <v>21</v>
      </c>
      <c r="F1697" t="s">
        <v>167</v>
      </c>
      <c r="G1697" t="s">
        <v>37</v>
      </c>
      <c r="H1697" s="1">
        <v>45420</v>
      </c>
      <c r="I1697" t="s">
        <v>64</v>
      </c>
      <c r="J1697" t="s">
        <v>1117</v>
      </c>
      <c r="K1697">
        <v>5</v>
      </c>
      <c r="L1697" t="s">
        <v>1118</v>
      </c>
      <c r="M1697">
        <v>2</v>
      </c>
      <c r="N1697">
        <v>5594</v>
      </c>
      <c r="O1697">
        <v>10</v>
      </c>
      <c r="P1697" s="1">
        <v>45483</v>
      </c>
      <c r="Q1697" s="1"/>
      <c r="R1697" t="str">
        <f>IF(Table1[[#This Row],[Actual close date]]="","",Table1[[#This Row],[Actual close date]]-Table1[[#This Row],[Expected close date]])</f>
        <v/>
      </c>
    </row>
    <row r="1698" spans="1:18" x14ac:dyDescent="0.25">
      <c r="A1698" t="s">
        <v>1652</v>
      </c>
      <c r="B1698" t="s">
        <v>33</v>
      </c>
      <c r="C1698" t="s">
        <v>34</v>
      </c>
      <c r="D1698" t="s">
        <v>35</v>
      </c>
      <c r="E1698" t="s">
        <v>74</v>
      </c>
      <c r="F1698" t="s">
        <v>167</v>
      </c>
      <c r="G1698" t="s">
        <v>37</v>
      </c>
      <c r="H1698" s="1">
        <v>45420</v>
      </c>
      <c r="I1698" t="s">
        <v>24</v>
      </c>
      <c r="J1698" t="s">
        <v>1117</v>
      </c>
      <c r="K1698">
        <v>5</v>
      </c>
      <c r="L1698" t="s">
        <v>1479</v>
      </c>
      <c r="M1698">
        <v>3</v>
      </c>
      <c r="N1698">
        <v>5017</v>
      </c>
      <c r="O1698">
        <v>60</v>
      </c>
      <c r="P1698" s="1">
        <v>45739</v>
      </c>
      <c r="Q1698" s="1"/>
      <c r="R1698" t="str">
        <f>IF(Table1[[#This Row],[Actual close date]]="","",Table1[[#This Row],[Actual close date]]-Table1[[#This Row],[Expected close date]])</f>
        <v/>
      </c>
    </row>
    <row r="1699" spans="1:18" x14ac:dyDescent="0.25">
      <c r="A1699" t="s">
        <v>1728</v>
      </c>
      <c r="B1699" t="s">
        <v>33</v>
      </c>
      <c r="C1699" t="s">
        <v>34</v>
      </c>
      <c r="D1699" t="s">
        <v>35</v>
      </c>
      <c r="E1699" t="s">
        <v>21</v>
      </c>
      <c r="F1699" t="s">
        <v>125</v>
      </c>
      <c r="G1699" t="s">
        <v>83</v>
      </c>
      <c r="H1699" s="1">
        <v>45420</v>
      </c>
      <c r="I1699" t="s">
        <v>24</v>
      </c>
      <c r="J1699" t="s">
        <v>1117</v>
      </c>
      <c r="K1699">
        <v>5</v>
      </c>
      <c r="L1699" t="s">
        <v>1700</v>
      </c>
      <c r="M1699">
        <v>1</v>
      </c>
      <c r="N1699">
        <v>893</v>
      </c>
      <c r="O1699">
        <v>30</v>
      </c>
      <c r="P1699" s="1">
        <v>45649</v>
      </c>
      <c r="Q1699" s="1"/>
      <c r="R1699" t="str">
        <f>IF(Table1[[#This Row],[Actual close date]]="","",Table1[[#This Row],[Actual close date]]-Table1[[#This Row],[Expected close date]])</f>
        <v/>
      </c>
    </row>
    <row r="1700" spans="1:18" x14ac:dyDescent="0.25">
      <c r="A1700" t="s">
        <v>1839</v>
      </c>
      <c r="B1700" t="s">
        <v>39</v>
      </c>
      <c r="C1700" t="s">
        <v>40</v>
      </c>
      <c r="D1700" t="s">
        <v>41</v>
      </c>
      <c r="E1700" t="s">
        <v>101</v>
      </c>
      <c r="F1700" t="s">
        <v>167</v>
      </c>
      <c r="G1700" t="s">
        <v>46</v>
      </c>
      <c r="H1700" s="1">
        <v>45420</v>
      </c>
      <c r="I1700" t="s">
        <v>64</v>
      </c>
      <c r="J1700" t="s">
        <v>1117</v>
      </c>
      <c r="K1700">
        <v>5</v>
      </c>
      <c r="L1700" t="s">
        <v>1766</v>
      </c>
      <c r="M1700">
        <v>4</v>
      </c>
      <c r="N1700">
        <v>771</v>
      </c>
      <c r="O1700">
        <v>30</v>
      </c>
      <c r="P1700" s="1">
        <v>45691</v>
      </c>
      <c r="Q1700" s="1"/>
      <c r="R1700" t="str">
        <f>IF(Table1[[#This Row],[Actual close date]]="","",Table1[[#This Row],[Actual close date]]-Table1[[#This Row],[Expected close date]])</f>
        <v/>
      </c>
    </row>
    <row r="1701" spans="1:18" x14ac:dyDescent="0.25">
      <c r="A1701" t="s">
        <v>1132</v>
      </c>
      <c r="B1701" t="s">
        <v>69</v>
      </c>
      <c r="C1701" t="s">
        <v>70</v>
      </c>
      <c r="D1701" t="s">
        <v>71</v>
      </c>
      <c r="E1701" t="s">
        <v>62</v>
      </c>
      <c r="F1701" t="s">
        <v>22</v>
      </c>
      <c r="G1701" t="s">
        <v>23</v>
      </c>
      <c r="H1701" s="1">
        <v>45421</v>
      </c>
      <c r="I1701" t="s">
        <v>47</v>
      </c>
      <c r="J1701" t="s">
        <v>1117</v>
      </c>
      <c r="K1701">
        <v>5</v>
      </c>
      <c r="L1701" t="s">
        <v>1118</v>
      </c>
      <c r="M1701">
        <v>2</v>
      </c>
      <c r="N1701">
        <v>1053</v>
      </c>
      <c r="O1701">
        <v>60</v>
      </c>
      <c r="P1701" s="1">
        <v>45758</v>
      </c>
      <c r="Q1701" s="1"/>
      <c r="R1701" t="str">
        <f>IF(Table1[[#This Row],[Actual close date]]="","",Table1[[#This Row],[Actual close date]]-Table1[[#This Row],[Expected close date]])</f>
        <v/>
      </c>
    </row>
    <row r="1702" spans="1:18" x14ac:dyDescent="0.25">
      <c r="A1702" t="s">
        <v>1399</v>
      </c>
      <c r="B1702" t="s">
        <v>33</v>
      </c>
      <c r="C1702" t="s">
        <v>34</v>
      </c>
      <c r="D1702" t="s">
        <v>35</v>
      </c>
      <c r="E1702" t="s">
        <v>21</v>
      </c>
      <c r="F1702" t="s">
        <v>167</v>
      </c>
      <c r="G1702" t="s">
        <v>72</v>
      </c>
      <c r="H1702" s="1">
        <v>45421</v>
      </c>
      <c r="I1702" t="s">
        <v>24</v>
      </c>
      <c r="J1702" t="s">
        <v>1117</v>
      </c>
      <c r="K1702">
        <v>5</v>
      </c>
      <c r="L1702" t="s">
        <v>1118</v>
      </c>
      <c r="M1702">
        <v>2</v>
      </c>
      <c r="N1702">
        <v>3763</v>
      </c>
      <c r="O1702">
        <v>60</v>
      </c>
      <c r="P1702" s="1">
        <v>45677</v>
      </c>
      <c r="Q1702" s="1"/>
      <c r="R1702" t="str">
        <f>IF(Table1[[#This Row],[Actual close date]]="","",Table1[[#This Row],[Actual close date]]-Table1[[#This Row],[Expected close date]])</f>
        <v/>
      </c>
    </row>
    <row r="1703" spans="1:18" x14ac:dyDescent="0.25">
      <c r="A1703" t="s">
        <v>1610</v>
      </c>
      <c r="B1703" t="s">
        <v>76</v>
      </c>
      <c r="C1703" t="s">
        <v>77</v>
      </c>
      <c r="D1703" t="s">
        <v>78</v>
      </c>
      <c r="E1703" t="s">
        <v>45</v>
      </c>
      <c r="F1703" t="s">
        <v>167</v>
      </c>
      <c r="G1703" t="s">
        <v>23</v>
      </c>
      <c r="H1703" s="1">
        <v>45421</v>
      </c>
      <c r="I1703" t="s">
        <v>64</v>
      </c>
      <c r="J1703" t="s">
        <v>1117</v>
      </c>
      <c r="K1703">
        <v>5</v>
      </c>
      <c r="L1703" t="s">
        <v>1479</v>
      </c>
      <c r="M1703">
        <v>3</v>
      </c>
      <c r="N1703">
        <v>7583</v>
      </c>
      <c r="O1703">
        <v>60</v>
      </c>
      <c r="P1703" s="1">
        <v>45667</v>
      </c>
      <c r="Q1703" s="1"/>
      <c r="R1703" t="str">
        <f>IF(Table1[[#This Row],[Actual close date]]="","",Table1[[#This Row],[Actual close date]]-Table1[[#This Row],[Expected close date]])</f>
        <v/>
      </c>
    </row>
    <row r="1704" spans="1:18" x14ac:dyDescent="0.25">
      <c r="A1704" t="s">
        <v>1632</v>
      </c>
      <c r="B1704" t="s">
        <v>69</v>
      </c>
      <c r="C1704" t="s">
        <v>70</v>
      </c>
      <c r="D1704" t="s">
        <v>71</v>
      </c>
      <c r="E1704" t="s">
        <v>21</v>
      </c>
      <c r="F1704" t="s">
        <v>167</v>
      </c>
      <c r="G1704" t="s">
        <v>57</v>
      </c>
      <c r="H1704" s="1">
        <v>45421</v>
      </c>
      <c r="I1704" t="s">
        <v>24</v>
      </c>
      <c r="J1704" t="s">
        <v>1117</v>
      </c>
      <c r="K1704">
        <v>5</v>
      </c>
      <c r="L1704" t="s">
        <v>1479</v>
      </c>
      <c r="M1704">
        <v>3</v>
      </c>
      <c r="N1704">
        <v>4296</v>
      </c>
      <c r="O1704">
        <v>50</v>
      </c>
      <c r="P1704" s="1">
        <v>45784</v>
      </c>
      <c r="Q1704" s="1"/>
      <c r="R1704" t="str">
        <f>IF(Table1[[#This Row],[Actual close date]]="","",Table1[[#This Row],[Actual close date]]-Table1[[#This Row],[Expected close date]])</f>
        <v/>
      </c>
    </row>
    <row r="1705" spans="1:18" x14ac:dyDescent="0.25">
      <c r="A1705" t="s">
        <v>1801</v>
      </c>
      <c r="B1705" t="s">
        <v>59</v>
      </c>
      <c r="C1705" t="s">
        <v>60</v>
      </c>
      <c r="D1705" t="s">
        <v>61</v>
      </c>
      <c r="E1705" t="s">
        <v>101</v>
      </c>
      <c r="F1705" t="s">
        <v>22</v>
      </c>
      <c r="G1705" t="s">
        <v>46</v>
      </c>
      <c r="H1705" s="1">
        <v>45421</v>
      </c>
      <c r="I1705" t="s">
        <v>24</v>
      </c>
      <c r="J1705" t="s">
        <v>1117</v>
      </c>
      <c r="K1705">
        <v>5</v>
      </c>
      <c r="L1705" t="s">
        <v>1766</v>
      </c>
      <c r="M1705">
        <v>4</v>
      </c>
      <c r="N1705">
        <v>287</v>
      </c>
      <c r="O1705">
        <v>60</v>
      </c>
      <c r="P1705" s="1">
        <v>45673</v>
      </c>
      <c r="Q1705" s="1"/>
      <c r="R1705" t="str">
        <f>IF(Table1[[#This Row],[Actual close date]]="","",Table1[[#This Row],[Actual close date]]-Table1[[#This Row],[Expected close date]])</f>
        <v/>
      </c>
    </row>
    <row r="1706" spans="1:18" x14ac:dyDescent="0.25">
      <c r="A1706" t="s">
        <v>1214</v>
      </c>
      <c r="B1706" t="s">
        <v>54</v>
      </c>
      <c r="C1706" t="s">
        <v>55</v>
      </c>
      <c r="D1706" t="s">
        <v>56</v>
      </c>
      <c r="E1706" t="s">
        <v>66</v>
      </c>
      <c r="F1706" t="s">
        <v>125</v>
      </c>
      <c r="G1706" t="s">
        <v>31</v>
      </c>
      <c r="H1706" s="1">
        <v>45422</v>
      </c>
      <c r="I1706" t="s">
        <v>64</v>
      </c>
      <c r="J1706" t="s">
        <v>1117</v>
      </c>
      <c r="K1706">
        <v>5</v>
      </c>
      <c r="L1706" t="s">
        <v>1118</v>
      </c>
      <c r="M1706">
        <v>2</v>
      </c>
      <c r="N1706">
        <v>669</v>
      </c>
      <c r="O1706">
        <v>20</v>
      </c>
      <c r="P1706" s="1">
        <v>45730</v>
      </c>
      <c r="Q1706" s="1"/>
      <c r="R1706" t="str">
        <f>IF(Table1[[#This Row],[Actual close date]]="","",Table1[[#This Row],[Actual close date]]-Table1[[#This Row],[Expected close date]])</f>
        <v/>
      </c>
    </row>
    <row r="1707" spans="1:18" x14ac:dyDescent="0.25">
      <c r="A1707" t="s">
        <v>1346</v>
      </c>
      <c r="B1707" t="s">
        <v>59</v>
      </c>
      <c r="C1707" t="s">
        <v>60</v>
      </c>
      <c r="D1707" t="s">
        <v>61</v>
      </c>
      <c r="E1707" t="s">
        <v>82</v>
      </c>
      <c r="F1707" t="s">
        <v>167</v>
      </c>
      <c r="G1707" t="s">
        <v>37</v>
      </c>
      <c r="H1707" s="1">
        <v>45422</v>
      </c>
      <c r="I1707" t="s">
        <v>24</v>
      </c>
      <c r="J1707" t="s">
        <v>1117</v>
      </c>
      <c r="K1707">
        <v>5</v>
      </c>
      <c r="L1707" t="s">
        <v>1118</v>
      </c>
      <c r="M1707">
        <v>2</v>
      </c>
      <c r="N1707">
        <v>635</v>
      </c>
      <c r="O1707">
        <v>10</v>
      </c>
      <c r="P1707" s="1">
        <v>45740</v>
      </c>
      <c r="Q1707" s="1"/>
      <c r="R1707" t="str">
        <f>IF(Table1[[#This Row],[Actual close date]]="","",Table1[[#This Row],[Actual close date]]-Table1[[#This Row],[Expected close date]])</f>
        <v/>
      </c>
    </row>
    <row r="1708" spans="1:18" x14ac:dyDescent="0.25">
      <c r="A1708" t="s">
        <v>1414</v>
      </c>
      <c r="B1708" t="s">
        <v>49</v>
      </c>
      <c r="C1708" t="s">
        <v>50</v>
      </c>
      <c r="D1708" t="s">
        <v>51</v>
      </c>
      <c r="E1708" t="s">
        <v>66</v>
      </c>
      <c r="F1708" t="s">
        <v>246</v>
      </c>
      <c r="G1708" t="s">
        <v>46</v>
      </c>
      <c r="H1708" s="1">
        <v>45422</v>
      </c>
      <c r="I1708" t="s">
        <v>24</v>
      </c>
      <c r="J1708" t="s">
        <v>1117</v>
      </c>
      <c r="K1708">
        <v>5</v>
      </c>
      <c r="L1708" t="s">
        <v>1118</v>
      </c>
      <c r="M1708">
        <v>2</v>
      </c>
      <c r="N1708">
        <v>17361</v>
      </c>
      <c r="O1708">
        <v>30</v>
      </c>
      <c r="P1708" s="1">
        <v>45620</v>
      </c>
      <c r="Q1708" s="1"/>
      <c r="R1708" t="str">
        <f>IF(Table1[[#This Row],[Actual close date]]="","",Table1[[#This Row],[Actual close date]]-Table1[[#This Row],[Expected close date]])</f>
        <v/>
      </c>
    </row>
    <row r="1709" spans="1:18" x14ac:dyDescent="0.25">
      <c r="A1709" t="s">
        <v>1415</v>
      </c>
      <c r="B1709" t="s">
        <v>59</v>
      </c>
      <c r="C1709" t="s">
        <v>60</v>
      </c>
      <c r="D1709" t="s">
        <v>61</v>
      </c>
      <c r="E1709" t="s">
        <v>118</v>
      </c>
      <c r="F1709" t="s">
        <v>246</v>
      </c>
      <c r="G1709" t="s">
        <v>46</v>
      </c>
      <c r="H1709" s="1">
        <v>45422</v>
      </c>
      <c r="I1709" t="s">
        <v>47</v>
      </c>
      <c r="J1709" t="s">
        <v>1117</v>
      </c>
      <c r="K1709">
        <v>5</v>
      </c>
      <c r="L1709" t="s">
        <v>1118</v>
      </c>
      <c r="M1709">
        <v>2</v>
      </c>
      <c r="N1709">
        <v>15588</v>
      </c>
      <c r="O1709">
        <v>40</v>
      </c>
      <c r="P1709" s="1">
        <v>45714</v>
      </c>
      <c r="Q1709" s="1"/>
      <c r="R1709" t="str">
        <f>IF(Table1[[#This Row],[Actual close date]]="","",Table1[[#This Row],[Actual close date]]-Table1[[#This Row],[Expected close date]])</f>
        <v/>
      </c>
    </row>
    <row r="1710" spans="1:18" x14ac:dyDescent="0.25">
      <c r="A1710" t="s">
        <v>1484</v>
      </c>
      <c r="B1710" t="s">
        <v>39</v>
      </c>
      <c r="C1710" t="s">
        <v>40</v>
      </c>
      <c r="D1710" t="s">
        <v>41</v>
      </c>
      <c r="E1710" t="s">
        <v>52</v>
      </c>
      <c r="F1710" t="s">
        <v>22</v>
      </c>
      <c r="G1710" t="s">
        <v>23</v>
      </c>
      <c r="H1710" s="1">
        <v>45422</v>
      </c>
      <c r="I1710" t="s">
        <v>64</v>
      </c>
      <c r="J1710" t="s">
        <v>1117</v>
      </c>
      <c r="K1710">
        <v>5</v>
      </c>
      <c r="L1710" t="s">
        <v>1479</v>
      </c>
      <c r="M1710">
        <v>3</v>
      </c>
      <c r="N1710">
        <v>1440</v>
      </c>
      <c r="O1710">
        <v>10</v>
      </c>
      <c r="P1710" s="1">
        <v>45460</v>
      </c>
      <c r="Q1710" s="1"/>
      <c r="R1710" t="str">
        <f>IF(Table1[[#This Row],[Actual close date]]="","",Table1[[#This Row],[Actual close date]]-Table1[[#This Row],[Expected close date]])</f>
        <v/>
      </c>
    </row>
    <row r="1711" spans="1:18" x14ac:dyDescent="0.25">
      <c r="A1711" t="s">
        <v>1761</v>
      </c>
      <c r="B1711" t="s">
        <v>27</v>
      </c>
      <c r="C1711" t="s">
        <v>28</v>
      </c>
      <c r="D1711" t="s">
        <v>29</v>
      </c>
      <c r="E1711" t="s">
        <v>66</v>
      </c>
      <c r="F1711" t="s">
        <v>167</v>
      </c>
      <c r="G1711" t="s">
        <v>72</v>
      </c>
      <c r="H1711" s="1">
        <v>45422</v>
      </c>
      <c r="I1711" t="s">
        <v>64</v>
      </c>
      <c r="J1711" t="s">
        <v>1117</v>
      </c>
      <c r="K1711">
        <v>5</v>
      </c>
      <c r="L1711" t="s">
        <v>1700</v>
      </c>
      <c r="M1711">
        <v>1</v>
      </c>
      <c r="N1711">
        <v>1671</v>
      </c>
      <c r="O1711">
        <v>100</v>
      </c>
      <c r="P1711" s="1">
        <v>45567</v>
      </c>
      <c r="Q1711" s="1"/>
      <c r="R1711" t="str">
        <f>IF(Table1[[#This Row],[Actual close date]]="","",Table1[[#This Row],[Actual close date]]-Table1[[#This Row],[Expected close date]])</f>
        <v/>
      </c>
    </row>
    <row r="1712" spans="1:18" x14ac:dyDescent="0.25">
      <c r="A1712" t="s">
        <v>1544</v>
      </c>
      <c r="B1712" t="s">
        <v>54</v>
      </c>
      <c r="C1712" t="s">
        <v>55</v>
      </c>
      <c r="D1712" t="s">
        <v>56</v>
      </c>
      <c r="E1712" t="s">
        <v>21</v>
      </c>
      <c r="F1712" t="s">
        <v>22</v>
      </c>
      <c r="G1712" t="s">
        <v>46</v>
      </c>
      <c r="H1712" s="1">
        <v>45423</v>
      </c>
      <c r="I1712" t="s">
        <v>24</v>
      </c>
      <c r="J1712" t="s">
        <v>1117</v>
      </c>
      <c r="K1712">
        <v>5</v>
      </c>
      <c r="L1712" t="s">
        <v>1479</v>
      </c>
      <c r="M1712">
        <v>3</v>
      </c>
      <c r="N1712">
        <v>1246</v>
      </c>
      <c r="O1712">
        <v>80</v>
      </c>
      <c r="P1712" s="1">
        <v>45598</v>
      </c>
      <c r="Q1712" s="1"/>
      <c r="R1712" t="str">
        <f>IF(Table1[[#This Row],[Actual close date]]="","",Table1[[#This Row],[Actual close date]]-Table1[[#This Row],[Expected close date]])</f>
        <v/>
      </c>
    </row>
    <row r="1713" spans="1:18" x14ac:dyDescent="0.25">
      <c r="A1713" t="s">
        <v>1699</v>
      </c>
      <c r="B1713" t="s">
        <v>27</v>
      </c>
      <c r="C1713" t="s">
        <v>28</v>
      </c>
      <c r="D1713" t="s">
        <v>29</v>
      </c>
      <c r="E1713" t="s">
        <v>52</v>
      </c>
      <c r="F1713" t="s">
        <v>22</v>
      </c>
      <c r="G1713" t="s">
        <v>37</v>
      </c>
      <c r="H1713" s="1">
        <v>45423</v>
      </c>
      <c r="I1713" t="s">
        <v>24</v>
      </c>
      <c r="J1713" t="s">
        <v>1117</v>
      </c>
      <c r="K1713">
        <v>5</v>
      </c>
      <c r="L1713" t="s">
        <v>1700</v>
      </c>
      <c r="M1713">
        <v>1</v>
      </c>
      <c r="N1713">
        <v>391</v>
      </c>
      <c r="O1713">
        <v>100</v>
      </c>
      <c r="P1713" s="1">
        <v>45752</v>
      </c>
      <c r="Q1713" s="1"/>
      <c r="R1713" t="str">
        <f>IF(Table1[[#This Row],[Actual close date]]="","",Table1[[#This Row],[Actual close date]]-Table1[[#This Row],[Expected close date]])</f>
        <v/>
      </c>
    </row>
    <row r="1714" spans="1:18" x14ac:dyDescent="0.25">
      <c r="A1714" t="s">
        <v>1745</v>
      </c>
      <c r="B1714" t="s">
        <v>27</v>
      </c>
      <c r="C1714" t="s">
        <v>28</v>
      </c>
      <c r="D1714" t="s">
        <v>29</v>
      </c>
      <c r="E1714" t="s">
        <v>98</v>
      </c>
      <c r="F1714" t="s">
        <v>167</v>
      </c>
      <c r="G1714" t="s">
        <v>46</v>
      </c>
      <c r="H1714" s="1">
        <v>45423</v>
      </c>
      <c r="I1714" t="s">
        <v>24</v>
      </c>
      <c r="J1714" t="s">
        <v>1117</v>
      </c>
      <c r="K1714">
        <v>5</v>
      </c>
      <c r="L1714" t="s">
        <v>1700</v>
      </c>
      <c r="M1714">
        <v>1</v>
      </c>
      <c r="N1714">
        <v>1978</v>
      </c>
      <c r="O1714">
        <v>20</v>
      </c>
      <c r="P1714" s="1">
        <v>45593</v>
      </c>
      <c r="Q1714" s="1"/>
      <c r="R1714" t="str">
        <f>IF(Table1[[#This Row],[Actual close date]]="","",Table1[[#This Row],[Actual close date]]-Table1[[#This Row],[Expected close date]])</f>
        <v/>
      </c>
    </row>
    <row r="1715" spans="1:18" x14ac:dyDescent="0.25">
      <c r="A1715" t="s">
        <v>1869</v>
      </c>
      <c r="B1715" t="s">
        <v>33</v>
      </c>
      <c r="C1715" t="s">
        <v>34</v>
      </c>
      <c r="D1715" t="s">
        <v>35</v>
      </c>
      <c r="E1715" t="s">
        <v>42</v>
      </c>
      <c r="F1715" t="s">
        <v>167</v>
      </c>
      <c r="G1715" t="s">
        <v>46</v>
      </c>
      <c r="H1715" s="1">
        <v>45423</v>
      </c>
      <c r="I1715" t="s">
        <v>47</v>
      </c>
      <c r="J1715" t="s">
        <v>1117</v>
      </c>
      <c r="K1715">
        <v>5</v>
      </c>
      <c r="L1715" t="s">
        <v>1766</v>
      </c>
      <c r="M1715">
        <v>4</v>
      </c>
      <c r="N1715">
        <v>1737</v>
      </c>
      <c r="O1715">
        <v>80</v>
      </c>
      <c r="P1715" s="1">
        <v>45465</v>
      </c>
      <c r="Q1715" s="1"/>
      <c r="R1715" t="str">
        <f>IF(Table1[[#This Row],[Actual close date]]="","",Table1[[#This Row],[Actual close date]]-Table1[[#This Row],[Expected close date]])</f>
        <v/>
      </c>
    </row>
    <row r="1716" spans="1:18" x14ac:dyDescent="0.25">
      <c r="A1716" t="s">
        <v>1142</v>
      </c>
      <c r="B1716" t="s">
        <v>76</v>
      </c>
      <c r="C1716" t="s">
        <v>77</v>
      </c>
      <c r="D1716" t="s">
        <v>78</v>
      </c>
      <c r="E1716" t="s">
        <v>42</v>
      </c>
      <c r="F1716" t="s">
        <v>22</v>
      </c>
      <c r="G1716" t="s">
        <v>46</v>
      </c>
      <c r="H1716" s="1">
        <v>45424</v>
      </c>
      <c r="I1716" t="s">
        <v>64</v>
      </c>
      <c r="J1716" t="s">
        <v>1117</v>
      </c>
      <c r="K1716">
        <v>5</v>
      </c>
      <c r="L1716" t="s">
        <v>1118</v>
      </c>
      <c r="M1716">
        <v>2</v>
      </c>
      <c r="N1716">
        <v>1238</v>
      </c>
      <c r="O1716">
        <v>40</v>
      </c>
      <c r="P1716" s="1">
        <v>45583</v>
      </c>
      <c r="Q1716" s="1"/>
      <c r="R1716" t="str">
        <f>IF(Table1[[#This Row],[Actual close date]]="","",Table1[[#This Row],[Actual close date]]-Table1[[#This Row],[Expected close date]])</f>
        <v/>
      </c>
    </row>
    <row r="1717" spans="1:18" x14ac:dyDescent="0.25">
      <c r="A1717" t="s">
        <v>1795</v>
      </c>
      <c r="B1717" t="s">
        <v>18</v>
      </c>
      <c r="C1717" t="s">
        <v>19</v>
      </c>
      <c r="D1717" t="s">
        <v>20</v>
      </c>
      <c r="E1717" t="s">
        <v>74</v>
      </c>
      <c r="F1717" t="s">
        <v>22</v>
      </c>
      <c r="G1717" t="s">
        <v>85</v>
      </c>
      <c r="H1717" s="1">
        <v>45424</v>
      </c>
      <c r="I1717" t="s">
        <v>24</v>
      </c>
      <c r="J1717" t="s">
        <v>1117</v>
      </c>
      <c r="K1717">
        <v>5</v>
      </c>
      <c r="L1717" t="s">
        <v>1766</v>
      </c>
      <c r="M1717">
        <v>4</v>
      </c>
      <c r="N1717">
        <v>1835</v>
      </c>
      <c r="O1717">
        <v>30</v>
      </c>
      <c r="P1717" s="1">
        <v>45690</v>
      </c>
      <c r="Q1717" s="1"/>
      <c r="R1717" t="str">
        <f>IF(Table1[[#This Row],[Actual close date]]="","",Table1[[#This Row],[Actual close date]]-Table1[[#This Row],[Expected close date]])</f>
        <v/>
      </c>
    </row>
    <row r="1718" spans="1:18" x14ac:dyDescent="0.25">
      <c r="A1718" t="s">
        <v>1827</v>
      </c>
      <c r="B1718" t="s">
        <v>18</v>
      </c>
      <c r="C1718" t="s">
        <v>19</v>
      </c>
      <c r="D1718" t="s">
        <v>20</v>
      </c>
      <c r="E1718" t="s">
        <v>42</v>
      </c>
      <c r="F1718" t="s">
        <v>125</v>
      </c>
      <c r="G1718" t="s">
        <v>46</v>
      </c>
      <c r="H1718" s="1">
        <v>45424</v>
      </c>
      <c r="I1718" t="s">
        <v>64</v>
      </c>
      <c r="J1718" t="s">
        <v>1117</v>
      </c>
      <c r="K1718">
        <v>5</v>
      </c>
      <c r="L1718" t="s">
        <v>1766</v>
      </c>
      <c r="M1718">
        <v>4</v>
      </c>
      <c r="N1718">
        <v>595</v>
      </c>
      <c r="O1718">
        <v>60</v>
      </c>
      <c r="P1718" s="1">
        <v>45543</v>
      </c>
      <c r="Q1718" s="1"/>
      <c r="R1718" t="str">
        <f>IF(Table1[[#This Row],[Actual close date]]="","",Table1[[#This Row],[Actual close date]]-Table1[[#This Row],[Expected close date]])</f>
        <v/>
      </c>
    </row>
    <row r="1719" spans="1:18" x14ac:dyDescent="0.25">
      <c r="A1719" t="s">
        <v>1156</v>
      </c>
      <c r="B1719" t="s">
        <v>54</v>
      </c>
      <c r="C1719" t="s">
        <v>55</v>
      </c>
      <c r="D1719" t="s">
        <v>56</v>
      </c>
      <c r="E1719" t="s">
        <v>45</v>
      </c>
      <c r="F1719" t="s">
        <v>22</v>
      </c>
      <c r="G1719" t="s">
        <v>46</v>
      </c>
      <c r="H1719" s="1">
        <v>45425</v>
      </c>
      <c r="I1719" t="s">
        <v>24</v>
      </c>
      <c r="J1719" t="s">
        <v>1117</v>
      </c>
      <c r="K1719">
        <v>5</v>
      </c>
      <c r="L1719" t="s">
        <v>1118</v>
      </c>
      <c r="M1719">
        <v>2</v>
      </c>
      <c r="N1719">
        <v>1418</v>
      </c>
      <c r="O1719">
        <v>40</v>
      </c>
      <c r="P1719" s="1">
        <v>45616</v>
      </c>
      <c r="Q1719" s="1"/>
      <c r="R1719" t="str">
        <f>IF(Table1[[#This Row],[Actual close date]]="","",Table1[[#This Row],[Actual close date]]-Table1[[#This Row],[Expected close date]])</f>
        <v/>
      </c>
    </row>
    <row r="1720" spans="1:18" x14ac:dyDescent="0.25">
      <c r="A1720" t="s">
        <v>1238</v>
      </c>
      <c r="B1720" t="s">
        <v>33</v>
      </c>
      <c r="C1720" t="s">
        <v>34</v>
      </c>
      <c r="D1720" t="s">
        <v>35</v>
      </c>
      <c r="E1720" t="s">
        <v>30</v>
      </c>
      <c r="F1720" t="s">
        <v>125</v>
      </c>
      <c r="G1720" t="s">
        <v>85</v>
      </c>
      <c r="H1720" s="1">
        <v>45425</v>
      </c>
      <c r="I1720" t="s">
        <v>24</v>
      </c>
      <c r="J1720" t="s">
        <v>1117</v>
      </c>
      <c r="K1720">
        <v>5</v>
      </c>
      <c r="L1720" t="s">
        <v>1118</v>
      </c>
      <c r="M1720">
        <v>2</v>
      </c>
      <c r="N1720">
        <v>917</v>
      </c>
      <c r="O1720">
        <v>30</v>
      </c>
      <c r="P1720" s="1">
        <v>45482</v>
      </c>
      <c r="Q1720" s="1"/>
      <c r="R1720" t="str">
        <f>IF(Table1[[#This Row],[Actual close date]]="","",Table1[[#This Row],[Actual close date]]-Table1[[#This Row],[Expected close date]])</f>
        <v/>
      </c>
    </row>
    <row r="1721" spans="1:18" x14ac:dyDescent="0.25">
      <c r="A1721" t="s">
        <v>1488</v>
      </c>
      <c r="B1721" t="s">
        <v>27</v>
      </c>
      <c r="C1721" t="s">
        <v>28</v>
      </c>
      <c r="D1721" t="s">
        <v>29</v>
      </c>
      <c r="E1721" t="s">
        <v>52</v>
      </c>
      <c r="F1721" t="s">
        <v>22</v>
      </c>
      <c r="G1721" t="s">
        <v>37</v>
      </c>
      <c r="H1721" s="1">
        <v>45425</v>
      </c>
      <c r="I1721" t="s">
        <v>24</v>
      </c>
      <c r="J1721" t="s">
        <v>1117</v>
      </c>
      <c r="K1721">
        <v>5</v>
      </c>
      <c r="L1721" t="s">
        <v>1479</v>
      </c>
      <c r="M1721">
        <v>3</v>
      </c>
      <c r="N1721">
        <v>1322</v>
      </c>
      <c r="O1721">
        <v>20</v>
      </c>
      <c r="P1721" s="1">
        <v>45654</v>
      </c>
      <c r="Q1721" s="1"/>
      <c r="R1721" t="str">
        <f>IF(Table1[[#This Row],[Actual close date]]="","",Table1[[#This Row],[Actual close date]]-Table1[[#This Row],[Expected close date]])</f>
        <v/>
      </c>
    </row>
    <row r="1722" spans="1:18" x14ac:dyDescent="0.25">
      <c r="A1722" t="s">
        <v>1510</v>
      </c>
      <c r="B1722" t="s">
        <v>33</v>
      </c>
      <c r="C1722" t="s">
        <v>34</v>
      </c>
      <c r="D1722" t="s">
        <v>35</v>
      </c>
      <c r="E1722" t="s">
        <v>42</v>
      </c>
      <c r="F1722" t="s">
        <v>22</v>
      </c>
      <c r="G1722" t="s">
        <v>57</v>
      </c>
      <c r="H1722" s="1">
        <v>45425</v>
      </c>
      <c r="I1722" t="s">
        <v>24</v>
      </c>
      <c r="J1722" t="s">
        <v>1117</v>
      </c>
      <c r="K1722">
        <v>5</v>
      </c>
      <c r="L1722" t="s">
        <v>1479</v>
      </c>
      <c r="M1722">
        <v>3</v>
      </c>
      <c r="N1722">
        <v>492</v>
      </c>
      <c r="O1722">
        <v>60</v>
      </c>
      <c r="P1722" s="1">
        <v>45623</v>
      </c>
      <c r="Q1722" s="1"/>
      <c r="R1722" t="str">
        <f>IF(Table1[[#This Row],[Actual close date]]="","",Table1[[#This Row],[Actual close date]]-Table1[[#This Row],[Expected close date]])</f>
        <v/>
      </c>
    </row>
    <row r="1723" spans="1:18" x14ac:dyDescent="0.25">
      <c r="A1723" t="s">
        <v>1517</v>
      </c>
      <c r="B1723" t="s">
        <v>54</v>
      </c>
      <c r="C1723" t="s">
        <v>55</v>
      </c>
      <c r="D1723" t="s">
        <v>56</v>
      </c>
      <c r="E1723" t="s">
        <v>21</v>
      </c>
      <c r="F1723" t="s">
        <v>22</v>
      </c>
      <c r="G1723" t="s">
        <v>46</v>
      </c>
      <c r="H1723" s="1">
        <v>45425</v>
      </c>
      <c r="I1723" t="s">
        <v>64</v>
      </c>
      <c r="J1723" t="s">
        <v>1117</v>
      </c>
      <c r="K1723">
        <v>5</v>
      </c>
      <c r="L1723" t="s">
        <v>1479</v>
      </c>
      <c r="M1723">
        <v>3</v>
      </c>
      <c r="N1723">
        <v>327</v>
      </c>
      <c r="O1723">
        <v>90</v>
      </c>
      <c r="P1723" s="1">
        <v>45736</v>
      </c>
      <c r="Q1723" s="1"/>
      <c r="R1723" t="str">
        <f>IF(Table1[[#This Row],[Actual close date]]="","",Table1[[#This Row],[Actual close date]]-Table1[[#This Row],[Expected close date]])</f>
        <v/>
      </c>
    </row>
    <row r="1724" spans="1:18" x14ac:dyDescent="0.25">
      <c r="A1724" t="s">
        <v>1574</v>
      </c>
      <c r="B1724" t="s">
        <v>33</v>
      </c>
      <c r="C1724" t="s">
        <v>34</v>
      </c>
      <c r="D1724" t="s">
        <v>35</v>
      </c>
      <c r="E1724" t="s">
        <v>74</v>
      </c>
      <c r="F1724" t="s">
        <v>125</v>
      </c>
      <c r="G1724" t="s">
        <v>23</v>
      </c>
      <c r="H1724" s="1">
        <v>45425</v>
      </c>
      <c r="I1724" t="s">
        <v>24</v>
      </c>
      <c r="J1724" t="s">
        <v>1117</v>
      </c>
      <c r="K1724">
        <v>5</v>
      </c>
      <c r="L1724" t="s">
        <v>1479</v>
      </c>
      <c r="M1724">
        <v>3</v>
      </c>
      <c r="N1724">
        <v>694</v>
      </c>
      <c r="O1724">
        <v>10</v>
      </c>
      <c r="P1724" s="1">
        <v>45745</v>
      </c>
      <c r="Q1724" s="1"/>
      <c r="R1724" t="str">
        <f>IF(Table1[[#This Row],[Actual close date]]="","",Table1[[#This Row],[Actual close date]]-Table1[[#This Row],[Expected close date]])</f>
        <v/>
      </c>
    </row>
    <row r="1725" spans="1:18" x14ac:dyDescent="0.25">
      <c r="A1725" t="s">
        <v>1666</v>
      </c>
      <c r="B1725" t="s">
        <v>39</v>
      </c>
      <c r="C1725" t="s">
        <v>40</v>
      </c>
      <c r="D1725" t="s">
        <v>41</v>
      </c>
      <c r="E1725" t="s">
        <v>21</v>
      </c>
      <c r="F1725" t="s">
        <v>167</v>
      </c>
      <c r="G1725" t="s">
        <v>46</v>
      </c>
      <c r="H1725" s="1">
        <v>45425</v>
      </c>
      <c r="I1725" t="s">
        <v>24</v>
      </c>
      <c r="J1725" t="s">
        <v>1117</v>
      </c>
      <c r="K1725">
        <v>5</v>
      </c>
      <c r="L1725" t="s">
        <v>1479</v>
      </c>
      <c r="M1725">
        <v>3</v>
      </c>
      <c r="N1725">
        <v>2331</v>
      </c>
      <c r="O1725">
        <v>40</v>
      </c>
      <c r="P1725" s="1">
        <v>45472</v>
      </c>
      <c r="Q1725" s="1"/>
      <c r="R1725" t="str">
        <f>IF(Table1[[#This Row],[Actual close date]]="","",Table1[[#This Row],[Actual close date]]-Table1[[#This Row],[Expected close date]])</f>
        <v/>
      </c>
    </row>
    <row r="1726" spans="1:18" x14ac:dyDescent="0.25">
      <c r="A1726" t="s">
        <v>1690</v>
      </c>
      <c r="B1726" t="s">
        <v>59</v>
      </c>
      <c r="C1726" t="s">
        <v>60</v>
      </c>
      <c r="D1726" t="s">
        <v>61</v>
      </c>
      <c r="E1726" t="s">
        <v>62</v>
      </c>
      <c r="F1726" t="s">
        <v>167</v>
      </c>
      <c r="G1726" t="s">
        <v>72</v>
      </c>
      <c r="H1726" s="1">
        <v>45425</v>
      </c>
      <c r="I1726" t="s">
        <v>24</v>
      </c>
      <c r="J1726" t="s">
        <v>1117</v>
      </c>
      <c r="K1726">
        <v>5</v>
      </c>
      <c r="L1726" t="s">
        <v>1479</v>
      </c>
      <c r="M1726">
        <v>3</v>
      </c>
      <c r="N1726">
        <v>1140</v>
      </c>
      <c r="O1726">
        <v>90</v>
      </c>
      <c r="P1726" s="1">
        <v>45651</v>
      </c>
      <c r="Q1726" s="1"/>
      <c r="R1726" t="str">
        <f>IF(Table1[[#This Row],[Actual close date]]="","",Table1[[#This Row],[Actual close date]]-Table1[[#This Row],[Expected close date]])</f>
        <v/>
      </c>
    </row>
    <row r="1727" spans="1:18" x14ac:dyDescent="0.25">
      <c r="A1727" t="s">
        <v>1851</v>
      </c>
      <c r="B1727" t="s">
        <v>49</v>
      </c>
      <c r="C1727" t="s">
        <v>50</v>
      </c>
      <c r="D1727" t="s">
        <v>51</v>
      </c>
      <c r="E1727" t="s">
        <v>21</v>
      </c>
      <c r="F1727" t="s">
        <v>167</v>
      </c>
      <c r="G1727" t="s">
        <v>57</v>
      </c>
      <c r="H1727" s="1">
        <v>45425</v>
      </c>
      <c r="I1727" t="s">
        <v>24</v>
      </c>
      <c r="J1727" t="s">
        <v>1117</v>
      </c>
      <c r="K1727">
        <v>5</v>
      </c>
      <c r="L1727" t="s">
        <v>1766</v>
      </c>
      <c r="M1727">
        <v>4</v>
      </c>
      <c r="N1727">
        <v>5878</v>
      </c>
      <c r="O1727">
        <v>30</v>
      </c>
      <c r="P1727" s="1">
        <v>45717</v>
      </c>
      <c r="Q1727" s="1"/>
      <c r="R1727" t="str">
        <f>IF(Table1[[#This Row],[Actual close date]]="","",Table1[[#This Row],[Actual close date]]-Table1[[#This Row],[Expected close date]])</f>
        <v/>
      </c>
    </row>
    <row r="1728" spans="1:18" x14ac:dyDescent="0.25">
      <c r="A1728" t="s">
        <v>1521</v>
      </c>
      <c r="B1728" t="s">
        <v>27</v>
      </c>
      <c r="C1728" t="s">
        <v>28</v>
      </c>
      <c r="D1728" t="s">
        <v>29</v>
      </c>
      <c r="E1728" t="s">
        <v>45</v>
      </c>
      <c r="F1728" t="s">
        <v>22</v>
      </c>
      <c r="G1728" t="s">
        <v>46</v>
      </c>
      <c r="H1728" s="1">
        <v>45426</v>
      </c>
      <c r="I1728" t="s">
        <v>24</v>
      </c>
      <c r="J1728" t="s">
        <v>1117</v>
      </c>
      <c r="K1728">
        <v>5</v>
      </c>
      <c r="L1728" t="s">
        <v>1479</v>
      </c>
      <c r="M1728">
        <v>3</v>
      </c>
      <c r="N1728">
        <v>857</v>
      </c>
      <c r="O1728">
        <v>50</v>
      </c>
      <c r="P1728" s="1">
        <v>45723</v>
      </c>
      <c r="Q1728" s="1"/>
      <c r="R1728" t="str">
        <f>IF(Table1[[#This Row],[Actual close date]]="","",Table1[[#This Row],[Actual close date]]-Table1[[#This Row],[Expected close date]])</f>
        <v/>
      </c>
    </row>
    <row r="1729" spans="1:18" x14ac:dyDescent="0.25">
      <c r="A1729" t="s">
        <v>1538</v>
      </c>
      <c r="B1729" t="s">
        <v>59</v>
      </c>
      <c r="C1729" t="s">
        <v>60</v>
      </c>
      <c r="D1729" t="s">
        <v>61</v>
      </c>
      <c r="E1729" t="s">
        <v>98</v>
      </c>
      <c r="F1729" t="s">
        <v>22</v>
      </c>
      <c r="G1729" t="s">
        <v>46</v>
      </c>
      <c r="H1729" s="1">
        <v>45426</v>
      </c>
      <c r="I1729" t="s">
        <v>24</v>
      </c>
      <c r="J1729" t="s">
        <v>1117</v>
      </c>
      <c r="K1729">
        <v>5</v>
      </c>
      <c r="L1729" t="s">
        <v>1479</v>
      </c>
      <c r="M1729">
        <v>3</v>
      </c>
      <c r="N1729">
        <v>207</v>
      </c>
      <c r="O1729">
        <v>20</v>
      </c>
      <c r="P1729" s="1">
        <v>45526</v>
      </c>
      <c r="Q1729" s="1"/>
      <c r="R1729" t="str">
        <f>IF(Table1[[#This Row],[Actual close date]]="","",Table1[[#This Row],[Actual close date]]-Table1[[#This Row],[Expected close date]])</f>
        <v/>
      </c>
    </row>
    <row r="1730" spans="1:18" x14ac:dyDescent="0.25">
      <c r="A1730" t="s">
        <v>1656</v>
      </c>
      <c r="B1730" t="s">
        <v>76</v>
      </c>
      <c r="C1730" t="s">
        <v>77</v>
      </c>
      <c r="D1730" t="s">
        <v>78</v>
      </c>
      <c r="E1730" t="s">
        <v>42</v>
      </c>
      <c r="F1730" t="s">
        <v>167</v>
      </c>
      <c r="G1730" t="s">
        <v>57</v>
      </c>
      <c r="H1730" s="1">
        <v>45426</v>
      </c>
      <c r="I1730" t="s">
        <v>24</v>
      </c>
      <c r="J1730" t="s">
        <v>1117</v>
      </c>
      <c r="K1730">
        <v>5</v>
      </c>
      <c r="L1730" t="s">
        <v>1479</v>
      </c>
      <c r="M1730">
        <v>3</v>
      </c>
      <c r="N1730">
        <v>7899</v>
      </c>
      <c r="O1730">
        <v>50</v>
      </c>
      <c r="P1730" s="1">
        <v>45515</v>
      </c>
      <c r="Q1730" s="1"/>
      <c r="R1730" t="str">
        <f>IF(Table1[[#This Row],[Actual close date]]="","",Table1[[#This Row],[Actual close date]]-Table1[[#This Row],[Expected close date]])</f>
        <v/>
      </c>
    </row>
    <row r="1731" spans="1:18" x14ac:dyDescent="0.25">
      <c r="A1731" t="s">
        <v>1825</v>
      </c>
      <c r="B1731" t="s">
        <v>33</v>
      </c>
      <c r="C1731" t="s">
        <v>34</v>
      </c>
      <c r="D1731" t="s">
        <v>35</v>
      </c>
      <c r="E1731" t="s">
        <v>30</v>
      </c>
      <c r="F1731" t="s">
        <v>125</v>
      </c>
      <c r="G1731" t="s">
        <v>46</v>
      </c>
      <c r="H1731" s="1">
        <v>45426</v>
      </c>
      <c r="I1731" t="s">
        <v>24</v>
      </c>
      <c r="J1731" t="s">
        <v>1117</v>
      </c>
      <c r="K1731">
        <v>5</v>
      </c>
      <c r="L1731" t="s">
        <v>1766</v>
      </c>
      <c r="M1731">
        <v>4</v>
      </c>
      <c r="N1731">
        <v>1059</v>
      </c>
      <c r="O1731">
        <v>100</v>
      </c>
      <c r="P1731" s="1">
        <v>45747</v>
      </c>
      <c r="Q1731" s="1"/>
      <c r="R1731" t="str">
        <f>IF(Table1[[#This Row],[Actual close date]]="","",Table1[[#This Row],[Actual close date]]-Table1[[#This Row],[Expected close date]])</f>
        <v/>
      </c>
    </row>
    <row r="1732" spans="1:18" x14ac:dyDescent="0.25">
      <c r="A1732" t="s">
        <v>1167</v>
      </c>
      <c r="B1732" t="s">
        <v>54</v>
      </c>
      <c r="C1732" t="s">
        <v>55</v>
      </c>
      <c r="D1732" t="s">
        <v>56</v>
      </c>
      <c r="E1732" t="s">
        <v>66</v>
      </c>
      <c r="F1732" t="s">
        <v>22</v>
      </c>
      <c r="G1732" t="s">
        <v>85</v>
      </c>
      <c r="H1732" s="1">
        <v>45427</v>
      </c>
      <c r="I1732" t="s">
        <v>47</v>
      </c>
      <c r="J1732" t="s">
        <v>1117</v>
      </c>
      <c r="K1732">
        <v>5</v>
      </c>
      <c r="L1732" t="s">
        <v>1118</v>
      </c>
      <c r="M1732">
        <v>2</v>
      </c>
      <c r="N1732">
        <v>1269</v>
      </c>
      <c r="O1732">
        <v>40</v>
      </c>
      <c r="P1732" s="1">
        <v>45685</v>
      </c>
      <c r="Q1732" s="1"/>
      <c r="R1732" t="str">
        <f>IF(Table1[[#This Row],[Actual close date]]="","",Table1[[#This Row],[Actual close date]]-Table1[[#This Row],[Expected close date]])</f>
        <v/>
      </c>
    </row>
    <row r="1733" spans="1:18" x14ac:dyDescent="0.25">
      <c r="A1733" t="s">
        <v>1314</v>
      </c>
      <c r="B1733" t="s">
        <v>33</v>
      </c>
      <c r="C1733" t="s">
        <v>34</v>
      </c>
      <c r="D1733" t="s">
        <v>35</v>
      </c>
      <c r="E1733" t="s">
        <v>45</v>
      </c>
      <c r="F1733" t="s">
        <v>167</v>
      </c>
      <c r="G1733" t="s">
        <v>83</v>
      </c>
      <c r="H1733" s="1">
        <v>45427</v>
      </c>
      <c r="I1733" t="s">
        <v>64</v>
      </c>
      <c r="J1733" t="s">
        <v>1117</v>
      </c>
      <c r="K1733">
        <v>5</v>
      </c>
      <c r="L1733" t="s">
        <v>1118</v>
      </c>
      <c r="M1733">
        <v>2</v>
      </c>
      <c r="N1733">
        <v>7885</v>
      </c>
      <c r="O1733">
        <v>40</v>
      </c>
      <c r="P1733" s="1">
        <v>45637</v>
      </c>
      <c r="Q1733" s="1"/>
      <c r="R1733" t="str">
        <f>IF(Table1[[#This Row],[Actual close date]]="","",Table1[[#This Row],[Actual close date]]-Table1[[#This Row],[Expected close date]])</f>
        <v/>
      </c>
    </row>
    <row r="1734" spans="1:18" x14ac:dyDescent="0.25">
      <c r="A1734" t="s">
        <v>1316</v>
      </c>
      <c r="B1734" t="s">
        <v>27</v>
      </c>
      <c r="C1734" t="s">
        <v>28</v>
      </c>
      <c r="D1734" t="s">
        <v>29</v>
      </c>
      <c r="E1734" t="s">
        <v>42</v>
      </c>
      <c r="F1734" t="s">
        <v>167</v>
      </c>
      <c r="G1734" t="s">
        <v>72</v>
      </c>
      <c r="H1734" s="1">
        <v>45427</v>
      </c>
      <c r="I1734" t="s">
        <v>64</v>
      </c>
      <c r="J1734" t="s">
        <v>1117</v>
      </c>
      <c r="K1734">
        <v>5</v>
      </c>
      <c r="L1734" t="s">
        <v>1118</v>
      </c>
      <c r="M1734">
        <v>2</v>
      </c>
      <c r="N1734">
        <v>2691</v>
      </c>
      <c r="O1734">
        <v>100</v>
      </c>
      <c r="P1734" s="1">
        <v>45543</v>
      </c>
      <c r="Q1734" s="1"/>
      <c r="R1734" t="str">
        <f>IF(Table1[[#This Row],[Actual close date]]="","",Table1[[#This Row],[Actual close date]]-Table1[[#This Row],[Expected close date]])</f>
        <v/>
      </c>
    </row>
    <row r="1735" spans="1:18" x14ac:dyDescent="0.25">
      <c r="A1735" t="s">
        <v>1361</v>
      </c>
      <c r="B1735" t="s">
        <v>27</v>
      </c>
      <c r="C1735" t="s">
        <v>28</v>
      </c>
      <c r="D1735" t="s">
        <v>29</v>
      </c>
      <c r="E1735" t="s">
        <v>45</v>
      </c>
      <c r="F1735" t="s">
        <v>167</v>
      </c>
      <c r="G1735" t="s">
        <v>57</v>
      </c>
      <c r="H1735" s="1">
        <v>45427</v>
      </c>
      <c r="I1735" t="s">
        <v>47</v>
      </c>
      <c r="J1735" t="s">
        <v>1117</v>
      </c>
      <c r="K1735">
        <v>5</v>
      </c>
      <c r="L1735" t="s">
        <v>1118</v>
      </c>
      <c r="M1735">
        <v>2</v>
      </c>
      <c r="N1735">
        <v>3848</v>
      </c>
      <c r="O1735">
        <v>90</v>
      </c>
      <c r="P1735" s="1">
        <v>45751</v>
      </c>
      <c r="Q1735" s="1"/>
      <c r="R1735" t="str">
        <f>IF(Table1[[#This Row],[Actual close date]]="","",Table1[[#This Row],[Actual close date]]-Table1[[#This Row],[Expected close date]])</f>
        <v/>
      </c>
    </row>
    <row r="1736" spans="1:18" x14ac:dyDescent="0.25">
      <c r="A1736" t="s">
        <v>1400</v>
      </c>
      <c r="B1736" t="s">
        <v>69</v>
      </c>
      <c r="C1736" t="s">
        <v>70</v>
      </c>
      <c r="D1736" t="s">
        <v>71</v>
      </c>
      <c r="E1736" t="s">
        <v>36</v>
      </c>
      <c r="F1736" t="s">
        <v>167</v>
      </c>
      <c r="G1736" t="s">
        <v>46</v>
      </c>
      <c r="H1736" s="1">
        <v>45427</v>
      </c>
      <c r="I1736" t="s">
        <v>24</v>
      </c>
      <c r="J1736" t="s">
        <v>1117</v>
      </c>
      <c r="K1736">
        <v>5</v>
      </c>
      <c r="L1736" t="s">
        <v>1118</v>
      </c>
      <c r="M1736">
        <v>2</v>
      </c>
      <c r="N1736">
        <v>520</v>
      </c>
      <c r="O1736">
        <v>30</v>
      </c>
      <c r="P1736" s="1">
        <v>45647</v>
      </c>
      <c r="Q1736" s="1"/>
      <c r="R1736" t="str">
        <f>IF(Table1[[#This Row],[Actual close date]]="","",Table1[[#This Row],[Actual close date]]-Table1[[#This Row],[Expected close date]])</f>
        <v/>
      </c>
    </row>
    <row r="1737" spans="1:18" x14ac:dyDescent="0.25">
      <c r="A1737" t="s">
        <v>1507</v>
      </c>
      <c r="B1737" t="s">
        <v>39</v>
      </c>
      <c r="C1737" t="s">
        <v>40</v>
      </c>
      <c r="D1737" t="s">
        <v>41</v>
      </c>
      <c r="E1737" t="s">
        <v>52</v>
      </c>
      <c r="F1737" t="s">
        <v>22</v>
      </c>
      <c r="G1737" t="s">
        <v>46</v>
      </c>
      <c r="H1737" s="1">
        <v>45427</v>
      </c>
      <c r="I1737" t="s">
        <v>24</v>
      </c>
      <c r="J1737" t="s">
        <v>1117</v>
      </c>
      <c r="K1737">
        <v>5</v>
      </c>
      <c r="L1737" t="s">
        <v>1479</v>
      </c>
      <c r="M1737">
        <v>3</v>
      </c>
      <c r="N1737">
        <v>1155</v>
      </c>
      <c r="O1737">
        <v>50</v>
      </c>
      <c r="P1737" s="1">
        <v>45740</v>
      </c>
      <c r="Q1737" s="1"/>
      <c r="R1737" t="str">
        <f>IF(Table1[[#This Row],[Actual close date]]="","",Table1[[#This Row],[Actual close date]]-Table1[[#This Row],[Expected close date]])</f>
        <v/>
      </c>
    </row>
    <row r="1738" spans="1:18" x14ac:dyDescent="0.25">
      <c r="A1738" t="s">
        <v>1603</v>
      </c>
      <c r="B1738" t="s">
        <v>59</v>
      </c>
      <c r="C1738" t="s">
        <v>60</v>
      </c>
      <c r="D1738" t="s">
        <v>61</v>
      </c>
      <c r="E1738" t="s">
        <v>62</v>
      </c>
      <c r="F1738" t="s">
        <v>125</v>
      </c>
      <c r="G1738" t="s">
        <v>31</v>
      </c>
      <c r="H1738" s="1">
        <v>45427</v>
      </c>
      <c r="I1738" t="s">
        <v>24</v>
      </c>
      <c r="J1738" t="s">
        <v>1117</v>
      </c>
      <c r="K1738">
        <v>5</v>
      </c>
      <c r="L1738" t="s">
        <v>1479</v>
      </c>
      <c r="M1738">
        <v>3</v>
      </c>
      <c r="N1738">
        <v>495</v>
      </c>
      <c r="O1738">
        <v>40</v>
      </c>
      <c r="P1738" s="1">
        <v>45611</v>
      </c>
      <c r="Q1738" s="1"/>
      <c r="R1738" t="str">
        <f>IF(Table1[[#This Row],[Actual close date]]="","",Table1[[#This Row],[Actual close date]]-Table1[[#This Row],[Expected close date]])</f>
        <v/>
      </c>
    </row>
    <row r="1739" spans="1:18" x14ac:dyDescent="0.25">
      <c r="A1739" t="s">
        <v>1645</v>
      </c>
      <c r="B1739" t="s">
        <v>18</v>
      </c>
      <c r="C1739" t="s">
        <v>19</v>
      </c>
      <c r="D1739" t="s">
        <v>20</v>
      </c>
      <c r="E1739" t="s">
        <v>122</v>
      </c>
      <c r="F1739" t="s">
        <v>167</v>
      </c>
      <c r="G1739" t="s">
        <v>37</v>
      </c>
      <c r="H1739" s="1">
        <v>45427</v>
      </c>
      <c r="I1739" t="s">
        <v>24</v>
      </c>
      <c r="J1739" t="s">
        <v>1117</v>
      </c>
      <c r="K1739">
        <v>5</v>
      </c>
      <c r="L1739" t="s">
        <v>1479</v>
      </c>
      <c r="M1739">
        <v>3</v>
      </c>
      <c r="N1739">
        <v>3030</v>
      </c>
      <c r="O1739">
        <v>20</v>
      </c>
      <c r="P1739" s="1">
        <v>45454</v>
      </c>
      <c r="Q1739" s="1"/>
      <c r="R1739" t="str">
        <f>IF(Table1[[#This Row],[Actual close date]]="","",Table1[[#This Row],[Actual close date]]-Table1[[#This Row],[Expected close date]])</f>
        <v/>
      </c>
    </row>
    <row r="1740" spans="1:18" x14ac:dyDescent="0.25">
      <c r="A1740" t="s">
        <v>1751</v>
      </c>
      <c r="B1740" t="s">
        <v>33</v>
      </c>
      <c r="C1740" t="s">
        <v>34</v>
      </c>
      <c r="D1740" t="s">
        <v>35</v>
      </c>
      <c r="E1740" t="s">
        <v>45</v>
      </c>
      <c r="F1740" t="s">
        <v>167</v>
      </c>
      <c r="G1740" t="s">
        <v>72</v>
      </c>
      <c r="H1740" s="1">
        <v>45427</v>
      </c>
      <c r="I1740" t="s">
        <v>64</v>
      </c>
      <c r="J1740" t="s">
        <v>1117</v>
      </c>
      <c r="K1740">
        <v>5</v>
      </c>
      <c r="L1740" t="s">
        <v>1700</v>
      </c>
      <c r="M1740">
        <v>1</v>
      </c>
      <c r="N1740">
        <v>3157</v>
      </c>
      <c r="O1740">
        <v>100</v>
      </c>
      <c r="P1740" s="1">
        <v>45580</v>
      </c>
      <c r="Q1740" s="1"/>
      <c r="R1740" t="str">
        <f>IF(Table1[[#This Row],[Actual close date]]="","",Table1[[#This Row],[Actual close date]]-Table1[[#This Row],[Expected close date]])</f>
        <v/>
      </c>
    </row>
    <row r="1741" spans="1:18" x14ac:dyDescent="0.25">
      <c r="A1741" t="s">
        <v>1229</v>
      </c>
      <c r="B1741" t="s">
        <v>18</v>
      </c>
      <c r="C1741" t="s">
        <v>19</v>
      </c>
      <c r="D1741" t="s">
        <v>20</v>
      </c>
      <c r="E1741" t="s">
        <v>62</v>
      </c>
      <c r="F1741" t="s">
        <v>125</v>
      </c>
      <c r="G1741" t="s">
        <v>83</v>
      </c>
      <c r="H1741" s="1">
        <v>45428</v>
      </c>
      <c r="I1741" t="s">
        <v>24</v>
      </c>
      <c r="J1741" t="s">
        <v>1117</v>
      </c>
      <c r="K1741">
        <v>5</v>
      </c>
      <c r="L1741" t="s">
        <v>1118</v>
      </c>
      <c r="M1741">
        <v>2</v>
      </c>
      <c r="N1741">
        <v>364</v>
      </c>
      <c r="O1741">
        <v>40</v>
      </c>
      <c r="P1741" s="1">
        <v>45554</v>
      </c>
      <c r="Q1741" s="1"/>
      <c r="R1741" t="str">
        <f>IF(Table1[[#This Row],[Actual close date]]="","",Table1[[#This Row],[Actual close date]]-Table1[[#This Row],[Expected close date]])</f>
        <v/>
      </c>
    </row>
    <row r="1742" spans="1:18" x14ac:dyDescent="0.25">
      <c r="A1742" t="s">
        <v>1621</v>
      </c>
      <c r="B1742" t="s">
        <v>59</v>
      </c>
      <c r="C1742" t="s">
        <v>60</v>
      </c>
      <c r="D1742" t="s">
        <v>61</v>
      </c>
      <c r="E1742" t="s">
        <v>45</v>
      </c>
      <c r="F1742" t="s">
        <v>167</v>
      </c>
      <c r="G1742" t="s">
        <v>83</v>
      </c>
      <c r="H1742" s="1">
        <v>45428</v>
      </c>
      <c r="I1742" t="s">
        <v>47</v>
      </c>
      <c r="J1742" t="s">
        <v>1117</v>
      </c>
      <c r="K1742">
        <v>5</v>
      </c>
      <c r="L1742" t="s">
        <v>1479</v>
      </c>
      <c r="M1742">
        <v>3</v>
      </c>
      <c r="N1742">
        <v>5951</v>
      </c>
      <c r="O1742">
        <v>20</v>
      </c>
      <c r="P1742" s="1">
        <v>45784</v>
      </c>
      <c r="Q1742" s="1"/>
      <c r="R1742" t="str">
        <f>IF(Table1[[#This Row],[Actual close date]]="","",Table1[[#This Row],[Actual close date]]-Table1[[#This Row],[Expected close date]])</f>
        <v/>
      </c>
    </row>
    <row r="1743" spans="1:18" x14ac:dyDescent="0.25">
      <c r="A1743" t="s">
        <v>1152</v>
      </c>
      <c r="B1743" t="s">
        <v>69</v>
      </c>
      <c r="C1743" t="s">
        <v>70</v>
      </c>
      <c r="D1743" t="s">
        <v>71</v>
      </c>
      <c r="E1743" t="s">
        <v>82</v>
      </c>
      <c r="F1743" t="s">
        <v>22</v>
      </c>
      <c r="G1743" t="s">
        <v>37</v>
      </c>
      <c r="H1743" s="1">
        <v>45429</v>
      </c>
      <c r="I1743" t="s">
        <v>24</v>
      </c>
      <c r="J1743" t="s">
        <v>1117</v>
      </c>
      <c r="K1743">
        <v>5</v>
      </c>
      <c r="L1743" t="s">
        <v>1118</v>
      </c>
      <c r="M1743">
        <v>2</v>
      </c>
      <c r="N1743">
        <v>558</v>
      </c>
      <c r="O1743">
        <v>70</v>
      </c>
      <c r="P1743" s="1">
        <v>45740</v>
      </c>
      <c r="Q1743" s="1"/>
      <c r="R1743" t="str">
        <f>IF(Table1[[#This Row],[Actual close date]]="","",Table1[[#This Row],[Actual close date]]-Table1[[#This Row],[Expected close date]])</f>
        <v/>
      </c>
    </row>
    <row r="1744" spans="1:18" x14ac:dyDescent="0.25">
      <c r="A1744" t="s">
        <v>1210</v>
      </c>
      <c r="B1744" t="s">
        <v>49</v>
      </c>
      <c r="C1744" t="s">
        <v>50</v>
      </c>
      <c r="D1744" t="s">
        <v>51</v>
      </c>
      <c r="E1744" t="s">
        <v>45</v>
      </c>
      <c r="F1744" t="s">
        <v>22</v>
      </c>
      <c r="G1744" t="s">
        <v>37</v>
      </c>
      <c r="H1744" s="1">
        <v>45429</v>
      </c>
      <c r="I1744" t="s">
        <v>24</v>
      </c>
      <c r="J1744" t="s">
        <v>1117</v>
      </c>
      <c r="K1744">
        <v>5</v>
      </c>
      <c r="L1744" t="s">
        <v>1118</v>
      </c>
      <c r="M1744">
        <v>2</v>
      </c>
      <c r="N1744">
        <v>1734</v>
      </c>
      <c r="O1744">
        <v>100</v>
      </c>
      <c r="P1744" s="1">
        <v>45576</v>
      </c>
      <c r="Q1744" s="1"/>
      <c r="R1744" t="str">
        <f>IF(Table1[[#This Row],[Actual close date]]="","",Table1[[#This Row],[Actual close date]]-Table1[[#This Row],[Expected close date]])</f>
        <v/>
      </c>
    </row>
    <row r="1745" spans="1:18" x14ac:dyDescent="0.25">
      <c r="A1745" t="s">
        <v>1225</v>
      </c>
      <c r="B1745" t="s">
        <v>76</v>
      </c>
      <c r="C1745" t="s">
        <v>77</v>
      </c>
      <c r="D1745" t="s">
        <v>78</v>
      </c>
      <c r="E1745" t="s">
        <v>21</v>
      </c>
      <c r="F1745" t="s">
        <v>125</v>
      </c>
      <c r="G1745" t="s">
        <v>72</v>
      </c>
      <c r="H1745" s="1">
        <v>45429</v>
      </c>
      <c r="I1745" t="s">
        <v>24</v>
      </c>
      <c r="J1745" t="s">
        <v>1117</v>
      </c>
      <c r="K1745">
        <v>5</v>
      </c>
      <c r="L1745" t="s">
        <v>1118</v>
      </c>
      <c r="M1745">
        <v>2</v>
      </c>
      <c r="N1745">
        <v>552</v>
      </c>
      <c r="O1745">
        <v>40</v>
      </c>
      <c r="P1745" s="1">
        <v>45543</v>
      </c>
      <c r="Q1745" s="1"/>
      <c r="R1745" t="str">
        <f>IF(Table1[[#This Row],[Actual close date]]="","",Table1[[#This Row],[Actual close date]]-Table1[[#This Row],[Expected close date]])</f>
        <v/>
      </c>
    </row>
    <row r="1746" spans="1:18" x14ac:dyDescent="0.25">
      <c r="A1746" t="s">
        <v>1308</v>
      </c>
      <c r="B1746" t="s">
        <v>69</v>
      </c>
      <c r="C1746" t="s">
        <v>70</v>
      </c>
      <c r="D1746" t="s">
        <v>71</v>
      </c>
      <c r="E1746" t="s">
        <v>118</v>
      </c>
      <c r="F1746" t="s">
        <v>167</v>
      </c>
      <c r="G1746" t="s">
        <v>57</v>
      </c>
      <c r="H1746" s="1">
        <v>45429</v>
      </c>
      <c r="I1746" t="s">
        <v>64</v>
      </c>
      <c r="J1746" t="s">
        <v>1117</v>
      </c>
      <c r="K1746">
        <v>5</v>
      </c>
      <c r="L1746" t="s">
        <v>1118</v>
      </c>
      <c r="M1746">
        <v>2</v>
      </c>
      <c r="N1746">
        <v>5254</v>
      </c>
      <c r="O1746">
        <v>10</v>
      </c>
      <c r="P1746" s="1">
        <v>45598</v>
      </c>
      <c r="Q1746" s="1"/>
      <c r="R1746" t="str">
        <f>IF(Table1[[#This Row],[Actual close date]]="","",Table1[[#This Row],[Actual close date]]-Table1[[#This Row],[Expected close date]])</f>
        <v/>
      </c>
    </row>
    <row r="1747" spans="1:18" x14ac:dyDescent="0.25">
      <c r="A1747" t="s">
        <v>1335</v>
      </c>
      <c r="B1747" t="s">
        <v>59</v>
      </c>
      <c r="C1747" t="s">
        <v>60</v>
      </c>
      <c r="D1747" t="s">
        <v>61</v>
      </c>
      <c r="E1747" t="s">
        <v>45</v>
      </c>
      <c r="F1747" t="s">
        <v>167</v>
      </c>
      <c r="G1747" t="s">
        <v>31</v>
      </c>
      <c r="H1747" s="1">
        <v>45429</v>
      </c>
      <c r="I1747" t="s">
        <v>64</v>
      </c>
      <c r="J1747" t="s">
        <v>1117</v>
      </c>
      <c r="K1747">
        <v>5</v>
      </c>
      <c r="L1747" t="s">
        <v>1118</v>
      </c>
      <c r="M1747">
        <v>2</v>
      </c>
      <c r="N1747">
        <v>5993</v>
      </c>
      <c r="O1747">
        <v>80</v>
      </c>
      <c r="P1747" s="1">
        <v>45691</v>
      </c>
      <c r="Q1747" s="1"/>
      <c r="R1747" t="str">
        <f>IF(Table1[[#This Row],[Actual close date]]="","",Table1[[#This Row],[Actual close date]]-Table1[[#This Row],[Expected close date]])</f>
        <v/>
      </c>
    </row>
    <row r="1748" spans="1:18" x14ac:dyDescent="0.25">
      <c r="A1748" t="s">
        <v>1478</v>
      </c>
      <c r="B1748" t="s">
        <v>69</v>
      </c>
      <c r="C1748" t="s">
        <v>70</v>
      </c>
      <c r="D1748" t="s">
        <v>71</v>
      </c>
      <c r="E1748" t="s">
        <v>66</v>
      </c>
      <c r="F1748" t="s">
        <v>22</v>
      </c>
      <c r="G1748" t="s">
        <v>46</v>
      </c>
      <c r="H1748" s="1">
        <v>45429</v>
      </c>
      <c r="I1748" t="s">
        <v>47</v>
      </c>
      <c r="J1748" t="s">
        <v>1117</v>
      </c>
      <c r="K1748">
        <v>5</v>
      </c>
      <c r="L1748" t="s">
        <v>1479</v>
      </c>
      <c r="M1748">
        <v>3</v>
      </c>
      <c r="N1748">
        <v>454</v>
      </c>
      <c r="O1748">
        <v>50</v>
      </c>
      <c r="P1748" s="1">
        <v>45556</v>
      </c>
      <c r="Q1748" s="1"/>
      <c r="R1748" t="str">
        <f>IF(Table1[[#This Row],[Actual close date]]="","",Table1[[#This Row],[Actual close date]]-Table1[[#This Row],[Expected close date]])</f>
        <v/>
      </c>
    </row>
    <row r="1749" spans="1:18" x14ac:dyDescent="0.25">
      <c r="A1749" t="s">
        <v>1523</v>
      </c>
      <c r="B1749" t="s">
        <v>33</v>
      </c>
      <c r="C1749" t="s">
        <v>34</v>
      </c>
      <c r="D1749" t="s">
        <v>35</v>
      </c>
      <c r="E1749" t="s">
        <v>30</v>
      </c>
      <c r="F1749" t="s">
        <v>22</v>
      </c>
      <c r="G1749" t="s">
        <v>23</v>
      </c>
      <c r="H1749" s="1">
        <v>45429</v>
      </c>
      <c r="I1749" t="s">
        <v>64</v>
      </c>
      <c r="J1749" t="s">
        <v>1117</v>
      </c>
      <c r="K1749">
        <v>5</v>
      </c>
      <c r="L1749" t="s">
        <v>1479</v>
      </c>
      <c r="M1749">
        <v>3</v>
      </c>
      <c r="N1749">
        <v>1245</v>
      </c>
      <c r="O1749">
        <v>20</v>
      </c>
      <c r="P1749" s="1">
        <v>45599</v>
      </c>
      <c r="Q1749" s="1"/>
      <c r="R1749" t="str">
        <f>IF(Table1[[#This Row],[Actual close date]]="","",Table1[[#This Row],[Actual close date]]-Table1[[#This Row],[Expected close date]])</f>
        <v/>
      </c>
    </row>
    <row r="1750" spans="1:18" x14ac:dyDescent="0.25">
      <c r="A1750" t="s">
        <v>1535</v>
      </c>
      <c r="B1750" t="s">
        <v>39</v>
      </c>
      <c r="C1750" t="s">
        <v>40</v>
      </c>
      <c r="D1750" t="s">
        <v>41</v>
      </c>
      <c r="E1750" t="s">
        <v>21</v>
      </c>
      <c r="F1750" t="s">
        <v>22</v>
      </c>
      <c r="G1750" t="s">
        <v>23</v>
      </c>
      <c r="H1750" s="1">
        <v>45429</v>
      </c>
      <c r="I1750" t="s">
        <v>64</v>
      </c>
      <c r="J1750" t="s">
        <v>1117</v>
      </c>
      <c r="K1750">
        <v>5</v>
      </c>
      <c r="L1750" t="s">
        <v>1479</v>
      </c>
      <c r="M1750">
        <v>3</v>
      </c>
      <c r="N1750">
        <v>384</v>
      </c>
      <c r="O1750">
        <v>90</v>
      </c>
      <c r="P1750" s="1">
        <v>45644</v>
      </c>
      <c r="Q1750" s="1"/>
      <c r="R1750" t="str">
        <f>IF(Table1[[#This Row],[Actual close date]]="","",Table1[[#This Row],[Actual close date]]-Table1[[#This Row],[Expected close date]])</f>
        <v/>
      </c>
    </row>
    <row r="1751" spans="1:18" x14ac:dyDescent="0.25">
      <c r="A1751" t="s">
        <v>1159</v>
      </c>
      <c r="B1751" t="s">
        <v>69</v>
      </c>
      <c r="C1751" t="s">
        <v>70</v>
      </c>
      <c r="D1751" t="s">
        <v>71</v>
      </c>
      <c r="E1751" t="s">
        <v>118</v>
      </c>
      <c r="F1751" t="s">
        <v>22</v>
      </c>
      <c r="G1751" t="s">
        <v>72</v>
      </c>
      <c r="H1751" s="1">
        <v>45430</v>
      </c>
      <c r="I1751" t="s">
        <v>47</v>
      </c>
      <c r="J1751" t="s">
        <v>1117</v>
      </c>
      <c r="K1751">
        <v>5</v>
      </c>
      <c r="L1751" t="s">
        <v>1118</v>
      </c>
      <c r="M1751">
        <v>2</v>
      </c>
      <c r="N1751">
        <v>1959</v>
      </c>
      <c r="O1751">
        <v>50</v>
      </c>
      <c r="P1751" s="1">
        <v>45450</v>
      </c>
      <c r="Q1751" s="1"/>
      <c r="R1751" t="str">
        <f>IF(Table1[[#This Row],[Actual close date]]="","",Table1[[#This Row],[Actual close date]]-Table1[[#This Row],[Expected close date]])</f>
        <v/>
      </c>
    </row>
    <row r="1752" spans="1:18" x14ac:dyDescent="0.25">
      <c r="A1752" t="s">
        <v>1373</v>
      </c>
      <c r="B1752" t="s">
        <v>39</v>
      </c>
      <c r="C1752" t="s">
        <v>40</v>
      </c>
      <c r="D1752" t="s">
        <v>41</v>
      </c>
      <c r="E1752" t="s">
        <v>118</v>
      </c>
      <c r="F1752" t="s">
        <v>167</v>
      </c>
      <c r="G1752" t="s">
        <v>31</v>
      </c>
      <c r="H1752" s="1">
        <v>45430</v>
      </c>
      <c r="I1752" t="s">
        <v>24</v>
      </c>
      <c r="J1752" t="s">
        <v>1117</v>
      </c>
      <c r="K1752">
        <v>5</v>
      </c>
      <c r="L1752" t="s">
        <v>1118</v>
      </c>
      <c r="M1752">
        <v>2</v>
      </c>
      <c r="N1752">
        <v>5441</v>
      </c>
      <c r="O1752">
        <v>40</v>
      </c>
      <c r="P1752" s="1">
        <v>45491</v>
      </c>
      <c r="Q1752" s="1"/>
      <c r="R1752" t="str">
        <f>IF(Table1[[#This Row],[Actual close date]]="","",Table1[[#This Row],[Actual close date]]-Table1[[#This Row],[Expected close date]])</f>
        <v/>
      </c>
    </row>
    <row r="1753" spans="1:18" x14ac:dyDescent="0.25">
      <c r="A1753" t="s">
        <v>1386</v>
      </c>
      <c r="B1753" t="s">
        <v>39</v>
      </c>
      <c r="C1753" t="s">
        <v>40</v>
      </c>
      <c r="D1753" t="s">
        <v>41</v>
      </c>
      <c r="E1753" t="s">
        <v>98</v>
      </c>
      <c r="F1753" t="s">
        <v>167</v>
      </c>
      <c r="G1753" t="s">
        <v>37</v>
      </c>
      <c r="H1753" s="1">
        <v>45430</v>
      </c>
      <c r="I1753" t="s">
        <v>64</v>
      </c>
      <c r="J1753" t="s">
        <v>1117</v>
      </c>
      <c r="K1753">
        <v>5</v>
      </c>
      <c r="L1753" t="s">
        <v>1118</v>
      </c>
      <c r="M1753">
        <v>2</v>
      </c>
      <c r="N1753">
        <v>2029</v>
      </c>
      <c r="O1753">
        <v>20</v>
      </c>
      <c r="P1753" s="1">
        <v>45516</v>
      </c>
      <c r="Q1753" s="1"/>
      <c r="R1753" t="str">
        <f>IF(Table1[[#This Row],[Actual close date]]="","",Table1[[#This Row],[Actual close date]]-Table1[[#This Row],[Expected close date]])</f>
        <v/>
      </c>
    </row>
    <row r="1754" spans="1:18" x14ac:dyDescent="0.25">
      <c r="A1754" t="s">
        <v>1581</v>
      </c>
      <c r="B1754" t="s">
        <v>54</v>
      </c>
      <c r="C1754" t="s">
        <v>55</v>
      </c>
      <c r="D1754" t="s">
        <v>56</v>
      </c>
      <c r="E1754" t="s">
        <v>42</v>
      </c>
      <c r="F1754" t="s">
        <v>125</v>
      </c>
      <c r="G1754" t="s">
        <v>57</v>
      </c>
      <c r="H1754" s="1">
        <v>45430</v>
      </c>
      <c r="I1754" t="s">
        <v>64</v>
      </c>
      <c r="J1754" t="s">
        <v>1117</v>
      </c>
      <c r="K1754">
        <v>5</v>
      </c>
      <c r="L1754" t="s">
        <v>1479</v>
      </c>
      <c r="M1754">
        <v>3</v>
      </c>
      <c r="N1754">
        <v>475</v>
      </c>
      <c r="O1754">
        <v>50</v>
      </c>
      <c r="P1754" s="1">
        <v>45562</v>
      </c>
      <c r="Q1754" s="1"/>
      <c r="R1754" t="str">
        <f>IF(Table1[[#This Row],[Actual close date]]="","",Table1[[#This Row],[Actual close date]]-Table1[[#This Row],[Expected close date]])</f>
        <v/>
      </c>
    </row>
    <row r="1755" spans="1:18" x14ac:dyDescent="0.25">
      <c r="A1755" t="s">
        <v>1760</v>
      </c>
      <c r="B1755" t="s">
        <v>39</v>
      </c>
      <c r="C1755" t="s">
        <v>40</v>
      </c>
      <c r="D1755" t="s">
        <v>41</v>
      </c>
      <c r="E1755" t="s">
        <v>45</v>
      </c>
      <c r="F1755" t="s">
        <v>167</v>
      </c>
      <c r="G1755" t="s">
        <v>57</v>
      </c>
      <c r="H1755" s="1">
        <v>45430</v>
      </c>
      <c r="I1755" t="s">
        <v>24</v>
      </c>
      <c r="J1755" t="s">
        <v>1117</v>
      </c>
      <c r="K1755">
        <v>5</v>
      </c>
      <c r="L1755" t="s">
        <v>1700</v>
      </c>
      <c r="M1755">
        <v>1</v>
      </c>
      <c r="N1755">
        <v>1422</v>
      </c>
      <c r="O1755">
        <v>30</v>
      </c>
      <c r="P1755" s="1">
        <v>45473</v>
      </c>
      <c r="Q1755" s="1"/>
      <c r="R1755" t="str">
        <f>IF(Table1[[#This Row],[Actual close date]]="","",Table1[[#This Row],[Actual close date]]-Table1[[#This Row],[Expected close date]])</f>
        <v/>
      </c>
    </row>
    <row r="1756" spans="1:18" x14ac:dyDescent="0.25">
      <c r="A1756" t="s">
        <v>1255</v>
      </c>
      <c r="B1756" t="s">
        <v>33</v>
      </c>
      <c r="C1756" t="s">
        <v>34</v>
      </c>
      <c r="D1756" t="s">
        <v>35</v>
      </c>
      <c r="E1756" t="s">
        <v>52</v>
      </c>
      <c r="F1756" t="s">
        <v>125</v>
      </c>
      <c r="G1756" t="s">
        <v>46</v>
      </c>
      <c r="H1756" s="1">
        <v>45431</v>
      </c>
      <c r="I1756" t="s">
        <v>24</v>
      </c>
      <c r="J1756" t="s">
        <v>1117</v>
      </c>
      <c r="K1756">
        <v>5</v>
      </c>
      <c r="L1756" t="s">
        <v>1118</v>
      </c>
      <c r="M1756">
        <v>2</v>
      </c>
      <c r="N1756">
        <v>764</v>
      </c>
      <c r="O1756">
        <v>50</v>
      </c>
      <c r="P1756" s="1">
        <v>45562</v>
      </c>
      <c r="Q1756" s="1"/>
      <c r="R1756" t="str">
        <f>IF(Table1[[#This Row],[Actual close date]]="","",Table1[[#This Row],[Actual close date]]-Table1[[#This Row],[Expected close date]])</f>
        <v/>
      </c>
    </row>
    <row r="1757" spans="1:18" x14ac:dyDescent="0.25">
      <c r="A1757" t="s">
        <v>1274</v>
      </c>
      <c r="B1757" t="s">
        <v>33</v>
      </c>
      <c r="C1757" t="s">
        <v>34</v>
      </c>
      <c r="D1757" t="s">
        <v>35</v>
      </c>
      <c r="E1757" t="s">
        <v>82</v>
      </c>
      <c r="F1757" t="s">
        <v>167</v>
      </c>
      <c r="G1757" t="s">
        <v>46</v>
      </c>
      <c r="H1757" s="1">
        <v>45431</v>
      </c>
      <c r="I1757" t="s">
        <v>24</v>
      </c>
      <c r="J1757" t="s">
        <v>1117</v>
      </c>
      <c r="K1757">
        <v>5</v>
      </c>
      <c r="L1757" t="s">
        <v>1118</v>
      </c>
      <c r="M1757">
        <v>2</v>
      </c>
      <c r="N1757">
        <v>358</v>
      </c>
      <c r="O1757">
        <v>20</v>
      </c>
      <c r="P1757" s="1">
        <v>45707</v>
      </c>
      <c r="Q1757" s="1"/>
      <c r="R1757" t="str">
        <f>IF(Table1[[#This Row],[Actual close date]]="","",Table1[[#This Row],[Actual close date]]-Table1[[#This Row],[Expected close date]])</f>
        <v/>
      </c>
    </row>
    <row r="1758" spans="1:18" x14ac:dyDescent="0.25">
      <c r="A1758" t="s">
        <v>1497</v>
      </c>
      <c r="B1758" t="s">
        <v>33</v>
      </c>
      <c r="C1758" t="s">
        <v>34</v>
      </c>
      <c r="D1758" t="s">
        <v>35</v>
      </c>
      <c r="E1758" t="s">
        <v>21</v>
      </c>
      <c r="F1758" t="s">
        <v>22</v>
      </c>
      <c r="G1758" t="s">
        <v>83</v>
      </c>
      <c r="H1758" s="1">
        <v>45431</v>
      </c>
      <c r="I1758" t="s">
        <v>64</v>
      </c>
      <c r="J1758" t="s">
        <v>1117</v>
      </c>
      <c r="K1758">
        <v>5</v>
      </c>
      <c r="L1758" t="s">
        <v>1479</v>
      </c>
      <c r="M1758">
        <v>3</v>
      </c>
      <c r="N1758">
        <v>1992</v>
      </c>
      <c r="O1758">
        <v>90</v>
      </c>
      <c r="P1758" s="1">
        <v>45510</v>
      </c>
      <c r="Q1758" s="1"/>
      <c r="R1758" t="str">
        <f>IF(Table1[[#This Row],[Actual close date]]="","",Table1[[#This Row],[Actual close date]]-Table1[[#This Row],[Expected close date]])</f>
        <v/>
      </c>
    </row>
    <row r="1759" spans="1:18" x14ac:dyDescent="0.25">
      <c r="A1759" t="s">
        <v>1597</v>
      </c>
      <c r="B1759" t="s">
        <v>54</v>
      </c>
      <c r="C1759" t="s">
        <v>55</v>
      </c>
      <c r="D1759" t="s">
        <v>56</v>
      </c>
      <c r="E1759" t="s">
        <v>45</v>
      </c>
      <c r="F1759" t="s">
        <v>125</v>
      </c>
      <c r="G1759" t="s">
        <v>46</v>
      </c>
      <c r="H1759" s="1">
        <v>45431</v>
      </c>
      <c r="I1759" t="s">
        <v>24</v>
      </c>
      <c r="J1759" t="s">
        <v>1117</v>
      </c>
      <c r="K1759">
        <v>5</v>
      </c>
      <c r="L1759" t="s">
        <v>1479</v>
      </c>
      <c r="M1759">
        <v>3</v>
      </c>
      <c r="N1759">
        <v>865</v>
      </c>
      <c r="O1759">
        <v>30</v>
      </c>
      <c r="P1759" s="1">
        <v>45739</v>
      </c>
      <c r="Q1759" s="1"/>
      <c r="R1759" t="str">
        <f>IF(Table1[[#This Row],[Actual close date]]="","",Table1[[#This Row],[Actual close date]]-Table1[[#This Row],[Expected close date]])</f>
        <v/>
      </c>
    </row>
    <row r="1760" spans="1:18" x14ac:dyDescent="0.25">
      <c r="A1760" t="s">
        <v>1363</v>
      </c>
      <c r="B1760" t="s">
        <v>59</v>
      </c>
      <c r="C1760" t="s">
        <v>60</v>
      </c>
      <c r="D1760" t="s">
        <v>61</v>
      </c>
      <c r="E1760" t="s">
        <v>42</v>
      </c>
      <c r="F1760" t="s">
        <v>167</v>
      </c>
      <c r="G1760" t="s">
        <v>57</v>
      </c>
      <c r="H1760" s="1">
        <v>45432</v>
      </c>
      <c r="I1760" t="s">
        <v>24</v>
      </c>
      <c r="J1760" t="s">
        <v>1117</v>
      </c>
      <c r="K1760">
        <v>5</v>
      </c>
      <c r="L1760" t="s">
        <v>1118</v>
      </c>
      <c r="M1760">
        <v>2</v>
      </c>
      <c r="N1760">
        <v>1523</v>
      </c>
      <c r="O1760">
        <v>30</v>
      </c>
      <c r="P1760" s="1">
        <v>45682</v>
      </c>
      <c r="Q1760" s="1"/>
      <c r="R1760" t="str">
        <f>IF(Table1[[#This Row],[Actual close date]]="","",Table1[[#This Row],[Actual close date]]-Table1[[#This Row],[Expected close date]])</f>
        <v/>
      </c>
    </row>
    <row r="1761" spans="1:18" x14ac:dyDescent="0.25">
      <c r="A1761" t="s">
        <v>1567</v>
      </c>
      <c r="B1761" t="s">
        <v>59</v>
      </c>
      <c r="C1761" t="s">
        <v>60</v>
      </c>
      <c r="D1761" t="s">
        <v>61</v>
      </c>
      <c r="E1761" t="s">
        <v>98</v>
      </c>
      <c r="F1761" t="s">
        <v>125</v>
      </c>
      <c r="G1761" t="s">
        <v>31</v>
      </c>
      <c r="H1761" s="1">
        <v>45432</v>
      </c>
      <c r="I1761" t="s">
        <v>24</v>
      </c>
      <c r="J1761" t="s">
        <v>1117</v>
      </c>
      <c r="K1761">
        <v>5</v>
      </c>
      <c r="L1761" t="s">
        <v>1479</v>
      </c>
      <c r="M1761">
        <v>3</v>
      </c>
      <c r="N1761">
        <v>568</v>
      </c>
      <c r="O1761">
        <v>90</v>
      </c>
      <c r="P1761" s="1">
        <v>45729</v>
      </c>
      <c r="Q1761" s="1"/>
      <c r="R1761" t="str">
        <f>IF(Table1[[#This Row],[Actual close date]]="","",Table1[[#This Row],[Actual close date]]-Table1[[#This Row],[Expected close date]])</f>
        <v/>
      </c>
    </row>
    <row r="1762" spans="1:18" x14ac:dyDescent="0.25">
      <c r="A1762" t="s">
        <v>1387</v>
      </c>
      <c r="B1762" t="s">
        <v>39</v>
      </c>
      <c r="C1762" t="s">
        <v>40</v>
      </c>
      <c r="D1762" t="s">
        <v>41</v>
      </c>
      <c r="E1762" t="s">
        <v>45</v>
      </c>
      <c r="F1762" t="s">
        <v>167</v>
      </c>
      <c r="G1762" t="s">
        <v>83</v>
      </c>
      <c r="H1762" s="1">
        <v>45433</v>
      </c>
      <c r="I1762" t="s">
        <v>24</v>
      </c>
      <c r="J1762" t="s">
        <v>1117</v>
      </c>
      <c r="K1762">
        <v>5</v>
      </c>
      <c r="L1762" t="s">
        <v>1118</v>
      </c>
      <c r="M1762">
        <v>2</v>
      </c>
      <c r="N1762">
        <v>3487</v>
      </c>
      <c r="O1762">
        <v>30</v>
      </c>
      <c r="P1762" s="1">
        <v>45665</v>
      </c>
      <c r="Q1762" s="1"/>
      <c r="R1762" t="str">
        <f>IF(Table1[[#This Row],[Actual close date]]="","",Table1[[#This Row],[Actual close date]]-Table1[[#This Row],[Expected close date]])</f>
        <v/>
      </c>
    </row>
    <row r="1763" spans="1:18" x14ac:dyDescent="0.25">
      <c r="A1763" t="s">
        <v>1393</v>
      </c>
      <c r="B1763" t="s">
        <v>59</v>
      </c>
      <c r="C1763" t="s">
        <v>60</v>
      </c>
      <c r="D1763" t="s">
        <v>61</v>
      </c>
      <c r="E1763" t="s">
        <v>118</v>
      </c>
      <c r="F1763" t="s">
        <v>167</v>
      </c>
      <c r="G1763" t="s">
        <v>46</v>
      </c>
      <c r="H1763" s="1">
        <v>45433</v>
      </c>
      <c r="I1763" t="s">
        <v>47</v>
      </c>
      <c r="J1763" t="s">
        <v>1117</v>
      </c>
      <c r="K1763">
        <v>5</v>
      </c>
      <c r="L1763" t="s">
        <v>1118</v>
      </c>
      <c r="M1763">
        <v>2</v>
      </c>
      <c r="N1763">
        <v>6185</v>
      </c>
      <c r="O1763">
        <v>70</v>
      </c>
      <c r="P1763" s="1">
        <v>45530</v>
      </c>
      <c r="Q1763" s="1"/>
      <c r="R1763" t="str">
        <f>IF(Table1[[#This Row],[Actual close date]]="","",Table1[[#This Row],[Actual close date]]-Table1[[#This Row],[Expected close date]])</f>
        <v/>
      </c>
    </row>
    <row r="1764" spans="1:18" x14ac:dyDescent="0.25">
      <c r="A1764" t="s">
        <v>1503</v>
      </c>
      <c r="B1764" t="s">
        <v>49</v>
      </c>
      <c r="C1764" t="s">
        <v>50</v>
      </c>
      <c r="D1764" t="s">
        <v>51</v>
      </c>
      <c r="E1764" t="s">
        <v>66</v>
      </c>
      <c r="F1764" t="s">
        <v>22</v>
      </c>
      <c r="G1764" t="s">
        <v>23</v>
      </c>
      <c r="H1764" s="1">
        <v>45433</v>
      </c>
      <c r="I1764" t="s">
        <v>64</v>
      </c>
      <c r="J1764" t="s">
        <v>1117</v>
      </c>
      <c r="K1764">
        <v>5</v>
      </c>
      <c r="L1764" t="s">
        <v>1479</v>
      </c>
      <c r="M1764">
        <v>3</v>
      </c>
      <c r="N1764">
        <v>1722</v>
      </c>
      <c r="O1764">
        <v>40</v>
      </c>
      <c r="P1764" s="1">
        <v>45539</v>
      </c>
      <c r="Q1764" s="1"/>
      <c r="R1764" t="str">
        <f>IF(Table1[[#This Row],[Actual close date]]="","",Table1[[#This Row],[Actual close date]]-Table1[[#This Row],[Expected close date]])</f>
        <v/>
      </c>
    </row>
    <row r="1765" spans="1:18" x14ac:dyDescent="0.25">
      <c r="A1765" t="s">
        <v>1587</v>
      </c>
      <c r="B1765" t="s">
        <v>39</v>
      </c>
      <c r="C1765" t="s">
        <v>40</v>
      </c>
      <c r="D1765" t="s">
        <v>41</v>
      </c>
      <c r="E1765" t="s">
        <v>74</v>
      </c>
      <c r="F1765" t="s">
        <v>125</v>
      </c>
      <c r="G1765" t="s">
        <v>31</v>
      </c>
      <c r="H1765" s="1">
        <v>45433</v>
      </c>
      <c r="I1765" t="s">
        <v>24</v>
      </c>
      <c r="J1765" t="s">
        <v>1117</v>
      </c>
      <c r="K1765">
        <v>5</v>
      </c>
      <c r="L1765" t="s">
        <v>1479</v>
      </c>
      <c r="M1765">
        <v>3</v>
      </c>
      <c r="N1765">
        <v>550</v>
      </c>
      <c r="O1765">
        <v>50</v>
      </c>
      <c r="P1765" s="1">
        <v>45519</v>
      </c>
      <c r="Q1765" s="1"/>
      <c r="R1765" t="str">
        <f>IF(Table1[[#This Row],[Actual close date]]="","",Table1[[#This Row],[Actual close date]]-Table1[[#This Row],[Expected close date]])</f>
        <v/>
      </c>
    </row>
    <row r="1766" spans="1:18" x14ac:dyDescent="0.25">
      <c r="A1766" t="s">
        <v>1616</v>
      </c>
      <c r="B1766" t="s">
        <v>69</v>
      </c>
      <c r="C1766" t="s">
        <v>70</v>
      </c>
      <c r="D1766" t="s">
        <v>71</v>
      </c>
      <c r="E1766" t="s">
        <v>52</v>
      </c>
      <c r="F1766" t="s">
        <v>167</v>
      </c>
      <c r="G1766" t="s">
        <v>72</v>
      </c>
      <c r="H1766" s="1">
        <v>45433</v>
      </c>
      <c r="I1766" t="s">
        <v>24</v>
      </c>
      <c r="J1766" t="s">
        <v>1117</v>
      </c>
      <c r="K1766">
        <v>5</v>
      </c>
      <c r="L1766" t="s">
        <v>1479</v>
      </c>
      <c r="M1766">
        <v>3</v>
      </c>
      <c r="N1766">
        <v>5718</v>
      </c>
      <c r="O1766">
        <v>40</v>
      </c>
      <c r="P1766" s="1">
        <v>45515</v>
      </c>
      <c r="Q1766" s="1"/>
      <c r="R1766" t="str">
        <f>IF(Table1[[#This Row],[Actual close date]]="","",Table1[[#This Row],[Actual close date]]-Table1[[#This Row],[Expected close date]])</f>
        <v/>
      </c>
    </row>
    <row r="1767" spans="1:18" x14ac:dyDescent="0.25">
      <c r="A1767" t="s">
        <v>1617</v>
      </c>
      <c r="B1767" t="s">
        <v>49</v>
      </c>
      <c r="C1767" t="s">
        <v>50</v>
      </c>
      <c r="D1767" t="s">
        <v>51</v>
      </c>
      <c r="E1767" t="s">
        <v>42</v>
      </c>
      <c r="F1767" t="s">
        <v>167</v>
      </c>
      <c r="G1767" t="s">
        <v>37</v>
      </c>
      <c r="H1767" s="1">
        <v>45433</v>
      </c>
      <c r="I1767" t="s">
        <v>24</v>
      </c>
      <c r="J1767" t="s">
        <v>1117</v>
      </c>
      <c r="K1767">
        <v>5</v>
      </c>
      <c r="L1767" t="s">
        <v>1479</v>
      </c>
      <c r="M1767">
        <v>3</v>
      </c>
      <c r="N1767">
        <v>4346</v>
      </c>
      <c r="O1767">
        <v>50</v>
      </c>
      <c r="P1767" s="1">
        <v>45500</v>
      </c>
      <c r="Q1767" s="1"/>
      <c r="R1767" t="str">
        <f>IF(Table1[[#This Row],[Actual close date]]="","",Table1[[#This Row],[Actual close date]]-Table1[[#This Row],[Expected close date]])</f>
        <v/>
      </c>
    </row>
    <row r="1768" spans="1:18" x14ac:dyDescent="0.25">
      <c r="A1768" t="s">
        <v>1636</v>
      </c>
      <c r="B1768" t="s">
        <v>39</v>
      </c>
      <c r="C1768" t="s">
        <v>40</v>
      </c>
      <c r="D1768" t="s">
        <v>41</v>
      </c>
      <c r="E1768" t="s">
        <v>52</v>
      </c>
      <c r="F1768" t="s">
        <v>167</v>
      </c>
      <c r="G1768" t="s">
        <v>72</v>
      </c>
      <c r="H1768" s="1">
        <v>45433</v>
      </c>
      <c r="I1768" t="s">
        <v>24</v>
      </c>
      <c r="J1768" t="s">
        <v>1117</v>
      </c>
      <c r="K1768">
        <v>5</v>
      </c>
      <c r="L1768" t="s">
        <v>1479</v>
      </c>
      <c r="M1768">
        <v>3</v>
      </c>
      <c r="N1768">
        <v>678</v>
      </c>
      <c r="O1768">
        <v>40</v>
      </c>
      <c r="P1768" s="1">
        <v>45707</v>
      </c>
      <c r="Q1768" s="1"/>
      <c r="R1768" t="str">
        <f>IF(Table1[[#This Row],[Actual close date]]="","",Table1[[#This Row],[Actual close date]]-Table1[[#This Row],[Expected close date]])</f>
        <v/>
      </c>
    </row>
    <row r="1769" spans="1:18" x14ac:dyDescent="0.25">
      <c r="A1769" t="s">
        <v>1705</v>
      </c>
      <c r="B1769" t="s">
        <v>54</v>
      </c>
      <c r="C1769" t="s">
        <v>55</v>
      </c>
      <c r="D1769" t="s">
        <v>56</v>
      </c>
      <c r="E1769" t="s">
        <v>45</v>
      </c>
      <c r="F1769" t="s">
        <v>22</v>
      </c>
      <c r="G1769" t="s">
        <v>72</v>
      </c>
      <c r="H1769" s="1">
        <v>45433</v>
      </c>
      <c r="I1769" t="s">
        <v>24</v>
      </c>
      <c r="J1769" t="s">
        <v>1117</v>
      </c>
      <c r="K1769">
        <v>5</v>
      </c>
      <c r="L1769" t="s">
        <v>1700</v>
      </c>
      <c r="M1769">
        <v>1</v>
      </c>
      <c r="N1769">
        <v>469</v>
      </c>
      <c r="O1769">
        <v>50</v>
      </c>
      <c r="P1769" s="1">
        <v>45725</v>
      </c>
      <c r="Q1769" s="1"/>
      <c r="R1769" t="str">
        <f>IF(Table1[[#This Row],[Actual close date]]="","",Table1[[#This Row],[Actual close date]]-Table1[[#This Row],[Expected close date]])</f>
        <v/>
      </c>
    </row>
    <row r="1770" spans="1:18" x14ac:dyDescent="0.25">
      <c r="A1770" t="s">
        <v>1762</v>
      </c>
      <c r="B1770" t="s">
        <v>59</v>
      </c>
      <c r="C1770" t="s">
        <v>60</v>
      </c>
      <c r="D1770" t="s">
        <v>61</v>
      </c>
      <c r="E1770" t="s">
        <v>36</v>
      </c>
      <c r="F1770" t="s">
        <v>239</v>
      </c>
      <c r="G1770" t="s">
        <v>46</v>
      </c>
      <c r="H1770" s="1">
        <v>45433</v>
      </c>
      <c r="I1770" t="s">
        <v>24</v>
      </c>
      <c r="J1770" t="s">
        <v>1117</v>
      </c>
      <c r="K1770">
        <v>5</v>
      </c>
      <c r="L1770" t="s">
        <v>1700</v>
      </c>
      <c r="M1770">
        <v>1</v>
      </c>
      <c r="N1770">
        <v>13700</v>
      </c>
      <c r="O1770">
        <v>50</v>
      </c>
      <c r="P1770" s="1">
        <v>45677</v>
      </c>
      <c r="Q1770" s="1"/>
      <c r="R1770" t="str">
        <f>IF(Table1[[#This Row],[Actual close date]]="","",Table1[[#This Row],[Actual close date]]-Table1[[#This Row],[Expected close date]])</f>
        <v/>
      </c>
    </row>
    <row r="1771" spans="1:18" x14ac:dyDescent="0.25">
      <c r="A1771" t="s">
        <v>1789</v>
      </c>
      <c r="B1771" t="s">
        <v>54</v>
      </c>
      <c r="C1771" t="s">
        <v>55</v>
      </c>
      <c r="D1771" t="s">
        <v>56</v>
      </c>
      <c r="E1771" t="s">
        <v>21</v>
      </c>
      <c r="F1771" t="s">
        <v>22</v>
      </c>
      <c r="G1771" t="s">
        <v>46</v>
      </c>
      <c r="H1771" s="1">
        <v>45433</v>
      </c>
      <c r="I1771" t="s">
        <v>24</v>
      </c>
      <c r="J1771" t="s">
        <v>1117</v>
      </c>
      <c r="K1771">
        <v>5</v>
      </c>
      <c r="L1771" t="s">
        <v>1766</v>
      </c>
      <c r="M1771">
        <v>4</v>
      </c>
      <c r="N1771">
        <v>1172</v>
      </c>
      <c r="O1771">
        <v>60</v>
      </c>
      <c r="P1771" s="1">
        <v>45771</v>
      </c>
      <c r="Q1771" s="1"/>
      <c r="R1771" t="str">
        <f>IF(Table1[[#This Row],[Actual close date]]="","",Table1[[#This Row],[Actual close date]]-Table1[[#This Row],[Expected close date]])</f>
        <v/>
      </c>
    </row>
    <row r="1772" spans="1:18" x14ac:dyDescent="0.25">
      <c r="A1772" t="s">
        <v>1174</v>
      </c>
      <c r="B1772" t="s">
        <v>27</v>
      </c>
      <c r="C1772" t="s">
        <v>28</v>
      </c>
      <c r="D1772" t="s">
        <v>29</v>
      </c>
      <c r="E1772" t="s">
        <v>74</v>
      </c>
      <c r="F1772" t="s">
        <v>22</v>
      </c>
      <c r="G1772" t="s">
        <v>57</v>
      </c>
      <c r="H1772" s="1">
        <v>45434</v>
      </c>
      <c r="I1772" t="s">
        <v>64</v>
      </c>
      <c r="J1772" t="s">
        <v>1117</v>
      </c>
      <c r="K1772">
        <v>5</v>
      </c>
      <c r="L1772" t="s">
        <v>1118</v>
      </c>
      <c r="M1772">
        <v>2</v>
      </c>
      <c r="N1772">
        <v>1897</v>
      </c>
      <c r="O1772">
        <v>60</v>
      </c>
      <c r="P1772" s="1">
        <v>45747</v>
      </c>
      <c r="Q1772" s="1"/>
      <c r="R1772" t="str">
        <f>IF(Table1[[#This Row],[Actual close date]]="","",Table1[[#This Row],[Actual close date]]-Table1[[#This Row],[Expected close date]])</f>
        <v/>
      </c>
    </row>
    <row r="1773" spans="1:18" x14ac:dyDescent="0.25">
      <c r="A1773" t="s">
        <v>1184</v>
      </c>
      <c r="B1773" t="s">
        <v>33</v>
      </c>
      <c r="C1773" t="s">
        <v>34</v>
      </c>
      <c r="D1773" t="s">
        <v>35</v>
      </c>
      <c r="E1773" t="s">
        <v>42</v>
      </c>
      <c r="F1773" t="s">
        <v>22</v>
      </c>
      <c r="G1773" t="s">
        <v>57</v>
      </c>
      <c r="H1773" s="1">
        <v>45434</v>
      </c>
      <c r="I1773" t="s">
        <v>24</v>
      </c>
      <c r="J1773" t="s">
        <v>1117</v>
      </c>
      <c r="K1773">
        <v>5</v>
      </c>
      <c r="L1773" t="s">
        <v>1118</v>
      </c>
      <c r="M1773">
        <v>2</v>
      </c>
      <c r="N1773">
        <v>1990</v>
      </c>
      <c r="O1773">
        <v>40</v>
      </c>
      <c r="P1773" s="1">
        <v>45532</v>
      </c>
      <c r="Q1773" s="1"/>
      <c r="R1773" t="str">
        <f>IF(Table1[[#This Row],[Actual close date]]="","",Table1[[#This Row],[Actual close date]]-Table1[[#This Row],[Expected close date]])</f>
        <v/>
      </c>
    </row>
    <row r="1774" spans="1:18" x14ac:dyDescent="0.25">
      <c r="A1774" t="s">
        <v>1187</v>
      </c>
      <c r="B1774" t="s">
        <v>33</v>
      </c>
      <c r="C1774" t="s">
        <v>34</v>
      </c>
      <c r="D1774" t="s">
        <v>35</v>
      </c>
      <c r="E1774" t="s">
        <v>21</v>
      </c>
      <c r="F1774" t="s">
        <v>22</v>
      </c>
      <c r="G1774" t="s">
        <v>37</v>
      </c>
      <c r="H1774" s="1">
        <v>45434</v>
      </c>
      <c r="I1774" t="s">
        <v>24</v>
      </c>
      <c r="J1774" t="s">
        <v>1117</v>
      </c>
      <c r="K1774">
        <v>5</v>
      </c>
      <c r="L1774" t="s">
        <v>1118</v>
      </c>
      <c r="M1774">
        <v>2</v>
      </c>
      <c r="N1774">
        <v>1279</v>
      </c>
      <c r="O1774">
        <v>70</v>
      </c>
      <c r="P1774" s="1">
        <v>45539</v>
      </c>
      <c r="Q1774" s="1"/>
      <c r="R1774" t="str">
        <f>IF(Table1[[#This Row],[Actual close date]]="","",Table1[[#This Row],[Actual close date]]-Table1[[#This Row],[Expected close date]])</f>
        <v/>
      </c>
    </row>
    <row r="1775" spans="1:18" x14ac:dyDescent="0.25">
      <c r="A1775" t="s">
        <v>1204</v>
      </c>
      <c r="B1775" t="s">
        <v>59</v>
      </c>
      <c r="C1775" t="s">
        <v>60</v>
      </c>
      <c r="D1775" t="s">
        <v>61</v>
      </c>
      <c r="E1775" t="s">
        <v>62</v>
      </c>
      <c r="F1775" t="s">
        <v>22</v>
      </c>
      <c r="G1775" t="s">
        <v>46</v>
      </c>
      <c r="H1775" s="1">
        <v>45434</v>
      </c>
      <c r="I1775" t="s">
        <v>24</v>
      </c>
      <c r="J1775" t="s">
        <v>1117</v>
      </c>
      <c r="K1775">
        <v>5</v>
      </c>
      <c r="L1775" t="s">
        <v>1118</v>
      </c>
      <c r="M1775">
        <v>2</v>
      </c>
      <c r="N1775">
        <v>321</v>
      </c>
      <c r="O1775">
        <v>50</v>
      </c>
      <c r="P1775" s="1">
        <v>45653</v>
      </c>
      <c r="Q1775" s="1"/>
      <c r="R1775" t="str">
        <f>IF(Table1[[#This Row],[Actual close date]]="","",Table1[[#This Row],[Actual close date]]-Table1[[#This Row],[Expected close date]])</f>
        <v/>
      </c>
    </row>
    <row r="1776" spans="1:18" x14ac:dyDescent="0.25">
      <c r="A1776" t="s">
        <v>1276</v>
      </c>
      <c r="B1776" t="s">
        <v>69</v>
      </c>
      <c r="C1776" t="s">
        <v>70</v>
      </c>
      <c r="D1776" t="s">
        <v>71</v>
      </c>
      <c r="E1776" t="s">
        <v>21</v>
      </c>
      <c r="F1776" t="s">
        <v>167</v>
      </c>
      <c r="G1776" t="s">
        <v>46</v>
      </c>
      <c r="H1776" s="1">
        <v>45434</v>
      </c>
      <c r="I1776" t="s">
        <v>64</v>
      </c>
      <c r="J1776" t="s">
        <v>1117</v>
      </c>
      <c r="K1776">
        <v>5</v>
      </c>
      <c r="L1776" t="s">
        <v>1118</v>
      </c>
      <c r="M1776">
        <v>2</v>
      </c>
      <c r="N1776">
        <v>7607</v>
      </c>
      <c r="O1776">
        <v>80</v>
      </c>
      <c r="P1776" s="1">
        <v>45660</v>
      </c>
      <c r="Q1776" s="1"/>
      <c r="R1776" t="str">
        <f>IF(Table1[[#This Row],[Actual close date]]="","",Table1[[#This Row],[Actual close date]]-Table1[[#This Row],[Expected close date]])</f>
        <v/>
      </c>
    </row>
    <row r="1777" spans="1:18" x14ac:dyDescent="0.25">
      <c r="A1777" t="s">
        <v>1370</v>
      </c>
      <c r="B1777" t="s">
        <v>59</v>
      </c>
      <c r="C1777" t="s">
        <v>60</v>
      </c>
      <c r="D1777" t="s">
        <v>61</v>
      </c>
      <c r="E1777" t="s">
        <v>30</v>
      </c>
      <c r="F1777" t="s">
        <v>167</v>
      </c>
      <c r="G1777" t="s">
        <v>57</v>
      </c>
      <c r="H1777" s="1">
        <v>45434</v>
      </c>
      <c r="I1777" t="s">
        <v>47</v>
      </c>
      <c r="J1777" t="s">
        <v>1117</v>
      </c>
      <c r="K1777">
        <v>5</v>
      </c>
      <c r="L1777" t="s">
        <v>1118</v>
      </c>
      <c r="M1777">
        <v>2</v>
      </c>
      <c r="N1777">
        <v>7311</v>
      </c>
      <c r="O1777">
        <v>70</v>
      </c>
      <c r="P1777" s="1">
        <v>45794</v>
      </c>
      <c r="Q1777" s="1"/>
      <c r="R1777" t="str">
        <f>IF(Table1[[#This Row],[Actual close date]]="","",Table1[[#This Row],[Actual close date]]-Table1[[#This Row],[Expected close date]])</f>
        <v/>
      </c>
    </row>
    <row r="1778" spans="1:18" x14ac:dyDescent="0.25">
      <c r="A1778" t="s">
        <v>1880</v>
      </c>
      <c r="B1778" t="s">
        <v>33</v>
      </c>
      <c r="C1778" t="s">
        <v>34</v>
      </c>
      <c r="D1778" t="s">
        <v>35</v>
      </c>
      <c r="E1778" t="s">
        <v>52</v>
      </c>
      <c r="F1778" t="s">
        <v>167</v>
      </c>
      <c r="G1778" t="s">
        <v>37</v>
      </c>
      <c r="H1778" s="1">
        <v>45434</v>
      </c>
      <c r="I1778" t="s">
        <v>47</v>
      </c>
      <c r="J1778" t="s">
        <v>1117</v>
      </c>
      <c r="K1778">
        <v>5</v>
      </c>
      <c r="L1778" t="s">
        <v>1766</v>
      </c>
      <c r="M1778">
        <v>4</v>
      </c>
      <c r="N1778">
        <v>7228</v>
      </c>
      <c r="O1778">
        <v>50</v>
      </c>
      <c r="P1778" s="1">
        <v>45466</v>
      </c>
      <c r="Q1778" s="1"/>
      <c r="R1778" t="str">
        <f>IF(Table1[[#This Row],[Actual close date]]="","",Table1[[#This Row],[Actual close date]]-Table1[[#This Row],[Expected close date]])</f>
        <v/>
      </c>
    </row>
    <row r="1779" spans="1:18" x14ac:dyDescent="0.25">
      <c r="A1779" t="s">
        <v>1362</v>
      </c>
      <c r="B1779" t="s">
        <v>49</v>
      </c>
      <c r="C1779" t="s">
        <v>50</v>
      </c>
      <c r="D1779" t="s">
        <v>51</v>
      </c>
      <c r="E1779" t="s">
        <v>21</v>
      </c>
      <c r="F1779" t="s">
        <v>167</v>
      </c>
      <c r="G1779" t="s">
        <v>83</v>
      </c>
      <c r="H1779" s="1">
        <v>45435</v>
      </c>
      <c r="I1779" t="s">
        <v>47</v>
      </c>
      <c r="J1779" t="s">
        <v>1117</v>
      </c>
      <c r="K1779">
        <v>5</v>
      </c>
      <c r="L1779" t="s">
        <v>1118</v>
      </c>
      <c r="M1779">
        <v>2</v>
      </c>
      <c r="N1779">
        <v>386</v>
      </c>
      <c r="O1779">
        <v>50</v>
      </c>
      <c r="P1779" s="1">
        <v>45546</v>
      </c>
      <c r="Q1779" s="1"/>
      <c r="R1779" t="str">
        <f>IF(Table1[[#This Row],[Actual close date]]="","",Table1[[#This Row],[Actual close date]]-Table1[[#This Row],[Expected close date]])</f>
        <v/>
      </c>
    </row>
    <row r="1780" spans="1:18" x14ac:dyDescent="0.25">
      <c r="A1780" t="s">
        <v>1392</v>
      </c>
      <c r="B1780" t="s">
        <v>76</v>
      </c>
      <c r="C1780" t="s">
        <v>77</v>
      </c>
      <c r="D1780" t="s">
        <v>78</v>
      </c>
      <c r="E1780" t="s">
        <v>52</v>
      </c>
      <c r="F1780" t="s">
        <v>167</v>
      </c>
      <c r="G1780" t="s">
        <v>23</v>
      </c>
      <c r="H1780" s="1">
        <v>45435</v>
      </c>
      <c r="I1780" t="s">
        <v>24</v>
      </c>
      <c r="J1780" t="s">
        <v>1117</v>
      </c>
      <c r="K1780">
        <v>5</v>
      </c>
      <c r="L1780" t="s">
        <v>1118</v>
      </c>
      <c r="M1780">
        <v>2</v>
      </c>
      <c r="N1780">
        <v>1015</v>
      </c>
      <c r="O1780">
        <v>20</v>
      </c>
      <c r="P1780" s="1">
        <v>45624</v>
      </c>
      <c r="Q1780" s="1"/>
      <c r="R1780" t="str">
        <f>IF(Table1[[#This Row],[Actual close date]]="","",Table1[[#This Row],[Actual close date]]-Table1[[#This Row],[Expected close date]])</f>
        <v/>
      </c>
    </row>
    <row r="1781" spans="1:18" x14ac:dyDescent="0.25">
      <c r="A1781" t="s">
        <v>1527</v>
      </c>
      <c r="B1781" t="s">
        <v>59</v>
      </c>
      <c r="C1781" t="s">
        <v>60</v>
      </c>
      <c r="D1781" t="s">
        <v>61</v>
      </c>
      <c r="E1781" t="s">
        <v>21</v>
      </c>
      <c r="F1781" t="s">
        <v>22</v>
      </c>
      <c r="G1781" t="s">
        <v>83</v>
      </c>
      <c r="H1781" s="1">
        <v>45435</v>
      </c>
      <c r="I1781" t="s">
        <v>24</v>
      </c>
      <c r="J1781" t="s">
        <v>1117</v>
      </c>
      <c r="K1781">
        <v>5</v>
      </c>
      <c r="L1781" t="s">
        <v>1479</v>
      </c>
      <c r="M1781">
        <v>3</v>
      </c>
      <c r="N1781">
        <v>677</v>
      </c>
      <c r="O1781">
        <v>30</v>
      </c>
      <c r="P1781" s="1">
        <v>45683</v>
      </c>
      <c r="Q1781" s="1"/>
      <c r="R1781" t="str">
        <f>IF(Table1[[#This Row],[Actual close date]]="","",Table1[[#This Row],[Actual close date]]-Table1[[#This Row],[Expected close date]])</f>
        <v/>
      </c>
    </row>
    <row r="1782" spans="1:18" x14ac:dyDescent="0.25">
      <c r="A1782" t="s">
        <v>1709</v>
      </c>
      <c r="B1782" t="s">
        <v>49</v>
      </c>
      <c r="C1782" t="s">
        <v>50</v>
      </c>
      <c r="D1782" t="s">
        <v>51</v>
      </c>
      <c r="E1782" t="s">
        <v>21</v>
      </c>
      <c r="F1782" t="s">
        <v>22</v>
      </c>
      <c r="G1782" t="s">
        <v>57</v>
      </c>
      <c r="H1782" s="1">
        <v>45435</v>
      </c>
      <c r="I1782" t="s">
        <v>24</v>
      </c>
      <c r="J1782" t="s">
        <v>1117</v>
      </c>
      <c r="K1782">
        <v>5</v>
      </c>
      <c r="L1782" t="s">
        <v>1700</v>
      </c>
      <c r="M1782">
        <v>1</v>
      </c>
      <c r="N1782">
        <v>1982</v>
      </c>
      <c r="O1782">
        <v>30</v>
      </c>
      <c r="P1782" s="1">
        <v>45554</v>
      </c>
      <c r="Q1782" s="1"/>
      <c r="R1782" t="str">
        <f>IF(Table1[[#This Row],[Actual close date]]="","",Table1[[#This Row],[Actual close date]]-Table1[[#This Row],[Expected close date]])</f>
        <v/>
      </c>
    </row>
    <row r="1783" spans="1:18" x14ac:dyDescent="0.25">
      <c r="A1783" t="s">
        <v>1166</v>
      </c>
      <c r="B1783" t="s">
        <v>18</v>
      </c>
      <c r="C1783" t="s">
        <v>19</v>
      </c>
      <c r="D1783" t="s">
        <v>20</v>
      </c>
      <c r="E1783" t="s">
        <v>101</v>
      </c>
      <c r="F1783" t="s">
        <v>22</v>
      </c>
      <c r="G1783" t="s">
        <v>31</v>
      </c>
      <c r="H1783" s="1">
        <v>45436</v>
      </c>
      <c r="I1783" t="s">
        <v>24</v>
      </c>
      <c r="J1783" t="s">
        <v>1117</v>
      </c>
      <c r="K1783">
        <v>5</v>
      </c>
      <c r="L1783" t="s">
        <v>1118</v>
      </c>
      <c r="M1783">
        <v>2</v>
      </c>
      <c r="N1783">
        <v>638</v>
      </c>
      <c r="O1783">
        <v>40</v>
      </c>
      <c r="P1783" s="1">
        <v>45525</v>
      </c>
      <c r="Q1783" s="1"/>
      <c r="R1783" t="str">
        <f>IF(Table1[[#This Row],[Actual close date]]="","",Table1[[#This Row],[Actual close date]]-Table1[[#This Row],[Expected close date]])</f>
        <v/>
      </c>
    </row>
    <row r="1784" spans="1:18" x14ac:dyDescent="0.25">
      <c r="A1784" t="s">
        <v>1852</v>
      </c>
      <c r="B1784" t="s">
        <v>33</v>
      </c>
      <c r="C1784" t="s">
        <v>34</v>
      </c>
      <c r="D1784" t="s">
        <v>35</v>
      </c>
      <c r="E1784" t="s">
        <v>101</v>
      </c>
      <c r="F1784" t="s">
        <v>167</v>
      </c>
      <c r="G1784" t="s">
        <v>72</v>
      </c>
      <c r="H1784" s="1">
        <v>45436</v>
      </c>
      <c r="I1784" t="s">
        <v>64</v>
      </c>
      <c r="J1784" t="s">
        <v>1117</v>
      </c>
      <c r="K1784">
        <v>5</v>
      </c>
      <c r="L1784" t="s">
        <v>1766</v>
      </c>
      <c r="M1784">
        <v>4</v>
      </c>
      <c r="N1784">
        <v>7387</v>
      </c>
      <c r="O1784">
        <v>60</v>
      </c>
      <c r="P1784" s="1">
        <v>45799</v>
      </c>
      <c r="Q1784" s="1"/>
      <c r="R1784" t="str">
        <f>IF(Table1[[#This Row],[Actual close date]]="","",Table1[[#This Row],[Actual close date]]-Table1[[#This Row],[Expected close date]])</f>
        <v/>
      </c>
    </row>
    <row r="1785" spans="1:18" x14ac:dyDescent="0.25">
      <c r="A1785" t="s">
        <v>1178</v>
      </c>
      <c r="B1785" t="s">
        <v>76</v>
      </c>
      <c r="C1785" t="s">
        <v>77</v>
      </c>
      <c r="D1785" t="s">
        <v>78</v>
      </c>
      <c r="E1785" t="s">
        <v>122</v>
      </c>
      <c r="F1785" t="s">
        <v>22</v>
      </c>
      <c r="G1785" t="s">
        <v>23</v>
      </c>
      <c r="H1785" s="1">
        <v>45437</v>
      </c>
      <c r="I1785" t="s">
        <v>47</v>
      </c>
      <c r="J1785" t="s">
        <v>1117</v>
      </c>
      <c r="K1785">
        <v>5</v>
      </c>
      <c r="L1785" t="s">
        <v>1118</v>
      </c>
      <c r="M1785">
        <v>2</v>
      </c>
      <c r="N1785">
        <v>1704</v>
      </c>
      <c r="O1785">
        <v>40</v>
      </c>
      <c r="P1785" s="1">
        <v>45614</v>
      </c>
      <c r="Q1785" s="1"/>
      <c r="R1785" t="str">
        <f>IF(Table1[[#This Row],[Actual close date]]="","",Table1[[#This Row],[Actual close date]]-Table1[[#This Row],[Expected close date]])</f>
        <v/>
      </c>
    </row>
    <row r="1786" spans="1:18" x14ac:dyDescent="0.25">
      <c r="A1786" t="s">
        <v>1240</v>
      </c>
      <c r="B1786" t="s">
        <v>76</v>
      </c>
      <c r="C1786" t="s">
        <v>77</v>
      </c>
      <c r="D1786" t="s">
        <v>78</v>
      </c>
      <c r="E1786" t="s">
        <v>101</v>
      </c>
      <c r="F1786" t="s">
        <v>125</v>
      </c>
      <c r="G1786" t="s">
        <v>37</v>
      </c>
      <c r="H1786" s="1">
        <v>45437</v>
      </c>
      <c r="I1786" t="s">
        <v>64</v>
      </c>
      <c r="J1786" t="s">
        <v>1117</v>
      </c>
      <c r="K1786">
        <v>5</v>
      </c>
      <c r="L1786" t="s">
        <v>1118</v>
      </c>
      <c r="M1786">
        <v>2</v>
      </c>
      <c r="N1786">
        <v>363</v>
      </c>
      <c r="O1786">
        <v>60</v>
      </c>
      <c r="P1786" s="1">
        <v>45578</v>
      </c>
      <c r="Q1786" s="1"/>
      <c r="R1786" t="str">
        <f>IF(Table1[[#This Row],[Actual close date]]="","",Table1[[#This Row],[Actual close date]]-Table1[[#This Row],[Expected close date]])</f>
        <v/>
      </c>
    </row>
    <row r="1787" spans="1:18" x14ac:dyDescent="0.25">
      <c r="A1787" t="s">
        <v>1312</v>
      </c>
      <c r="B1787" t="s">
        <v>39</v>
      </c>
      <c r="C1787" t="s">
        <v>40</v>
      </c>
      <c r="D1787" t="s">
        <v>41</v>
      </c>
      <c r="E1787" t="s">
        <v>30</v>
      </c>
      <c r="F1787" t="s">
        <v>167</v>
      </c>
      <c r="G1787" t="s">
        <v>57</v>
      </c>
      <c r="H1787" s="1">
        <v>45437</v>
      </c>
      <c r="I1787" t="s">
        <v>64</v>
      </c>
      <c r="J1787" t="s">
        <v>1117</v>
      </c>
      <c r="K1787">
        <v>5</v>
      </c>
      <c r="L1787" t="s">
        <v>1118</v>
      </c>
      <c r="M1787">
        <v>2</v>
      </c>
      <c r="N1787">
        <v>3732</v>
      </c>
      <c r="O1787">
        <v>100</v>
      </c>
      <c r="P1787" s="1">
        <v>45680</v>
      </c>
      <c r="Q1787" s="1"/>
      <c r="R1787" t="str">
        <f>IF(Table1[[#This Row],[Actual close date]]="","",Table1[[#This Row],[Actual close date]]-Table1[[#This Row],[Expected close date]])</f>
        <v/>
      </c>
    </row>
    <row r="1788" spans="1:18" x14ac:dyDescent="0.25">
      <c r="A1788" t="s">
        <v>1357</v>
      </c>
      <c r="B1788" t="s">
        <v>69</v>
      </c>
      <c r="C1788" t="s">
        <v>70</v>
      </c>
      <c r="D1788" t="s">
        <v>71</v>
      </c>
      <c r="E1788" t="s">
        <v>52</v>
      </c>
      <c r="F1788" t="s">
        <v>167</v>
      </c>
      <c r="G1788" t="s">
        <v>46</v>
      </c>
      <c r="H1788" s="1">
        <v>45437</v>
      </c>
      <c r="I1788" t="s">
        <v>47</v>
      </c>
      <c r="J1788" t="s">
        <v>1117</v>
      </c>
      <c r="K1788">
        <v>5</v>
      </c>
      <c r="L1788" t="s">
        <v>1118</v>
      </c>
      <c r="M1788">
        <v>2</v>
      </c>
      <c r="N1788">
        <v>7020</v>
      </c>
      <c r="O1788">
        <v>80</v>
      </c>
      <c r="P1788" s="1">
        <v>45638</v>
      </c>
      <c r="Q1788" s="1"/>
      <c r="R1788" t="str">
        <f>IF(Table1[[#This Row],[Actual close date]]="","",Table1[[#This Row],[Actual close date]]-Table1[[#This Row],[Expected close date]])</f>
        <v/>
      </c>
    </row>
    <row r="1789" spans="1:18" x14ac:dyDescent="0.25">
      <c r="A1789" t="s">
        <v>1413</v>
      </c>
      <c r="B1789" t="s">
        <v>59</v>
      </c>
      <c r="C1789" t="s">
        <v>60</v>
      </c>
      <c r="D1789" t="s">
        <v>61</v>
      </c>
      <c r="E1789" t="s">
        <v>82</v>
      </c>
      <c r="F1789" t="s">
        <v>246</v>
      </c>
      <c r="G1789" t="s">
        <v>57</v>
      </c>
      <c r="H1789" s="1">
        <v>45437</v>
      </c>
      <c r="I1789" t="s">
        <v>64</v>
      </c>
      <c r="J1789" t="s">
        <v>1117</v>
      </c>
      <c r="K1789">
        <v>5</v>
      </c>
      <c r="L1789" t="s">
        <v>1118</v>
      </c>
      <c r="M1789">
        <v>2</v>
      </c>
      <c r="N1789">
        <v>17606</v>
      </c>
      <c r="O1789">
        <v>20</v>
      </c>
      <c r="P1789" s="1">
        <v>45472</v>
      </c>
      <c r="Q1789" s="1"/>
      <c r="R1789" t="str">
        <f>IF(Table1[[#This Row],[Actual close date]]="","",Table1[[#This Row],[Actual close date]]-Table1[[#This Row],[Expected close date]])</f>
        <v/>
      </c>
    </row>
    <row r="1790" spans="1:18" x14ac:dyDescent="0.25">
      <c r="A1790" t="s">
        <v>1594</v>
      </c>
      <c r="B1790" t="s">
        <v>18</v>
      </c>
      <c r="C1790" t="s">
        <v>19</v>
      </c>
      <c r="D1790" t="s">
        <v>20</v>
      </c>
      <c r="E1790" t="s">
        <v>101</v>
      </c>
      <c r="F1790" t="s">
        <v>125</v>
      </c>
      <c r="G1790" t="s">
        <v>57</v>
      </c>
      <c r="H1790" s="1">
        <v>45437</v>
      </c>
      <c r="I1790" t="s">
        <v>47</v>
      </c>
      <c r="J1790" t="s">
        <v>1117</v>
      </c>
      <c r="K1790">
        <v>5</v>
      </c>
      <c r="L1790" t="s">
        <v>1479</v>
      </c>
      <c r="M1790">
        <v>3</v>
      </c>
      <c r="N1790">
        <v>1159</v>
      </c>
      <c r="O1790">
        <v>30</v>
      </c>
      <c r="P1790" s="1">
        <v>45520</v>
      </c>
      <c r="Q1790" s="1"/>
      <c r="R1790" t="str">
        <f>IF(Table1[[#This Row],[Actual close date]]="","",Table1[[#This Row],[Actual close date]]-Table1[[#This Row],[Expected close date]])</f>
        <v/>
      </c>
    </row>
    <row r="1791" spans="1:18" x14ac:dyDescent="0.25">
      <c r="A1791" t="s">
        <v>1836</v>
      </c>
      <c r="B1791" t="s">
        <v>76</v>
      </c>
      <c r="C1791" t="s">
        <v>77</v>
      </c>
      <c r="D1791" t="s">
        <v>78</v>
      </c>
      <c r="E1791" t="s">
        <v>45</v>
      </c>
      <c r="F1791" t="s">
        <v>125</v>
      </c>
      <c r="G1791" t="s">
        <v>37</v>
      </c>
      <c r="H1791" s="1">
        <v>45437</v>
      </c>
      <c r="I1791" t="s">
        <v>64</v>
      </c>
      <c r="J1791" t="s">
        <v>1117</v>
      </c>
      <c r="K1791">
        <v>5</v>
      </c>
      <c r="L1791" t="s">
        <v>1766</v>
      </c>
      <c r="M1791">
        <v>4</v>
      </c>
      <c r="N1791">
        <v>721</v>
      </c>
      <c r="O1791">
        <v>90</v>
      </c>
      <c r="P1791" s="1">
        <v>45520</v>
      </c>
      <c r="Q1791" s="1"/>
      <c r="R1791" t="str">
        <f>IF(Table1[[#This Row],[Actual close date]]="","",Table1[[#This Row],[Actual close date]]-Table1[[#This Row],[Expected close date]])</f>
        <v/>
      </c>
    </row>
    <row r="1792" spans="1:18" x14ac:dyDescent="0.25">
      <c r="A1792" t="s">
        <v>1895</v>
      </c>
      <c r="B1792" t="s">
        <v>54</v>
      </c>
      <c r="C1792" t="s">
        <v>55</v>
      </c>
      <c r="D1792" t="s">
        <v>56</v>
      </c>
      <c r="E1792" t="s">
        <v>45</v>
      </c>
      <c r="F1792" t="s">
        <v>167</v>
      </c>
      <c r="G1792" t="s">
        <v>46</v>
      </c>
      <c r="H1792" s="1">
        <v>45437</v>
      </c>
      <c r="I1792" t="s">
        <v>64</v>
      </c>
      <c r="J1792" t="s">
        <v>1117</v>
      </c>
      <c r="K1792">
        <v>5</v>
      </c>
      <c r="L1792" t="s">
        <v>1766</v>
      </c>
      <c r="M1792">
        <v>4</v>
      </c>
      <c r="N1792">
        <v>4718</v>
      </c>
      <c r="O1792">
        <v>50</v>
      </c>
      <c r="P1792" s="1">
        <v>45713</v>
      </c>
      <c r="Q1792" s="1"/>
      <c r="R1792" t="str">
        <f>IF(Table1[[#This Row],[Actual close date]]="","",Table1[[#This Row],[Actual close date]]-Table1[[#This Row],[Expected close date]])</f>
        <v/>
      </c>
    </row>
    <row r="1793" spans="1:18" x14ac:dyDescent="0.25">
      <c r="A1793" t="s">
        <v>1189</v>
      </c>
      <c r="B1793" t="s">
        <v>27</v>
      </c>
      <c r="C1793" t="s">
        <v>28</v>
      </c>
      <c r="D1793" t="s">
        <v>29</v>
      </c>
      <c r="E1793" t="s">
        <v>122</v>
      </c>
      <c r="F1793" t="s">
        <v>22</v>
      </c>
      <c r="G1793" t="s">
        <v>85</v>
      </c>
      <c r="H1793" s="1">
        <v>45438</v>
      </c>
      <c r="I1793" t="s">
        <v>24</v>
      </c>
      <c r="J1793" t="s">
        <v>1117</v>
      </c>
      <c r="K1793">
        <v>5</v>
      </c>
      <c r="L1793" t="s">
        <v>1118</v>
      </c>
      <c r="M1793">
        <v>2</v>
      </c>
      <c r="N1793">
        <v>1738</v>
      </c>
      <c r="O1793">
        <v>90</v>
      </c>
      <c r="P1793" s="1">
        <v>45732</v>
      </c>
      <c r="Q1793" s="1"/>
      <c r="R1793" t="str">
        <f>IF(Table1[[#This Row],[Actual close date]]="","",Table1[[#This Row],[Actual close date]]-Table1[[#This Row],[Expected close date]])</f>
        <v/>
      </c>
    </row>
    <row r="1794" spans="1:18" x14ac:dyDescent="0.25">
      <c r="A1794" t="s">
        <v>1213</v>
      </c>
      <c r="B1794" t="s">
        <v>49</v>
      </c>
      <c r="C1794" t="s">
        <v>50</v>
      </c>
      <c r="D1794" t="s">
        <v>51</v>
      </c>
      <c r="E1794" t="s">
        <v>30</v>
      </c>
      <c r="F1794" t="s">
        <v>125</v>
      </c>
      <c r="G1794" t="s">
        <v>31</v>
      </c>
      <c r="H1794" s="1">
        <v>45438</v>
      </c>
      <c r="I1794" t="s">
        <v>24</v>
      </c>
      <c r="J1794" t="s">
        <v>1117</v>
      </c>
      <c r="K1794">
        <v>5</v>
      </c>
      <c r="L1794" t="s">
        <v>1118</v>
      </c>
      <c r="M1794">
        <v>2</v>
      </c>
      <c r="N1794">
        <v>897</v>
      </c>
      <c r="O1794">
        <v>20</v>
      </c>
      <c r="P1794" s="1">
        <v>45551</v>
      </c>
      <c r="Q1794" s="1"/>
      <c r="R1794" t="str">
        <f>IF(Table1[[#This Row],[Actual close date]]="","",Table1[[#This Row],[Actual close date]]-Table1[[#This Row],[Expected close date]])</f>
        <v/>
      </c>
    </row>
    <row r="1795" spans="1:18" x14ac:dyDescent="0.25">
      <c r="A1795" t="s">
        <v>1378</v>
      </c>
      <c r="B1795" t="s">
        <v>33</v>
      </c>
      <c r="C1795" t="s">
        <v>34</v>
      </c>
      <c r="D1795" t="s">
        <v>35</v>
      </c>
      <c r="E1795" t="s">
        <v>101</v>
      </c>
      <c r="F1795" t="s">
        <v>167</v>
      </c>
      <c r="G1795" t="s">
        <v>57</v>
      </c>
      <c r="H1795" s="1">
        <v>45438</v>
      </c>
      <c r="I1795" t="s">
        <v>24</v>
      </c>
      <c r="J1795" t="s">
        <v>1117</v>
      </c>
      <c r="K1795">
        <v>5</v>
      </c>
      <c r="L1795" t="s">
        <v>1118</v>
      </c>
      <c r="M1795">
        <v>2</v>
      </c>
      <c r="N1795">
        <v>7503</v>
      </c>
      <c r="O1795">
        <v>50</v>
      </c>
      <c r="P1795" s="1">
        <v>45693</v>
      </c>
      <c r="Q1795" s="1"/>
      <c r="R1795" t="str">
        <f>IF(Table1[[#This Row],[Actual close date]]="","",Table1[[#This Row],[Actual close date]]-Table1[[#This Row],[Expected close date]])</f>
        <v/>
      </c>
    </row>
    <row r="1796" spans="1:18" x14ac:dyDescent="0.25">
      <c r="A1796" t="s">
        <v>1388</v>
      </c>
      <c r="B1796" t="s">
        <v>18</v>
      </c>
      <c r="C1796" t="s">
        <v>19</v>
      </c>
      <c r="D1796" t="s">
        <v>20</v>
      </c>
      <c r="E1796" t="s">
        <v>42</v>
      </c>
      <c r="F1796" t="s">
        <v>167</v>
      </c>
      <c r="G1796" t="s">
        <v>46</v>
      </c>
      <c r="H1796" s="1">
        <v>45438</v>
      </c>
      <c r="I1796" t="s">
        <v>47</v>
      </c>
      <c r="J1796" t="s">
        <v>1117</v>
      </c>
      <c r="K1796">
        <v>5</v>
      </c>
      <c r="L1796" t="s">
        <v>1118</v>
      </c>
      <c r="M1796">
        <v>2</v>
      </c>
      <c r="N1796">
        <v>5274</v>
      </c>
      <c r="O1796">
        <v>70</v>
      </c>
      <c r="P1796" s="1">
        <v>45588</v>
      </c>
      <c r="Q1796" s="1"/>
      <c r="R1796" t="str">
        <f>IF(Table1[[#This Row],[Actual close date]]="","",Table1[[#This Row],[Actual close date]]-Table1[[#This Row],[Expected close date]])</f>
        <v/>
      </c>
    </row>
    <row r="1797" spans="1:18" x14ac:dyDescent="0.25">
      <c r="A1797" t="s">
        <v>1389</v>
      </c>
      <c r="B1797" t="s">
        <v>69</v>
      </c>
      <c r="C1797" t="s">
        <v>70</v>
      </c>
      <c r="D1797" t="s">
        <v>71</v>
      </c>
      <c r="E1797" t="s">
        <v>98</v>
      </c>
      <c r="F1797" t="s">
        <v>167</v>
      </c>
      <c r="G1797" t="s">
        <v>57</v>
      </c>
      <c r="H1797" s="1">
        <v>45438</v>
      </c>
      <c r="I1797" t="s">
        <v>64</v>
      </c>
      <c r="J1797" t="s">
        <v>1117</v>
      </c>
      <c r="K1797">
        <v>5</v>
      </c>
      <c r="L1797" t="s">
        <v>1118</v>
      </c>
      <c r="M1797">
        <v>2</v>
      </c>
      <c r="N1797">
        <v>7451</v>
      </c>
      <c r="O1797">
        <v>20</v>
      </c>
      <c r="P1797" s="1">
        <v>45504</v>
      </c>
      <c r="Q1797" s="1"/>
      <c r="R1797" t="str">
        <f>IF(Table1[[#This Row],[Actual close date]]="","",Table1[[#This Row],[Actual close date]]-Table1[[#This Row],[Expected close date]])</f>
        <v/>
      </c>
    </row>
    <row r="1798" spans="1:18" x14ac:dyDescent="0.25">
      <c r="A1798" t="s">
        <v>1493</v>
      </c>
      <c r="B1798" t="s">
        <v>49</v>
      </c>
      <c r="C1798" t="s">
        <v>50</v>
      </c>
      <c r="D1798" t="s">
        <v>51</v>
      </c>
      <c r="E1798" t="s">
        <v>45</v>
      </c>
      <c r="F1798" t="s">
        <v>22</v>
      </c>
      <c r="G1798" t="s">
        <v>46</v>
      </c>
      <c r="H1798" s="1">
        <v>45438</v>
      </c>
      <c r="I1798" t="s">
        <v>24</v>
      </c>
      <c r="J1798" t="s">
        <v>1117</v>
      </c>
      <c r="K1798">
        <v>5</v>
      </c>
      <c r="L1798" t="s">
        <v>1479</v>
      </c>
      <c r="M1798">
        <v>3</v>
      </c>
      <c r="N1798">
        <v>861</v>
      </c>
      <c r="O1798">
        <v>30</v>
      </c>
      <c r="P1798" s="1">
        <v>45562</v>
      </c>
      <c r="Q1798" s="1"/>
      <c r="R1798" t="str">
        <f>IF(Table1[[#This Row],[Actual close date]]="","",Table1[[#This Row],[Actual close date]]-Table1[[#This Row],[Expected close date]])</f>
        <v/>
      </c>
    </row>
    <row r="1799" spans="1:18" x14ac:dyDescent="0.25">
      <c r="A1799" t="s">
        <v>1847</v>
      </c>
      <c r="B1799" t="s">
        <v>33</v>
      </c>
      <c r="C1799" t="s">
        <v>34</v>
      </c>
      <c r="D1799" t="s">
        <v>35</v>
      </c>
      <c r="E1799" t="s">
        <v>74</v>
      </c>
      <c r="F1799" t="s">
        <v>167</v>
      </c>
      <c r="G1799" t="s">
        <v>46</v>
      </c>
      <c r="H1799" s="1">
        <v>45438</v>
      </c>
      <c r="I1799" t="s">
        <v>64</v>
      </c>
      <c r="J1799" t="s">
        <v>1117</v>
      </c>
      <c r="K1799">
        <v>5</v>
      </c>
      <c r="L1799" t="s">
        <v>1766</v>
      </c>
      <c r="M1799">
        <v>4</v>
      </c>
      <c r="N1799">
        <v>5268</v>
      </c>
      <c r="O1799">
        <v>90</v>
      </c>
      <c r="P1799" s="1">
        <v>45787</v>
      </c>
      <c r="Q1799" s="1"/>
      <c r="R1799" t="str">
        <f>IF(Table1[[#This Row],[Actual close date]]="","",Table1[[#This Row],[Actual close date]]-Table1[[#This Row],[Expected close date]])</f>
        <v/>
      </c>
    </row>
    <row r="1800" spans="1:18" x14ac:dyDescent="0.25">
      <c r="A1800" t="s">
        <v>1850</v>
      </c>
      <c r="B1800" t="s">
        <v>69</v>
      </c>
      <c r="C1800" t="s">
        <v>70</v>
      </c>
      <c r="D1800" t="s">
        <v>71</v>
      </c>
      <c r="E1800" t="s">
        <v>45</v>
      </c>
      <c r="F1800" t="s">
        <v>167</v>
      </c>
      <c r="G1800" t="s">
        <v>46</v>
      </c>
      <c r="H1800" s="1">
        <v>45438</v>
      </c>
      <c r="I1800" t="s">
        <v>64</v>
      </c>
      <c r="J1800" t="s">
        <v>1117</v>
      </c>
      <c r="K1800">
        <v>5</v>
      </c>
      <c r="L1800" t="s">
        <v>1766</v>
      </c>
      <c r="M1800">
        <v>4</v>
      </c>
      <c r="N1800">
        <v>7711</v>
      </c>
      <c r="O1800">
        <v>20</v>
      </c>
      <c r="P1800" s="1">
        <v>45568</v>
      </c>
      <c r="Q1800" s="1"/>
      <c r="R1800" t="str">
        <f>IF(Table1[[#This Row],[Actual close date]]="","",Table1[[#This Row],[Actual close date]]-Table1[[#This Row],[Expected close date]])</f>
        <v/>
      </c>
    </row>
    <row r="1801" spans="1:18" x14ac:dyDescent="0.25">
      <c r="A1801" t="s">
        <v>1853</v>
      </c>
      <c r="B1801" t="s">
        <v>39</v>
      </c>
      <c r="C1801" t="s">
        <v>40</v>
      </c>
      <c r="D1801" t="s">
        <v>41</v>
      </c>
      <c r="E1801" t="s">
        <v>122</v>
      </c>
      <c r="F1801" t="s">
        <v>167</v>
      </c>
      <c r="G1801" t="s">
        <v>85</v>
      </c>
      <c r="H1801" s="1">
        <v>45438</v>
      </c>
      <c r="I1801" t="s">
        <v>24</v>
      </c>
      <c r="J1801" t="s">
        <v>1117</v>
      </c>
      <c r="K1801">
        <v>5</v>
      </c>
      <c r="L1801" t="s">
        <v>1766</v>
      </c>
      <c r="M1801">
        <v>4</v>
      </c>
      <c r="N1801">
        <v>3342</v>
      </c>
      <c r="O1801">
        <v>40</v>
      </c>
      <c r="P1801" s="1">
        <v>45470</v>
      </c>
      <c r="Q1801" s="1"/>
      <c r="R1801" t="str">
        <f>IF(Table1[[#This Row],[Actual close date]]="","",Table1[[#This Row],[Actual close date]]-Table1[[#This Row],[Expected close date]])</f>
        <v/>
      </c>
    </row>
    <row r="1802" spans="1:18" x14ac:dyDescent="0.25">
      <c r="A1802" t="s">
        <v>1170</v>
      </c>
      <c r="B1802" t="s">
        <v>33</v>
      </c>
      <c r="C1802" t="s">
        <v>34</v>
      </c>
      <c r="D1802" t="s">
        <v>35</v>
      </c>
      <c r="E1802" t="s">
        <v>52</v>
      </c>
      <c r="F1802" t="s">
        <v>22</v>
      </c>
      <c r="G1802" t="s">
        <v>23</v>
      </c>
      <c r="H1802" s="1">
        <v>45439</v>
      </c>
      <c r="I1802" t="s">
        <v>24</v>
      </c>
      <c r="J1802" t="s">
        <v>1117</v>
      </c>
      <c r="K1802">
        <v>5</v>
      </c>
      <c r="L1802" t="s">
        <v>1118</v>
      </c>
      <c r="M1802">
        <v>2</v>
      </c>
      <c r="N1802">
        <v>628</v>
      </c>
      <c r="O1802">
        <v>60</v>
      </c>
      <c r="P1802" s="1">
        <v>45758</v>
      </c>
      <c r="Q1802" s="1"/>
      <c r="R1802" t="str">
        <f>IF(Table1[[#This Row],[Actual close date]]="","",Table1[[#This Row],[Actual close date]]-Table1[[#This Row],[Expected close date]])</f>
        <v/>
      </c>
    </row>
    <row r="1803" spans="1:18" x14ac:dyDescent="0.25">
      <c r="A1803" t="s">
        <v>1259</v>
      </c>
      <c r="B1803" t="s">
        <v>76</v>
      </c>
      <c r="C1803" t="s">
        <v>77</v>
      </c>
      <c r="D1803" t="s">
        <v>78</v>
      </c>
      <c r="E1803" t="s">
        <v>66</v>
      </c>
      <c r="F1803" t="s">
        <v>125</v>
      </c>
      <c r="G1803" t="s">
        <v>37</v>
      </c>
      <c r="H1803" s="1">
        <v>45439</v>
      </c>
      <c r="I1803" t="s">
        <v>64</v>
      </c>
      <c r="J1803" t="s">
        <v>1117</v>
      </c>
      <c r="K1803">
        <v>5</v>
      </c>
      <c r="L1803" t="s">
        <v>1118</v>
      </c>
      <c r="M1803">
        <v>2</v>
      </c>
      <c r="N1803">
        <v>366</v>
      </c>
      <c r="O1803">
        <v>10</v>
      </c>
      <c r="P1803" s="1">
        <v>45803</v>
      </c>
      <c r="Q1803" s="1"/>
      <c r="R1803" t="str">
        <f>IF(Table1[[#This Row],[Actual close date]]="","",Table1[[#This Row],[Actual close date]]-Table1[[#This Row],[Expected close date]])</f>
        <v/>
      </c>
    </row>
    <row r="1804" spans="1:18" x14ac:dyDescent="0.25">
      <c r="A1804" t="s">
        <v>1300</v>
      </c>
      <c r="B1804" t="s">
        <v>69</v>
      </c>
      <c r="C1804" t="s">
        <v>70</v>
      </c>
      <c r="D1804" t="s">
        <v>71</v>
      </c>
      <c r="E1804" t="s">
        <v>42</v>
      </c>
      <c r="F1804" t="s">
        <v>167</v>
      </c>
      <c r="G1804" t="s">
        <v>57</v>
      </c>
      <c r="H1804" s="1">
        <v>45439</v>
      </c>
      <c r="I1804" t="s">
        <v>64</v>
      </c>
      <c r="J1804" t="s">
        <v>1117</v>
      </c>
      <c r="K1804">
        <v>5</v>
      </c>
      <c r="L1804" t="s">
        <v>1118</v>
      </c>
      <c r="M1804">
        <v>2</v>
      </c>
      <c r="N1804">
        <v>1784</v>
      </c>
      <c r="O1804">
        <v>50</v>
      </c>
      <c r="P1804" s="1">
        <v>45585</v>
      </c>
      <c r="Q1804" s="1"/>
      <c r="R1804" t="str">
        <f>IF(Table1[[#This Row],[Actual close date]]="","",Table1[[#This Row],[Actual close date]]-Table1[[#This Row],[Expected close date]])</f>
        <v/>
      </c>
    </row>
    <row r="1805" spans="1:18" x14ac:dyDescent="0.25">
      <c r="A1805" t="s">
        <v>1585</v>
      </c>
      <c r="B1805" t="s">
        <v>39</v>
      </c>
      <c r="C1805" t="s">
        <v>40</v>
      </c>
      <c r="D1805" t="s">
        <v>41</v>
      </c>
      <c r="E1805" t="s">
        <v>21</v>
      </c>
      <c r="F1805" t="s">
        <v>125</v>
      </c>
      <c r="G1805" t="s">
        <v>46</v>
      </c>
      <c r="H1805" s="1">
        <v>45439</v>
      </c>
      <c r="I1805" t="s">
        <v>24</v>
      </c>
      <c r="J1805" t="s">
        <v>1117</v>
      </c>
      <c r="K1805">
        <v>5</v>
      </c>
      <c r="L1805" t="s">
        <v>1479</v>
      </c>
      <c r="M1805">
        <v>3</v>
      </c>
      <c r="N1805">
        <v>849</v>
      </c>
      <c r="O1805">
        <v>30</v>
      </c>
      <c r="P1805" s="1">
        <v>45531</v>
      </c>
      <c r="Q1805" s="1"/>
      <c r="R1805" t="str">
        <f>IF(Table1[[#This Row],[Actual close date]]="","",Table1[[#This Row],[Actual close date]]-Table1[[#This Row],[Expected close date]])</f>
        <v/>
      </c>
    </row>
    <row r="1806" spans="1:18" x14ac:dyDescent="0.25">
      <c r="A1806" t="s">
        <v>1611</v>
      </c>
      <c r="B1806" t="s">
        <v>33</v>
      </c>
      <c r="C1806" t="s">
        <v>34</v>
      </c>
      <c r="D1806" t="s">
        <v>35</v>
      </c>
      <c r="E1806" t="s">
        <v>21</v>
      </c>
      <c r="F1806" t="s">
        <v>167</v>
      </c>
      <c r="G1806" t="s">
        <v>85</v>
      </c>
      <c r="H1806" s="1">
        <v>45439</v>
      </c>
      <c r="I1806" t="s">
        <v>64</v>
      </c>
      <c r="J1806" t="s">
        <v>1117</v>
      </c>
      <c r="K1806">
        <v>5</v>
      </c>
      <c r="L1806" t="s">
        <v>1479</v>
      </c>
      <c r="M1806">
        <v>3</v>
      </c>
      <c r="N1806">
        <v>318</v>
      </c>
      <c r="O1806">
        <v>80</v>
      </c>
      <c r="P1806" s="1">
        <v>45577</v>
      </c>
      <c r="Q1806" s="1"/>
      <c r="R1806" t="str">
        <f>IF(Table1[[#This Row],[Actual close date]]="","",Table1[[#This Row],[Actual close date]]-Table1[[#This Row],[Expected close date]])</f>
        <v/>
      </c>
    </row>
    <row r="1807" spans="1:18" x14ac:dyDescent="0.25">
      <c r="A1807" t="s">
        <v>1710</v>
      </c>
      <c r="B1807" t="s">
        <v>33</v>
      </c>
      <c r="C1807" t="s">
        <v>34</v>
      </c>
      <c r="D1807" t="s">
        <v>35</v>
      </c>
      <c r="E1807" t="s">
        <v>21</v>
      </c>
      <c r="F1807" t="s">
        <v>22</v>
      </c>
      <c r="G1807" t="s">
        <v>57</v>
      </c>
      <c r="H1807" s="1">
        <v>45439</v>
      </c>
      <c r="I1807" t="s">
        <v>24</v>
      </c>
      <c r="J1807" t="s">
        <v>1117</v>
      </c>
      <c r="K1807">
        <v>5</v>
      </c>
      <c r="L1807" t="s">
        <v>1700</v>
      </c>
      <c r="M1807">
        <v>1</v>
      </c>
      <c r="N1807">
        <v>769</v>
      </c>
      <c r="O1807">
        <v>60</v>
      </c>
      <c r="P1807" s="1">
        <v>45588</v>
      </c>
      <c r="Q1807" s="1"/>
      <c r="R1807" t="str">
        <f>IF(Table1[[#This Row],[Actual close date]]="","",Table1[[#This Row],[Actual close date]]-Table1[[#This Row],[Expected close date]])</f>
        <v/>
      </c>
    </row>
    <row r="1808" spans="1:18" x14ac:dyDescent="0.25">
      <c r="A1808" t="s">
        <v>1891</v>
      </c>
      <c r="B1808" t="s">
        <v>39</v>
      </c>
      <c r="C1808" t="s">
        <v>40</v>
      </c>
      <c r="D1808" t="s">
        <v>41</v>
      </c>
      <c r="E1808" t="s">
        <v>36</v>
      </c>
      <c r="F1808" t="s">
        <v>167</v>
      </c>
      <c r="G1808" t="s">
        <v>46</v>
      </c>
      <c r="H1808" s="1">
        <v>45439</v>
      </c>
      <c r="I1808" t="s">
        <v>24</v>
      </c>
      <c r="J1808" t="s">
        <v>1117</v>
      </c>
      <c r="K1808">
        <v>5</v>
      </c>
      <c r="L1808" t="s">
        <v>1766</v>
      </c>
      <c r="M1808">
        <v>4</v>
      </c>
      <c r="N1808">
        <v>4625</v>
      </c>
      <c r="O1808">
        <v>40</v>
      </c>
      <c r="P1808" s="1">
        <v>45500</v>
      </c>
      <c r="Q1808" s="1"/>
      <c r="R1808" t="str">
        <f>IF(Table1[[#This Row],[Actual close date]]="","",Table1[[#This Row],[Actual close date]]-Table1[[#This Row],[Expected close date]])</f>
        <v/>
      </c>
    </row>
    <row r="1809" spans="1:18" x14ac:dyDescent="0.25">
      <c r="A1809" t="s">
        <v>1180</v>
      </c>
      <c r="B1809" t="s">
        <v>54</v>
      </c>
      <c r="C1809" t="s">
        <v>55</v>
      </c>
      <c r="D1809" t="s">
        <v>56</v>
      </c>
      <c r="E1809" t="s">
        <v>52</v>
      </c>
      <c r="F1809" t="s">
        <v>22</v>
      </c>
      <c r="G1809" t="s">
        <v>83</v>
      </c>
      <c r="H1809" s="1">
        <v>45440</v>
      </c>
      <c r="I1809" t="s">
        <v>64</v>
      </c>
      <c r="J1809" t="s">
        <v>1117</v>
      </c>
      <c r="K1809">
        <v>5</v>
      </c>
      <c r="L1809" t="s">
        <v>1118</v>
      </c>
      <c r="M1809">
        <v>2</v>
      </c>
      <c r="N1809">
        <v>1225</v>
      </c>
      <c r="O1809">
        <v>10</v>
      </c>
      <c r="P1809" s="1">
        <v>45680</v>
      </c>
      <c r="Q1809" s="1"/>
      <c r="R1809" t="str">
        <f>IF(Table1[[#This Row],[Actual close date]]="","",Table1[[#This Row],[Actual close date]]-Table1[[#This Row],[Expected close date]])</f>
        <v/>
      </c>
    </row>
    <row r="1810" spans="1:18" x14ac:dyDescent="0.25">
      <c r="A1810" t="s">
        <v>1250</v>
      </c>
      <c r="B1810" t="s">
        <v>18</v>
      </c>
      <c r="C1810" t="s">
        <v>19</v>
      </c>
      <c r="D1810" t="s">
        <v>20</v>
      </c>
      <c r="E1810" t="s">
        <v>98</v>
      </c>
      <c r="F1810" t="s">
        <v>125</v>
      </c>
      <c r="G1810" t="s">
        <v>46</v>
      </c>
      <c r="H1810" s="1">
        <v>45440</v>
      </c>
      <c r="I1810" t="s">
        <v>64</v>
      </c>
      <c r="J1810" t="s">
        <v>1117</v>
      </c>
      <c r="K1810">
        <v>5</v>
      </c>
      <c r="L1810" t="s">
        <v>1118</v>
      </c>
      <c r="M1810">
        <v>2</v>
      </c>
      <c r="N1810">
        <v>355</v>
      </c>
      <c r="O1810">
        <v>20</v>
      </c>
      <c r="P1810" s="1">
        <v>45732</v>
      </c>
      <c r="Q1810" s="1"/>
      <c r="R1810" t="str">
        <f>IF(Table1[[#This Row],[Actual close date]]="","",Table1[[#This Row],[Actual close date]]-Table1[[#This Row],[Expected close date]])</f>
        <v/>
      </c>
    </row>
    <row r="1811" spans="1:18" x14ac:dyDescent="0.25">
      <c r="A1811" t="s">
        <v>1531</v>
      </c>
      <c r="B1811" t="s">
        <v>59</v>
      </c>
      <c r="C1811" t="s">
        <v>60</v>
      </c>
      <c r="D1811" t="s">
        <v>61</v>
      </c>
      <c r="E1811" t="s">
        <v>45</v>
      </c>
      <c r="F1811" t="s">
        <v>22</v>
      </c>
      <c r="G1811" t="s">
        <v>57</v>
      </c>
      <c r="H1811" s="1">
        <v>45440</v>
      </c>
      <c r="I1811" t="s">
        <v>24</v>
      </c>
      <c r="J1811" t="s">
        <v>1117</v>
      </c>
      <c r="K1811">
        <v>5</v>
      </c>
      <c r="L1811" t="s">
        <v>1479</v>
      </c>
      <c r="M1811">
        <v>3</v>
      </c>
      <c r="N1811">
        <v>1029</v>
      </c>
      <c r="O1811">
        <v>20</v>
      </c>
      <c r="P1811" s="1">
        <v>45477</v>
      </c>
      <c r="Q1811" s="1"/>
      <c r="R1811" t="str">
        <f>IF(Table1[[#This Row],[Actual close date]]="","",Table1[[#This Row],[Actual close date]]-Table1[[#This Row],[Expected close date]])</f>
        <v/>
      </c>
    </row>
    <row r="1812" spans="1:18" x14ac:dyDescent="0.25">
      <c r="A1812" t="s">
        <v>1279</v>
      </c>
      <c r="B1812" t="s">
        <v>33</v>
      </c>
      <c r="C1812" t="s">
        <v>34</v>
      </c>
      <c r="D1812" t="s">
        <v>35</v>
      </c>
      <c r="E1812" t="s">
        <v>66</v>
      </c>
      <c r="F1812" t="s">
        <v>167</v>
      </c>
      <c r="G1812" t="s">
        <v>57</v>
      </c>
      <c r="H1812" s="1">
        <v>45441</v>
      </c>
      <c r="I1812" t="s">
        <v>24</v>
      </c>
      <c r="J1812" t="s">
        <v>1117</v>
      </c>
      <c r="K1812">
        <v>5</v>
      </c>
      <c r="L1812" t="s">
        <v>1118</v>
      </c>
      <c r="M1812">
        <v>2</v>
      </c>
      <c r="N1812">
        <v>4051</v>
      </c>
      <c r="O1812">
        <v>30</v>
      </c>
      <c r="P1812" s="1">
        <v>45489</v>
      </c>
      <c r="Q1812" s="1"/>
      <c r="R1812" t="str">
        <f>IF(Table1[[#This Row],[Actual close date]]="","",Table1[[#This Row],[Actual close date]]-Table1[[#This Row],[Expected close date]])</f>
        <v/>
      </c>
    </row>
    <row r="1813" spans="1:18" x14ac:dyDescent="0.25">
      <c r="A1813" t="s">
        <v>1634</v>
      </c>
      <c r="B1813" t="s">
        <v>27</v>
      </c>
      <c r="C1813" t="s">
        <v>28</v>
      </c>
      <c r="D1813" t="s">
        <v>29</v>
      </c>
      <c r="E1813" t="s">
        <v>101</v>
      </c>
      <c r="F1813" t="s">
        <v>167</v>
      </c>
      <c r="G1813" t="s">
        <v>83</v>
      </c>
      <c r="H1813" s="1">
        <v>45441</v>
      </c>
      <c r="I1813" t="s">
        <v>64</v>
      </c>
      <c r="J1813" t="s">
        <v>1117</v>
      </c>
      <c r="K1813">
        <v>5</v>
      </c>
      <c r="L1813" t="s">
        <v>1479</v>
      </c>
      <c r="M1813">
        <v>3</v>
      </c>
      <c r="N1813">
        <v>1440</v>
      </c>
      <c r="O1813">
        <v>40</v>
      </c>
      <c r="P1813" s="1">
        <v>45567</v>
      </c>
      <c r="Q1813" s="1"/>
      <c r="R1813" t="str">
        <f>IF(Table1[[#This Row],[Actual close date]]="","",Table1[[#This Row],[Actual close date]]-Table1[[#This Row],[Expected close date]])</f>
        <v/>
      </c>
    </row>
    <row r="1814" spans="1:18" x14ac:dyDescent="0.25">
      <c r="A1814" t="s">
        <v>1637</v>
      </c>
      <c r="B1814" t="s">
        <v>54</v>
      </c>
      <c r="C1814" t="s">
        <v>55</v>
      </c>
      <c r="D1814" t="s">
        <v>56</v>
      </c>
      <c r="E1814" t="s">
        <v>62</v>
      </c>
      <c r="F1814" t="s">
        <v>167</v>
      </c>
      <c r="G1814" t="s">
        <v>46</v>
      </c>
      <c r="H1814" s="1">
        <v>45441</v>
      </c>
      <c r="I1814" t="s">
        <v>24</v>
      </c>
      <c r="J1814" t="s">
        <v>1117</v>
      </c>
      <c r="K1814">
        <v>5</v>
      </c>
      <c r="L1814" t="s">
        <v>1479</v>
      </c>
      <c r="M1814">
        <v>3</v>
      </c>
      <c r="N1814">
        <v>535</v>
      </c>
      <c r="O1814">
        <v>40</v>
      </c>
      <c r="P1814" s="1">
        <v>45496</v>
      </c>
      <c r="Q1814" s="1"/>
      <c r="R1814" t="str">
        <f>IF(Table1[[#This Row],[Actual close date]]="","",Table1[[#This Row],[Actual close date]]-Table1[[#This Row],[Expected close date]])</f>
        <v/>
      </c>
    </row>
    <row r="1815" spans="1:18" x14ac:dyDescent="0.25">
      <c r="A1815" t="s">
        <v>1683</v>
      </c>
      <c r="B1815" t="s">
        <v>76</v>
      </c>
      <c r="C1815" t="s">
        <v>77</v>
      </c>
      <c r="D1815" t="s">
        <v>78</v>
      </c>
      <c r="E1815" t="s">
        <v>45</v>
      </c>
      <c r="F1815" t="s">
        <v>167</v>
      </c>
      <c r="G1815" t="s">
        <v>83</v>
      </c>
      <c r="H1815" s="1">
        <v>45441</v>
      </c>
      <c r="I1815" t="s">
        <v>64</v>
      </c>
      <c r="J1815" t="s">
        <v>1117</v>
      </c>
      <c r="K1815">
        <v>5</v>
      </c>
      <c r="L1815" t="s">
        <v>1479</v>
      </c>
      <c r="M1815">
        <v>3</v>
      </c>
      <c r="N1815">
        <v>3808</v>
      </c>
      <c r="O1815">
        <v>40</v>
      </c>
      <c r="P1815" s="1">
        <v>45487</v>
      </c>
      <c r="Q1815" s="1"/>
      <c r="R1815" t="str">
        <f>IF(Table1[[#This Row],[Actual close date]]="","",Table1[[#This Row],[Actual close date]]-Table1[[#This Row],[Expected close date]])</f>
        <v/>
      </c>
    </row>
    <row r="1816" spans="1:18" x14ac:dyDescent="0.25">
      <c r="A1816" t="s">
        <v>1870</v>
      </c>
      <c r="B1816" t="s">
        <v>59</v>
      </c>
      <c r="C1816" t="s">
        <v>60</v>
      </c>
      <c r="D1816" t="s">
        <v>61</v>
      </c>
      <c r="E1816" t="s">
        <v>45</v>
      </c>
      <c r="F1816" t="s">
        <v>167</v>
      </c>
      <c r="G1816" t="s">
        <v>85</v>
      </c>
      <c r="H1816" s="1">
        <v>45441</v>
      </c>
      <c r="I1816" t="s">
        <v>64</v>
      </c>
      <c r="J1816" t="s">
        <v>1117</v>
      </c>
      <c r="K1816">
        <v>5</v>
      </c>
      <c r="L1816" t="s">
        <v>1766</v>
      </c>
      <c r="M1816">
        <v>4</v>
      </c>
      <c r="N1816">
        <v>5878</v>
      </c>
      <c r="O1816">
        <v>100</v>
      </c>
      <c r="P1816" s="1">
        <v>45781</v>
      </c>
      <c r="Q1816" s="1"/>
      <c r="R1816" t="str">
        <f>IF(Table1[[#This Row],[Actual close date]]="","",Table1[[#This Row],[Actual close date]]-Table1[[#This Row],[Expected close date]])</f>
        <v/>
      </c>
    </row>
    <row r="1817" spans="1:18" x14ac:dyDescent="0.25">
      <c r="A1817" t="s">
        <v>1483</v>
      </c>
      <c r="B1817" t="s">
        <v>59</v>
      </c>
      <c r="C1817" t="s">
        <v>60</v>
      </c>
      <c r="D1817" t="s">
        <v>61</v>
      </c>
      <c r="E1817" t="s">
        <v>98</v>
      </c>
      <c r="F1817" t="s">
        <v>22</v>
      </c>
      <c r="G1817" t="s">
        <v>46</v>
      </c>
      <c r="H1817" s="1">
        <v>45442</v>
      </c>
      <c r="I1817" t="s">
        <v>24</v>
      </c>
      <c r="J1817" t="s">
        <v>1117</v>
      </c>
      <c r="K1817">
        <v>5</v>
      </c>
      <c r="L1817" t="s">
        <v>1479</v>
      </c>
      <c r="M1817">
        <v>3</v>
      </c>
      <c r="N1817">
        <v>1056</v>
      </c>
      <c r="O1817">
        <v>40</v>
      </c>
      <c r="P1817" s="1">
        <v>45500</v>
      </c>
      <c r="Q1817" s="1"/>
      <c r="R1817" t="str">
        <f>IF(Table1[[#This Row],[Actual close date]]="","",Table1[[#This Row],[Actual close date]]-Table1[[#This Row],[Expected close date]])</f>
        <v/>
      </c>
    </row>
    <row r="1818" spans="1:18" x14ac:dyDescent="0.25">
      <c r="A1818" t="s">
        <v>1838</v>
      </c>
      <c r="B1818" t="s">
        <v>27</v>
      </c>
      <c r="C1818" t="s">
        <v>28</v>
      </c>
      <c r="D1818" t="s">
        <v>29</v>
      </c>
      <c r="E1818" t="s">
        <v>45</v>
      </c>
      <c r="F1818" t="s">
        <v>167</v>
      </c>
      <c r="G1818" t="s">
        <v>72</v>
      </c>
      <c r="H1818" s="1">
        <v>45442</v>
      </c>
      <c r="I1818" t="s">
        <v>64</v>
      </c>
      <c r="J1818" t="s">
        <v>1117</v>
      </c>
      <c r="K1818">
        <v>5</v>
      </c>
      <c r="L1818" t="s">
        <v>1766</v>
      </c>
      <c r="M1818">
        <v>4</v>
      </c>
      <c r="N1818">
        <v>7039</v>
      </c>
      <c r="O1818">
        <v>50</v>
      </c>
      <c r="P1818" s="1">
        <v>45480</v>
      </c>
      <c r="Q1818" s="1"/>
      <c r="R1818" t="str">
        <f>IF(Table1[[#This Row],[Actual close date]]="","",Table1[[#This Row],[Actual close date]]-Table1[[#This Row],[Expected close date]])</f>
        <v/>
      </c>
    </row>
    <row r="1819" spans="1:18" x14ac:dyDescent="0.25">
      <c r="A1819" t="s">
        <v>1138</v>
      </c>
      <c r="B1819" t="s">
        <v>39</v>
      </c>
      <c r="C1819" t="s">
        <v>40</v>
      </c>
      <c r="D1819" t="s">
        <v>41</v>
      </c>
      <c r="E1819" t="s">
        <v>101</v>
      </c>
      <c r="F1819" t="s">
        <v>22</v>
      </c>
      <c r="G1819" t="s">
        <v>46</v>
      </c>
      <c r="H1819" s="1">
        <v>45443</v>
      </c>
      <c r="I1819" t="s">
        <v>47</v>
      </c>
      <c r="J1819" t="s">
        <v>1117</v>
      </c>
      <c r="K1819">
        <v>5</v>
      </c>
      <c r="L1819" t="s">
        <v>1118</v>
      </c>
      <c r="M1819">
        <v>2</v>
      </c>
      <c r="N1819">
        <v>1832</v>
      </c>
      <c r="O1819">
        <v>30</v>
      </c>
      <c r="P1819" s="1">
        <v>45599</v>
      </c>
      <c r="Q1819" s="1"/>
      <c r="R1819" t="str">
        <f>IF(Table1[[#This Row],[Actual close date]]="","",Table1[[#This Row],[Actual close date]]-Table1[[#This Row],[Expected close date]])</f>
        <v/>
      </c>
    </row>
    <row r="1820" spans="1:18" x14ac:dyDescent="0.25">
      <c r="A1820" t="s">
        <v>1534</v>
      </c>
      <c r="B1820" t="s">
        <v>69</v>
      </c>
      <c r="C1820" t="s">
        <v>70</v>
      </c>
      <c r="D1820" t="s">
        <v>71</v>
      </c>
      <c r="E1820" t="s">
        <v>122</v>
      </c>
      <c r="F1820" t="s">
        <v>22</v>
      </c>
      <c r="G1820" t="s">
        <v>37</v>
      </c>
      <c r="H1820" s="1">
        <v>45443</v>
      </c>
      <c r="I1820" t="s">
        <v>24</v>
      </c>
      <c r="J1820" t="s">
        <v>1117</v>
      </c>
      <c r="K1820">
        <v>5</v>
      </c>
      <c r="L1820" t="s">
        <v>1479</v>
      </c>
      <c r="M1820">
        <v>3</v>
      </c>
      <c r="N1820">
        <v>1476</v>
      </c>
      <c r="O1820">
        <v>100</v>
      </c>
      <c r="P1820" s="1">
        <v>45616</v>
      </c>
      <c r="Q1820" s="1"/>
      <c r="R1820" t="str">
        <f>IF(Table1[[#This Row],[Actual close date]]="","",Table1[[#This Row],[Actual close date]]-Table1[[#This Row],[Expected close date]])</f>
        <v/>
      </c>
    </row>
    <row r="1821" spans="1:18" x14ac:dyDescent="0.25">
      <c r="A1821" t="s">
        <v>1557</v>
      </c>
      <c r="B1821" t="s">
        <v>49</v>
      </c>
      <c r="C1821" t="s">
        <v>50</v>
      </c>
      <c r="D1821" t="s">
        <v>51</v>
      </c>
      <c r="E1821" t="s">
        <v>42</v>
      </c>
      <c r="F1821" t="s">
        <v>125</v>
      </c>
      <c r="G1821" t="s">
        <v>57</v>
      </c>
      <c r="H1821" s="1">
        <v>45443</v>
      </c>
      <c r="I1821" t="s">
        <v>24</v>
      </c>
      <c r="J1821" t="s">
        <v>1117</v>
      </c>
      <c r="K1821">
        <v>5</v>
      </c>
      <c r="L1821" t="s">
        <v>1479</v>
      </c>
      <c r="M1821">
        <v>3</v>
      </c>
      <c r="N1821">
        <v>1128</v>
      </c>
      <c r="O1821">
        <v>90</v>
      </c>
      <c r="P1821" s="1">
        <v>45714</v>
      </c>
      <c r="Q1821" s="1"/>
      <c r="R1821" t="str">
        <f>IF(Table1[[#This Row],[Actual close date]]="","",Table1[[#This Row],[Actual close date]]-Table1[[#This Row],[Expected close date]])</f>
        <v/>
      </c>
    </row>
    <row r="1822" spans="1:18" x14ac:dyDescent="0.25">
      <c r="A1822" t="s">
        <v>1828</v>
      </c>
      <c r="B1822" t="s">
        <v>18</v>
      </c>
      <c r="C1822" t="s">
        <v>19</v>
      </c>
      <c r="D1822" t="s">
        <v>20</v>
      </c>
      <c r="E1822" t="s">
        <v>42</v>
      </c>
      <c r="F1822" t="s">
        <v>125</v>
      </c>
      <c r="G1822" t="s">
        <v>83</v>
      </c>
      <c r="H1822" s="1">
        <v>45443</v>
      </c>
      <c r="I1822" t="s">
        <v>47</v>
      </c>
      <c r="J1822" t="s">
        <v>1117</v>
      </c>
      <c r="K1822">
        <v>5</v>
      </c>
      <c r="L1822" t="s">
        <v>1766</v>
      </c>
      <c r="M1822">
        <v>4</v>
      </c>
      <c r="N1822">
        <v>335</v>
      </c>
      <c r="O1822">
        <v>40</v>
      </c>
      <c r="P1822" s="1">
        <v>45696</v>
      </c>
      <c r="Q1822" s="1"/>
      <c r="R1822" t="str">
        <f>IF(Table1[[#This Row],[Actual close date]]="","",Table1[[#This Row],[Actual close date]]-Table1[[#This Row],[Expected close date]])</f>
        <v/>
      </c>
    </row>
    <row r="1823" spans="1:18" x14ac:dyDescent="0.25">
      <c r="A1823" t="s">
        <v>1862</v>
      </c>
      <c r="B1823" t="s">
        <v>33</v>
      </c>
      <c r="C1823" t="s">
        <v>34</v>
      </c>
      <c r="D1823" t="s">
        <v>35</v>
      </c>
      <c r="E1823" t="s">
        <v>62</v>
      </c>
      <c r="F1823" t="s">
        <v>167</v>
      </c>
      <c r="G1823" t="s">
        <v>31</v>
      </c>
      <c r="H1823" s="1">
        <v>45443</v>
      </c>
      <c r="I1823" t="s">
        <v>24</v>
      </c>
      <c r="J1823" t="s">
        <v>1117</v>
      </c>
      <c r="K1823">
        <v>5</v>
      </c>
      <c r="L1823" t="s">
        <v>1766</v>
      </c>
      <c r="M1823">
        <v>4</v>
      </c>
      <c r="N1823">
        <v>5859</v>
      </c>
      <c r="O1823">
        <v>30</v>
      </c>
      <c r="P1823" s="1">
        <v>45642</v>
      </c>
      <c r="Q1823" s="1"/>
      <c r="R1823" t="str">
        <f>IF(Table1[[#This Row],[Actual close date]]="","",Table1[[#This Row],[Actual close date]]-Table1[[#This Row],[Expected close date]])</f>
        <v/>
      </c>
    </row>
    <row r="1824" spans="1:18" x14ac:dyDescent="0.25">
      <c r="A1824" t="s">
        <v>1906</v>
      </c>
      <c r="B1824" t="s">
        <v>59</v>
      </c>
      <c r="C1824" t="s">
        <v>60</v>
      </c>
      <c r="D1824" t="s">
        <v>61</v>
      </c>
      <c r="E1824" t="s">
        <v>52</v>
      </c>
      <c r="F1824" t="s">
        <v>22</v>
      </c>
      <c r="G1824" t="s">
        <v>46</v>
      </c>
      <c r="H1824" s="1">
        <v>45296</v>
      </c>
      <c r="I1824" t="s">
        <v>64</v>
      </c>
      <c r="J1824" t="s">
        <v>1117</v>
      </c>
      <c r="K1824">
        <v>5</v>
      </c>
      <c r="L1824" t="s">
        <v>1907</v>
      </c>
      <c r="M1824">
        <v>5</v>
      </c>
      <c r="N1824">
        <v>1226</v>
      </c>
      <c r="O1824">
        <v>20</v>
      </c>
      <c r="P1824" s="1">
        <v>45347</v>
      </c>
      <c r="Q1824" s="1"/>
      <c r="R1824" t="str">
        <f>IF(Table1[[#This Row],[Actual close date]]="","",Table1[[#This Row],[Actual close date]]-Table1[[#This Row],[Expected close date]])</f>
        <v/>
      </c>
    </row>
    <row r="1825" spans="1:18" x14ac:dyDescent="0.25">
      <c r="A1825" t="s">
        <v>1908</v>
      </c>
      <c r="B1825" t="s">
        <v>27</v>
      </c>
      <c r="C1825" t="s">
        <v>28</v>
      </c>
      <c r="D1825" t="s">
        <v>29</v>
      </c>
      <c r="E1825" t="s">
        <v>98</v>
      </c>
      <c r="F1825" t="s">
        <v>22</v>
      </c>
      <c r="G1825" t="s">
        <v>72</v>
      </c>
      <c r="H1825" s="1">
        <v>45369</v>
      </c>
      <c r="I1825" t="s">
        <v>24</v>
      </c>
      <c r="J1825" t="s">
        <v>1117</v>
      </c>
      <c r="K1825">
        <v>5</v>
      </c>
      <c r="L1825" t="s">
        <v>1907</v>
      </c>
      <c r="M1825">
        <v>5</v>
      </c>
      <c r="N1825">
        <v>1744</v>
      </c>
      <c r="O1825">
        <v>20</v>
      </c>
      <c r="P1825" s="1">
        <v>45525</v>
      </c>
      <c r="Q1825" s="1"/>
      <c r="R1825" t="str">
        <f>IF(Table1[[#This Row],[Actual close date]]="","",Table1[[#This Row],[Actual close date]]-Table1[[#This Row],[Expected close date]])</f>
        <v/>
      </c>
    </row>
    <row r="1826" spans="1:18" x14ac:dyDescent="0.25">
      <c r="A1826" t="s">
        <v>1909</v>
      </c>
      <c r="B1826" t="s">
        <v>27</v>
      </c>
      <c r="C1826" t="s">
        <v>28</v>
      </c>
      <c r="D1826" t="s">
        <v>29</v>
      </c>
      <c r="E1826" t="s">
        <v>52</v>
      </c>
      <c r="F1826" t="s">
        <v>22</v>
      </c>
      <c r="G1826" t="s">
        <v>23</v>
      </c>
      <c r="H1826" s="1">
        <v>45299</v>
      </c>
      <c r="I1826" t="s">
        <v>64</v>
      </c>
      <c r="J1826" t="s">
        <v>1117</v>
      </c>
      <c r="K1826">
        <v>5</v>
      </c>
      <c r="L1826" t="s">
        <v>1907</v>
      </c>
      <c r="M1826">
        <v>5</v>
      </c>
      <c r="N1826">
        <v>287</v>
      </c>
      <c r="O1826">
        <v>20</v>
      </c>
      <c r="P1826" s="1">
        <v>45334</v>
      </c>
      <c r="Q1826" s="1"/>
      <c r="R1826" t="str">
        <f>IF(Table1[[#This Row],[Actual close date]]="","",Table1[[#This Row],[Actual close date]]-Table1[[#This Row],[Expected close date]])</f>
        <v/>
      </c>
    </row>
    <row r="1827" spans="1:18" x14ac:dyDescent="0.25">
      <c r="A1827" t="s">
        <v>1910</v>
      </c>
      <c r="B1827" t="s">
        <v>76</v>
      </c>
      <c r="C1827" t="s">
        <v>77</v>
      </c>
      <c r="D1827" t="s">
        <v>78</v>
      </c>
      <c r="E1827" t="s">
        <v>45</v>
      </c>
      <c r="F1827" t="s">
        <v>22</v>
      </c>
      <c r="G1827" t="s">
        <v>46</v>
      </c>
      <c r="H1827" s="1">
        <v>45426</v>
      </c>
      <c r="I1827" t="s">
        <v>47</v>
      </c>
      <c r="J1827" t="s">
        <v>1117</v>
      </c>
      <c r="K1827">
        <v>5</v>
      </c>
      <c r="L1827" t="s">
        <v>1907</v>
      </c>
      <c r="M1827">
        <v>5</v>
      </c>
      <c r="N1827">
        <v>1501</v>
      </c>
      <c r="O1827">
        <v>40</v>
      </c>
      <c r="P1827" s="1">
        <v>45636</v>
      </c>
      <c r="Q1827" s="1"/>
      <c r="R1827" t="str">
        <f>IF(Table1[[#This Row],[Actual close date]]="","",Table1[[#This Row],[Actual close date]]-Table1[[#This Row],[Expected close date]])</f>
        <v/>
      </c>
    </row>
    <row r="1828" spans="1:18" x14ac:dyDescent="0.25">
      <c r="A1828" t="s">
        <v>1911</v>
      </c>
      <c r="B1828" t="s">
        <v>59</v>
      </c>
      <c r="C1828" t="s">
        <v>60</v>
      </c>
      <c r="D1828" t="s">
        <v>61</v>
      </c>
      <c r="E1828" t="s">
        <v>66</v>
      </c>
      <c r="F1828" t="s">
        <v>22</v>
      </c>
      <c r="G1828" t="s">
        <v>37</v>
      </c>
      <c r="H1828" s="1">
        <v>45341</v>
      </c>
      <c r="I1828" t="s">
        <v>24</v>
      </c>
      <c r="J1828" t="s">
        <v>1117</v>
      </c>
      <c r="K1828">
        <v>5</v>
      </c>
      <c r="L1828" t="s">
        <v>1907</v>
      </c>
      <c r="M1828">
        <v>5</v>
      </c>
      <c r="N1828">
        <v>1440</v>
      </c>
      <c r="O1828">
        <v>10</v>
      </c>
      <c r="P1828" s="1">
        <v>45643</v>
      </c>
      <c r="Q1828" s="1"/>
      <c r="R1828" t="str">
        <f>IF(Table1[[#This Row],[Actual close date]]="","",Table1[[#This Row],[Actual close date]]-Table1[[#This Row],[Expected close date]])</f>
        <v/>
      </c>
    </row>
    <row r="1829" spans="1:18" x14ac:dyDescent="0.25">
      <c r="A1829" t="s">
        <v>1912</v>
      </c>
      <c r="B1829" t="s">
        <v>54</v>
      </c>
      <c r="C1829" t="s">
        <v>55</v>
      </c>
      <c r="D1829" t="s">
        <v>56</v>
      </c>
      <c r="E1829" t="s">
        <v>52</v>
      </c>
      <c r="F1829" t="s">
        <v>22</v>
      </c>
      <c r="G1829" t="s">
        <v>46</v>
      </c>
      <c r="H1829" s="1">
        <v>45407</v>
      </c>
      <c r="I1829" t="s">
        <v>64</v>
      </c>
      <c r="J1829" t="s">
        <v>1117</v>
      </c>
      <c r="K1829">
        <v>5</v>
      </c>
      <c r="L1829" t="s">
        <v>1907</v>
      </c>
      <c r="M1829">
        <v>5</v>
      </c>
      <c r="N1829">
        <v>1915</v>
      </c>
      <c r="O1829">
        <v>20</v>
      </c>
      <c r="P1829" s="1">
        <v>45496</v>
      </c>
      <c r="Q1829" s="1"/>
      <c r="R1829" t="str">
        <f>IF(Table1[[#This Row],[Actual close date]]="","",Table1[[#This Row],[Actual close date]]-Table1[[#This Row],[Expected close date]])</f>
        <v/>
      </c>
    </row>
    <row r="1830" spans="1:18" x14ac:dyDescent="0.25">
      <c r="A1830" t="s">
        <v>1913</v>
      </c>
      <c r="B1830" t="s">
        <v>39</v>
      </c>
      <c r="C1830" t="s">
        <v>40</v>
      </c>
      <c r="D1830" t="s">
        <v>41</v>
      </c>
      <c r="E1830" t="s">
        <v>122</v>
      </c>
      <c r="F1830" t="s">
        <v>22</v>
      </c>
      <c r="G1830" t="s">
        <v>57</v>
      </c>
      <c r="H1830" s="1">
        <v>45397</v>
      </c>
      <c r="I1830" t="s">
        <v>47</v>
      </c>
      <c r="J1830" t="s">
        <v>1117</v>
      </c>
      <c r="K1830">
        <v>5</v>
      </c>
      <c r="L1830" t="s">
        <v>1907</v>
      </c>
      <c r="M1830">
        <v>5</v>
      </c>
      <c r="N1830">
        <v>1029</v>
      </c>
      <c r="O1830">
        <v>20</v>
      </c>
      <c r="P1830" s="1">
        <v>45693</v>
      </c>
      <c r="Q1830" s="1"/>
      <c r="R1830" t="str">
        <f>IF(Table1[[#This Row],[Actual close date]]="","",Table1[[#This Row],[Actual close date]]-Table1[[#This Row],[Expected close date]])</f>
        <v/>
      </c>
    </row>
    <row r="1831" spans="1:18" x14ac:dyDescent="0.25">
      <c r="A1831" t="s">
        <v>1914</v>
      </c>
      <c r="B1831" t="s">
        <v>33</v>
      </c>
      <c r="C1831" t="s">
        <v>34</v>
      </c>
      <c r="D1831" t="s">
        <v>35</v>
      </c>
      <c r="E1831" t="s">
        <v>21</v>
      </c>
      <c r="F1831" t="s">
        <v>22</v>
      </c>
      <c r="G1831" t="s">
        <v>23</v>
      </c>
      <c r="H1831" s="1">
        <v>45435</v>
      </c>
      <c r="I1831" t="s">
        <v>47</v>
      </c>
      <c r="J1831" t="s">
        <v>1117</v>
      </c>
      <c r="K1831">
        <v>5</v>
      </c>
      <c r="L1831" t="s">
        <v>1907</v>
      </c>
      <c r="M1831">
        <v>5</v>
      </c>
      <c r="N1831">
        <v>641</v>
      </c>
      <c r="O1831">
        <v>60</v>
      </c>
      <c r="P1831" s="1">
        <v>45727</v>
      </c>
      <c r="Q1831" s="1"/>
      <c r="R1831" t="str">
        <f>IF(Table1[[#This Row],[Actual close date]]="","",Table1[[#This Row],[Actual close date]]-Table1[[#This Row],[Expected close date]])</f>
        <v/>
      </c>
    </row>
    <row r="1832" spans="1:18" x14ac:dyDescent="0.25">
      <c r="A1832" t="s">
        <v>1915</v>
      </c>
      <c r="B1832" t="s">
        <v>18</v>
      </c>
      <c r="C1832" t="s">
        <v>19</v>
      </c>
      <c r="D1832" t="s">
        <v>20</v>
      </c>
      <c r="E1832" t="s">
        <v>45</v>
      </c>
      <c r="F1832" t="s">
        <v>22</v>
      </c>
      <c r="G1832" t="s">
        <v>37</v>
      </c>
      <c r="H1832" s="1">
        <v>45439</v>
      </c>
      <c r="I1832" t="s">
        <v>47</v>
      </c>
      <c r="J1832" t="s">
        <v>1117</v>
      </c>
      <c r="K1832">
        <v>5</v>
      </c>
      <c r="L1832" t="s">
        <v>1907</v>
      </c>
      <c r="M1832">
        <v>5</v>
      </c>
      <c r="N1832">
        <v>1776</v>
      </c>
      <c r="O1832">
        <v>60</v>
      </c>
      <c r="P1832" s="1">
        <v>45601</v>
      </c>
      <c r="Q1832" s="1"/>
      <c r="R1832" t="str">
        <f>IF(Table1[[#This Row],[Actual close date]]="","",Table1[[#This Row],[Actual close date]]-Table1[[#This Row],[Expected close date]])</f>
        <v/>
      </c>
    </row>
    <row r="1833" spans="1:18" x14ac:dyDescent="0.25">
      <c r="A1833" t="s">
        <v>1916</v>
      </c>
      <c r="B1833" t="s">
        <v>59</v>
      </c>
      <c r="C1833" t="s">
        <v>60</v>
      </c>
      <c r="D1833" t="s">
        <v>61</v>
      </c>
      <c r="E1833" t="s">
        <v>52</v>
      </c>
      <c r="F1833" t="s">
        <v>22</v>
      </c>
      <c r="G1833" t="s">
        <v>31</v>
      </c>
      <c r="H1833" s="1">
        <v>45371</v>
      </c>
      <c r="I1833" t="s">
        <v>24</v>
      </c>
      <c r="J1833" t="s">
        <v>1117</v>
      </c>
      <c r="K1833">
        <v>5</v>
      </c>
      <c r="L1833" t="s">
        <v>1907</v>
      </c>
      <c r="M1833">
        <v>5</v>
      </c>
      <c r="N1833">
        <v>1464</v>
      </c>
      <c r="O1833">
        <v>60</v>
      </c>
      <c r="P1833" s="1">
        <v>45544</v>
      </c>
      <c r="Q1833" s="1"/>
      <c r="R1833" t="str">
        <f>IF(Table1[[#This Row],[Actual close date]]="","",Table1[[#This Row],[Actual close date]]-Table1[[#This Row],[Expected close date]])</f>
        <v/>
      </c>
    </row>
    <row r="1834" spans="1:18" x14ac:dyDescent="0.25">
      <c r="A1834" t="s">
        <v>1917</v>
      </c>
      <c r="B1834" t="s">
        <v>33</v>
      </c>
      <c r="C1834" t="s">
        <v>34</v>
      </c>
      <c r="D1834" t="s">
        <v>35</v>
      </c>
      <c r="E1834" t="s">
        <v>45</v>
      </c>
      <c r="F1834" t="s">
        <v>22</v>
      </c>
      <c r="G1834" t="s">
        <v>37</v>
      </c>
      <c r="H1834" s="1">
        <v>45434</v>
      </c>
      <c r="I1834" t="s">
        <v>24</v>
      </c>
      <c r="J1834" t="s">
        <v>1117</v>
      </c>
      <c r="K1834">
        <v>5</v>
      </c>
      <c r="L1834" t="s">
        <v>1907</v>
      </c>
      <c r="M1834">
        <v>5</v>
      </c>
      <c r="N1834">
        <v>1236</v>
      </c>
      <c r="O1834">
        <v>90</v>
      </c>
      <c r="P1834" s="1">
        <v>45503</v>
      </c>
      <c r="Q1834" s="1"/>
      <c r="R1834" t="str">
        <f>IF(Table1[[#This Row],[Actual close date]]="","",Table1[[#This Row],[Actual close date]]-Table1[[#This Row],[Expected close date]])</f>
        <v/>
      </c>
    </row>
    <row r="1835" spans="1:18" x14ac:dyDescent="0.25">
      <c r="A1835" t="s">
        <v>1918</v>
      </c>
      <c r="B1835" t="s">
        <v>39</v>
      </c>
      <c r="C1835" t="s">
        <v>40</v>
      </c>
      <c r="D1835" t="s">
        <v>41</v>
      </c>
      <c r="E1835" t="s">
        <v>74</v>
      </c>
      <c r="F1835" t="s">
        <v>22</v>
      </c>
      <c r="G1835" t="s">
        <v>83</v>
      </c>
      <c r="H1835" s="1">
        <v>45371</v>
      </c>
      <c r="I1835" t="s">
        <v>24</v>
      </c>
      <c r="J1835" t="s">
        <v>1117</v>
      </c>
      <c r="K1835">
        <v>5</v>
      </c>
      <c r="L1835" t="s">
        <v>1907</v>
      </c>
      <c r="M1835">
        <v>5</v>
      </c>
      <c r="N1835">
        <v>200</v>
      </c>
      <c r="O1835">
        <v>30</v>
      </c>
      <c r="P1835" s="1">
        <v>45702</v>
      </c>
      <c r="Q1835" s="1"/>
      <c r="R1835" t="str">
        <f>IF(Table1[[#This Row],[Actual close date]]="","",Table1[[#This Row],[Actual close date]]-Table1[[#This Row],[Expected close date]])</f>
        <v/>
      </c>
    </row>
    <row r="1836" spans="1:18" x14ac:dyDescent="0.25">
      <c r="A1836" t="s">
        <v>1919</v>
      </c>
      <c r="B1836" t="s">
        <v>59</v>
      </c>
      <c r="C1836" t="s">
        <v>60</v>
      </c>
      <c r="D1836" t="s">
        <v>61</v>
      </c>
      <c r="E1836" t="s">
        <v>122</v>
      </c>
      <c r="F1836" t="s">
        <v>22</v>
      </c>
      <c r="G1836" t="s">
        <v>83</v>
      </c>
      <c r="H1836" s="1">
        <v>45393</v>
      </c>
      <c r="I1836" t="s">
        <v>64</v>
      </c>
      <c r="J1836" t="s">
        <v>1117</v>
      </c>
      <c r="K1836">
        <v>5</v>
      </c>
      <c r="L1836" t="s">
        <v>1907</v>
      </c>
      <c r="M1836">
        <v>5</v>
      </c>
      <c r="N1836">
        <v>698</v>
      </c>
      <c r="O1836">
        <v>40</v>
      </c>
      <c r="P1836" s="1">
        <v>45736</v>
      </c>
      <c r="Q1836" s="1"/>
      <c r="R1836" t="str">
        <f>IF(Table1[[#This Row],[Actual close date]]="","",Table1[[#This Row],[Actual close date]]-Table1[[#This Row],[Expected close date]])</f>
        <v/>
      </c>
    </row>
    <row r="1837" spans="1:18" x14ac:dyDescent="0.25">
      <c r="A1837" t="s">
        <v>1920</v>
      </c>
      <c r="B1837" t="s">
        <v>33</v>
      </c>
      <c r="C1837" t="s">
        <v>34</v>
      </c>
      <c r="D1837" t="s">
        <v>35</v>
      </c>
      <c r="E1837" t="s">
        <v>30</v>
      </c>
      <c r="F1837" t="s">
        <v>22</v>
      </c>
      <c r="G1837" t="s">
        <v>37</v>
      </c>
      <c r="H1837" s="1">
        <v>45312</v>
      </c>
      <c r="I1837" t="s">
        <v>24</v>
      </c>
      <c r="J1837" t="s">
        <v>1117</v>
      </c>
      <c r="K1837">
        <v>5</v>
      </c>
      <c r="L1837" t="s">
        <v>1907</v>
      </c>
      <c r="M1837">
        <v>5</v>
      </c>
      <c r="N1837">
        <v>1712</v>
      </c>
      <c r="O1837">
        <v>60</v>
      </c>
      <c r="P1837" s="1">
        <v>45350</v>
      </c>
      <c r="Q1837" s="1"/>
      <c r="R1837" t="str">
        <f>IF(Table1[[#This Row],[Actual close date]]="","",Table1[[#This Row],[Actual close date]]-Table1[[#This Row],[Expected close date]])</f>
        <v/>
      </c>
    </row>
    <row r="1838" spans="1:18" x14ac:dyDescent="0.25">
      <c r="A1838" t="s">
        <v>1921</v>
      </c>
      <c r="B1838" t="s">
        <v>18</v>
      </c>
      <c r="C1838" t="s">
        <v>19</v>
      </c>
      <c r="D1838" t="s">
        <v>20</v>
      </c>
      <c r="E1838" t="s">
        <v>122</v>
      </c>
      <c r="F1838" t="s">
        <v>22</v>
      </c>
      <c r="G1838" t="s">
        <v>23</v>
      </c>
      <c r="H1838" s="1">
        <v>45411</v>
      </c>
      <c r="I1838" t="s">
        <v>24</v>
      </c>
      <c r="J1838" t="s">
        <v>1117</v>
      </c>
      <c r="K1838">
        <v>5</v>
      </c>
      <c r="L1838" t="s">
        <v>1907</v>
      </c>
      <c r="M1838">
        <v>5</v>
      </c>
      <c r="N1838">
        <v>726</v>
      </c>
      <c r="O1838">
        <v>60</v>
      </c>
      <c r="P1838" s="1">
        <v>45745</v>
      </c>
      <c r="Q1838" s="1"/>
      <c r="R1838" t="str">
        <f>IF(Table1[[#This Row],[Actual close date]]="","",Table1[[#This Row],[Actual close date]]-Table1[[#This Row],[Expected close date]])</f>
        <v/>
      </c>
    </row>
    <row r="1839" spans="1:18" x14ac:dyDescent="0.25">
      <c r="A1839" t="s">
        <v>1922</v>
      </c>
      <c r="B1839" t="s">
        <v>54</v>
      </c>
      <c r="C1839" t="s">
        <v>55</v>
      </c>
      <c r="D1839" t="s">
        <v>56</v>
      </c>
      <c r="E1839" t="s">
        <v>21</v>
      </c>
      <c r="F1839" t="s">
        <v>22</v>
      </c>
      <c r="G1839" t="s">
        <v>57</v>
      </c>
      <c r="H1839" s="1">
        <v>45419</v>
      </c>
      <c r="I1839" t="s">
        <v>47</v>
      </c>
      <c r="J1839" t="s">
        <v>1117</v>
      </c>
      <c r="K1839">
        <v>5</v>
      </c>
      <c r="L1839" t="s">
        <v>1907</v>
      </c>
      <c r="M1839">
        <v>5</v>
      </c>
      <c r="N1839">
        <v>292</v>
      </c>
      <c r="O1839">
        <v>10</v>
      </c>
      <c r="P1839" s="1">
        <v>45450</v>
      </c>
      <c r="Q1839" s="1"/>
      <c r="R1839" t="str">
        <f>IF(Table1[[#This Row],[Actual close date]]="","",Table1[[#This Row],[Actual close date]]-Table1[[#This Row],[Expected close date]])</f>
        <v/>
      </c>
    </row>
    <row r="1840" spans="1:18" x14ac:dyDescent="0.25">
      <c r="A1840" t="s">
        <v>1923</v>
      </c>
      <c r="B1840" t="s">
        <v>49</v>
      </c>
      <c r="C1840" t="s">
        <v>50</v>
      </c>
      <c r="D1840" t="s">
        <v>51</v>
      </c>
      <c r="E1840" t="s">
        <v>45</v>
      </c>
      <c r="F1840" t="s">
        <v>22</v>
      </c>
      <c r="G1840" t="s">
        <v>46</v>
      </c>
      <c r="H1840" s="1">
        <v>45417</v>
      </c>
      <c r="I1840" t="s">
        <v>24</v>
      </c>
      <c r="J1840" t="s">
        <v>1117</v>
      </c>
      <c r="K1840">
        <v>5</v>
      </c>
      <c r="L1840" t="s">
        <v>1907</v>
      </c>
      <c r="M1840">
        <v>5</v>
      </c>
      <c r="N1840">
        <v>265</v>
      </c>
      <c r="O1840">
        <v>20</v>
      </c>
      <c r="P1840" s="1">
        <v>45715</v>
      </c>
      <c r="Q1840" s="1"/>
      <c r="R1840" t="str">
        <f>IF(Table1[[#This Row],[Actual close date]]="","",Table1[[#This Row],[Actual close date]]-Table1[[#This Row],[Expected close date]])</f>
        <v/>
      </c>
    </row>
    <row r="1841" spans="1:18" x14ac:dyDescent="0.25">
      <c r="A1841" t="s">
        <v>1924</v>
      </c>
      <c r="B1841" t="s">
        <v>76</v>
      </c>
      <c r="C1841" t="s">
        <v>77</v>
      </c>
      <c r="D1841" t="s">
        <v>78</v>
      </c>
      <c r="E1841" t="s">
        <v>82</v>
      </c>
      <c r="F1841" t="s">
        <v>22</v>
      </c>
      <c r="G1841" t="s">
        <v>37</v>
      </c>
      <c r="H1841" s="1">
        <v>45434</v>
      </c>
      <c r="I1841" t="s">
        <v>24</v>
      </c>
      <c r="J1841" t="s">
        <v>1117</v>
      </c>
      <c r="K1841">
        <v>5</v>
      </c>
      <c r="L1841" t="s">
        <v>1907</v>
      </c>
      <c r="M1841">
        <v>5</v>
      </c>
      <c r="N1841">
        <v>424</v>
      </c>
      <c r="O1841">
        <v>20</v>
      </c>
      <c r="P1841" s="1">
        <v>45617</v>
      </c>
      <c r="Q1841" s="1"/>
      <c r="R1841" t="str">
        <f>IF(Table1[[#This Row],[Actual close date]]="","",Table1[[#This Row],[Actual close date]]-Table1[[#This Row],[Expected close date]])</f>
        <v/>
      </c>
    </row>
    <row r="1842" spans="1:18" x14ac:dyDescent="0.25">
      <c r="A1842" t="s">
        <v>1925</v>
      </c>
      <c r="B1842" t="s">
        <v>18</v>
      </c>
      <c r="C1842" t="s">
        <v>19</v>
      </c>
      <c r="D1842" t="s">
        <v>20</v>
      </c>
      <c r="E1842" t="s">
        <v>122</v>
      </c>
      <c r="F1842" t="s">
        <v>22</v>
      </c>
      <c r="G1842" t="s">
        <v>57</v>
      </c>
      <c r="H1842" s="1">
        <v>45438</v>
      </c>
      <c r="I1842" t="s">
        <v>24</v>
      </c>
      <c r="J1842" t="s">
        <v>1117</v>
      </c>
      <c r="K1842">
        <v>5</v>
      </c>
      <c r="L1842" t="s">
        <v>1907</v>
      </c>
      <c r="M1842">
        <v>5</v>
      </c>
      <c r="N1842">
        <v>865</v>
      </c>
      <c r="O1842">
        <v>20</v>
      </c>
      <c r="P1842" s="1">
        <v>45494</v>
      </c>
      <c r="Q1842" s="1"/>
      <c r="R1842" t="str">
        <f>IF(Table1[[#This Row],[Actual close date]]="","",Table1[[#This Row],[Actual close date]]-Table1[[#This Row],[Expected close date]])</f>
        <v/>
      </c>
    </row>
    <row r="1843" spans="1:18" x14ac:dyDescent="0.25">
      <c r="A1843" t="s">
        <v>1926</v>
      </c>
      <c r="B1843" t="s">
        <v>49</v>
      </c>
      <c r="C1843" t="s">
        <v>50</v>
      </c>
      <c r="D1843" t="s">
        <v>51</v>
      </c>
      <c r="E1843" t="s">
        <v>45</v>
      </c>
      <c r="F1843" t="s">
        <v>22</v>
      </c>
      <c r="G1843" t="s">
        <v>23</v>
      </c>
      <c r="H1843" s="1">
        <v>45324</v>
      </c>
      <c r="I1843" t="s">
        <v>24</v>
      </c>
      <c r="J1843" t="s">
        <v>1117</v>
      </c>
      <c r="K1843">
        <v>5</v>
      </c>
      <c r="L1843" t="s">
        <v>1907</v>
      </c>
      <c r="M1843">
        <v>5</v>
      </c>
      <c r="N1843">
        <v>1284</v>
      </c>
      <c r="O1843">
        <v>30</v>
      </c>
      <c r="P1843" s="1">
        <v>45664</v>
      </c>
      <c r="Q1843" s="1"/>
      <c r="R1843" t="str">
        <f>IF(Table1[[#This Row],[Actual close date]]="","",Table1[[#This Row],[Actual close date]]-Table1[[#This Row],[Expected close date]])</f>
        <v/>
      </c>
    </row>
    <row r="1844" spans="1:18" x14ac:dyDescent="0.25">
      <c r="A1844" t="s">
        <v>1927</v>
      </c>
      <c r="B1844" t="s">
        <v>49</v>
      </c>
      <c r="C1844" t="s">
        <v>50</v>
      </c>
      <c r="D1844" t="s">
        <v>51</v>
      </c>
      <c r="E1844" t="s">
        <v>52</v>
      </c>
      <c r="F1844" t="s">
        <v>22</v>
      </c>
      <c r="G1844" t="s">
        <v>57</v>
      </c>
      <c r="H1844" s="1">
        <v>45359</v>
      </c>
      <c r="I1844" t="s">
        <v>24</v>
      </c>
      <c r="J1844" t="s">
        <v>1117</v>
      </c>
      <c r="K1844">
        <v>5</v>
      </c>
      <c r="L1844" t="s">
        <v>1907</v>
      </c>
      <c r="M1844">
        <v>5</v>
      </c>
      <c r="N1844">
        <v>1573</v>
      </c>
      <c r="O1844">
        <v>50</v>
      </c>
      <c r="P1844" s="1">
        <v>45562</v>
      </c>
      <c r="Q1844" s="1"/>
      <c r="R1844" t="str">
        <f>IF(Table1[[#This Row],[Actual close date]]="","",Table1[[#This Row],[Actual close date]]-Table1[[#This Row],[Expected close date]])</f>
        <v/>
      </c>
    </row>
    <row r="1845" spans="1:18" x14ac:dyDescent="0.25">
      <c r="A1845" t="s">
        <v>1928</v>
      </c>
      <c r="B1845" t="s">
        <v>18</v>
      </c>
      <c r="C1845" t="s">
        <v>19</v>
      </c>
      <c r="D1845" t="s">
        <v>20</v>
      </c>
      <c r="E1845" t="s">
        <v>42</v>
      </c>
      <c r="F1845" t="s">
        <v>22</v>
      </c>
      <c r="G1845" t="s">
        <v>23</v>
      </c>
      <c r="H1845" s="1">
        <v>45303</v>
      </c>
      <c r="I1845" t="s">
        <v>24</v>
      </c>
      <c r="J1845" t="s">
        <v>1117</v>
      </c>
      <c r="K1845">
        <v>5</v>
      </c>
      <c r="L1845" t="s">
        <v>1907</v>
      </c>
      <c r="M1845">
        <v>5</v>
      </c>
      <c r="N1845">
        <v>799</v>
      </c>
      <c r="O1845">
        <v>10</v>
      </c>
      <c r="P1845" s="1">
        <v>45497</v>
      </c>
      <c r="Q1845" s="1"/>
      <c r="R1845" t="str">
        <f>IF(Table1[[#This Row],[Actual close date]]="","",Table1[[#This Row],[Actual close date]]-Table1[[#This Row],[Expected close date]])</f>
        <v/>
      </c>
    </row>
    <row r="1846" spans="1:18" x14ac:dyDescent="0.25">
      <c r="A1846" t="s">
        <v>1929</v>
      </c>
      <c r="B1846" t="s">
        <v>49</v>
      </c>
      <c r="C1846" t="s">
        <v>50</v>
      </c>
      <c r="D1846" t="s">
        <v>51</v>
      </c>
      <c r="E1846" t="s">
        <v>52</v>
      </c>
      <c r="F1846" t="s">
        <v>22</v>
      </c>
      <c r="G1846" t="s">
        <v>37</v>
      </c>
      <c r="H1846" s="1">
        <v>45325</v>
      </c>
      <c r="I1846" t="s">
        <v>24</v>
      </c>
      <c r="J1846" t="s">
        <v>1117</v>
      </c>
      <c r="K1846">
        <v>5</v>
      </c>
      <c r="L1846" t="s">
        <v>1907</v>
      </c>
      <c r="M1846">
        <v>5</v>
      </c>
      <c r="N1846">
        <v>1108</v>
      </c>
      <c r="O1846">
        <v>60</v>
      </c>
      <c r="P1846" s="1">
        <v>45470</v>
      </c>
      <c r="Q1846" s="1"/>
      <c r="R1846" t="str">
        <f>IF(Table1[[#This Row],[Actual close date]]="","",Table1[[#This Row],[Actual close date]]-Table1[[#This Row],[Expected close date]])</f>
        <v/>
      </c>
    </row>
    <row r="1847" spans="1:18" x14ac:dyDescent="0.25">
      <c r="A1847" t="s">
        <v>1930</v>
      </c>
      <c r="B1847" t="s">
        <v>69</v>
      </c>
      <c r="C1847" t="s">
        <v>70</v>
      </c>
      <c r="D1847" t="s">
        <v>71</v>
      </c>
      <c r="E1847" t="s">
        <v>45</v>
      </c>
      <c r="F1847" t="s">
        <v>22</v>
      </c>
      <c r="G1847" t="s">
        <v>72</v>
      </c>
      <c r="H1847" s="1">
        <v>45430</v>
      </c>
      <c r="I1847" t="s">
        <v>24</v>
      </c>
      <c r="J1847" t="s">
        <v>1117</v>
      </c>
      <c r="K1847">
        <v>5</v>
      </c>
      <c r="L1847" t="s">
        <v>1907</v>
      </c>
      <c r="M1847">
        <v>5</v>
      </c>
      <c r="N1847">
        <v>1859</v>
      </c>
      <c r="O1847">
        <v>40</v>
      </c>
      <c r="P1847" s="1">
        <v>45700</v>
      </c>
      <c r="Q1847" s="1"/>
      <c r="R1847" t="str">
        <f>IF(Table1[[#This Row],[Actual close date]]="","",Table1[[#This Row],[Actual close date]]-Table1[[#This Row],[Expected close date]])</f>
        <v/>
      </c>
    </row>
    <row r="1848" spans="1:18" x14ac:dyDescent="0.25">
      <c r="A1848" t="s">
        <v>1931</v>
      </c>
      <c r="B1848" t="s">
        <v>76</v>
      </c>
      <c r="C1848" t="s">
        <v>77</v>
      </c>
      <c r="D1848" t="s">
        <v>78</v>
      </c>
      <c r="E1848" t="s">
        <v>45</v>
      </c>
      <c r="F1848" t="s">
        <v>22</v>
      </c>
      <c r="G1848" t="s">
        <v>85</v>
      </c>
      <c r="H1848" s="1">
        <v>45421</v>
      </c>
      <c r="I1848" t="s">
        <v>24</v>
      </c>
      <c r="J1848" t="s">
        <v>1117</v>
      </c>
      <c r="K1848">
        <v>5</v>
      </c>
      <c r="L1848" t="s">
        <v>1907</v>
      </c>
      <c r="M1848">
        <v>5</v>
      </c>
      <c r="N1848">
        <v>1979</v>
      </c>
      <c r="O1848">
        <v>100</v>
      </c>
      <c r="P1848" s="1">
        <v>45648</v>
      </c>
      <c r="Q1848" s="1"/>
      <c r="R1848" t="str">
        <f>IF(Table1[[#This Row],[Actual close date]]="","",Table1[[#This Row],[Actual close date]]-Table1[[#This Row],[Expected close date]])</f>
        <v/>
      </c>
    </row>
    <row r="1849" spans="1:18" x14ac:dyDescent="0.25">
      <c r="A1849" t="s">
        <v>1932</v>
      </c>
      <c r="B1849" t="s">
        <v>69</v>
      </c>
      <c r="C1849" t="s">
        <v>70</v>
      </c>
      <c r="D1849" t="s">
        <v>71</v>
      </c>
      <c r="E1849" t="s">
        <v>21</v>
      </c>
      <c r="F1849" t="s">
        <v>22</v>
      </c>
      <c r="G1849" t="s">
        <v>37</v>
      </c>
      <c r="H1849" s="1">
        <v>45307</v>
      </c>
      <c r="I1849" t="s">
        <v>47</v>
      </c>
      <c r="J1849" t="s">
        <v>1117</v>
      </c>
      <c r="K1849">
        <v>5</v>
      </c>
      <c r="L1849" t="s">
        <v>1907</v>
      </c>
      <c r="M1849">
        <v>5</v>
      </c>
      <c r="N1849">
        <v>272</v>
      </c>
      <c r="O1849">
        <v>20</v>
      </c>
      <c r="P1849" s="1">
        <v>45371</v>
      </c>
      <c r="Q1849" s="1"/>
      <c r="R1849" t="str">
        <f>IF(Table1[[#This Row],[Actual close date]]="","",Table1[[#This Row],[Actual close date]]-Table1[[#This Row],[Expected close date]])</f>
        <v/>
      </c>
    </row>
    <row r="1850" spans="1:18" x14ac:dyDescent="0.25">
      <c r="A1850" t="s">
        <v>1933</v>
      </c>
      <c r="B1850" t="s">
        <v>27</v>
      </c>
      <c r="C1850" t="s">
        <v>28</v>
      </c>
      <c r="D1850" t="s">
        <v>29</v>
      </c>
      <c r="E1850" t="s">
        <v>42</v>
      </c>
      <c r="F1850" t="s">
        <v>22</v>
      </c>
      <c r="G1850" t="s">
        <v>85</v>
      </c>
      <c r="H1850" s="1">
        <v>45372</v>
      </c>
      <c r="I1850" t="s">
        <v>24</v>
      </c>
      <c r="J1850" t="s">
        <v>1117</v>
      </c>
      <c r="K1850">
        <v>5</v>
      </c>
      <c r="L1850" t="s">
        <v>1907</v>
      </c>
      <c r="M1850">
        <v>5</v>
      </c>
      <c r="N1850">
        <v>320</v>
      </c>
      <c r="O1850">
        <v>40</v>
      </c>
      <c r="P1850" s="1">
        <v>45652</v>
      </c>
      <c r="Q1850" s="1"/>
      <c r="R1850" t="str">
        <f>IF(Table1[[#This Row],[Actual close date]]="","",Table1[[#This Row],[Actual close date]]-Table1[[#This Row],[Expected close date]])</f>
        <v/>
      </c>
    </row>
    <row r="1851" spans="1:18" x14ac:dyDescent="0.25">
      <c r="A1851" t="s">
        <v>1934</v>
      </c>
      <c r="B1851" t="s">
        <v>59</v>
      </c>
      <c r="C1851" t="s">
        <v>60</v>
      </c>
      <c r="D1851" t="s">
        <v>61</v>
      </c>
      <c r="E1851" t="s">
        <v>52</v>
      </c>
      <c r="F1851" t="s">
        <v>22</v>
      </c>
      <c r="G1851" t="s">
        <v>57</v>
      </c>
      <c r="H1851" s="1">
        <v>45353</v>
      </c>
      <c r="I1851" t="s">
        <v>24</v>
      </c>
      <c r="J1851" t="s">
        <v>1117</v>
      </c>
      <c r="K1851">
        <v>5</v>
      </c>
      <c r="L1851" t="s">
        <v>1907</v>
      </c>
      <c r="M1851">
        <v>5</v>
      </c>
      <c r="N1851">
        <v>1097</v>
      </c>
      <c r="O1851">
        <v>80</v>
      </c>
      <c r="P1851" s="1">
        <v>45550</v>
      </c>
      <c r="Q1851" s="1"/>
      <c r="R1851" t="str">
        <f>IF(Table1[[#This Row],[Actual close date]]="","",Table1[[#This Row],[Actual close date]]-Table1[[#This Row],[Expected close date]])</f>
        <v/>
      </c>
    </row>
    <row r="1852" spans="1:18" x14ac:dyDescent="0.25">
      <c r="A1852" t="s">
        <v>1935</v>
      </c>
      <c r="B1852" t="s">
        <v>54</v>
      </c>
      <c r="C1852" t="s">
        <v>55</v>
      </c>
      <c r="D1852" t="s">
        <v>56</v>
      </c>
      <c r="E1852" t="s">
        <v>62</v>
      </c>
      <c r="F1852" t="s">
        <v>22</v>
      </c>
      <c r="G1852" t="s">
        <v>46</v>
      </c>
      <c r="H1852" s="1">
        <v>45417</v>
      </c>
      <c r="I1852" t="s">
        <v>64</v>
      </c>
      <c r="J1852" t="s">
        <v>1117</v>
      </c>
      <c r="K1852">
        <v>5</v>
      </c>
      <c r="L1852" t="s">
        <v>1907</v>
      </c>
      <c r="M1852">
        <v>5</v>
      </c>
      <c r="N1852">
        <v>1443</v>
      </c>
      <c r="O1852">
        <v>40</v>
      </c>
      <c r="P1852" s="1">
        <v>45596</v>
      </c>
      <c r="Q1852" s="1"/>
      <c r="R1852" t="str">
        <f>IF(Table1[[#This Row],[Actual close date]]="","",Table1[[#This Row],[Actual close date]]-Table1[[#This Row],[Expected close date]])</f>
        <v/>
      </c>
    </row>
    <row r="1853" spans="1:18" x14ac:dyDescent="0.25">
      <c r="A1853" t="s">
        <v>1936</v>
      </c>
      <c r="B1853" t="s">
        <v>33</v>
      </c>
      <c r="C1853" t="s">
        <v>34</v>
      </c>
      <c r="D1853" t="s">
        <v>35</v>
      </c>
      <c r="E1853" t="s">
        <v>45</v>
      </c>
      <c r="F1853" t="s">
        <v>22</v>
      </c>
      <c r="G1853" t="s">
        <v>23</v>
      </c>
      <c r="H1853" s="1">
        <v>45404</v>
      </c>
      <c r="I1853" t="s">
        <v>24</v>
      </c>
      <c r="J1853" t="s">
        <v>1117</v>
      </c>
      <c r="K1853">
        <v>5</v>
      </c>
      <c r="L1853" t="s">
        <v>1907</v>
      </c>
      <c r="M1853">
        <v>5</v>
      </c>
      <c r="N1853">
        <v>254</v>
      </c>
      <c r="O1853">
        <v>50</v>
      </c>
      <c r="P1853" s="1">
        <v>45744</v>
      </c>
      <c r="Q1853" s="1"/>
      <c r="R1853" t="str">
        <f>IF(Table1[[#This Row],[Actual close date]]="","",Table1[[#This Row],[Actual close date]]-Table1[[#This Row],[Expected close date]])</f>
        <v/>
      </c>
    </row>
    <row r="1854" spans="1:18" x14ac:dyDescent="0.25">
      <c r="A1854" t="s">
        <v>1937</v>
      </c>
      <c r="B1854" t="s">
        <v>49</v>
      </c>
      <c r="C1854" t="s">
        <v>50</v>
      </c>
      <c r="D1854" t="s">
        <v>51</v>
      </c>
      <c r="E1854" t="s">
        <v>74</v>
      </c>
      <c r="F1854" t="s">
        <v>22</v>
      </c>
      <c r="G1854" t="s">
        <v>37</v>
      </c>
      <c r="H1854" s="1">
        <v>45383</v>
      </c>
      <c r="I1854" t="s">
        <v>47</v>
      </c>
      <c r="J1854" t="s">
        <v>1117</v>
      </c>
      <c r="K1854">
        <v>5</v>
      </c>
      <c r="L1854" t="s">
        <v>1907</v>
      </c>
      <c r="M1854">
        <v>5</v>
      </c>
      <c r="N1854">
        <v>424</v>
      </c>
      <c r="O1854">
        <v>40</v>
      </c>
      <c r="P1854" s="1">
        <v>45673</v>
      </c>
      <c r="Q1854" s="1"/>
      <c r="R1854" t="str">
        <f>IF(Table1[[#This Row],[Actual close date]]="","",Table1[[#This Row],[Actual close date]]-Table1[[#This Row],[Expected close date]])</f>
        <v/>
      </c>
    </row>
    <row r="1855" spans="1:18" x14ac:dyDescent="0.25">
      <c r="A1855" t="s">
        <v>1938</v>
      </c>
      <c r="B1855" t="s">
        <v>33</v>
      </c>
      <c r="C1855" t="s">
        <v>34</v>
      </c>
      <c r="D1855" t="s">
        <v>35</v>
      </c>
      <c r="E1855" t="s">
        <v>101</v>
      </c>
      <c r="F1855" t="s">
        <v>22</v>
      </c>
      <c r="G1855" t="s">
        <v>31</v>
      </c>
      <c r="H1855" s="1">
        <v>45388</v>
      </c>
      <c r="I1855" t="s">
        <v>47</v>
      </c>
      <c r="J1855" t="s">
        <v>1117</v>
      </c>
      <c r="K1855">
        <v>5</v>
      </c>
      <c r="L1855" t="s">
        <v>1907</v>
      </c>
      <c r="M1855">
        <v>5</v>
      </c>
      <c r="N1855">
        <v>847</v>
      </c>
      <c r="O1855">
        <v>60</v>
      </c>
      <c r="P1855" s="1">
        <v>45434</v>
      </c>
      <c r="Q1855" s="1"/>
      <c r="R1855" t="str">
        <f>IF(Table1[[#This Row],[Actual close date]]="","",Table1[[#This Row],[Actual close date]]-Table1[[#This Row],[Expected close date]])</f>
        <v/>
      </c>
    </row>
    <row r="1856" spans="1:18" x14ac:dyDescent="0.25">
      <c r="A1856" t="s">
        <v>1939</v>
      </c>
      <c r="B1856" t="s">
        <v>39</v>
      </c>
      <c r="C1856" t="s">
        <v>40</v>
      </c>
      <c r="D1856" t="s">
        <v>41</v>
      </c>
      <c r="E1856" t="s">
        <v>45</v>
      </c>
      <c r="F1856" t="s">
        <v>22</v>
      </c>
      <c r="G1856" t="s">
        <v>85</v>
      </c>
      <c r="H1856" s="1">
        <v>45439</v>
      </c>
      <c r="I1856" t="s">
        <v>47</v>
      </c>
      <c r="J1856" t="s">
        <v>1117</v>
      </c>
      <c r="K1856">
        <v>5</v>
      </c>
      <c r="L1856" t="s">
        <v>1907</v>
      </c>
      <c r="M1856">
        <v>5</v>
      </c>
      <c r="N1856">
        <v>1431</v>
      </c>
      <c r="O1856">
        <v>30</v>
      </c>
      <c r="P1856" s="1">
        <v>45682</v>
      </c>
      <c r="Q1856" s="1"/>
      <c r="R1856" t="str">
        <f>IF(Table1[[#This Row],[Actual close date]]="","",Table1[[#This Row],[Actual close date]]-Table1[[#This Row],[Expected close date]])</f>
        <v/>
      </c>
    </row>
    <row r="1857" spans="1:18" x14ac:dyDescent="0.25">
      <c r="A1857" t="s">
        <v>1940</v>
      </c>
      <c r="B1857" t="s">
        <v>49</v>
      </c>
      <c r="C1857" t="s">
        <v>50</v>
      </c>
      <c r="D1857" t="s">
        <v>51</v>
      </c>
      <c r="E1857" t="s">
        <v>21</v>
      </c>
      <c r="F1857" t="s">
        <v>22</v>
      </c>
      <c r="G1857" t="s">
        <v>83</v>
      </c>
      <c r="H1857" s="1">
        <v>45293</v>
      </c>
      <c r="I1857" t="s">
        <v>64</v>
      </c>
      <c r="J1857" t="s">
        <v>1117</v>
      </c>
      <c r="K1857">
        <v>5</v>
      </c>
      <c r="L1857" t="s">
        <v>1907</v>
      </c>
      <c r="M1857">
        <v>5</v>
      </c>
      <c r="N1857">
        <v>719</v>
      </c>
      <c r="O1857">
        <v>40</v>
      </c>
      <c r="P1857" s="1">
        <v>45336</v>
      </c>
      <c r="Q1857" s="1"/>
      <c r="R1857" t="str">
        <f>IF(Table1[[#This Row],[Actual close date]]="","",Table1[[#This Row],[Actual close date]]-Table1[[#This Row],[Expected close date]])</f>
        <v/>
      </c>
    </row>
    <row r="1858" spans="1:18" x14ac:dyDescent="0.25">
      <c r="A1858" t="s">
        <v>1941</v>
      </c>
      <c r="B1858" t="s">
        <v>39</v>
      </c>
      <c r="C1858" t="s">
        <v>40</v>
      </c>
      <c r="D1858" t="s">
        <v>41</v>
      </c>
      <c r="E1858" t="s">
        <v>52</v>
      </c>
      <c r="F1858" t="s">
        <v>125</v>
      </c>
      <c r="G1858" t="s">
        <v>37</v>
      </c>
      <c r="H1858" s="1">
        <v>45402</v>
      </c>
      <c r="I1858" t="s">
        <v>24</v>
      </c>
      <c r="J1858" t="s">
        <v>1117</v>
      </c>
      <c r="K1858">
        <v>5</v>
      </c>
      <c r="L1858" t="s">
        <v>1907</v>
      </c>
      <c r="M1858">
        <v>5</v>
      </c>
      <c r="N1858">
        <v>938</v>
      </c>
      <c r="O1858">
        <v>80</v>
      </c>
      <c r="P1858" s="1">
        <v>45736</v>
      </c>
      <c r="Q1858" s="1"/>
      <c r="R1858" t="str">
        <f>IF(Table1[[#This Row],[Actual close date]]="","",Table1[[#This Row],[Actual close date]]-Table1[[#This Row],[Expected close date]])</f>
        <v/>
      </c>
    </row>
    <row r="1859" spans="1:18" x14ac:dyDescent="0.25">
      <c r="A1859" t="s">
        <v>1942</v>
      </c>
      <c r="B1859" t="s">
        <v>54</v>
      </c>
      <c r="C1859" t="s">
        <v>55</v>
      </c>
      <c r="D1859" t="s">
        <v>56</v>
      </c>
      <c r="E1859" t="s">
        <v>62</v>
      </c>
      <c r="F1859" t="s">
        <v>125</v>
      </c>
      <c r="G1859" t="s">
        <v>83</v>
      </c>
      <c r="H1859" s="1">
        <v>45343</v>
      </c>
      <c r="I1859" t="s">
        <v>24</v>
      </c>
      <c r="J1859" t="s">
        <v>1117</v>
      </c>
      <c r="K1859">
        <v>5</v>
      </c>
      <c r="L1859" t="s">
        <v>1907</v>
      </c>
      <c r="M1859">
        <v>5</v>
      </c>
      <c r="N1859">
        <v>1159</v>
      </c>
      <c r="O1859">
        <v>30</v>
      </c>
      <c r="P1859" s="1">
        <v>45515</v>
      </c>
      <c r="Q1859" s="1"/>
      <c r="R1859" t="str">
        <f>IF(Table1[[#This Row],[Actual close date]]="","",Table1[[#This Row],[Actual close date]]-Table1[[#This Row],[Expected close date]])</f>
        <v/>
      </c>
    </row>
    <row r="1860" spans="1:18" x14ac:dyDescent="0.25">
      <c r="A1860" t="s">
        <v>1943</v>
      </c>
      <c r="B1860" t="s">
        <v>27</v>
      </c>
      <c r="C1860" t="s">
        <v>28</v>
      </c>
      <c r="D1860" t="s">
        <v>29</v>
      </c>
      <c r="E1860" t="s">
        <v>45</v>
      </c>
      <c r="F1860" t="s">
        <v>125</v>
      </c>
      <c r="G1860" t="s">
        <v>23</v>
      </c>
      <c r="H1860" s="1">
        <v>45415</v>
      </c>
      <c r="I1860" t="s">
        <v>64</v>
      </c>
      <c r="J1860" t="s">
        <v>1117</v>
      </c>
      <c r="K1860">
        <v>5</v>
      </c>
      <c r="L1860" t="s">
        <v>1907</v>
      </c>
      <c r="M1860">
        <v>5</v>
      </c>
      <c r="N1860">
        <v>643</v>
      </c>
      <c r="O1860">
        <v>40</v>
      </c>
      <c r="P1860" s="1">
        <v>45615</v>
      </c>
      <c r="Q1860" s="1"/>
      <c r="R1860" t="str">
        <f>IF(Table1[[#This Row],[Actual close date]]="","",Table1[[#This Row],[Actual close date]]-Table1[[#This Row],[Expected close date]])</f>
        <v/>
      </c>
    </row>
    <row r="1861" spans="1:18" x14ac:dyDescent="0.25">
      <c r="A1861" t="s">
        <v>1944</v>
      </c>
      <c r="B1861" t="s">
        <v>76</v>
      </c>
      <c r="C1861" t="s">
        <v>77</v>
      </c>
      <c r="D1861" t="s">
        <v>78</v>
      </c>
      <c r="E1861" t="s">
        <v>52</v>
      </c>
      <c r="F1861" t="s">
        <v>125</v>
      </c>
      <c r="G1861" t="s">
        <v>23</v>
      </c>
      <c r="H1861" s="1">
        <v>45360</v>
      </c>
      <c r="I1861" t="s">
        <v>64</v>
      </c>
      <c r="J1861" t="s">
        <v>1117</v>
      </c>
      <c r="K1861">
        <v>5</v>
      </c>
      <c r="L1861" t="s">
        <v>1907</v>
      </c>
      <c r="M1861">
        <v>5</v>
      </c>
      <c r="N1861">
        <v>540</v>
      </c>
      <c r="O1861">
        <v>60</v>
      </c>
      <c r="P1861" s="1">
        <v>45503</v>
      </c>
      <c r="Q1861" s="1"/>
      <c r="R1861" t="str">
        <f>IF(Table1[[#This Row],[Actual close date]]="","",Table1[[#This Row],[Actual close date]]-Table1[[#This Row],[Expected close date]])</f>
        <v/>
      </c>
    </row>
    <row r="1862" spans="1:18" x14ac:dyDescent="0.25">
      <c r="A1862" t="s">
        <v>1945</v>
      </c>
      <c r="B1862" t="s">
        <v>59</v>
      </c>
      <c r="C1862" t="s">
        <v>60</v>
      </c>
      <c r="D1862" t="s">
        <v>61</v>
      </c>
      <c r="E1862" t="s">
        <v>74</v>
      </c>
      <c r="F1862" t="s">
        <v>125</v>
      </c>
      <c r="G1862" t="s">
        <v>46</v>
      </c>
      <c r="H1862" s="1">
        <v>45322</v>
      </c>
      <c r="I1862" t="s">
        <v>47</v>
      </c>
      <c r="J1862" t="s">
        <v>1117</v>
      </c>
      <c r="K1862">
        <v>5</v>
      </c>
      <c r="L1862" t="s">
        <v>1907</v>
      </c>
      <c r="M1862">
        <v>5</v>
      </c>
      <c r="N1862">
        <v>523</v>
      </c>
      <c r="O1862">
        <v>10</v>
      </c>
      <c r="P1862" s="1">
        <v>45531</v>
      </c>
      <c r="Q1862" s="1"/>
      <c r="R1862" t="str">
        <f>IF(Table1[[#This Row],[Actual close date]]="","",Table1[[#This Row],[Actual close date]]-Table1[[#This Row],[Expected close date]])</f>
        <v/>
      </c>
    </row>
    <row r="1863" spans="1:18" x14ac:dyDescent="0.25">
      <c r="A1863" t="s">
        <v>1946</v>
      </c>
      <c r="B1863" t="s">
        <v>39</v>
      </c>
      <c r="C1863" t="s">
        <v>40</v>
      </c>
      <c r="D1863" t="s">
        <v>41</v>
      </c>
      <c r="E1863" t="s">
        <v>21</v>
      </c>
      <c r="F1863" t="s">
        <v>125</v>
      </c>
      <c r="G1863" t="s">
        <v>46</v>
      </c>
      <c r="H1863" s="1">
        <v>45440</v>
      </c>
      <c r="I1863" t="s">
        <v>64</v>
      </c>
      <c r="J1863" t="s">
        <v>1117</v>
      </c>
      <c r="K1863">
        <v>5</v>
      </c>
      <c r="L1863" t="s">
        <v>1907</v>
      </c>
      <c r="M1863">
        <v>5</v>
      </c>
      <c r="N1863">
        <v>391</v>
      </c>
      <c r="O1863">
        <v>90</v>
      </c>
      <c r="P1863" s="1">
        <v>45692</v>
      </c>
      <c r="Q1863" s="1"/>
      <c r="R1863" t="str">
        <f>IF(Table1[[#This Row],[Actual close date]]="","",Table1[[#This Row],[Actual close date]]-Table1[[#This Row],[Expected close date]])</f>
        <v/>
      </c>
    </row>
    <row r="1864" spans="1:18" x14ac:dyDescent="0.25">
      <c r="A1864" t="s">
        <v>1947</v>
      </c>
      <c r="B1864" t="s">
        <v>27</v>
      </c>
      <c r="C1864" t="s">
        <v>28</v>
      </c>
      <c r="D1864" t="s">
        <v>29</v>
      </c>
      <c r="E1864" t="s">
        <v>21</v>
      </c>
      <c r="F1864" t="s">
        <v>125</v>
      </c>
      <c r="G1864" t="s">
        <v>31</v>
      </c>
      <c r="H1864" s="1">
        <v>45417</v>
      </c>
      <c r="I1864" t="s">
        <v>24</v>
      </c>
      <c r="J1864" t="s">
        <v>1117</v>
      </c>
      <c r="K1864">
        <v>5</v>
      </c>
      <c r="L1864" t="s">
        <v>1907</v>
      </c>
      <c r="M1864">
        <v>5</v>
      </c>
      <c r="N1864">
        <v>448</v>
      </c>
      <c r="O1864">
        <v>30</v>
      </c>
      <c r="P1864" s="1">
        <v>45483</v>
      </c>
      <c r="Q1864" s="1"/>
      <c r="R1864" t="str">
        <f>IF(Table1[[#This Row],[Actual close date]]="","",Table1[[#This Row],[Actual close date]]-Table1[[#This Row],[Expected close date]])</f>
        <v/>
      </c>
    </row>
    <row r="1865" spans="1:18" x14ac:dyDescent="0.25">
      <c r="A1865" t="s">
        <v>1948</v>
      </c>
      <c r="B1865" t="s">
        <v>59</v>
      </c>
      <c r="C1865" t="s">
        <v>60</v>
      </c>
      <c r="D1865" t="s">
        <v>61</v>
      </c>
      <c r="E1865" t="s">
        <v>74</v>
      </c>
      <c r="F1865" t="s">
        <v>125</v>
      </c>
      <c r="G1865" t="s">
        <v>57</v>
      </c>
      <c r="H1865" s="1">
        <v>45324</v>
      </c>
      <c r="I1865" t="s">
        <v>24</v>
      </c>
      <c r="J1865" t="s">
        <v>1117</v>
      </c>
      <c r="K1865">
        <v>5</v>
      </c>
      <c r="L1865" t="s">
        <v>1907</v>
      </c>
      <c r="M1865">
        <v>5</v>
      </c>
      <c r="N1865">
        <v>1143</v>
      </c>
      <c r="O1865">
        <v>40</v>
      </c>
      <c r="P1865" s="1">
        <v>45577</v>
      </c>
      <c r="Q1865" s="1"/>
      <c r="R1865" t="str">
        <f>IF(Table1[[#This Row],[Actual close date]]="","",Table1[[#This Row],[Actual close date]]-Table1[[#This Row],[Expected close date]])</f>
        <v/>
      </c>
    </row>
    <row r="1866" spans="1:18" x14ac:dyDescent="0.25">
      <c r="A1866" t="s">
        <v>1949</v>
      </c>
      <c r="B1866" t="s">
        <v>49</v>
      </c>
      <c r="C1866" t="s">
        <v>50</v>
      </c>
      <c r="D1866" t="s">
        <v>51</v>
      </c>
      <c r="E1866" t="s">
        <v>101</v>
      </c>
      <c r="F1866" t="s">
        <v>125</v>
      </c>
      <c r="G1866" t="s">
        <v>46</v>
      </c>
      <c r="H1866" s="1">
        <v>45296</v>
      </c>
      <c r="I1866" t="s">
        <v>24</v>
      </c>
      <c r="J1866" t="s">
        <v>1117</v>
      </c>
      <c r="K1866">
        <v>5</v>
      </c>
      <c r="L1866" t="s">
        <v>1907</v>
      </c>
      <c r="M1866">
        <v>5</v>
      </c>
      <c r="N1866">
        <v>235</v>
      </c>
      <c r="O1866">
        <v>60</v>
      </c>
      <c r="P1866" s="1">
        <v>45626</v>
      </c>
      <c r="Q1866" s="1"/>
      <c r="R1866" t="str">
        <f>IF(Table1[[#This Row],[Actual close date]]="","",Table1[[#This Row],[Actual close date]]-Table1[[#This Row],[Expected close date]])</f>
        <v/>
      </c>
    </row>
    <row r="1867" spans="1:18" x14ac:dyDescent="0.25">
      <c r="A1867" t="s">
        <v>1950</v>
      </c>
      <c r="B1867" t="s">
        <v>59</v>
      </c>
      <c r="C1867" t="s">
        <v>60</v>
      </c>
      <c r="D1867" t="s">
        <v>61</v>
      </c>
      <c r="E1867" t="s">
        <v>45</v>
      </c>
      <c r="F1867" t="s">
        <v>125</v>
      </c>
      <c r="G1867" t="s">
        <v>46</v>
      </c>
      <c r="H1867" s="1">
        <v>45386</v>
      </c>
      <c r="I1867" t="s">
        <v>64</v>
      </c>
      <c r="J1867" t="s">
        <v>1117</v>
      </c>
      <c r="K1867">
        <v>5</v>
      </c>
      <c r="L1867" t="s">
        <v>1907</v>
      </c>
      <c r="M1867">
        <v>5</v>
      </c>
      <c r="N1867">
        <v>626</v>
      </c>
      <c r="O1867">
        <v>20</v>
      </c>
      <c r="P1867" s="1">
        <v>45418</v>
      </c>
      <c r="Q1867" s="1"/>
      <c r="R1867" t="str">
        <f>IF(Table1[[#This Row],[Actual close date]]="","",Table1[[#This Row],[Actual close date]]-Table1[[#This Row],[Expected close date]])</f>
        <v/>
      </c>
    </row>
    <row r="1868" spans="1:18" x14ac:dyDescent="0.25">
      <c r="A1868" t="s">
        <v>1951</v>
      </c>
      <c r="B1868" t="s">
        <v>54</v>
      </c>
      <c r="C1868" t="s">
        <v>55</v>
      </c>
      <c r="D1868" t="s">
        <v>56</v>
      </c>
      <c r="E1868" t="s">
        <v>45</v>
      </c>
      <c r="F1868" t="s">
        <v>125</v>
      </c>
      <c r="G1868" t="s">
        <v>46</v>
      </c>
      <c r="H1868" s="1">
        <v>45399</v>
      </c>
      <c r="I1868" t="s">
        <v>24</v>
      </c>
      <c r="J1868" t="s">
        <v>1117</v>
      </c>
      <c r="K1868">
        <v>5</v>
      </c>
      <c r="L1868" t="s">
        <v>1907</v>
      </c>
      <c r="M1868">
        <v>5</v>
      </c>
      <c r="N1868">
        <v>1171</v>
      </c>
      <c r="O1868">
        <v>50</v>
      </c>
      <c r="P1868" s="1">
        <v>45577</v>
      </c>
      <c r="Q1868" s="1"/>
      <c r="R1868" t="str">
        <f>IF(Table1[[#This Row],[Actual close date]]="","",Table1[[#This Row],[Actual close date]]-Table1[[#This Row],[Expected close date]])</f>
        <v/>
      </c>
    </row>
    <row r="1869" spans="1:18" x14ac:dyDescent="0.25">
      <c r="A1869" t="s">
        <v>1952</v>
      </c>
      <c r="B1869" t="s">
        <v>33</v>
      </c>
      <c r="C1869" t="s">
        <v>34</v>
      </c>
      <c r="D1869" t="s">
        <v>35</v>
      </c>
      <c r="E1869" t="s">
        <v>45</v>
      </c>
      <c r="F1869" t="s">
        <v>125</v>
      </c>
      <c r="G1869" t="s">
        <v>46</v>
      </c>
      <c r="H1869" s="1">
        <v>45375</v>
      </c>
      <c r="I1869" t="s">
        <v>64</v>
      </c>
      <c r="J1869" t="s">
        <v>1117</v>
      </c>
      <c r="K1869">
        <v>5</v>
      </c>
      <c r="L1869" t="s">
        <v>1907</v>
      </c>
      <c r="M1869">
        <v>5</v>
      </c>
      <c r="N1869">
        <v>354</v>
      </c>
      <c r="O1869">
        <v>50</v>
      </c>
      <c r="P1869" s="1">
        <v>45511</v>
      </c>
      <c r="Q1869" s="1"/>
      <c r="R1869" t="str">
        <f>IF(Table1[[#This Row],[Actual close date]]="","",Table1[[#This Row],[Actual close date]]-Table1[[#This Row],[Expected close date]])</f>
        <v/>
      </c>
    </row>
    <row r="1870" spans="1:18" x14ac:dyDescent="0.25">
      <c r="A1870" t="s">
        <v>1953</v>
      </c>
      <c r="B1870" t="s">
        <v>54</v>
      </c>
      <c r="C1870" t="s">
        <v>55</v>
      </c>
      <c r="D1870" t="s">
        <v>56</v>
      </c>
      <c r="E1870" t="s">
        <v>122</v>
      </c>
      <c r="F1870" t="s">
        <v>125</v>
      </c>
      <c r="G1870" t="s">
        <v>57</v>
      </c>
      <c r="H1870" s="1">
        <v>45322</v>
      </c>
      <c r="I1870" t="s">
        <v>24</v>
      </c>
      <c r="J1870" t="s">
        <v>1117</v>
      </c>
      <c r="K1870">
        <v>5</v>
      </c>
      <c r="L1870" t="s">
        <v>1907</v>
      </c>
      <c r="M1870">
        <v>5</v>
      </c>
      <c r="N1870">
        <v>373</v>
      </c>
      <c r="O1870">
        <v>20</v>
      </c>
      <c r="P1870" s="1">
        <v>45626</v>
      </c>
      <c r="Q1870" s="1"/>
      <c r="R1870" t="str">
        <f>IF(Table1[[#This Row],[Actual close date]]="","",Table1[[#This Row],[Actual close date]]-Table1[[#This Row],[Expected close date]])</f>
        <v/>
      </c>
    </row>
    <row r="1871" spans="1:18" x14ac:dyDescent="0.25">
      <c r="A1871" t="s">
        <v>1954</v>
      </c>
      <c r="B1871" t="s">
        <v>49</v>
      </c>
      <c r="C1871" t="s">
        <v>50</v>
      </c>
      <c r="D1871" t="s">
        <v>51</v>
      </c>
      <c r="E1871" t="s">
        <v>74</v>
      </c>
      <c r="F1871" t="s">
        <v>125</v>
      </c>
      <c r="G1871" t="s">
        <v>31</v>
      </c>
      <c r="H1871" s="1">
        <v>45355</v>
      </c>
      <c r="I1871" t="s">
        <v>24</v>
      </c>
      <c r="J1871" t="s">
        <v>1117</v>
      </c>
      <c r="K1871">
        <v>5</v>
      </c>
      <c r="L1871" t="s">
        <v>1907</v>
      </c>
      <c r="M1871">
        <v>5</v>
      </c>
      <c r="N1871">
        <v>396</v>
      </c>
      <c r="O1871">
        <v>70</v>
      </c>
      <c r="P1871" s="1">
        <v>45576</v>
      </c>
      <c r="Q1871" s="1"/>
      <c r="R1871" t="str">
        <f>IF(Table1[[#This Row],[Actual close date]]="","",Table1[[#This Row],[Actual close date]]-Table1[[#This Row],[Expected close date]])</f>
        <v/>
      </c>
    </row>
    <row r="1872" spans="1:18" x14ac:dyDescent="0.25">
      <c r="A1872" t="s">
        <v>1955</v>
      </c>
      <c r="B1872" t="s">
        <v>33</v>
      </c>
      <c r="C1872" t="s">
        <v>34</v>
      </c>
      <c r="D1872" t="s">
        <v>35</v>
      </c>
      <c r="E1872" t="s">
        <v>118</v>
      </c>
      <c r="F1872" t="s">
        <v>125</v>
      </c>
      <c r="G1872" t="s">
        <v>46</v>
      </c>
      <c r="H1872" s="1">
        <v>45388</v>
      </c>
      <c r="I1872" t="s">
        <v>24</v>
      </c>
      <c r="J1872" t="s">
        <v>1117</v>
      </c>
      <c r="K1872">
        <v>5</v>
      </c>
      <c r="L1872" t="s">
        <v>1907</v>
      </c>
      <c r="M1872">
        <v>5</v>
      </c>
      <c r="N1872">
        <v>723</v>
      </c>
      <c r="O1872">
        <v>40</v>
      </c>
      <c r="P1872" s="1">
        <v>45597</v>
      </c>
      <c r="Q1872" s="1"/>
      <c r="R1872" t="str">
        <f>IF(Table1[[#This Row],[Actual close date]]="","",Table1[[#This Row],[Actual close date]]-Table1[[#This Row],[Expected close date]])</f>
        <v/>
      </c>
    </row>
    <row r="1873" spans="1:18" x14ac:dyDescent="0.25">
      <c r="A1873" t="s">
        <v>1956</v>
      </c>
      <c r="B1873" t="s">
        <v>33</v>
      </c>
      <c r="C1873" t="s">
        <v>34</v>
      </c>
      <c r="D1873" t="s">
        <v>35</v>
      </c>
      <c r="E1873" t="s">
        <v>52</v>
      </c>
      <c r="F1873" t="s">
        <v>125</v>
      </c>
      <c r="G1873" t="s">
        <v>72</v>
      </c>
      <c r="H1873" s="1">
        <v>45299</v>
      </c>
      <c r="I1873" t="s">
        <v>64</v>
      </c>
      <c r="J1873" t="s">
        <v>1117</v>
      </c>
      <c r="K1873">
        <v>5</v>
      </c>
      <c r="L1873" t="s">
        <v>1907</v>
      </c>
      <c r="M1873">
        <v>5</v>
      </c>
      <c r="N1873">
        <v>707</v>
      </c>
      <c r="O1873">
        <v>90</v>
      </c>
      <c r="P1873" s="1">
        <v>45449</v>
      </c>
      <c r="Q1873" s="1"/>
      <c r="R1873" t="str">
        <f>IF(Table1[[#This Row],[Actual close date]]="","",Table1[[#This Row],[Actual close date]]-Table1[[#This Row],[Expected close date]])</f>
        <v/>
      </c>
    </row>
    <row r="1874" spans="1:18" x14ac:dyDescent="0.25">
      <c r="A1874" t="s">
        <v>1957</v>
      </c>
      <c r="B1874" t="s">
        <v>33</v>
      </c>
      <c r="C1874" t="s">
        <v>34</v>
      </c>
      <c r="D1874" t="s">
        <v>35</v>
      </c>
      <c r="E1874" t="s">
        <v>101</v>
      </c>
      <c r="F1874" t="s">
        <v>167</v>
      </c>
      <c r="G1874" t="s">
        <v>72</v>
      </c>
      <c r="H1874" s="1">
        <v>45305</v>
      </c>
      <c r="I1874" t="s">
        <v>24</v>
      </c>
      <c r="J1874" t="s">
        <v>1117</v>
      </c>
      <c r="K1874">
        <v>5</v>
      </c>
      <c r="L1874" t="s">
        <v>1907</v>
      </c>
      <c r="M1874">
        <v>5</v>
      </c>
      <c r="N1874">
        <v>1607</v>
      </c>
      <c r="O1874">
        <v>70</v>
      </c>
      <c r="P1874" s="1">
        <v>45667</v>
      </c>
      <c r="Q1874" s="1"/>
      <c r="R1874" t="str">
        <f>IF(Table1[[#This Row],[Actual close date]]="","",Table1[[#This Row],[Actual close date]]-Table1[[#This Row],[Expected close date]])</f>
        <v/>
      </c>
    </row>
    <row r="1875" spans="1:18" x14ac:dyDescent="0.25">
      <c r="A1875" t="s">
        <v>1958</v>
      </c>
      <c r="B1875" t="s">
        <v>76</v>
      </c>
      <c r="C1875" t="s">
        <v>77</v>
      </c>
      <c r="D1875" t="s">
        <v>78</v>
      </c>
      <c r="E1875" t="s">
        <v>21</v>
      </c>
      <c r="F1875" t="s">
        <v>167</v>
      </c>
      <c r="G1875" t="s">
        <v>31</v>
      </c>
      <c r="H1875" s="1">
        <v>45377</v>
      </c>
      <c r="I1875" t="s">
        <v>64</v>
      </c>
      <c r="J1875" t="s">
        <v>1117</v>
      </c>
      <c r="K1875">
        <v>5</v>
      </c>
      <c r="L1875" t="s">
        <v>1907</v>
      </c>
      <c r="M1875">
        <v>5</v>
      </c>
      <c r="N1875">
        <v>2560</v>
      </c>
      <c r="O1875">
        <v>20</v>
      </c>
      <c r="P1875" s="1">
        <v>45574</v>
      </c>
      <c r="Q1875" s="1"/>
      <c r="R1875" t="str">
        <f>IF(Table1[[#This Row],[Actual close date]]="","",Table1[[#This Row],[Actual close date]]-Table1[[#This Row],[Expected close date]])</f>
        <v/>
      </c>
    </row>
    <row r="1876" spans="1:18" x14ac:dyDescent="0.25">
      <c r="A1876" t="s">
        <v>1959</v>
      </c>
      <c r="B1876" t="s">
        <v>76</v>
      </c>
      <c r="C1876" t="s">
        <v>77</v>
      </c>
      <c r="D1876" t="s">
        <v>78</v>
      </c>
      <c r="E1876" t="s">
        <v>42</v>
      </c>
      <c r="F1876" t="s">
        <v>167</v>
      </c>
      <c r="G1876" t="s">
        <v>85</v>
      </c>
      <c r="H1876" s="1">
        <v>45349</v>
      </c>
      <c r="I1876" t="s">
        <v>64</v>
      </c>
      <c r="J1876" t="s">
        <v>1117</v>
      </c>
      <c r="K1876">
        <v>5</v>
      </c>
      <c r="L1876" t="s">
        <v>1907</v>
      </c>
      <c r="M1876">
        <v>5</v>
      </c>
      <c r="N1876">
        <v>2942</v>
      </c>
      <c r="O1876">
        <v>40</v>
      </c>
      <c r="P1876" s="1">
        <v>45672</v>
      </c>
      <c r="Q1876" s="1"/>
      <c r="R1876" t="str">
        <f>IF(Table1[[#This Row],[Actual close date]]="","",Table1[[#This Row],[Actual close date]]-Table1[[#This Row],[Expected close date]])</f>
        <v/>
      </c>
    </row>
    <row r="1877" spans="1:18" x14ac:dyDescent="0.25">
      <c r="A1877" t="s">
        <v>1960</v>
      </c>
      <c r="B1877" t="s">
        <v>59</v>
      </c>
      <c r="C1877" t="s">
        <v>60</v>
      </c>
      <c r="D1877" t="s">
        <v>61</v>
      </c>
      <c r="E1877" t="s">
        <v>82</v>
      </c>
      <c r="F1877" t="s">
        <v>167</v>
      </c>
      <c r="G1877" t="s">
        <v>57</v>
      </c>
      <c r="H1877" s="1">
        <v>45370</v>
      </c>
      <c r="I1877" t="s">
        <v>64</v>
      </c>
      <c r="J1877" t="s">
        <v>1117</v>
      </c>
      <c r="K1877">
        <v>5</v>
      </c>
      <c r="L1877" t="s">
        <v>1907</v>
      </c>
      <c r="M1877">
        <v>5</v>
      </c>
      <c r="N1877">
        <v>7428</v>
      </c>
      <c r="O1877">
        <v>30</v>
      </c>
      <c r="P1877" s="1">
        <v>45620</v>
      </c>
      <c r="Q1877" s="1"/>
      <c r="R1877" t="str">
        <f>IF(Table1[[#This Row],[Actual close date]]="","",Table1[[#This Row],[Actual close date]]-Table1[[#This Row],[Expected close date]])</f>
        <v/>
      </c>
    </row>
    <row r="1878" spans="1:18" x14ac:dyDescent="0.25">
      <c r="A1878" t="s">
        <v>1961</v>
      </c>
      <c r="B1878" t="s">
        <v>33</v>
      </c>
      <c r="C1878" t="s">
        <v>34</v>
      </c>
      <c r="D1878" t="s">
        <v>35</v>
      </c>
      <c r="E1878" t="s">
        <v>122</v>
      </c>
      <c r="F1878" t="s">
        <v>167</v>
      </c>
      <c r="G1878" t="s">
        <v>57</v>
      </c>
      <c r="H1878" s="1">
        <v>45293</v>
      </c>
      <c r="I1878" t="s">
        <v>24</v>
      </c>
      <c r="J1878" t="s">
        <v>1117</v>
      </c>
      <c r="K1878">
        <v>5</v>
      </c>
      <c r="L1878" t="s">
        <v>1907</v>
      </c>
      <c r="M1878">
        <v>5</v>
      </c>
      <c r="N1878">
        <v>3161</v>
      </c>
      <c r="O1878">
        <v>50</v>
      </c>
      <c r="P1878" s="1">
        <v>45585</v>
      </c>
      <c r="Q1878" s="1"/>
      <c r="R1878" t="str">
        <f>IF(Table1[[#This Row],[Actual close date]]="","",Table1[[#This Row],[Actual close date]]-Table1[[#This Row],[Expected close date]])</f>
        <v/>
      </c>
    </row>
    <row r="1879" spans="1:18" x14ac:dyDescent="0.25">
      <c r="A1879" t="s">
        <v>1962</v>
      </c>
      <c r="B1879" t="s">
        <v>39</v>
      </c>
      <c r="C1879" t="s">
        <v>40</v>
      </c>
      <c r="D1879" t="s">
        <v>41</v>
      </c>
      <c r="E1879" t="s">
        <v>74</v>
      </c>
      <c r="F1879" t="s">
        <v>167</v>
      </c>
      <c r="G1879" t="s">
        <v>46</v>
      </c>
      <c r="H1879" s="1">
        <v>45349</v>
      </c>
      <c r="I1879" t="s">
        <v>64</v>
      </c>
      <c r="J1879" t="s">
        <v>1117</v>
      </c>
      <c r="K1879">
        <v>5</v>
      </c>
      <c r="L1879" t="s">
        <v>1907</v>
      </c>
      <c r="M1879">
        <v>5</v>
      </c>
      <c r="N1879">
        <v>4558</v>
      </c>
      <c r="O1879">
        <v>40</v>
      </c>
      <c r="P1879" s="1">
        <v>45468</v>
      </c>
      <c r="Q1879" s="1"/>
      <c r="R1879" t="str">
        <f>IF(Table1[[#This Row],[Actual close date]]="","",Table1[[#This Row],[Actual close date]]-Table1[[#This Row],[Expected close date]])</f>
        <v/>
      </c>
    </row>
    <row r="1880" spans="1:18" x14ac:dyDescent="0.25">
      <c r="A1880" t="s">
        <v>1963</v>
      </c>
      <c r="B1880" t="s">
        <v>39</v>
      </c>
      <c r="C1880" t="s">
        <v>40</v>
      </c>
      <c r="D1880" t="s">
        <v>41</v>
      </c>
      <c r="E1880" t="s">
        <v>74</v>
      </c>
      <c r="F1880" t="s">
        <v>167</v>
      </c>
      <c r="G1880" t="s">
        <v>72</v>
      </c>
      <c r="H1880" s="1">
        <v>45353</v>
      </c>
      <c r="I1880" t="s">
        <v>64</v>
      </c>
      <c r="J1880" t="s">
        <v>1117</v>
      </c>
      <c r="K1880">
        <v>5</v>
      </c>
      <c r="L1880" t="s">
        <v>1907</v>
      </c>
      <c r="M1880">
        <v>5</v>
      </c>
      <c r="N1880">
        <v>5279</v>
      </c>
      <c r="O1880">
        <v>30</v>
      </c>
      <c r="P1880" s="1">
        <v>45517</v>
      </c>
      <c r="Q1880" s="1"/>
      <c r="R1880" t="str">
        <f>IF(Table1[[#This Row],[Actual close date]]="","",Table1[[#This Row],[Actual close date]]-Table1[[#This Row],[Expected close date]])</f>
        <v/>
      </c>
    </row>
    <row r="1881" spans="1:18" x14ac:dyDescent="0.25">
      <c r="A1881" t="s">
        <v>1964</v>
      </c>
      <c r="B1881" t="s">
        <v>33</v>
      </c>
      <c r="C1881" t="s">
        <v>34</v>
      </c>
      <c r="D1881" t="s">
        <v>35</v>
      </c>
      <c r="E1881" t="s">
        <v>52</v>
      </c>
      <c r="F1881" t="s">
        <v>167</v>
      </c>
      <c r="G1881" t="s">
        <v>23</v>
      </c>
      <c r="H1881" s="1">
        <v>45375</v>
      </c>
      <c r="I1881" t="s">
        <v>64</v>
      </c>
      <c r="J1881" t="s">
        <v>1117</v>
      </c>
      <c r="K1881">
        <v>5</v>
      </c>
      <c r="L1881" t="s">
        <v>1907</v>
      </c>
      <c r="M1881">
        <v>5</v>
      </c>
      <c r="N1881">
        <v>6644</v>
      </c>
      <c r="O1881">
        <v>50</v>
      </c>
      <c r="P1881" s="1">
        <v>45684</v>
      </c>
      <c r="Q1881" s="1"/>
      <c r="R1881" t="str">
        <f>IF(Table1[[#This Row],[Actual close date]]="","",Table1[[#This Row],[Actual close date]]-Table1[[#This Row],[Expected close date]])</f>
        <v/>
      </c>
    </row>
    <row r="1882" spans="1:18" x14ac:dyDescent="0.25">
      <c r="A1882" t="s">
        <v>1965</v>
      </c>
      <c r="B1882" t="s">
        <v>39</v>
      </c>
      <c r="C1882" t="s">
        <v>40</v>
      </c>
      <c r="D1882" t="s">
        <v>41</v>
      </c>
      <c r="E1882" t="s">
        <v>21</v>
      </c>
      <c r="F1882" t="s">
        <v>167</v>
      </c>
      <c r="G1882" t="s">
        <v>23</v>
      </c>
      <c r="H1882" s="1">
        <v>45352</v>
      </c>
      <c r="I1882" t="s">
        <v>24</v>
      </c>
      <c r="J1882" t="s">
        <v>1117</v>
      </c>
      <c r="K1882">
        <v>5</v>
      </c>
      <c r="L1882" t="s">
        <v>1907</v>
      </c>
      <c r="M1882">
        <v>5</v>
      </c>
      <c r="N1882">
        <v>1953</v>
      </c>
      <c r="O1882">
        <v>70</v>
      </c>
      <c r="P1882" s="1">
        <v>45617</v>
      </c>
      <c r="Q1882" s="1"/>
      <c r="R1882" t="str">
        <f>IF(Table1[[#This Row],[Actual close date]]="","",Table1[[#This Row],[Actual close date]]-Table1[[#This Row],[Expected close date]])</f>
        <v/>
      </c>
    </row>
    <row r="1883" spans="1:18" x14ac:dyDescent="0.25">
      <c r="A1883" t="s">
        <v>1966</v>
      </c>
      <c r="B1883" t="s">
        <v>54</v>
      </c>
      <c r="C1883" t="s">
        <v>55</v>
      </c>
      <c r="D1883" t="s">
        <v>56</v>
      </c>
      <c r="E1883" t="s">
        <v>52</v>
      </c>
      <c r="F1883" t="s">
        <v>167</v>
      </c>
      <c r="G1883" t="s">
        <v>31</v>
      </c>
      <c r="H1883" s="1">
        <v>45312</v>
      </c>
      <c r="I1883" t="s">
        <v>24</v>
      </c>
      <c r="J1883" t="s">
        <v>1117</v>
      </c>
      <c r="K1883">
        <v>5</v>
      </c>
      <c r="L1883" t="s">
        <v>1907</v>
      </c>
      <c r="M1883">
        <v>5</v>
      </c>
      <c r="N1883">
        <v>7787</v>
      </c>
      <c r="O1883">
        <v>60</v>
      </c>
      <c r="P1883" s="1">
        <v>45428</v>
      </c>
      <c r="Q1883" s="1"/>
      <c r="R1883" t="str">
        <f>IF(Table1[[#This Row],[Actual close date]]="","",Table1[[#This Row],[Actual close date]]-Table1[[#This Row],[Expected close date]])</f>
        <v/>
      </c>
    </row>
    <row r="1884" spans="1:18" x14ac:dyDescent="0.25">
      <c r="A1884" t="s">
        <v>1967</v>
      </c>
      <c r="B1884" t="s">
        <v>39</v>
      </c>
      <c r="C1884" t="s">
        <v>40</v>
      </c>
      <c r="D1884" t="s">
        <v>41</v>
      </c>
      <c r="E1884" t="s">
        <v>66</v>
      </c>
      <c r="F1884" t="s">
        <v>167</v>
      </c>
      <c r="G1884" t="s">
        <v>46</v>
      </c>
      <c r="H1884" s="1">
        <v>45322</v>
      </c>
      <c r="I1884" t="s">
        <v>24</v>
      </c>
      <c r="J1884" t="s">
        <v>1117</v>
      </c>
      <c r="K1884">
        <v>5</v>
      </c>
      <c r="L1884" t="s">
        <v>1907</v>
      </c>
      <c r="M1884">
        <v>5</v>
      </c>
      <c r="N1884">
        <v>4665</v>
      </c>
      <c r="O1884">
        <v>40</v>
      </c>
      <c r="P1884" s="1">
        <v>45478</v>
      </c>
      <c r="Q1884" s="1"/>
      <c r="R1884" t="str">
        <f>IF(Table1[[#This Row],[Actual close date]]="","",Table1[[#This Row],[Actual close date]]-Table1[[#This Row],[Expected close date]])</f>
        <v/>
      </c>
    </row>
    <row r="1885" spans="1:18" x14ac:dyDescent="0.25">
      <c r="A1885" t="s">
        <v>1968</v>
      </c>
      <c r="B1885" t="s">
        <v>59</v>
      </c>
      <c r="C1885" t="s">
        <v>60</v>
      </c>
      <c r="D1885" t="s">
        <v>61</v>
      </c>
      <c r="E1885" t="s">
        <v>52</v>
      </c>
      <c r="F1885" t="s">
        <v>167</v>
      </c>
      <c r="G1885" t="s">
        <v>37</v>
      </c>
      <c r="H1885" s="1">
        <v>45439</v>
      </c>
      <c r="I1885" t="s">
        <v>24</v>
      </c>
      <c r="J1885" t="s">
        <v>1117</v>
      </c>
      <c r="K1885">
        <v>5</v>
      </c>
      <c r="L1885" t="s">
        <v>1907</v>
      </c>
      <c r="M1885">
        <v>5</v>
      </c>
      <c r="N1885">
        <v>2470</v>
      </c>
      <c r="O1885">
        <v>20</v>
      </c>
      <c r="P1885" s="1">
        <v>45580</v>
      </c>
      <c r="Q1885" s="1"/>
      <c r="R1885" t="str">
        <f>IF(Table1[[#This Row],[Actual close date]]="","",Table1[[#This Row],[Actual close date]]-Table1[[#This Row],[Expected close date]])</f>
        <v/>
      </c>
    </row>
    <row r="1886" spans="1:18" x14ac:dyDescent="0.25">
      <c r="A1886" t="s">
        <v>1969</v>
      </c>
      <c r="B1886" t="s">
        <v>76</v>
      </c>
      <c r="C1886" t="s">
        <v>77</v>
      </c>
      <c r="D1886" t="s">
        <v>78</v>
      </c>
      <c r="E1886" t="s">
        <v>42</v>
      </c>
      <c r="F1886" t="s">
        <v>167</v>
      </c>
      <c r="G1886" t="s">
        <v>83</v>
      </c>
      <c r="H1886" s="1">
        <v>45408</v>
      </c>
      <c r="I1886" t="s">
        <v>64</v>
      </c>
      <c r="J1886" t="s">
        <v>1117</v>
      </c>
      <c r="K1886">
        <v>5</v>
      </c>
      <c r="L1886" t="s">
        <v>1907</v>
      </c>
      <c r="M1886">
        <v>5</v>
      </c>
      <c r="N1886">
        <v>5258</v>
      </c>
      <c r="O1886">
        <v>60</v>
      </c>
      <c r="P1886" s="1">
        <v>45520</v>
      </c>
      <c r="Q1886" s="1"/>
      <c r="R1886" t="str">
        <f>IF(Table1[[#This Row],[Actual close date]]="","",Table1[[#This Row],[Actual close date]]-Table1[[#This Row],[Expected close date]])</f>
        <v/>
      </c>
    </row>
    <row r="1887" spans="1:18" x14ac:dyDescent="0.25">
      <c r="A1887" t="s">
        <v>1970</v>
      </c>
      <c r="B1887" t="s">
        <v>39</v>
      </c>
      <c r="C1887" t="s">
        <v>40</v>
      </c>
      <c r="D1887" t="s">
        <v>41</v>
      </c>
      <c r="E1887" t="s">
        <v>21</v>
      </c>
      <c r="F1887" t="s">
        <v>167</v>
      </c>
      <c r="G1887" t="s">
        <v>46</v>
      </c>
      <c r="H1887" s="1">
        <v>45416</v>
      </c>
      <c r="I1887" t="s">
        <v>24</v>
      </c>
      <c r="J1887" t="s">
        <v>1117</v>
      </c>
      <c r="K1887">
        <v>5</v>
      </c>
      <c r="L1887" t="s">
        <v>1907</v>
      </c>
      <c r="M1887">
        <v>5</v>
      </c>
      <c r="N1887">
        <v>1859</v>
      </c>
      <c r="O1887">
        <v>20</v>
      </c>
      <c r="P1887" s="1">
        <v>45731</v>
      </c>
      <c r="Q1887" s="1"/>
      <c r="R1887" t="str">
        <f>IF(Table1[[#This Row],[Actual close date]]="","",Table1[[#This Row],[Actual close date]]-Table1[[#This Row],[Expected close date]])</f>
        <v/>
      </c>
    </row>
    <row r="1888" spans="1:18" x14ac:dyDescent="0.25">
      <c r="A1888" t="s">
        <v>1971</v>
      </c>
      <c r="B1888" t="s">
        <v>59</v>
      </c>
      <c r="C1888" t="s">
        <v>60</v>
      </c>
      <c r="D1888" t="s">
        <v>61</v>
      </c>
      <c r="E1888" t="s">
        <v>21</v>
      </c>
      <c r="F1888" t="s">
        <v>167</v>
      </c>
      <c r="G1888" t="s">
        <v>37</v>
      </c>
      <c r="H1888" s="1">
        <v>45410</v>
      </c>
      <c r="I1888" t="s">
        <v>24</v>
      </c>
      <c r="J1888" t="s">
        <v>1117</v>
      </c>
      <c r="K1888">
        <v>5</v>
      </c>
      <c r="L1888" t="s">
        <v>1907</v>
      </c>
      <c r="M1888">
        <v>5</v>
      </c>
      <c r="N1888">
        <v>2792</v>
      </c>
      <c r="O1888">
        <v>30</v>
      </c>
      <c r="P1888" s="1">
        <v>45687</v>
      </c>
      <c r="Q1888" s="1"/>
      <c r="R1888" t="str">
        <f>IF(Table1[[#This Row],[Actual close date]]="","",Table1[[#This Row],[Actual close date]]-Table1[[#This Row],[Expected close date]])</f>
        <v/>
      </c>
    </row>
    <row r="1889" spans="1:18" x14ac:dyDescent="0.25">
      <c r="A1889" t="s">
        <v>1972</v>
      </c>
      <c r="B1889" t="s">
        <v>54</v>
      </c>
      <c r="C1889" t="s">
        <v>55</v>
      </c>
      <c r="D1889" t="s">
        <v>56</v>
      </c>
      <c r="E1889" t="s">
        <v>21</v>
      </c>
      <c r="F1889" t="s">
        <v>167</v>
      </c>
      <c r="G1889" t="s">
        <v>23</v>
      </c>
      <c r="H1889" s="1">
        <v>45302</v>
      </c>
      <c r="I1889" t="s">
        <v>47</v>
      </c>
      <c r="J1889" t="s">
        <v>1117</v>
      </c>
      <c r="K1889">
        <v>5</v>
      </c>
      <c r="L1889" t="s">
        <v>1907</v>
      </c>
      <c r="M1889">
        <v>5</v>
      </c>
      <c r="N1889">
        <v>7714</v>
      </c>
      <c r="O1889">
        <v>60</v>
      </c>
      <c r="P1889" s="1">
        <v>45607</v>
      </c>
      <c r="Q1889" s="1"/>
      <c r="R1889" t="str">
        <f>IF(Table1[[#This Row],[Actual close date]]="","",Table1[[#This Row],[Actual close date]]-Table1[[#This Row],[Expected close date]])</f>
        <v/>
      </c>
    </row>
    <row r="1890" spans="1:18" x14ac:dyDescent="0.25">
      <c r="A1890" t="s">
        <v>1973</v>
      </c>
      <c r="B1890" t="s">
        <v>39</v>
      </c>
      <c r="C1890" t="s">
        <v>40</v>
      </c>
      <c r="D1890" t="s">
        <v>41</v>
      </c>
      <c r="E1890" t="s">
        <v>36</v>
      </c>
      <c r="F1890" t="s">
        <v>167</v>
      </c>
      <c r="G1890" t="s">
        <v>23</v>
      </c>
      <c r="H1890" s="1">
        <v>45391</v>
      </c>
      <c r="I1890" t="s">
        <v>64</v>
      </c>
      <c r="J1890" t="s">
        <v>1117</v>
      </c>
      <c r="K1890">
        <v>5</v>
      </c>
      <c r="L1890" t="s">
        <v>1907</v>
      </c>
      <c r="M1890">
        <v>5</v>
      </c>
      <c r="N1890">
        <v>774</v>
      </c>
      <c r="O1890">
        <v>30</v>
      </c>
      <c r="P1890" s="1">
        <v>45544</v>
      </c>
      <c r="Q1890" s="1"/>
      <c r="R1890" t="str">
        <f>IF(Table1[[#This Row],[Actual close date]]="","",Table1[[#This Row],[Actual close date]]-Table1[[#This Row],[Expected close date]])</f>
        <v/>
      </c>
    </row>
    <row r="1891" spans="1:18" x14ac:dyDescent="0.25">
      <c r="A1891" t="s">
        <v>1974</v>
      </c>
      <c r="B1891" t="s">
        <v>33</v>
      </c>
      <c r="C1891" t="s">
        <v>34</v>
      </c>
      <c r="D1891" t="s">
        <v>35</v>
      </c>
      <c r="E1891" t="s">
        <v>42</v>
      </c>
      <c r="F1891" t="s">
        <v>167</v>
      </c>
      <c r="G1891" t="s">
        <v>46</v>
      </c>
      <c r="H1891" s="1">
        <v>45420</v>
      </c>
      <c r="I1891" t="s">
        <v>24</v>
      </c>
      <c r="J1891" t="s">
        <v>1117</v>
      </c>
      <c r="K1891">
        <v>5</v>
      </c>
      <c r="L1891" t="s">
        <v>1907</v>
      </c>
      <c r="M1891">
        <v>5</v>
      </c>
      <c r="N1891">
        <v>4719</v>
      </c>
      <c r="O1891">
        <v>60</v>
      </c>
      <c r="P1891" s="1">
        <v>45774</v>
      </c>
      <c r="Q1891" s="1"/>
      <c r="R1891" t="str">
        <f>IF(Table1[[#This Row],[Actual close date]]="","",Table1[[#This Row],[Actual close date]]-Table1[[#This Row],[Expected close date]])</f>
        <v/>
      </c>
    </row>
    <row r="1892" spans="1:18" x14ac:dyDescent="0.25">
      <c r="A1892" t="s">
        <v>1975</v>
      </c>
      <c r="B1892" t="s">
        <v>49</v>
      </c>
      <c r="C1892" t="s">
        <v>50</v>
      </c>
      <c r="D1892" t="s">
        <v>51</v>
      </c>
      <c r="E1892" t="s">
        <v>21</v>
      </c>
      <c r="F1892" t="s">
        <v>167</v>
      </c>
      <c r="G1892" t="s">
        <v>46</v>
      </c>
      <c r="H1892" s="1">
        <v>45435</v>
      </c>
      <c r="I1892" t="s">
        <v>24</v>
      </c>
      <c r="J1892" t="s">
        <v>1117</v>
      </c>
      <c r="K1892">
        <v>5</v>
      </c>
      <c r="L1892" t="s">
        <v>1907</v>
      </c>
      <c r="M1892">
        <v>5</v>
      </c>
      <c r="N1892">
        <v>984</v>
      </c>
      <c r="O1892">
        <v>30</v>
      </c>
      <c r="P1892" s="1">
        <v>45460</v>
      </c>
      <c r="Q1892" s="1"/>
      <c r="R1892" t="str">
        <f>IF(Table1[[#This Row],[Actual close date]]="","",Table1[[#This Row],[Actual close date]]-Table1[[#This Row],[Expected close date]])</f>
        <v/>
      </c>
    </row>
    <row r="1893" spans="1:18" x14ac:dyDescent="0.25">
      <c r="A1893" t="s">
        <v>1976</v>
      </c>
      <c r="B1893" t="s">
        <v>49</v>
      </c>
      <c r="C1893" t="s">
        <v>50</v>
      </c>
      <c r="D1893" t="s">
        <v>51</v>
      </c>
      <c r="E1893" t="s">
        <v>101</v>
      </c>
      <c r="F1893" t="s">
        <v>167</v>
      </c>
      <c r="G1893" t="s">
        <v>23</v>
      </c>
      <c r="H1893" s="1">
        <v>45348</v>
      </c>
      <c r="I1893" t="s">
        <v>24</v>
      </c>
      <c r="J1893" t="s">
        <v>1117</v>
      </c>
      <c r="K1893">
        <v>5</v>
      </c>
      <c r="L1893" t="s">
        <v>1907</v>
      </c>
      <c r="M1893">
        <v>5</v>
      </c>
      <c r="N1893">
        <v>2665</v>
      </c>
      <c r="O1893">
        <v>40</v>
      </c>
      <c r="P1893" s="1">
        <v>45632</v>
      </c>
      <c r="Q1893" s="1"/>
      <c r="R1893" t="str">
        <f>IF(Table1[[#This Row],[Actual close date]]="","",Table1[[#This Row],[Actual close date]]-Table1[[#This Row],[Expected close date]])</f>
        <v/>
      </c>
    </row>
    <row r="1894" spans="1:18" x14ac:dyDescent="0.25">
      <c r="A1894" t="s">
        <v>1977</v>
      </c>
      <c r="B1894" t="s">
        <v>33</v>
      </c>
      <c r="C1894" t="s">
        <v>34</v>
      </c>
      <c r="D1894" t="s">
        <v>35</v>
      </c>
      <c r="E1894" t="s">
        <v>45</v>
      </c>
      <c r="F1894" t="s">
        <v>167</v>
      </c>
      <c r="G1894" t="s">
        <v>57</v>
      </c>
      <c r="H1894" s="1">
        <v>45363</v>
      </c>
      <c r="I1894" t="s">
        <v>64</v>
      </c>
      <c r="J1894" t="s">
        <v>1117</v>
      </c>
      <c r="K1894">
        <v>5</v>
      </c>
      <c r="L1894" t="s">
        <v>1907</v>
      </c>
      <c r="M1894">
        <v>5</v>
      </c>
      <c r="N1894">
        <v>225</v>
      </c>
      <c r="O1894">
        <v>40</v>
      </c>
      <c r="P1894" s="1">
        <v>45389</v>
      </c>
      <c r="Q1894" s="1"/>
      <c r="R1894" t="str">
        <f>IF(Table1[[#This Row],[Actual close date]]="","",Table1[[#This Row],[Actual close date]]-Table1[[#This Row],[Expected close date]])</f>
        <v/>
      </c>
    </row>
    <row r="1895" spans="1:18" x14ac:dyDescent="0.25">
      <c r="A1895" t="s">
        <v>1978</v>
      </c>
      <c r="B1895" t="s">
        <v>33</v>
      </c>
      <c r="C1895" t="s">
        <v>34</v>
      </c>
      <c r="D1895" t="s">
        <v>35</v>
      </c>
      <c r="E1895" t="s">
        <v>42</v>
      </c>
      <c r="F1895" t="s">
        <v>167</v>
      </c>
      <c r="G1895" t="s">
        <v>57</v>
      </c>
      <c r="H1895" s="1">
        <v>45343</v>
      </c>
      <c r="I1895" t="s">
        <v>47</v>
      </c>
      <c r="J1895" t="s">
        <v>1117</v>
      </c>
      <c r="K1895">
        <v>5</v>
      </c>
      <c r="L1895" t="s">
        <v>1907</v>
      </c>
      <c r="M1895">
        <v>5</v>
      </c>
      <c r="N1895">
        <v>412</v>
      </c>
      <c r="O1895">
        <v>30</v>
      </c>
      <c r="P1895" s="1">
        <v>45637</v>
      </c>
      <c r="Q1895" s="1"/>
      <c r="R1895" t="str">
        <f>IF(Table1[[#This Row],[Actual close date]]="","",Table1[[#This Row],[Actual close date]]-Table1[[#This Row],[Expected close date]])</f>
        <v/>
      </c>
    </row>
    <row r="1896" spans="1:18" x14ac:dyDescent="0.25">
      <c r="A1896" t="s">
        <v>1979</v>
      </c>
      <c r="B1896" t="s">
        <v>39</v>
      </c>
      <c r="C1896" t="s">
        <v>40</v>
      </c>
      <c r="D1896" t="s">
        <v>41</v>
      </c>
      <c r="E1896" t="s">
        <v>21</v>
      </c>
      <c r="F1896" t="s">
        <v>167</v>
      </c>
      <c r="G1896" t="s">
        <v>37</v>
      </c>
      <c r="H1896" s="1">
        <v>45374</v>
      </c>
      <c r="I1896" t="s">
        <v>24</v>
      </c>
      <c r="J1896" t="s">
        <v>1117</v>
      </c>
      <c r="K1896">
        <v>5</v>
      </c>
      <c r="L1896" t="s">
        <v>1907</v>
      </c>
      <c r="M1896">
        <v>5</v>
      </c>
      <c r="N1896">
        <v>5878</v>
      </c>
      <c r="O1896">
        <v>40</v>
      </c>
      <c r="P1896" s="1">
        <v>45562</v>
      </c>
      <c r="Q1896" s="1"/>
      <c r="R1896" t="str">
        <f>IF(Table1[[#This Row],[Actual close date]]="","",Table1[[#This Row],[Actual close date]]-Table1[[#This Row],[Expected close date]])</f>
        <v/>
      </c>
    </row>
    <row r="1897" spans="1:18" x14ac:dyDescent="0.25">
      <c r="A1897" t="s">
        <v>1980</v>
      </c>
      <c r="B1897" t="s">
        <v>33</v>
      </c>
      <c r="C1897" t="s">
        <v>34</v>
      </c>
      <c r="D1897" t="s">
        <v>35</v>
      </c>
      <c r="E1897" t="s">
        <v>122</v>
      </c>
      <c r="F1897" t="s">
        <v>167</v>
      </c>
      <c r="G1897" t="s">
        <v>46</v>
      </c>
      <c r="H1897" s="1">
        <v>45381</v>
      </c>
      <c r="I1897" t="s">
        <v>47</v>
      </c>
      <c r="J1897" t="s">
        <v>1117</v>
      </c>
      <c r="K1897">
        <v>5</v>
      </c>
      <c r="L1897" t="s">
        <v>1907</v>
      </c>
      <c r="M1897">
        <v>5</v>
      </c>
      <c r="N1897">
        <v>5193</v>
      </c>
      <c r="O1897">
        <v>70</v>
      </c>
      <c r="P1897" s="1">
        <v>45613</v>
      </c>
      <c r="Q1897" s="1"/>
      <c r="R1897" t="str">
        <f>IF(Table1[[#This Row],[Actual close date]]="","",Table1[[#This Row],[Actual close date]]-Table1[[#This Row],[Expected close date]])</f>
        <v/>
      </c>
    </row>
    <row r="1898" spans="1:18" x14ac:dyDescent="0.25">
      <c r="A1898" t="s">
        <v>1981</v>
      </c>
      <c r="B1898" t="s">
        <v>76</v>
      </c>
      <c r="C1898" t="s">
        <v>77</v>
      </c>
      <c r="D1898" t="s">
        <v>78</v>
      </c>
      <c r="E1898" t="s">
        <v>52</v>
      </c>
      <c r="F1898" t="s">
        <v>167</v>
      </c>
      <c r="G1898" t="s">
        <v>46</v>
      </c>
      <c r="H1898" s="1">
        <v>45356</v>
      </c>
      <c r="I1898" t="s">
        <v>24</v>
      </c>
      <c r="J1898" t="s">
        <v>1117</v>
      </c>
      <c r="K1898">
        <v>5</v>
      </c>
      <c r="L1898" t="s">
        <v>1907</v>
      </c>
      <c r="M1898">
        <v>5</v>
      </c>
      <c r="N1898">
        <v>3104</v>
      </c>
      <c r="O1898">
        <v>20</v>
      </c>
      <c r="P1898" s="1">
        <v>45706</v>
      </c>
      <c r="Q1898" s="1"/>
      <c r="R1898" t="str">
        <f>IF(Table1[[#This Row],[Actual close date]]="","",Table1[[#This Row],[Actual close date]]-Table1[[#This Row],[Expected close date]])</f>
        <v/>
      </c>
    </row>
    <row r="1899" spans="1:18" x14ac:dyDescent="0.25">
      <c r="A1899" t="s">
        <v>1982</v>
      </c>
      <c r="B1899" t="s">
        <v>59</v>
      </c>
      <c r="C1899" t="s">
        <v>60</v>
      </c>
      <c r="D1899" t="s">
        <v>61</v>
      </c>
      <c r="E1899" t="s">
        <v>45</v>
      </c>
      <c r="F1899" t="s">
        <v>167</v>
      </c>
      <c r="G1899" t="s">
        <v>31</v>
      </c>
      <c r="H1899" s="1">
        <v>45410</v>
      </c>
      <c r="I1899" t="s">
        <v>24</v>
      </c>
      <c r="J1899" t="s">
        <v>1117</v>
      </c>
      <c r="K1899">
        <v>5</v>
      </c>
      <c r="L1899" t="s">
        <v>1907</v>
      </c>
      <c r="M1899">
        <v>5</v>
      </c>
      <c r="N1899">
        <v>369</v>
      </c>
      <c r="O1899">
        <v>60</v>
      </c>
      <c r="P1899" s="1">
        <v>45471</v>
      </c>
      <c r="Q1899" s="1"/>
      <c r="R1899" t="str">
        <f>IF(Table1[[#This Row],[Actual close date]]="","",Table1[[#This Row],[Actual close date]]-Table1[[#This Row],[Expected close date]])</f>
        <v/>
      </c>
    </row>
    <row r="1900" spans="1:18" x14ac:dyDescent="0.25">
      <c r="A1900" t="s">
        <v>1983</v>
      </c>
      <c r="B1900" t="s">
        <v>18</v>
      </c>
      <c r="C1900" t="s">
        <v>19</v>
      </c>
      <c r="D1900" t="s">
        <v>20</v>
      </c>
      <c r="E1900" t="s">
        <v>52</v>
      </c>
      <c r="F1900" t="s">
        <v>167</v>
      </c>
      <c r="G1900" t="s">
        <v>46</v>
      </c>
      <c r="H1900" s="1">
        <v>45400</v>
      </c>
      <c r="I1900" t="s">
        <v>64</v>
      </c>
      <c r="J1900" t="s">
        <v>1117</v>
      </c>
      <c r="K1900">
        <v>5</v>
      </c>
      <c r="L1900" t="s">
        <v>1907</v>
      </c>
      <c r="M1900">
        <v>5</v>
      </c>
      <c r="N1900">
        <v>7428</v>
      </c>
      <c r="O1900">
        <v>90</v>
      </c>
      <c r="P1900" s="1">
        <v>45436</v>
      </c>
      <c r="Q1900" s="1"/>
      <c r="R1900" t="str">
        <f>IF(Table1[[#This Row],[Actual close date]]="","",Table1[[#This Row],[Actual close date]]-Table1[[#This Row],[Expected close date]])</f>
        <v/>
      </c>
    </row>
    <row r="1901" spans="1:18" x14ac:dyDescent="0.25">
      <c r="A1901" t="s">
        <v>1984</v>
      </c>
      <c r="B1901" t="s">
        <v>49</v>
      </c>
      <c r="C1901" t="s">
        <v>50</v>
      </c>
      <c r="D1901" t="s">
        <v>51</v>
      </c>
      <c r="E1901" t="s">
        <v>45</v>
      </c>
      <c r="F1901" t="s">
        <v>167</v>
      </c>
      <c r="G1901" t="s">
        <v>46</v>
      </c>
      <c r="H1901" s="1">
        <v>45392</v>
      </c>
      <c r="I1901" t="s">
        <v>64</v>
      </c>
      <c r="J1901" t="s">
        <v>1117</v>
      </c>
      <c r="K1901">
        <v>5</v>
      </c>
      <c r="L1901" t="s">
        <v>1907</v>
      </c>
      <c r="M1901">
        <v>5</v>
      </c>
      <c r="N1901">
        <v>5810</v>
      </c>
      <c r="O1901">
        <v>50</v>
      </c>
      <c r="P1901" s="1">
        <v>45433</v>
      </c>
      <c r="Q1901" s="1"/>
      <c r="R1901" t="str">
        <f>IF(Table1[[#This Row],[Actual close date]]="","",Table1[[#This Row],[Actual close date]]-Table1[[#This Row],[Expected close date]])</f>
        <v/>
      </c>
    </row>
    <row r="1902" spans="1:18" x14ac:dyDescent="0.25">
      <c r="A1902" t="s">
        <v>1985</v>
      </c>
      <c r="B1902" t="s">
        <v>33</v>
      </c>
      <c r="C1902" t="s">
        <v>34</v>
      </c>
      <c r="D1902" t="s">
        <v>35</v>
      </c>
      <c r="E1902" t="s">
        <v>52</v>
      </c>
      <c r="F1902" t="s">
        <v>167</v>
      </c>
      <c r="G1902" t="s">
        <v>83</v>
      </c>
      <c r="H1902" s="1">
        <v>45371</v>
      </c>
      <c r="I1902" t="s">
        <v>24</v>
      </c>
      <c r="J1902" t="s">
        <v>1117</v>
      </c>
      <c r="K1902">
        <v>5</v>
      </c>
      <c r="L1902" t="s">
        <v>1907</v>
      </c>
      <c r="M1902">
        <v>5</v>
      </c>
      <c r="N1902">
        <v>3930</v>
      </c>
      <c r="O1902">
        <v>20</v>
      </c>
      <c r="P1902" s="1">
        <v>45463</v>
      </c>
      <c r="Q1902" s="1"/>
      <c r="R1902" t="str">
        <f>IF(Table1[[#This Row],[Actual close date]]="","",Table1[[#This Row],[Actual close date]]-Table1[[#This Row],[Expected close date]])</f>
        <v/>
      </c>
    </row>
    <row r="1903" spans="1:18" x14ac:dyDescent="0.25">
      <c r="A1903" t="s">
        <v>1986</v>
      </c>
      <c r="B1903" t="s">
        <v>33</v>
      </c>
      <c r="C1903" t="s">
        <v>34</v>
      </c>
      <c r="D1903" t="s">
        <v>35</v>
      </c>
      <c r="E1903" t="s">
        <v>52</v>
      </c>
      <c r="F1903" t="s">
        <v>167</v>
      </c>
      <c r="G1903" t="s">
        <v>31</v>
      </c>
      <c r="H1903" s="1">
        <v>45419</v>
      </c>
      <c r="I1903" t="s">
        <v>24</v>
      </c>
      <c r="J1903" t="s">
        <v>1117</v>
      </c>
      <c r="K1903">
        <v>5</v>
      </c>
      <c r="L1903" t="s">
        <v>1907</v>
      </c>
      <c r="M1903">
        <v>5</v>
      </c>
      <c r="N1903">
        <v>225</v>
      </c>
      <c r="O1903">
        <v>50</v>
      </c>
      <c r="P1903" s="1">
        <v>45470</v>
      </c>
      <c r="Q1903" s="1"/>
      <c r="R1903" t="str">
        <f>IF(Table1[[#This Row],[Actual close date]]="","",Table1[[#This Row],[Actual close date]]-Table1[[#This Row],[Expected close date]])</f>
        <v/>
      </c>
    </row>
    <row r="1904" spans="1:18" x14ac:dyDescent="0.25">
      <c r="A1904" t="s">
        <v>1987</v>
      </c>
      <c r="B1904" t="s">
        <v>33</v>
      </c>
      <c r="C1904" t="s">
        <v>34</v>
      </c>
      <c r="D1904" t="s">
        <v>35</v>
      </c>
      <c r="E1904" t="s">
        <v>30</v>
      </c>
      <c r="F1904" t="s">
        <v>239</v>
      </c>
      <c r="G1904" t="s">
        <v>83</v>
      </c>
      <c r="H1904" s="1">
        <v>45330</v>
      </c>
      <c r="I1904" t="s">
        <v>64</v>
      </c>
      <c r="J1904" t="s">
        <v>1117</v>
      </c>
      <c r="K1904">
        <v>5</v>
      </c>
      <c r="L1904" t="s">
        <v>1907</v>
      </c>
      <c r="M1904">
        <v>5</v>
      </c>
      <c r="N1904">
        <v>16393</v>
      </c>
      <c r="O1904">
        <v>50</v>
      </c>
      <c r="P1904" s="1">
        <v>45443</v>
      </c>
      <c r="Q1904" s="1"/>
      <c r="R1904" t="str">
        <f>IF(Table1[[#This Row],[Actual close date]]="","",Table1[[#This Row],[Actual close date]]-Table1[[#This Row],[Expected close date]])</f>
        <v/>
      </c>
    </row>
    <row r="1905" spans="1:18" x14ac:dyDescent="0.25">
      <c r="A1905" t="s">
        <v>1988</v>
      </c>
      <c r="B1905" t="s">
        <v>54</v>
      </c>
      <c r="C1905" t="s">
        <v>55</v>
      </c>
      <c r="D1905" t="s">
        <v>56</v>
      </c>
      <c r="E1905" t="s">
        <v>21</v>
      </c>
      <c r="F1905" t="s">
        <v>246</v>
      </c>
      <c r="G1905" t="s">
        <v>83</v>
      </c>
      <c r="H1905" s="1">
        <v>45330</v>
      </c>
      <c r="I1905" t="s">
        <v>47</v>
      </c>
      <c r="J1905" t="s">
        <v>1117</v>
      </c>
      <c r="K1905">
        <v>5</v>
      </c>
      <c r="L1905" t="s">
        <v>1907</v>
      </c>
      <c r="M1905">
        <v>5</v>
      </c>
      <c r="N1905">
        <v>6516</v>
      </c>
      <c r="O1905">
        <v>90</v>
      </c>
      <c r="P1905" s="1">
        <v>45627</v>
      </c>
      <c r="Q1905" s="1"/>
      <c r="R1905" t="str">
        <f>IF(Table1[[#This Row],[Actual close date]]="","",Table1[[#This Row],[Actual close date]]-Table1[[#This Row],[Expected close date]])</f>
        <v/>
      </c>
    </row>
    <row r="1906" spans="1:18" x14ac:dyDescent="0.25">
      <c r="A1906" t="s">
        <v>1989</v>
      </c>
      <c r="B1906" t="s">
        <v>39</v>
      </c>
      <c r="C1906" t="s">
        <v>40</v>
      </c>
      <c r="D1906" t="s">
        <v>41</v>
      </c>
      <c r="E1906" t="s">
        <v>21</v>
      </c>
      <c r="F1906" t="s">
        <v>246</v>
      </c>
      <c r="G1906" t="s">
        <v>37</v>
      </c>
      <c r="H1906" s="1">
        <v>45332</v>
      </c>
      <c r="I1906" t="s">
        <v>47</v>
      </c>
      <c r="J1906" t="s">
        <v>1117</v>
      </c>
      <c r="K1906">
        <v>5</v>
      </c>
      <c r="L1906" t="s">
        <v>1907</v>
      </c>
      <c r="M1906">
        <v>5</v>
      </c>
      <c r="N1906">
        <v>5433</v>
      </c>
      <c r="O1906">
        <v>30</v>
      </c>
      <c r="P1906" s="1">
        <v>45414</v>
      </c>
      <c r="Q1906" s="1"/>
      <c r="R1906" t="str">
        <f>IF(Table1[[#This Row],[Actual close date]]="","",Table1[[#This Row],[Actual close date]]-Table1[[#This Row],[Expected close date]])</f>
        <v/>
      </c>
    </row>
    <row r="1907" spans="1:18" x14ac:dyDescent="0.25">
      <c r="A1907" t="s">
        <v>1990</v>
      </c>
      <c r="B1907" t="s">
        <v>39</v>
      </c>
      <c r="C1907" t="s">
        <v>40</v>
      </c>
      <c r="D1907" t="s">
        <v>41</v>
      </c>
      <c r="E1907" t="s">
        <v>45</v>
      </c>
      <c r="F1907" t="s">
        <v>22</v>
      </c>
      <c r="G1907" t="s">
        <v>72</v>
      </c>
      <c r="H1907" s="1">
        <v>45380</v>
      </c>
      <c r="I1907" t="s">
        <v>64</v>
      </c>
      <c r="J1907" t="s">
        <v>1991</v>
      </c>
      <c r="K1907">
        <v>2</v>
      </c>
      <c r="N1907">
        <v>1044</v>
      </c>
      <c r="O1907">
        <v>40</v>
      </c>
      <c r="P1907" s="1">
        <v>45718</v>
      </c>
      <c r="Q1907" s="1"/>
      <c r="R1907" t="str">
        <f>IF(Table1[[#This Row],[Actual close date]]="","",Table1[[#This Row],[Actual close date]]-Table1[[#This Row],[Expected close date]])</f>
        <v/>
      </c>
    </row>
    <row r="1908" spans="1:18" x14ac:dyDescent="0.25">
      <c r="A1908" t="s">
        <v>1992</v>
      </c>
      <c r="B1908" t="s">
        <v>39</v>
      </c>
      <c r="C1908" t="s">
        <v>40</v>
      </c>
      <c r="D1908" t="s">
        <v>41</v>
      </c>
      <c r="E1908" t="s">
        <v>42</v>
      </c>
      <c r="F1908" t="s">
        <v>22</v>
      </c>
      <c r="G1908" t="s">
        <v>37</v>
      </c>
      <c r="H1908" s="1">
        <v>45397</v>
      </c>
      <c r="I1908" t="s">
        <v>47</v>
      </c>
      <c r="J1908" t="s">
        <v>1991</v>
      </c>
      <c r="K1908">
        <v>2</v>
      </c>
      <c r="N1908">
        <v>1251</v>
      </c>
      <c r="O1908">
        <v>30</v>
      </c>
      <c r="P1908" s="1">
        <v>45494</v>
      </c>
      <c r="Q1908" s="1"/>
      <c r="R1908" t="str">
        <f>IF(Table1[[#This Row],[Actual close date]]="","",Table1[[#This Row],[Actual close date]]-Table1[[#This Row],[Expected close date]])</f>
        <v/>
      </c>
    </row>
    <row r="1909" spans="1:18" x14ac:dyDescent="0.25">
      <c r="A1909" t="s">
        <v>1993</v>
      </c>
      <c r="B1909" t="s">
        <v>27</v>
      </c>
      <c r="C1909" t="s">
        <v>28</v>
      </c>
      <c r="D1909" t="s">
        <v>29</v>
      </c>
      <c r="E1909" t="s">
        <v>52</v>
      </c>
      <c r="F1909" t="s">
        <v>22</v>
      </c>
      <c r="G1909" t="s">
        <v>46</v>
      </c>
      <c r="H1909" s="1">
        <v>45324</v>
      </c>
      <c r="I1909" t="s">
        <v>24</v>
      </c>
      <c r="J1909" t="s">
        <v>1991</v>
      </c>
      <c r="K1909">
        <v>2</v>
      </c>
      <c r="N1909">
        <v>1825</v>
      </c>
      <c r="O1909">
        <v>60</v>
      </c>
      <c r="P1909" s="1">
        <v>45467</v>
      </c>
      <c r="Q1909" s="1"/>
      <c r="R1909" t="str">
        <f>IF(Table1[[#This Row],[Actual close date]]="","",Table1[[#This Row],[Actual close date]]-Table1[[#This Row],[Expected close date]])</f>
        <v/>
      </c>
    </row>
    <row r="1910" spans="1:18" x14ac:dyDescent="0.25">
      <c r="A1910" t="s">
        <v>1994</v>
      </c>
      <c r="B1910" t="s">
        <v>33</v>
      </c>
      <c r="C1910" t="s">
        <v>34</v>
      </c>
      <c r="D1910" t="s">
        <v>35</v>
      </c>
      <c r="E1910" t="s">
        <v>52</v>
      </c>
      <c r="F1910" t="s">
        <v>22</v>
      </c>
      <c r="G1910" t="s">
        <v>37</v>
      </c>
      <c r="H1910" s="1">
        <v>45293</v>
      </c>
      <c r="I1910" t="s">
        <v>64</v>
      </c>
      <c r="J1910" t="s">
        <v>1991</v>
      </c>
      <c r="K1910">
        <v>2</v>
      </c>
      <c r="N1910">
        <v>1812</v>
      </c>
      <c r="O1910">
        <v>80</v>
      </c>
      <c r="P1910" s="1">
        <v>45380</v>
      </c>
      <c r="Q1910" s="1"/>
      <c r="R1910" t="str">
        <f>IF(Table1[[#This Row],[Actual close date]]="","",Table1[[#This Row],[Actual close date]]-Table1[[#This Row],[Expected close date]])</f>
        <v/>
      </c>
    </row>
    <row r="1911" spans="1:18" x14ac:dyDescent="0.25">
      <c r="A1911" t="s">
        <v>1995</v>
      </c>
      <c r="B1911" t="s">
        <v>59</v>
      </c>
      <c r="C1911" t="s">
        <v>60</v>
      </c>
      <c r="D1911" t="s">
        <v>61</v>
      </c>
      <c r="E1911" t="s">
        <v>42</v>
      </c>
      <c r="F1911" t="s">
        <v>22</v>
      </c>
      <c r="G1911" t="s">
        <v>57</v>
      </c>
      <c r="H1911" s="1">
        <v>45411</v>
      </c>
      <c r="I1911" t="s">
        <v>24</v>
      </c>
      <c r="J1911" t="s">
        <v>1991</v>
      </c>
      <c r="K1911">
        <v>2</v>
      </c>
      <c r="N1911">
        <v>1948</v>
      </c>
      <c r="O1911">
        <v>70</v>
      </c>
      <c r="P1911" s="1">
        <v>45740</v>
      </c>
      <c r="Q1911" s="1"/>
      <c r="R1911" t="str">
        <f>IF(Table1[[#This Row],[Actual close date]]="","",Table1[[#This Row],[Actual close date]]-Table1[[#This Row],[Expected close date]])</f>
        <v/>
      </c>
    </row>
    <row r="1912" spans="1:18" x14ac:dyDescent="0.25">
      <c r="A1912" t="s">
        <v>1996</v>
      </c>
      <c r="B1912" t="s">
        <v>76</v>
      </c>
      <c r="C1912" t="s">
        <v>77</v>
      </c>
      <c r="D1912" t="s">
        <v>78</v>
      </c>
      <c r="E1912" t="s">
        <v>52</v>
      </c>
      <c r="F1912" t="s">
        <v>22</v>
      </c>
      <c r="G1912" t="s">
        <v>57</v>
      </c>
      <c r="H1912" s="1">
        <v>45313</v>
      </c>
      <c r="I1912" t="s">
        <v>24</v>
      </c>
      <c r="J1912" t="s">
        <v>1991</v>
      </c>
      <c r="K1912">
        <v>2</v>
      </c>
      <c r="N1912">
        <v>978</v>
      </c>
      <c r="O1912">
        <v>20</v>
      </c>
      <c r="P1912" s="1">
        <v>45535</v>
      </c>
      <c r="Q1912" s="1"/>
      <c r="R1912" t="str">
        <f>IF(Table1[[#This Row],[Actual close date]]="","",Table1[[#This Row],[Actual close date]]-Table1[[#This Row],[Expected close date]])</f>
        <v/>
      </c>
    </row>
    <row r="1913" spans="1:18" x14ac:dyDescent="0.25">
      <c r="A1913" t="s">
        <v>1997</v>
      </c>
      <c r="B1913" t="s">
        <v>76</v>
      </c>
      <c r="C1913" t="s">
        <v>77</v>
      </c>
      <c r="D1913" t="s">
        <v>78</v>
      </c>
      <c r="E1913" t="s">
        <v>101</v>
      </c>
      <c r="F1913" t="s">
        <v>22</v>
      </c>
      <c r="G1913" t="s">
        <v>57</v>
      </c>
      <c r="H1913" s="1">
        <v>45363</v>
      </c>
      <c r="I1913" t="s">
        <v>24</v>
      </c>
      <c r="J1913" t="s">
        <v>1991</v>
      </c>
      <c r="K1913">
        <v>2</v>
      </c>
      <c r="N1913">
        <v>1815</v>
      </c>
      <c r="O1913">
        <v>70</v>
      </c>
      <c r="P1913" s="1">
        <v>45685</v>
      </c>
      <c r="Q1913" s="1"/>
      <c r="R1913" t="str">
        <f>IF(Table1[[#This Row],[Actual close date]]="","",Table1[[#This Row],[Actual close date]]-Table1[[#This Row],[Expected close date]])</f>
        <v/>
      </c>
    </row>
    <row r="1914" spans="1:18" x14ac:dyDescent="0.25">
      <c r="A1914" t="s">
        <v>1998</v>
      </c>
      <c r="B1914" t="s">
        <v>33</v>
      </c>
      <c r="C1914" t="s">
        <v>34</v>
      </c>
      <c r="D1914" t="s">
        <v>35</v>
      </c>
      <c r="E1914" t="s">
        <v>101</v>
      </c>
      <c r="F1914" t="s">
        <v>22</v>
      </c>
      <c r="G1914" t="s">
        <v>57</v>
      </c>
      <c r="H1914" s="1">
        <v>45311</v>
      </c>
      <c r="I1914" t="s">
        <v>24</v>
      </c>
      <c r="J1914" t="s">
        <v>1991</v>
      </c>
      <c r="K1914">
        <v>2</v>
      </c>
      <c r="N1914">
        <v>879</v>
      </c>
      <c r="O1914">
        <v>100</v>
      </c>
      <c r="P1914" s="1">
        <v>45470</v>
      </c>
      <c r="Q1914" s="1"/>
      <c r="R1914" t="str">
        <f>IF(Table1[[#This Row],[Actual close date]]="","",Table1[[#This Row],[Actual close date]]-Table1[[#This Row],[Expected close date]])</f>
        <v/>
      </c>
    </row>
    <row r="1915" spans="1:18" x14ac:dyDescent="0.25">
      <c r="A1915" t="s">
        <v>1999</v>
      </c>
      <c r="B1915" t="s">
        <v>59</v>
      </c>
      <c r="C1915" t="s">
        <v>60</v>
      </c>
      <c r="D1915" t="s">
        <v>61</v>
      </c>
      <c r="E1915" t="s">
        <v>101</v>
      </c>
      <c r="F1915" t="s">
        <v>22</v>
      </c>
      <c r="G1915" t="s">
        <v>23</v>
      </c>
      <c r="H1915" s="1">
        <v>45352</v>
      </c>
      <c r="I1915" t="s">
        <v>64</v>
      </c>
      <c r="J1915" t="s">
        <v>1991</v>
      </c>
      <c r="K1915">
        <v>2</v>
      </c>
      <c r="N1915">
        <v>665</v>
      </c>
      <c r="O1915">
        <v>40</v>
      </c>
      <c r="P1915" s="1">
        <v>45474</v>
      </c>
      <c r="Q1915" s="1"/>
      <c r="R1915" t="str">
        <f>IF(Table1[[#This Row],[Actual close date]]="","",Table1[[#This Row],[Actual close date]]-Table1[[#This Row],[Expected close date]])</f>
        <v/>
      </c>
    </row>
    <row r="1916" spans="1:18" x14ac:dyDescent="0.25">
      <c r="A1916" t="s">
        <v>2000</v>
      </c>
      <c r="B1916" t="s">
        <v>33</v>
      </c>
      <c r="C1916" t="s">
        <v>34</v>
      </c>
      <c r="D1916" t="s">
        <v>35</v>
      </c>
      <c r="E1916" t="s">
        <v>45</v>
      </c>
      <c r="F1916" t="s">
        <v>22</v>
      </c>
      <c r="G1916" t="s">
        <v>46</v>
      </c>
      <c r="H1916" s="1">
        <v>45443</v>
      </c>
      <c r="I1916" t="s">
        <v>24</v>
      </c>
      <c r="J1916" t="s">
        <v>1991</v>
      </c>
      <c r="K1916">
        <v>2</v>
      </c>
      <c r="N1916">
        <v>268</v>
      </c>
      <c r="O1916">
        <v>40</v>
      </c>
      <c r="P1916" s="1">
        <v>45466</v>
      </c>
      <c r="Q1916" s="1"/>
      <c r="R1916" t="str">
        <f>IF(Table1[[#This Row],[Actual close date]]="","",Table1[[#This Row],[Actual close date]]-Table1[[#This Row],[Expected close date]])</f>
        <v/>
      </c>
    </row>
    <row r="1917" spans="1:18" x14ac:dyDescent="0.25">
      <c r="A1917" t="s">
        <v>2001</v>
      </c>
      <c r="B1917" t="s">
        <v>33</v>
      </c>
      <c r="C1917" t="s">
        <v>34</v>
      </c>
      <c r="D1917" t="s">
        <v>35</v>
      </c>
      <c r="E1917" t="s">
        <v>118</v>
      </c>
      <c r="F1917" t="s">
        <v>22</v>
      </c>
      <c r="G1917" t="s">
        <v>72</v>
      </c>
      <c r="H1917" s="1">
        <v>45406</v>
      </c>
      <c r="I1917" t="s">
        <v>47</v>
      </c>
      <c r="J1917" t="s">
        <v>1991</v>
      </c>
      <c r="K1917">
        <v>2</v>
      </c>
      <c r="N1917">
        <v>1387</v>
      </c>
      <c r="O1917">
        <v>50</v>
      </c>
      <c r="P1917" s="1">
        <v>45702</v>
      </c>
      <c r="Q1917" s="1"/>
      <c r="R1917" t="str">
        <f>IF(Table1[[#This Row],[Actual close date]]="","",Table1[[#This Row],[Actual close date]]-Table1[[#This Row],[Expected close date]])</f>
        <v/>
      </c>
    </row>
    <row r="1918" spans="1:18" x14ac:dyDescent="0.25">
      <c r="A1918" t="s">
        <v>2002</v>
      </c>
      <c r="B1918" t="s">
        <v>49</v>
      </c>
      <c r="C1918" t="s">
        <v>50</v>
      </c>
      <c r="D1918" t="s">
        <v>51</v>
      </c>
      <c r="E1918" t="s">
        <v>36</v>
      </c>
      <c r="F1918" t="s">
        <v>22</v>
      </c>
      <c r="G1918" t="s">
        <v>85</v>
      </c>
      <c r="H1918" s="1">
        <v>45352</v>
      </c>
      <c r="I1918" t="s">
        <v>24</v>
      </c>
      <c r="J1918" t="s">
        <v>1991</v>
      </c>
      <c r="K1918">
        <v>2</v>
      </c>
      <c r="N1918">
        <v>207</v>
      </c>
      <c r="O1918">
        <v>40</v>
      </c>
      <c r="P1918" s="1">
        <v>45539</v>
      </c>
      <c r="Q1918" s="1"/>
      <c r="R1918" t="str">
        <f>IF(Table1[[#This Row],[Actual close date]]="","",Table1[[#This Row],[Actual close date]]-Table1[[#This Row],[Expected close date]])</f>
        <v/>
      </c>
    </row>
    <row r="1919" spans="1:18" x14ac:dyDescent="0.25">
      <c r="A1919" t="s">
        <v>2003</v>
      </c>
      <c r="B1919" t="s">
        <v>27</v>
      </c>
      <c r="C1919" t="s">
        <v>28</v>
      </c>
      <c r="D1919" t="s">
        <v>29</v>
      </c>
      <c r="E1919" t="s">
        <v>36</v>
      </c>
      <c r="F1919" t="s">
        <v>22</v>
      </c>
      <c r="G1919" t="s">
        <v>46</v>
      </c>
      <c r="H1919" s="1">
        <v>45332</v>
      </c>
      <c r="I1919" t="s">
        <v>64</v>
      </c>
      <c r="J1919" t="s">
        <v>1991</v>
      </c>
      <c r="K1919">
        <v>2</v>
      </c>
      <c r="N1919">
        <v>1239</v>
      </c>
      <c r="O1919">
        <v>20</v>
      </c>
      <c r="P1919" s="1">
        <v>45500</v>
      </c>
      <c r="Q1919" s="1"/>
      <c r="R1919" t="str">
        <f>IF(Table1[[#This Row],[Actual close date]]="","",Table1[[#This Row],[Actual close date]]-Table1[[#This Row],[Expected close date]])</f>
        <v/>
      </c>
    </row>
    <row r="1920" spans="1:18" x14ac:dyDescent="0.25">
      <c r="A1920" t="s">
        <v>2004</v>
      </c>
      <c r="B1920" t="s">
        <v>39</v>
      </c>
      <c r="C1920" t="s">
        <v>40</v>
      </c>
      <c r="D1920" t="s">
        <v>41</v>
      </c>
      <c r="E1920" t="s">
        <v>45</v>
      </c>
      <c r="F1920" t="s">
        <v>22</v>
      </c>
      <c r="G1920" t="s">
        <v>46</v>
      </c>
      <c r="H1920" s="1">
        <v>45399</v>
      </c>
      <c r="I1920" t="s">
        <v>24</v>
      </c>
      <c r="J1920" t="s">
        <v>1991</v>
      </c>
      <c r="K1920">
        <v>2</v>
      </c>
      <c r="N1920">
        <v>588</v>
      </c>
      <c r="O1920">
        <v>20</v>
      </c>
      <c r="P1920" s="1">
        <v>45655</v>
      </c>
      <c r="Q1920" s="1"/>
      <c r="R1920" t="str">
        <f>IF(Table1[[#This Row],[Actual close date]]="","",Table1[[#This Row],[Actual close date]]-Table1[[#This Row],[Expected close date]])</f>
        <v/>
      </c>
    </row>
    <row r="1921" spans="1:18" x14ac:dyDescent="0.25">
      <c r="A1921" t="s">
        <v>2005</v>
      </c>
      <c r="B1921" t="s">
        <v>39</v>
      </c>
      <c r="C1921" t="s">
        <v>40</v>
      </c>
      <c r="D1921" t="s">
        <v>41</v>
      </c>
      <c r="E1921" t="s">
        <v>42</v>
      </c>
      <c r="F1921" t="s">
        <v>22</v>
      </c>
      <c r="G1921" t="s">
        <v>57</v>
      </c>
      <c r="H1921" s="1">
        <v>45306</v>
      </c>
      <c r="I1921" t="s">
        <v>24</v>
      </c>
      <c r="J1921" t="s">
        <v>1991</v>
      </c>
      <c r="K1921">
        <v>2</v>
      </c>
      <c r="N1921">
        <v>900</v>
      </c>
      <c r="O1921">
        <v>50</v>
      </c>
      <c r="P1921" s="1">
        <v>45585</v>
      </c>
      <c r="Q1921" s="1"/>
      <c r="R1921" t="str">
        <f>IF(Table1[[#This Row],[Actual close date]]="","",Table1[[#This Row],[Actual close date]]-Table1[[#This Row],[Expected close date]])</f>
        <v/>
      </c>
    </row>
    <row r="1922" spans="1:18" x14ac:dyDescent="0.25">
      <c r="A1922" t="s">
        <v>2006</v>
      </c>
      <c r="B1922" t="s">
        <v>39</v>
      </c>
      <c r="C1922" t="s">
        <v>40</v>
      </c>
      <c r="D1922" t="s">
        <v>41</v>
      </c>
      <c r="E1922" t="s">
        <v>45</v>
      </c>
      <c r="F1922" t="s">
        <v>22</v>
      </c>
      <c r="G1922" t="s">
        <v>85</v>
      </c>
      <c r="H1922" s="1">
        <v>45415</v>
      </c>
      <c r="I1922" t="s">
        <v>24</v>
      </c>
      <c r="J1922" t="s">
        <v>1991</v>
      </c>
      <c r="K1922">
        <v>2</v>
      </c>
      <c r="N1922">
        <v>1326</v>
      </c>
      <c r="O1922">
        <v>60</v>
      </c>
      <c r="P1922" s="1">
        <v>45750</v>
      </c>
      <c r="Q1922" s="1"/>
      <c r="R1922" t="str">
        <f>IF(Table1[[#This Row],[Actual close date]]="","",Table1[[#This Row],[Actual close date]]-Table1[[#This Row],[Expected close date]])</f>
        <v/>
      </c>
    </row>
    <row r="1923" spans="1:18" x14ac:dyDescent="0.25">
      <c r="A1923" t="s">
        <v>2007</v>
      </c>
      <c r="B1923" t="s">
        <v>33</v>
      </c>
      <c r="C1923" t="s">
        <v>34</v>
      </c>
      <c r="D1923" t="s">
        <v>35</v>
      </c>
      <c r="E1923" t="s">
        <v>45</v>
      </c>
      <c r="F1923" t="s">
        <v>22</v>
      </c>
      <c r="G1923" t="s">
        <v>31</v>
      </c>
      <c r="H1923" s="1">
        <v>45385</v>
      </c>
      <c r="I1923" t="s">
        <v>24</v>
      </c>
      <c r="J1923" t="s">
        <v>1991</v>
      </c>
      <c r="K1923">
        <v>2</v>
      </c>
      <c r="N1923">
        <v>1553</v>
      </c>
      <c r="O1923">
        <v>40</v>
      </c>
      <c r="P1923" s="1">
        <v>45698</v>
      </c>
      <c r="Q1923" s="1"/>
      <c r="R1923" t="str">
        <f>IF(Table1[[#This Row],[Actual close date]]="","",Table1[[#This Row],[Actual close date]]-Table1[[#This Row],[Expected close date]])</f>
        <v/>
      </c>
    </row>
    <row r="1924" spans="1:18" x14ac:dyDescent="0.25">
      <c r="A1924" t="s">
        <v>2008</v>
      </c>
      <c r="B1924" t="s">
        <v>27</v>
      </c>
      <c r="C1924" t="s">
        <v>28</v>
      </c>
      <c r="D1924" t="s">
        <v>29</v>
      </c>
      <c r="E1924" t="s">
        <v>118</v>
      </c>
      <c r="F1924" t="s">
        <v>22</v>
      </c>
      <c r="G1924" t="s">
        <v>57</v>
      </c>
      <c r="H1924" s="1">
        <v>45322</v>
      </c>
      <c r="I1924" t="s">
        <v>64</v>
      </c>
      <c r="J1924" t="s">
        <v>1991</v>
      </c>
      <c r="K1924">
        <v>2</v>
      </c>
      <c r="N1924">
        <v>1888</v>
      </c>
      <c r="O1924">
        <v>30</v>
      </c>
      <c r="P1924" s="1">
        <v>45521</v>
      </c>
      <c r="Q1924" s="1"/>
      <c r="R1924" t="str">
        <f>IF(Table1[[#This Row],[Actual close date]]="","",Table1[[#This Row],[Actual close date]]-Table1[[#This Row],[Expected close date]])</f>
        <v/>
      </c>
    </row>
    <row r="1925" spans="1:18" x14ac:dyDescent="0.25">
      <c r="A1925" t="s">
        <v>2009</v>
      </c>
      <c r="B1925" t="s">
        <v>54</v>
      </c>
      <c r="C1925" t="s">
        <v>55</v>
      </c>
      <c r="D1925" t="s">
        <v>56</v>
      </c>
      <c r="E1925" t="s">
        <v>45</v>
      </c>
      <c r="F1925" t="s">
        <v>22</v>
      </c>
      <c r="G1925" t="s">
        <v>37</v>
      </c>
      <c r="H1925" s="1">
        <v>45351</v>
      </c>
      <c r="I1925" t="s">
        <v>47</v>
      </c>
      <c r="J1925" t="s">
        <v>1991</v>
      </c>
      <c r="K1925">
        <v>2</v>
      </c>
      <c r="N1925">
        <v>382</v>
      </c>
      <c r="O1925">
        <v>100</v>
      </c>
      <c r="P1925" s="1">
        <v>45504</v>
      </c>
      <c r="Q1925" s="1"/>
      <c r="R1925" t="str">
        <f>IF(Table1[[#This Row],[Actual close date]]="","",Table1[[#This Row],[Actual close date]]-Table1[[#This Row],[Expected close date]])</f>
        <v/>
      </c>
    </row>
    <row r="1926" spans="1:18" x14ac:dyDescent="0.25">
      <c r="A1926" t="s">
        <v>2010</v>
      </c>
      <c r="B1926" t="s">
        <v>27</v>
      </c>
      <c r="C1926" t="s">
        <v>28</v>
      </c>
      <c r="D1926" t="s">
        <v>29</v>
      </c>
      <c r="E1926" t="s">
        <v>98</v>
      </c>
      <c r="F1926" t="s">
        <v>22</v>
      </c>
      <c r="G1926" t="s">
        <v>37</v>
      </c>
      <c r="H1926" s="1">
        <v>45368</v>
      </c>
      <c r="I1926" t="s">
        <v>24</v>
      </c>
      <c r="J1926" t="s">
        <v>1991</v>
      </c>
      <c r="K1926">
        <v>2</v>
      </c>
      <c r="N1926">
        <v>931</v>
      </c>
      <c r="O1926">
        <v>40</v>
      </c>
      <c r="P1926" s="1">
        <v>45444</v>
      </c>
      <c r="Q1926" s="1"/>
      <c r="R1926" t="str">
        <f>IF(Table1[[#This Row],[Actual close date]]="","",Table1[[#This Row],[Actual close date]]-Table1[[#This Row],[Expected close date]])</f>
        <v/>
      </c>
    </row>
    <row r="1927" spans="1:18" x14ac:dyDescent="0.25">
      <c r="A1927" t="s">
        <v>2011</v>
      </c>
      <c r="B1927" t="s">
        <v>33</v>
      </c>
      <c r="C1927" t="s">
        <v>34</v>
      </c>
      <c r="D1927" t="s">
        <v>35</v>
      </c>
      <c r="E1927" t="s">
        <v>30</v>
      </c>
      <c r="F1927" t="s">
        <v>22</v>
      </c>
      <c r="G1927" t="s">
        <v>72</v>
      </c>
      <c r="H1927" s="1">
        <v>45323</v>
      </c>
      <c r="I1927" t="s">
        <v>64</v>
      </c>
      <c r="J1927" t="s">
        <v>1991</v>
      </c>
      <c r="K1927">
        <v>2</v>
      </c>
      <c r="N1927">
        <v>382</v>
      </c>
      <c r="O1927">
        <v>60</v>
      </c>
      <c r="P1927" s="1">
        <v>45621</v>
      </c>
      <c r="Q1927" s="1"/>
      <c r="R1927" t="str">
        <f>IF(Table1[[#This Row],[Actual close date]]="","",Table1[[#This Row],[Actual close date]]-Table1[[#This Row],[Expected close date]])</f>
        <v/>
      </c>
    </row>
    <row r="1928" spans="1:18" x14ac:dyDescent="0.25">
      <c r="A1928" t="s">
        <v>2012</v>
      </c>
      <c r="B1928" t="s">
        <v>39</v>
      </c>
      <c r="C1928" t="s">
        <v>40</v>
      </c>
      <c r="D1928" t="s">
        <v>41</v>
      </c>
      <c r="E1928" t="s">
        <v>21</v>
      </c>
      <c r="F1928" t="s">
        <v>22</v>
      </c>
      <c r="G1928" t="s">
        <v>83</v>
      </c>
      <c r="H1928" s="1">
        <v>45332</v>
      </c>
      <c r="I1928" t="s">
        <v>64</v>
      </c>
      <c r="J1928" t="s">
        <v>1991</v>
      </c>
      <c r="K1928">
        <v>2</v>
      </c>
      <c r="N1928">
        <v>547</v>
      </c>
      <c r="O1928">
        <v>50</v>
      </c>
      <c r="P1928" s="1">
        <v>45510</v>
      </c>
      <c r="Q1928" s="1"/>
      <c r="R1928" t="str">
        <f>IF(Table1[[#This Row],[Actual close date]]="","",Table1[[#This Row],[Actual close date]]-Table1[[#This Row],[Expected close date]])</f>
        <v/>
      </c>
    </row>
    <row r="1929" spans="1:18" x14ac:dyDescent="0.25">
      <c r="A1929" t="s">
        <v>2013</v>
      </c>
      <c r="B1929" t="s">
        <v>39</v>
      </c>
      <c r="C1929" t="s">
        <v>40</v>
      </c>
      <c r="D1929" t="s">
        <v>41</v>
      </c>
      <c r="E1929" t="s">
        <v>30</v>
      </c>
      <c r="F1929" t="s">
        <v>22</v>
      </c>
      <c r="G1929" t="s">
        <v>57</v>
      </c>
      <c r="H1929" s="1">
        <v>45383</v>
      </c>
      <c r="I1929" t="s">
        <v>64</v>
      </c>
      <c r="J1929" t="s">
        <v>1991</v>
      </c>
      <c r="K1929">
        <v>2</v>
      </c>
      <c r="N1929">
        <v>1545</v>
      </c>
      <c r="O1929">
        <v>90</v>
      </c>
      <c r="P1929" s="1">
        <v>45523</v>
      </c>
      <c r="Q1929" s="1"/>
      <c r="R1929" t="str">
        <f>IF(Table1[[#This Row],[Actual close date]]="","",Table1[[#This Row],[Actual close date]]-Table1[[#This Row],[Expected close date]])</f>
        <v/>
      </c>
    </row>
    <row r="1930" spans="1:18" x14ac:dyDescent="0.25">
      <c r="A1930" t="s">
        <v>2014</v>
      </c>
      <c r="B1930" t="s">
        <v>33</v>
      </c>
      <c r="C1930" t="s">
        <v>34</v>
      </c>
      <c r="D1930" t="s">
        <v>35</v>
      </c>
      <c r="E1930" t="s">
        <v>52</v>
      </c>
      <c r="F1930" t="s">
        <v>22</v>
      </c>
      <c r="G1930" t="s">
        <v>46</v>
      </c>
      <c r="H1930" s="1">
        <v>45304</v>
      </c>
      <c r="I1930" t="s">
        <v>24</v>
      </c>
      <c r="J1930" t="s">
        <v>1991</v>
      </c>
      <c r="K1930">
        <v>2</v>
      </c>
      <c r="N1930">
        <v>1779</v>
      </c>
      <c r="O1930">
        <v>80</v>
      </c>
      <c r="P1930" s="1">
        <v>45540</v>
      </c>
      <c r="Q1930" s="1"/>
      <c r="R1930" t="str">
        <f>IF(Table1[[#This Row],[Actual close date]]="","",Table1[[#This Row],[Actual close date]]-Table1[[#This Row],[Expected close date]])</f>
        <v/>
      </c>
    </row>
    <row r="1931" spans="1:18" x14ac:dyDescent="0.25">
      <c r="A1931" t="s">
        <v>2015</v>
      </c>
      <c r="B1931" t="s">
        <v>39</v>
      </c>
      <c r="C1931" t="s">
        <v>40</v>
      </c>
      <c r="D1931" t="s">
        <v>41</v>
      </c>
      <c r="E1931" t="s">
        <v>74</v>
      </c>
      <c r="F1931" t="s">
        <v>22</v>
      </c>
      <c r="G1931" t="s">
        <v>46</v>
      </c>
      <c r="H1931" s="1">
        <v>45381</v>
      </c>
      <c r="I1931" t="s">
        <v>24</v>
      </c>
      <c r="J1931" t="s">
        <v>1991</v>
      </c>
      <c r="K1931">
        <v>2</v>
      </c>
      <c r="N1931">
        <v>332</v>
      </c>
      <c r="O1931">
        <v>30</v>
      </c>
      <c r="P1931" s="1">
        <v>45487</v>
      </c>
      <c r="Q1931" s="1"/>
      <c r="R1931" t="str">
        <f>IF(Table1[[#This Row],[Actual close date]]="","",Table1[[#This Row],[Actual close date]]-Table1[[#This Row],[Expected close date]])</f>
        <v/>
      </c>
    </row>
    <row r="1932" spans="1:18" x14ac:dyDescent="0.25">
      <c r="A1932" t="s">
        <v>2016</v>
      </c>
      <c r="B1932" t="s">
        <v>54</v>
      </c>
      <c r="C1932" t="s">
        <v>55</v>
      </c>
      <c r="D1932" t="s">
        <v>56</v>
      </c>
      <c r="E1932" t="s">
        <v>21</v>
      </c>
      <c r="F1932" t="s">
        <v>22</v>
      </c>
      <c r="G1932" t="s">
        <v>72</v>
      </c>
      <c r="H1932" s="1">
        <v>45320</v>
      </c>
      <c r="I1932" t="s">
        <v>47</v>
      </c>
      <c r="J1932" t="s">
        <v>1991</v>
      </c>
      <c r="K1932">
        <v>2</v>
      </c>
      <c r="N1932">
        <v>655</v>
      </c>
      <c r="O1932">
        <v>10</v>
      </c>
      <c r="P1932" s="1">
        <v>45668</v>
      </c>
      <c r="Q1932" s="1"/>
      <c r="R1932" t="str">
        <f>IF(Table1[[#This Row],[Actual close date]]="","",Table1[[#This Row],[Actual close date]]-Table1[[#This Row],[Expected close date]])</f>
        <v/>
      </c>
    </row>
    <row r="1933" spans="1:18" x14ac:dyDescent="0.25">
      <c r="A1933" t="s">
        <v>2017</v>
      </c>
      <c r="B1933" t="s">
        <v>33</v>
      </c>
      <c r="C1933" t="s">
        <v>34</v>
      </c>
      <c r="D1933" t="s">
        <v>35</v>
      </c>
      <c r="E1933" t="s">
        <v>45</v>
      </c>
      <c r="F1933" t="s">
        <v>22</v>
      </c>
      <c r="G1933" t="s">
        <v>37</v>
      </c>
      <c r="H1933" s="1">
        <v>45437</v>
      </c>
      <c r="I1933" t="s">
        <v>24</v>
      </c>
      <c r="J1933" t="s">
        <v>1991</v>
      </c>
      <c r="K1933">
        <v>2</v>
      </c>
      <c r="N1933">
        <v>955</v>
      </c>
      <c r="O1933">
        <v>20</v>
      </c>
      <c r="P1933" s="1">
        <v>45544</v>
      </c>
      <c r="Q1933" s="1"/>
      <c r="R1933" t="str">
        <f>IF(Table1[[#This Row],[Actual close date]]="","",Table1[[#This Row],[Actual close date]]-Table1[[#This Row],[Expected close date]])</f>
        <v/>
      </c>
    </row>
    <row r="1934" spans="1:18" x14ac:dyDescent="0.25">
      <c r="A1934" t="s">
        <v>2018</v>
      </c>
      <c r="B1934" t="s">
        <v>54</v>
      </c>
      <c r="C1934" t="s">
        <v>55</v>
      </c>
      <c r="D1934" t="s">
        <v>56</v>
      </c>
      <c r="E1934" t="s">
        <v>118</v>
      </c>
      <c r="F1934" t="s">
        <v>22</v>
      </c>
      <c r="G1934" t="s">
        <v>83</v>
      </c>
      <c r="H1934" s="1">
        <v>45357</v>
      </c>
      <c r="I1934" t="s">
        <v>64</v>
      </c>
      <c r="J1934" t="s">
        <v>1991</v>
      </c>
      <c r="K1934">
        <v>2</v>
      </c>
      <c r="N1934">
        <v>923</v>
      </c>
      <c r="O1934">
        <v>60</v>
      </c>
      <c r="P1934" s="1">
        <v>45476</v>
      </c>
      <c r="Q1934" s="1"/>
      <c r="R1934" t="str">
        <f>IF(Table1[[#This Row],[Actual close date]]="","",Table1[[#This Row],[Actual close date]]-Table1[[#This Row],[Expected close date]])</f>
        <v/>
      </c>
    </row>
    <row r="1935" spans="1:18" x14ac:dyDescent="0.25">
      <c r="A1935" t="s">
        <v>2019</v>
      </c>
      <c r="B1935" t="s">
        <v>33</v>
      </c>
      <c r="C1935" t="s">
        <v>34</v>
      </c>
      <c r="D1935" t="s">
        <v>35</v>
      </c>
      <c r="E1935" t="s">
        <v>45</v>
      </c>
      <c r="F1935" t="s">
        <v>22</v>
      </c>
      <c r="G1935" t="s">
        <v>46</v>
      </c>
      <c r="H1935" s="1">
        <v>45413</v>
      </c>
      <c r="I1935" t="s">
        <v>24</v>
      </c>
      <c r="J1935" t="s">
        <v>1991</v>
      </c>
      <c r="K1935">
        <v>2</v>
      </c>
      <c r="N1935">
        <v>581</v>
      </c>
      <c r="O1935">
        <v>40</v>
      </c>
      <c r="P1935" s="1">
        <v>45461</v>
      </c>
      <c r="Q1935" s="1"/>
      <c r="R1935" t="str">
        <f>IF(Table1[[#This Row],[Actual close date]]="","",Table1[[#This Row],[Actual close date]]-Table1[[#This Row],[Expected close date]])</f>
        <v/>
      </c>
    </row>
    <row r="1936" spans="1:18" x14ac:dyDescent="0.25">
      <c r="A1936" t="s">
        <v>2020</v>
      </c>
      <c r="B1936" t="s">
        <v>39</v>
      </c>
      <c r="C1936" t="s">
        <v>40</v>
      </c>
      <c r="D1936" t="s">
        <v>41</v>
      </c>
      <c r="E1936" t="s">
        <v>52</v>
      </c>
      <c r="F1936" t="s">
        <v>22</v>
      </c>
      <c r="G1936" t="s">
        <v>83</v>
      </c>
      <c r="H1936" s="1">
        <v>45310</v>
      </c>
      <c r="I1936" t="s">
        <v>24</v>
      </c>
      <c r="J1936" t="s">
        <v>1991</v>
      </c>
      <c r="K1936">
        <v>2</v>
      </c>
      <c r="N1936">
        <v>1911</v>
      </c>
      <c r="O1936">
        <v>90</v>
      </c>
      <c r="P1936" s="1">
        <v>45439</v>
      </c>
      <c r="Q1936" s="1"/>
      <c r="R1936" t="str">
        <f>IF(Table1[[#This Row],[Actual close date]]="","",Table1[[#This Row],[Actual close date]]-Table1[[#This Row],[Expected close date]])</f>
        <v/>
      </c>
    </row>
    <row r="1937" spans="1:18" x14ac:dyDescent="0.25">
      <c r="A1937" t="s">
        <v>2021</v>
      </c>
      <c r="B1937" t="s">
        <v>39</v>
      </c>
      <c r="C1937" t="s">
        <v>40</v>
      </c>
      <c r="D1937" t="s">
        <v>41</v>
      </c>
      <c r="E1937" t="s">
        <v>21</v>
      </c>
      <c r="F1937" t="s">
        <v>22</v>
      </c>
      <c r="G1937" t="s">
        <v>57</v>
      </c>
      <c r="H1937" s="1">
        <v>45403</v>
      </c>
      <c r="I1937" t="s">
        <v>24</v>
      </c>
      <c r="J1937" t="s">
        <v>1991</v>
      </c>
      <c r="K1937">
        <v>2</v>
      </c>
      <c r="N1937">
        <v>1605</v>
      </c>
      <c r="O1937">
        <v>50</v>
      </c>
      <c r="P1937" s="1">
        <v>45633</v>
      </c>
      <c r="Q1937" s="1"/>
      <c r="R1937" t="str">
        <f>IF(Table1[[#This Row],[Actual close date]]="","",Table1[[#This Row],[Actual close date]]-Table1[[#This Row],[Expected close date]])</f>
        <v/>
      </c>
    </row>
    <row r="1938" spans="1:18" x14ac:dyDescent="0.25">
      <c r="A1938" t="s">
        <v>2022</v>
      </c>
      <c r="B1938" t="s">
        <v>39</v>
      </c>
      <c r="C1938" t="s">
        <v>40</v>
      </c>
      <c r="D1938" t="s">
        <v>41</v>
      </c>
      <c r="E1938" t="s">
        <v>52</v>
      </c>
      <c r="F1938" t="s">
        <v>22</v>
      </c>
      <c r="G1938" t="s">
        <v>23</v>
      </c>
      <c r="H1938" s="1">
        <v>45398</v>
      </c>
      <c r="I1938" t="s">
        <v>24</v>
      </c>
      <c r="J1938" t="s">
        <v>1991</v>
      </c>
      <c r="K1938">
        <v>2</v>
      </c>
      <c r="N1938">
        <v>311</v>
      </c>
      <c r="O1938">
        <v>50</v>
      </c>
      <c r="P1938" s="1">
        <v>45683</v>
      </c>
      <c r="Q1938" s="1"/>
      <c r="R1938" t="str">
        <f>IF(Table1[[#This Row],[Actual close date]]="","",Table1[[#This Row],[Actual close date]]-Table1[[#This Row],[Expected close date]])</f>
        <v/>
      </c>
    </row>
    <row r="1939" spans="1:18" x14ac:dyDescent="0.25">
      <c r="A1939" t="s">
        <v>2023</v>
      </c>
      <c r="B1939" t="s">
        <v>76</v>
      </c>
      <c r="C1939" t="s">
        <v>77</v>
      </c>
      <c r="D1939" t="s">
        <v>78</v>
      </c>
      <c r="E1939" t="s">
        <v>21</v>
      </c>
      <c r="F1939" t="s">
        <v>22</v>
      </c>
      <c r="G1939" t="s">
        <v>46</v>
      </c>
      <c r="H1939" s="1">
        <v>45305</v>
      </c>
      <c r="I1939" t="s">
        <v>24</v>
      </c>
      <c r="J1939" t="s">
        <v>1991</v>
      </c>
      <c r="K1939">
        <v>2</v>
      </c>
      <c r="N1939">
        <v>589</v>
      </c>
      <c r="O1939">
        <v>20</v>
      </c>
      <c r="P1939" s="1">
        <v>45435</v>
      </c>
      <c r="Q1939" s="1"/>
      <c r="R1939" t="str">
        <f>IF(Table1[[#This Row],[Actual close date]]="","",Table1[[#This Row],[Actual close date]]-Table1[[#This Row],[Expected close date]])</f>
        <v/>
      </c>
    </row>
    <row r="1940" spans="1:18" x14ac:dyDescent="0.25">
      <c r="A1940" t="s">
        <v>2024</v>
      </c>
      <c r="B1940" t="s">
        <v>54</v>
      </c>
      <c r="C1940" t="s">
        <v>55</v>
      </c>
      <c r="D1940" t="s">
        <v>56</v>
      </c>
      <c r="E1940" t="s">
        <v>42</v>
      </c>
      <c r="F1940" t="s">
        <v>22</v>
      </c>
      <c r="G1940" t="s">
        <v>46</v>
      </c>
      <c r="H1940" s="1">
        <v>45327</v>
      </c>
      <c r="I1940" t="s">
        <v>24</v>
      </c>
      <c r="J1940" t="s">
        <v>1991</v>
      </c>
      <c r="K1940">
        <v>2</v>
      </c>
      <c r="N1940">
        <v>1416</v>
      </c>
      <c r="O1940">
        <v>20</v>
      </c>
      <c r="P1940" s="1">
        <v>45439</v>
      </c>
      <c r="Q1940" s="1"/>
      <c r="R1940" t="str">
        <f>IF(Table1[[#This Row],[Actual close date]]="","",Table1[[#This Row],[Actual close date]]-Table1[[#This Row],[Expected close date]])</f>
        <v/>
      </c>
    </row>
    <row r="1941" spans="1:18" x14ac:dyDescent="0.25">
      <c r="A1941" t="s">
        <v>2025</v>
      </c>
      <c r="B1941" t="s">
        <v>33</v>
      </c>
      <c r="C1941" t="s">
        <v>34</v>
      </c>
      <c r="D1941" t="s">
        <v>35</v>
      </c>
      <c r="E1941" t="s">
        <v>122</v>
      </c>
      <c r="F1941" t="s">
        <v>22</v>
      </c>
      <c r="G1941" t="s">
        <v>23</v>
      </c>
      <c r="H1941" s="1">
        <v>45319</v>
      </c>
      <c r="I1941" t="s">
        <v>64</v>
      </c>
      <c r="J1941" t="s">
        <v>1991</v>
      </c>
      <c r="K1941">
        <v>2</v>
      </c>
      <c r="N1941">
        <v>1873</v>
      </c>
      <c r="O1941">
        <v>40</v>
      </c>
      <c r="P1941" s="1">
        <v>45426</v>
      </c>
      <c r="Q1941" s="1"/>
      <c r="R1941" t="str">
        <f>IF(Table1[[#This Row],[Actual close date]]="","",Table1[[#This Row],[Actual close date]]-Table1[[#This Row],[Expected close date]])</f>
        <v/>
      </c>
    </row>
    <row r="1942" spans="1:18" x14ac:dyDescent="0.25">
      <c r="A1942" t="s">
        <v>2026</v>
      </c>
      <c r="B1942" t="s">
        <v>69</v>
      </c>
      <c r="C1942" t="s">
        <v>70</v>
      </c>
      <c r="D1942" t="s">
        <v>71</v>
      </c>
      <c r="E1942" t="s">
        <v>21</v>
      </c>
      <c r="F1942" t="s">
        <v>22</v>
      </c>
      <c r="G1942" t="s">
        <v>46</v>
      </c>
      <c r="H1942" s="1">
        <v>45332</v>
      </c>
      <c r="I1942" t="s">
        <v>24</v>
      </c>
      <c r="J1942" t="s">
        <v>1991</v>
      </c>
      <c r="K1942">
        <v>2</v>
      </c>
      <c r="N1942">
        <v>282</v>
      </c>
      <c r="O1942">
        <v>20</v>
      </c>
      <c r="P1942" s="1">
        <v>45384</v>
      </c>
      <c r="Q1942" s="1"/>
      <c r="R1942" t="str">
        <f>IF(Table1[[#This Row],[Actual close date]]="","",Table1[[#This Row],[Actual close date]]-Table1[[#This Row],[Expected close date]])</f>
        <v/>
      </c>
    </row>
    <row r="1943" spans="1:18" x14ac:dyDescent="0.25">
      <c r="A1943" t="s">
        <v>2027</v>
      </c>
      <c r="B1943" t="s">
        <v>59</v>
      </c>
      <c r="C1943" t="s">
        <v>60</v>
      </c>
      <c r="D1943" t="s">
        <v>61</v>
      </c>
      <c r="E1943" t="s">
        <v>45</v>
      </c>
      <c r="F1943" t="s">
        <v>22</v>
      </c>
      <c r="G1943" t="s">
        <v>57</v>
      </c>
      <c r="H1943" s="1">
        <v>45370</v>
      </c>
      <c r="I1943" t="s">
        <v>24</v>
      </c>
      <c r="J1943" t="s">
        <v>1991</v>
      </c>
      <c r="K1943">
        <v>2</v>
      </c>
      <c r="N1943">
        <v>1434</v>
      </c>
      <c r="O1943">
        <v>40</v>
      </c>
      <c r="P1943" s="1">
        <v>45453</v>
      </c>
      <c r="Q1943" s="1"/>
      <c r="R1943" t="str">
        <f>IF(Table1[[#This Row],[Actual close date]]="","",Table1[[#This Row],[Actual close date]]-Table1[[#This Row],[Expected close date]])</f>
        <v/>
      </c>
    </row>
    <row r="1944" spans="1:18" x14ac:dyDescent="0.25">
      <c r="A1944" t="s">
        <v>2028</v>
      </c>
      <c r="B1944" t="s">
        <v>54</v>
      </c>
      <c r="C1944" t="s">
        <v>55</v>
      </c>
      <c r="D1944" t="s">
        <v>56</v>
      </c>
      <c r="E1944" t="s">
        <v>62</v>
      </c>
      <c r="F1944" t="s">
        <v>22</v>
      </c>
      <c r="G1944" t="s">
        <v>37</v>
      </c>
      <c r="H1944" s="1">
        <v>45368</v>
      </c>
      <c r="I1944" t="s">
        <v>64</v>
      </c>
      <c r="J1944" t="s">
        <v>1991</v>
      </c>
      <c r="K1944">
        <v>2</v>
      </c>
      <c r="N1944">
        <v>349</v>
      </c>
      <c r="O1944">
        <v>50</v>
      </c>
      <c r="P1944" s="1">
        <v>45572</v>
      </c>
      <c r="Q1944" s="1"/>
      <c r="R1944" t="str">
        <f>IF(Table1[[#This Row],[Actual close date]]="","",Table1[[#This Row],[Actual close date]]-Table1[[#This Row],[Expected close date]])</f>
        <v/>
      </c>
    </row>
    <row r="1945" spans="1:18" x14ac:dyDescent="0.25">
      <c r="A1945" t="s">
        <v>2029</v>
      </c>
      <c r="B1945" t="s">
        <v>59</v>
      </c>
      <c r="C1945" t="s">
        <v>60</v>
      </c>
      <c r="D1945" t="s">
        <v>61</v>
      </c>
      <c r="E1945" t="s">
        <v>82</v>
      </c>
      <c r="F1945" t="s">
        <v>22</v>
      </c>
      <c r="G1945" t="s">
        <v>23</v>
      </c>
      <c r="H1945" s="1">
        <v>45379</v>
      </c>
      <c r="I1945" t="s">
        <v>64</v>
      </c>
      <c r="J1945" t="s">
        <v>1991</v>
      </c>
      <c r="K1945">
        <v>2</v>
      </c>
      <c r="N1945">
        <v>994</v>
      </c>
      <c r="O1945">
        <v>20</v>
      </c>
      <c r="P1945" s="1">
        <v>45470</v>
      </c>
      <c r="Q1945" s="1"/>
      <c r="R1945" t="str">
        <f>IF(Table1[[#This Row],[Actual close date]]="","",Table1[[#This Row],[Actual close date]]-Table1[[#This Row],[Expected close date]])</f>
        <v/>
      </c>
    </row>
    <row r="1946" spans="1:18" x14ac:dyDescent="0.25">
      <c r="A1946" t="s">
        <v>2030</v>
      </c>
      <c r="B1946" t="s">
        <v>33</v>
      </c>
      <c r="C1946" t="s">
        <v>34</v>
      </c>
      <c r="D1946" t="s">
        <v>35</v>
      </c>
      <c r="E1946" t="s">
        <v>52</v>
      </c>
      <c r="F1946" t="s">
        <v>22</v>
      </c>
      <c r="G1946" t="s">
        <v>23</v>
      </c>
      <c r="H1946" s="1">
        <v>45293</v>
      </c>
      <c r="I1946" t="s">
        <v>64</v>
      </c>
      <c r="J1946" t="s">
        <v>1991</v>
      </c>
      <c r="K1946">
        <v>2</v>
      </c>
      <c r="N1946">
        <v>1969</v>
      </c>
      <c r="O1946">
        <v>20</v>
      </c>
      <c r="P1946" s="1">
        <v>45561</v>
      </c>
      <c r="Q1946" s="1"/>
      <c r="R1946" t="str">
        <f>IF(Table1[[#This Row],[Actual close date]]="","",Table1[[#This Row],[Actual close date]]-Table1[[#This Row],[Expected close date]])</f>
        <v/>
      </c>
    </row>
    <row r="1947" spans="1:18" x14ac:dyDescent="0.25">
      <c r="A1947" t="s">
        <v>2031</v>
      </c>
      <c r="B1947" t="s">
        <v>33</v>
      </c>
      <c r="C1947" t="s">
        <v>34</v>
      </c>
      <c r="D1947" t="s">
        <v>35</v>
      </c>
      <c r="E1947" t="s">
        <v>21</v>
      </c>
      <c r="F1947" t="s">
        <v>22</v>
      </c>
      <c r="G1947" t="s">
        <v>72</v>
      </c>
      <c r="H1947" s="1">
        <v>45424</v>
      </c>
      <c r="I1947" t="s">
        <v>24</v>
      </c>
      <c r="J1947" t="s">
        <v>1991</v>
      </c>
      <c r="K1947">
        <v>2</v>
      </c>
      <c r="N1947">
        <v>406</v>
      </c>
      <c r="O1947">
        <v>40</v>
      </c>
      <c r="P1947" s="1">
        <v>45583</v>
      </c>
      <c r="Q1947" s="1"/>
      <c r="R1947" t="str">
        <f>IF(Table1[[#This Row],[Actual close date]]="","",Table1[[#This Row],[Actual close date]]-Table1[[#This Row],[Expected close date]])</f>
        <v/>
      </c>
    </row>
    <row r="1948" spans="1:18" x14ac:dyDescent="0.25">
      <c r="A1948" t="s">
        <v>2032</v>
      </c>
      <c r="B1948" t="s">
        <v>59</v>
      </c>
      <c r="C1948" t="s">
        <v>60</v>
      </c>
      <c r="D1948" t="s">
        <v>61</v>
      </c>
      <c r="E1948" t="s">
        <v>74</v>
      </c>
      <c r="F1948" t="s">
        <v>22</v>
      </c>
      <c r="G1948" t="s">
        <v>57</v>
      </c>
      <c r="H1948" s="1">
        <v>45430</v>
      </c>
      <c r="I1948" t="s">
        <v>64</v>
      </c>
      <c r="J1948" t="s">
        <v>1991</v>
      </c>
      <c r="K1948">
        <v>2</v>
      </c>
      <c r="N1948">
        <v>1985</v>
      </c>
      <c r="O1948">
        <v>50</v>
      </c>
      <c r="P1948" s="1">
        <v>45668</v>
      </c>
      <c r="Q1948" s="1"/>
      <c r="R1948" t="str">
        <f>IF(Table1[[#This Row],[Actual close date]]="","",Table1[[#This Row],[Actual close date]]-Table1[[#This Row],[Expected close date]])</f>
        <v/>
      </c>
    </row>
    <row r="1949" spans="1:18" x14ac:dyDescent="0.25">
      <c r="A1949" t="s">
        <v>2033</v>
      </c>
      <c r="B1949" t="s">
        <v>69</v>
      </c>
      <c r="C1949" t="s">
        <v>70</v>
      </c>
      <c r="D1949" t="s">
        <v>71</v>
      </c>
      <c r="E1949" t="s">
        <v>74</v>
      </c>
      <c r="F1949" t="s">
        <v>22</v>
      </c>
      <c r="G1949" t="s">
        <v>83</v>
      </c>
      <c r="H1949" s="1">
        <v>45434</v>
      </c>
      <c r="I1949" t="s">
        <v>24</v>
      </c>
      <c r="J1949" t="s">
        <v>1991</v>
      </c>
      <c r="K1949">
        <v>2</v>
      </c>
      <c r="N1949">
        <v>668</v>
      </c>
      <c r="O1949">
        <v>40</v>
      </c>
      <c r="P1949" s="1">
        <v>45591</v>
      </c>
      <c r="Q1949" s="1"/>
      <c r="R1949" t="str">
        <f>IF(Table1[[#This Row],[Actual close date]]="","",Table1[[#This Row],[Actual close date]]-Table1[[#This Row],[Expected close date]])</f>
        <v/>
      </c>
    </row>
    <row r="1950" spans="1:18" x14ac:dyDescent="0.25">
      <c r="A1950" t="s">
        <v>2034</v>
      </c>
      <c r="B1950" t="s">
        <v>59</v>
      </c>
      <c r="C1950" t="s">
        <v>60</v>
      </c>
      <c r="D1950" t="s">
        <v>61</v>
      </c>
      <c r="E1950" t="s">
        <v>52</v>
      </c>
      <c r="F1950" t="s">
        <v>22</v>
      </c>
      <c r="G1950" t="s">
        <v>72</v>
      </c>
      <c r="H1950" s="1">
        <v>45355</v>
      </c>
      <c r="I1950" t="s">
        <v>24</v>
      </c>
      <c r="J1950" t="s">
        <v>1991</v>
      </c>
      <c r="K1950">
        <v>2</v>
      </c>
      <c r="N1950">
        <v>596</v>
      </c>
      <c r="O1950">
        <v>10</v>
      </c>
      <c r="P1950" s="1">
        <v>45467</v>
      </c>
      <c r="Q1950" s="1"/>
      <c r="R1950" t="str">
        <f>IF(Table1[[#This Row],[Actual close date]]="","",Table1[[#This Row],[Actual close date]]-Table1[[#This Row],[Expected close date]])</f>
        <v/>
      </c>
    </row>
    <row r="1951" spans="1:18" x14ac:dyDescent="0.25">
      <c r="A1951" t="s">
        <v>2035</v>
      </c>
      <c r="B1951" t="s">
        <v>49</v>
      </c>
      <c r="C1951" t="s">
        <v>50</v>
      </c>
      <c r="D1951" t="s">
        <v>51</v>
      </c>
      <c r="E1951" t="s">
        <v>52</v>
      </c>
      <c r="F1951" t="s">
        <v>22</v>
      </c>
      <c r="G1951" t="s">
        <v>31</v>
      </c>
      <c r="H1951" s="1">
        <v>45366</v>
      </c>
      <c r="I1951" t="s">
        <v>64</v>
      </c>
      <c r="J1951" t="s">
        <v>1991</v>
      </c>
      <c r="K1951">
        <v>2</v>
      </c>
      <c r="N1951">
        <v>1691</v>
      </c>
      <c r="O1951">
        <v>40</v>
      </c>
      <c r="P1951" s="1">
        <v>45655</v>
      </c>
      <c r="Q1951" s="1"/>
      <c r="R1951" t="str">
        <f>IF(Table1[[#This Row],[Actual close date]]="","",Table1[[#This Row],[Actual close date]]-Table1[[#This Row],[Expected close date]])</f>
        <v/>
      </c>
    </row>
    <row r="1952" spans="1:18" x14ac:dyDescent="0.25">
      <c r="A1952" t="s">
        <v>2036</v>
      </c>
      <c r="B1952" t="s">
        <v>76</v>
      </c>
      <c r="C1952" t="s">
        <v>77</v>
      </c>
      <c r="D1952" t="s">
        <v>78</v>
      </c>
      <c r="E1952" t="s">
        <v>45</v>
      </c>
      <c r="F1952" t="s">
        <v>22</v>
      </c>
      <c r="G1952" t="s">
        <v>37</v>
      </c>
      <c r="H1952" s="1">
        <v>45305</v>
      </c>
      <c r="I1952" t="s">
        <v>64</v>
      </c>
      <c r="J1952" t="s">
        <v>1991</v>
      </c>
      <c r="K1952">
        <v>2</v>
      </c>
      <c r="N1952">
        <v>1303</v>
      </c>
      <c r="O1952">
        <v>40</v>
      </c>
      <c r="P1952" s="1">
        <v>45502</v>
      </c>
      <c r="Q1952" s="1"/>
      <c r="R1952" t="str">
        <f>IF(Table1[[#This Row],[Actual close date]]="","",Table1[[#This Row],[Actual close date]]-Table1[[#This Row],[Expected close date]])</f>
        <v/>
      </c>
    </row>
    <row r="1953" spans="1:18" x14ac:dyDescent="0.25">
      <c r="A1953" t="s">
        <v>2037</v>
      </c>
      <c r="B1953" t="s">
        <v>54</v>
      </c>
      <c r="C1953" t="s">
        <v>55</v>
      </c>
      <c r="D1953" t="s">
        <v>56</v>
      </c>
      <c r="E1953" t="s">
        <v>45</v>
      </c>
      <c r="F1953" t="s">
        <v>22</v>
      </c>
      <c r="G1953" t="s">
        <v>57</v>
      </c>
      <c r="H1953" s="1">
        <v>45434</v>
      </c>
      <c r="I1953" t="s">
        <v>47</v>
      </c>
      <c r="J1953" t="s">
        <v>1991</v>
      </c>
      <c r="K1953">
        <v>2</v>
      </c>
      <c r="N1953">
        <v>1520</v>
      </c>
      <c r="O1953">
        <v>30</v>
      </c>
      <c r="P1953" s="1">
        <v>45526</v>
      </c>
      <c r="Q1953" s="1"/>
      <c r="R1953" t="str">
        <f>IF(Table1[[#This Row],[Actual close date]]="","",Table1[[#This Row],[Actual close date]]-Table1[[#This Row],[Expected close date]])</f>
        <v/>
      </c>
    </row>
    <row r="1954" spans="1:18" x14ac:dyDescent="0.25">
      <c r="A1954" t="s">
        <v>2038</v>
      </c>
      <c r="B1954" t="s">
        <v>39</v>
      </c>
      <c r="C1954" t="s">
        <v>40</v>
      </c>
      <c r="D1954" t="s">
        <v>41</v>
      </c>
      <c r="E1954" t="s">
        <v>82</v>
      </c>
      <c r="F1954" t="s">
        <v>22</v>
      </c>
      <c r="G1954" t="s">
        <v>57</v>
      </c>
      <c r="H1954" s="1">
        <v>45397</v>
      </c>
      <c r="I1954" t="s">
        <v>47</v>
      </c>
      <c r="J1954" t="s">
        <v>1991</v>
      </c>
      <c r="K1954">
        <v>2</v>
      </c>
      <c r="N1954">
        <v>834</v>
      </c>
      <c r="O1954">
        <v>30</v>
      </c>
      <c r="P1954" s="1">
        <v>45576</v>
      </c>
      <c r="Q1954" s="1"/>
      <c r="R1954" t="str">
        <f>IF(Table1[[#This Row],[Actual close date]]="","",Table1[[#This Row],[Actual close date]]-Table1[[#This Row],[Expected close date]])</f>
        <v/>
      </c>
    </row>
    <row r="1955" spans="1:18" x14ac:dyDescent="0.25">
      <c r="A1955" t="s">
        <v>2039</v>
      </c>
      <c r="B1955" t="s">
        <v>33</v>
      </c>
      <c r="C1955" t="s">
        <v>34</v>
      </c>
      <c r="D1955" t="s">
        <v>35</v>
      </c>
      <c r="E1955" t="s">
        <v>98</v>
      </c>
      <c r="F1955" t="s">
        <v>22</v>
      </c>
      <c r="G1955" t="s">
        <v>31</v>
      </c>
      <c r="H1955" s="1">
        <v>45311</v>
      </c>
      <c r="I1955" t="s">
        <v>24</v>
      </c>
      <c r="J1955" t="s">
        <v>1991</v>
      </c>
      <c r="K1955">
        <v>2</v>
      </c>
      <c r="N1955">
        <v>444</v>
      </c>
      <c r="O1955">
        <v>20</v>
      </c>
      <c r="P1955" s="1">
        <v>45613</v>
      </c>
      <c r="Q1955" s="1"/>
      <c r="R1955" t="str">
        <f>IF(Table1[[#This Row],[Actual close date]]="","",Table1[[#This Row],[Actual close date]]-Table1[[#This Row],[Expected close date]])</f>
        <v/>
      </c>
    </row>
    <row r="1956" spans="1:18" x14ac:dyDescent="0.25">
      <c r="A1956" t="s">
        <v>2040</v>
      </c>
      <c r="B1956" t="s">
        <v>59</v>
      </c>
      <c r="C1956" t="s">
        <v>60</v>
      </c>
      <c r="D1956" t="s">
        <v>61</v>
      </c>
      <c r="E1956" t="s">
        <v>52</v>
      </c>
      <c r="F1956" t="s">
        <v>22</v>
      </c>
      <c r="G1956" t="s">
        <v>85</v>
      </c>
      <c r="H1956" s="1">
        <v>45353</v>
      </c>
      <c r="I1956" t="s">
        <v>24</v>
      </c>
      <c r="J1956" t="s">
        <v>1991</v>
      </c>
      <c r="K1956">
        <v>2</v>
      </c>
      <c r="N1956">
        <v>1067</v>
      </c>
      <c r="O1956">
        <v>40</v>
      </c>
      <c r="P1956" s="1">
        <v>45496</v>
      </c>
      <c r="Q1956" s="1"/>
      <c r="R1956" t="str">
        <f>IF(Table1[[#This Row],[Actual close date]]="","",Table1[[#This Row],[Actual close date]]-Table1[[#This Row],[Expected close date]])</f>
        <v/>
      </c>
    </row>
    <row r="1957" spans="1:18" x14ac:dyDescent="0.25">
      <c r="A1957" t="s">
        <v>2041</v>
      </c>
      <c r="B1957" t="s">
        <v>33</v>
      </c>
      <c r="C1957" t="s">
        <v>34</v>
      </c>
      <c r="D1957" t="s">
        <v>35</v>
      </c>
      <c r="E1957" t="s">
        <v>74</v>
      </c>
      <c r="F1957" t="s">
        <v>22</v>
      </c>
      <c r="G1957" t="s">
        <v>31</v>
      </c>
      <c r="H1957" s="1">
        <v>45443</v>
      </c>
      <c r="I1957" t="s">
        <v>24</v>
      </c>
      <c r="J1957" t="s">
        <v>1991</v>
      </c>
      <c r="K1957">
        <v>2</v>
      </c>
      <c r="N1957">
        <v>958</v>
      </c>
      <c r="O1957">
        <v>40</v>
      </c>
      <c r="P1957" s="1">
        <v>45788</v>
      </c>
      <c r="Q1957" s="1"/>
      <c r="R1957" t="str">
        <f>IF(Table1[[#This Row],[Actual close date]]="","",Table1[[#This Row],[Actual close date]]-Table1[[#This Row],[Expected close date]])</f>
        <v/>
      </c>
    </row>
    <row r="1958" spans="1:18" x14ac:dyDescent="0.25">
      <c r="A1958" t="s">
        <v>2042</v>
      </c>
      <c r="B1958" t="s">
        <v>69</v>
      </c>
      <c r="C1958" t="s">
        <v>70</v>
      </c>
      <c r="D1958" t="s">
        <v>71</v>
      </c>
      <c r="E1958" t="s">
        <v>66</v>
      </c>
      <c r="F1958" t="s">
        <v>22</v>
      </c>
      <c r="G1958" t="s">
        <v>23</v>
      </c>
      <c r="H1958" s="1">
        <v>45413</v>
      </c>
      <c r="I1958" t="s">
        <v>64</v>
      </c>
      <c r="J1958" t="s">
        <v>1991</v>
      </c>
      <c r="K1958">
        <v>2</v>
      </c>
      <c r="N1958">
        <v>1017</v>
      </c>
      <c r="O1958">
        <v>30</v>
      </c>
      <c r="P1958" s="1">
        <v>45592</v>
      </c>
      <c r="Q1958" s="1"/>
      <c r="R1958" t="str">
        <f>IF(Table1[[#This Row],[Actual close date]]="","",Table1[[#This Row],[Actual close date]]-Table1[[#This Row],[Expected close date]])</f>
        <v/>
      </c>
    </row>
    <row r="1959" spans="1:18" x14ac:dyDescent="0.25">
      <c r="A1959" t="s">
        <v>2043</v>
      </c>
      <c r="B1959" t="s">
        <v>33</v>
      </c>
      <c r="C1959" t="s">
        <v>34</v>
      </c>
      <c r="D1959" t="s">
        <v>35</v>
      </c>
      <c r="E1959" t="s">
        <v>52</v>
      </c>
      <c r="F1959" t="s">
        <v>22</v>
      </c>
      <c r="G1959" t="s">
        <v>23</v>
      </c>
      <c r="H1959" s="1">
        <v>45306</v>
      </c>
      <c r="I1959" t="s">
        <v>24</v>
      </c>
      <c r="J1959" t="s">
        <v>1991</v>
      </c>
      <c r="K1959">
        <v>2</v>
      </c>
      <c r="N1959">
        <v>1621</v>
      </c>
      <c r="O1959">
        <v>40</v>
      </c>
      <c r="P1959" s="1">
        <v>45527</v>
      </c>
      <c r="Q1959" s="1"/>
      <c r="R1959" t="str">
        <f>IF(Table1[[#This Row],[Actual close date]]="","",Table1[[#This Row],[Actual close date]]-Table1[[#This Row],[Expected close date]])</f>
        <v/>
      </c>
    </row>
    <row r="1960" spans="1:18" x14ac:dyDescent="0.25">
      <c r="A1960" t="s">
        <v>2044</v>
      </c>
      <c r="B1960" t="s">
        <v>59</v>
      </c>
      <c r="C1960" t="s">
        <v>60</v>
      </c>
      <c r="D1960" t="s">
        <v>61</v>
      </c>
      <c r="E1960" t="s">
        <v>45</v>
      </c>
      <c r="F1960" t="s">
        <v>22</v>
      </c>
      <c r="G1960" t="s">
        <v>46</v>
      </c>
      <c r="H1960" s="1">
        <v>45390</v>
      </c>
      <c r="I1960" t="s">
        <v>24</v>
      </c>
      <c r="J1960" t="s">
        <v>1991</v>
      </c>
      <c r="K1960">
        <v>2</v>
      </c>
      <c r="N1960">
        <v>604</v>
      </c>
      <c r="O1960">
        <v>20</v>
      </c>
      <c r="P1960" s="1">
        <v>45549</v>
      </c>
      <c r="Q1960" s="1"/>
      <c r="R1960" t="str">
        <f>IF(Table1[[#This Row],[Actual close date]]="","",Table1[[#This Row],[Actual close date]]-Table1[[#This Row],[Expected close date]])</f>
        <v/>
      </c>
    </row>
    <row r="1961" spans="1:18" x14ac:dyDescent="0.25">
      <c r="A1961" t="s">
        <v>2045</v>
      </c>
      <c r="B1961" t="s">
        <v>69</v>
      </c>
      <c r="C1961" t="s">
        <v>70</v>
      </c>
      <c r="D1961" t="s">
        <v>71</v>
      </c>
      <c r="E1961" t="s">
        <v>98</v>
      </c>
      <c r="F1961" t="s">
        <v>22</v>
      </c>
      <c r="G1961" t="s">
        <v>46</v>
      </c>
      <c r="H1961" s="1">
        <v>45318</v>
      </c>
      <c r="I1961" t="s">
        <v>24</v>
      </c>
      <c r="J1961" t="s">
        <v>1991</v>
      </c>
      <c r="K1961">
        <v>2</v>
      </c>
      <c r="N1961">
        <v>1943</v>
      </c>
      <c r="O1961">
        <v>90</v>
      </c>
      <c r="P1961" s="1">
        <v>45670</v>
      </c>
      <c r="Q1961" s="1"/>
      <c r="R1961" t="str">
        <f>IF(Table1[[#This Row],[Actual close date]]="","",Table1[[#This Row],[Actual close date]]-Table1[[#This Row],[Expected close date]])</f>
        <v/>
      </c>
    </row>
    <row r="1962" spans="1:18" x14ac:dyDescent="0.25">
      <c r="A1962" t="s">
        <v>2046</v>
      </c>
      <c r="B1962" t="s">
        <v>76</v>
      </c>
      <c r="C1962" t="s">
        <v>77</v>
      </c>
      <c r="D1962" t="s">
        <v>78</v>
      </c>
      <c r="E1962" t="s">
        <v>74</v>
      </c>
      <c r="F1962" t="s">
        <v>22</v>
      </c>
      <c r="G1962" t="s">
        <v>57</v>
      </c>
      <c r="H1962" s="1">
        <v>45304</v>
      </c>
      <c r="I1962" t="s">
        <v>24</v>
      </c>
      <c r="J1962" t="s">
        <v>1991</v>
      </c>
      <c r="K1962">
        <v>2</v>
      </c>
      <c r="N1962">
        <v>1019</v>
      </c>
      <c r="O1962">
        <v>20</v>
      </c>
      <c r="P1962" s="1">
        <v>45556</v>
      </c>
      <c r="Q1962" s="1"/>
      <c r="R1962" t="str">
        <f>IF(Table1[[#This Row],[Actual close date]]="","",Table1[[#This Row],[Actual close date]]-Table1[[#This Row],[Expected close date]])</f>
        <v/>
      </c>
    </row>
    <row r="1963" spans="1:18" x14ac:dyDescent="0.25">
      <c r="A1963" t="s">
        <v>2047</v>
      </c>
      <c r="B1963" t="s">
        <v>69</v>
      </c>
      <c r="C1963" t="s">
        <v>70</v>
      </c>
      <c r="D1963" t="s">
        <v>71</v>
      </c>
      <c r="E1963" t="s">
        <v>21</v>
      </c>
      <c r="F1963" t="s">
        <v>22</v>
      </c>
      <c r="G1963" t="s">
        <v>37</v>
      </c>
      <c r="H1963" s="1">
        <v>45417</v>
      </c>
      <c r="I1963" t="s">
        <v>47</v>
      </c>
      <c r="J1963" t="s">
        <v>1991</v>
      </c>
      <c r="K1963">
        <v>2</v>
      </c>
      <c r="N1963">
        <v>1623</v>
      </c>
      <c r="O1963">
        <v>20</v>
      </c>
      <c r="P1963" s="1">
        <v>45535</v>
      </c>
      <c r="Q1963" s="1"/>
      <c r="R1963" t="str">
        <f>IF(Table1[[#This Row],[Actual close date]]="","",Table1[[#This Row],[Actual close date]]-Table1[[#This Row],[Expected close date]])</f>
        <v/>
      </c>
    </row>
    <row r="1964" spans="1:18" x14ac:dyDescent="0.25">
      <c r="A1964" t="s">
        <v>2048</v>
      </c>
      <c r="B1964" t="s">
        <v>54</v>
      </c>
      <c r="C1964" t="s">
        <v>55</v>
      </c>
      <c r="D1964" t="s">
        <v>56</v>
      </c>
      <c r="E1964" t="s">
        <v>52</v>
      </c>
      <c r="F1964" t="s">
        <v>22</v>
      </c>
      <c r="G1964" t="s">
        <v>31</v>
      </c>
      <c r="H1964" s="1">
        <v>45435</v>
      </c>
      <c r="I1964" t="s">
        <v>64</v>
      </c>
      <c r="J1964" t="s">
        <v>1991</v>
      </c>
      <c r="K1964">
        <v>2</v>
      </c>
      <c r="N1964">
        <v>466</v>
      </c>
      <c r="O1964">
        <v>30</v>
      </c>
      <c r="P1964" s="1">
        <v>45657</v>
      </c>
      <c r="Q1964" s="1"/>
      <c r="R1964" t="str">
        <f>IF(Table1[[#This Row],[Actual close date]]="","",Table1[[#This Row],[Actual close date]]-Table1[[#This Row],[Expected close date]])</f>
        <v/>
      </c>
    </row>
    <row r="1965" spans="1:18" x14ac:dyDescent="0.25">
      <c r="A1965" t="s">
        <v>2049</v>
      </c>
      <c r="B1965" t="s">
        <v>39</v>
      </c>
      <c r="C1965" t="s">
        <v>40</v>
      </c>
      <c r="D1965" t="s">
        <v>41</v>
      </c>
      <c r="E1965" t="s">
        <v>30</v>
      </c>
      <c r="F1965" t="s">
        <v>22</v>
      </c>
      <c r="G1965" t="s">
        <v>46</v>
      </c>
      <c r="H1965" s="1">
        <v>45320</v>
      </c>
      <c r="I1965" t="s">
        <v>64</v>
      </c>
      <c r="J1965" t="s">
        <v>1991</v>
      </c>
      <c r="K1965">
        <v>2</v>
      </c>
      <c r="N1965">
        <v>444</v>
      </c>
      <c r="O1965">
        <v>50</v>
      </c>
      <c r="P1965" s="1">
        <v>45571</v>
      </c>
      <c r="Q1965" s="1"/>
      <c r="R1965" t="str">
        <f>IF(Table1[[#This Row],[Actual close date]]="","",Table1[[#This Row],[Actual close date]]-Table1[[#This Row],[Expected close date]])</f>
        <v/>
      </c>
    </row>
    <row r="1966" spans="1:18" x14ac:dyDescent="0.25">
      <c r="A1966" t="s">
        <v>2050</v>
      </c>
      <c r="B1966" t="s">
        <v>76</v>
      </c>
      <c r="C1966" t="s">
        <v>77</v>
      </c>
      <c r="D1966" t="s">
        <v>78</v>
      </c>
      <c r="E1966" t="s">
        <v>21</v>
      </c>
      <c r="F1966" t="s">
        <v>22</v>
      </c>
      <c r="G1966" t="s">
        <v>46</v>
      </c>
      <c r="H1966" s="1">
        <v>45345</v>
      </c>
      <c r="I1966" t="s">
        <v>64</v>
      </c>
      <c r="J1966" t="s">
        <v>1991</v>
      </c>
      <c r="K1966">
        <v>2</v>
      </c>
      <c r="N1966">
        <v>1748</v>
      </c>
      <c r="O1966">
        <v>50</v>
      </c>
      <c r="P1966" s="1">
        <v>45625</v>
      </c>
      <c r="Q1966" s="1"/>
      <c r="R1966" t="str">
        <f>IF(Table1[[#This Row],[Actual close date]]="","",Table1[[#This Row],[Actual close date]]-Table1[[#This Row],[Expected close date]])</f>
        <v/>
      </c>
    </row>
    <row r="1967" spans="1:18" x14ac:dyDescent="0.25">
      <c r="A1967" t="s">
        <v>2051</v>
      </c>
      <c r="B1967" t="s">
        <v>33</v>
      </c>
      <c r="C1967" t="s">
        <v>34</v>
      </c>
      <c r="D1967" t="s">
        <v>35</v>
      </c>
      <c r="E1967" t="s">
        <v>42</v>
      </c>
      <c r="F1967" t="s">
        <v>22</v>
      </c>
      <c r="G1967" t="s">
        <v>23</v>
      </c>
      <c r="H1967" s="1">
        <v>45332</v>
      </c>
      <c r="I1967" t="s">
        <v>24</v>
      </c>
      <c r="J1967" t="s">
        <v>1991</v>
      </c>
      <c r="K1967">
        <v>2</v>
      </c>
      <c r="N1967">
        <v>1276</v>
      </c>
      <c r="O1967">
        <v>50</v>
      </c>
      <c r="P1967" s="1">
        <v>45482</v>
      </c>
      <c r="Q1967" s="1"/>
      <c r="R1967" t="str">
        <f>IF(Table1[[#This Row],[Actual close date]]="","",Table1[[#This Row],[Actual close date]]-Table1[[#This Row],[Expected close date]])</f>
        <v/>
      </c>
    </row>
    <row r="1968" spans="1:18" x14ac:dyDescent="0.25">
      <c r="A1968" t="s">
        <v>2052</v>
      </c>
      <c r="B1968" t="s">
        <v>49</v>
      </c>
      <c r="C1968" t="s">
        <v>50</v>
      </c>
      <c r="D1968" t="s">
        <v>51</v>
      </c>
      <c r="E1968" t="s">
        <v>21</v>
      </c>
      <c r="F1968" t="s">
        <v>22</v>
      </c>
      <c r="G1968" t="s">
        <v>37</v>
      </c>
      <c r="H1968" s="1">
        <v>45413</v>
      </c>
      <c r="I1968" t="s">
        <v>24</v>
      </c>
      <c r="J1968" t="s">
        <v>1991</v>
      </c>
      <c r="K1968">
        <v>2</v>
      </c>
      <c r="N1968">
        <v>1968</v>
      </c>
      <c r="O1968">
        <v>100</v>
      </c>
      <c r="P1968" s="1">
        <v>45499</v>
      </c>
      <c r="Q1968" s="1"/>
      <c r="R1968" t="str">
        <f>IF(Table1[[#This Row],[Actual close date]]="","",Table1[[#This Row],[Actual close date]]-Table1[[#This Row],[Expected close date]])</f>
        <v/>
      </c>
    </row>
    <row r="1969" spans="1:18" x14ac:dyDescent="0.25">
      <c r="A1969" t="s">
        <v>2053</v>
      </c>
      <c r="B1969" t="s">
        <v>76</v>
      </c>
      <c r="C1969" t="s">
        <v>77</v>
      </c>
      <c r="D1969" t="s">
        <v>78</v>
      </c>
      <c r="E1969" t="s">
        <v>21</v>
      </c>
      <c r="F1969" t="s">
        <v>22</v>
      </c>
      <c r="G1969" t="s">
        <v>46</v>
      </c>
      <c r="H1969" s="1">
        <v>45374</v>
      </c>
      <c r="I1969" t="s">
        <v>24</v>
      </c>
      <c r="J1969" t="s">
        <v>1991</v>
      </c>
      <c r="K1969">
        <v>2</v>
      </c>
      <c r="N1969">
        <v>500</v>
      </c>
      <c r="O1969">
        <v>40</v>
      </c>
      <c r="P1969" s="1">
        <v>45663</v>
      </c>
      <c r="Q1969" s="1"/>
      <c r="R1969" t="str">
        <f>IF(Table1[[#This Row],[Actual close date]]="","",Table1[[#This Row],[Actual close date]]-Table1[[#This Row],[Expected close date]])</f>
        <v/>
      </c>
    </row>
    <row r="1970" spans="1:18" x14ac:dyDescent="0.25">
      <c r="A1970" t="s">
        <v>2054</v>
      </c>
      <c r="B1970" t="s">
        <v>39</v>
      </c>
      <c r="C1970" t="s">
        <v>40</v>
      </c>
      <c r="D1970" t="s">
        <v>41</v>
      </c>
      <c r="E1970" t="s">
        <v>45</v>
      </c>
      <c r="F1970" t="s">
        <v>22</v>
      </c>
      <c r="G1970" t="s">
        <v>72</v>
      </c>
      <c r="H1970" s="1">
        <v>45299</v>
      </c>
      <c r="I1970" t="s">
        <v>47</v>
      </c>
      <c r="J1970" t="s">
        <v>1991</v>
      </c>
      <c r="K1970">
        <v>2</v>
      </c>
      <c r="N1970">
        <v>494</v>
      </c>
      <c r="O1970">
        <v>20</v>
      </c>
      <c r="P1970" s="1">
        <v>45393</v>
      </c>
      <c r="Q1970" s="1"/>
      <c r="R1970" t="str">
        <f>IF(Table1[[#This Row],[Actual close date]]="","",Table1[[#This Row],[Actual close date]]-Table1[[#This Row],[Expected close date]])</f>
        <v/>
      </c>
    </row>
    <row r="1971" spans="1:18" x14ac:dyDescent="0.25">
      <c r="A1971" t="s">
        <v>2055</v>
      </c>
      <c r="B1971" t="s">
        <v>49</v>
      </c>
      <c r="C1971" t="s">
        <v>50</v>
      </c>
      <c r="D1971" t="s">
        <v>51</v>
      </c>
      <c r="E1971" t="s">
        <v>82</v>
      </c>
      <c r="F1971" t="s">
        <v>22</v>
      </c>
      <c r="G1971" t="s">
        <v>31</v>
      </c>
      <c r="H1971" s="1">
        <v>45424</v>
      </c>
      <c r="I1971" t="s">
        <v>64</v>
      </c>
      <c r="J1971" t="s">
        <v>1991</v>
      </c>
      <c r="K1971">
        <v>2</v>
      </c>
      <c r="N1971">
        <v>1307</v>
      </c>
      <c r="O1971">
        <v>20</v>
      </c>
      <c r="P1971" s="1">
        <v>45642</v>
      </c>
      <c r="Q1971" s="1"/>
      <c r="R1971" t="str">
        <f>IF(Table1[[#This Row],[Actual close date]]="","",Table1[[#This Row],[Actual close date]]-Table1[[#This Row],[Expected close date]])</f>
        <v/>
      </c>
    </row>
    <row r="1972" spans="1:18" x14ac:dyDescent="0.25">
      <c r="A1972" t="s">
        <v>2056</v>
      </c>
      <c r="B1972" t="s">
        <v>33</v>
      </c>
      <c r="C1972" t="s">
        <v>34</v>
      </c>
      <c r="D1972" t="s">
        <v>35</v>
      </c>
      <c r="E1972" t="s">
        <v>52</v>
      </c>
      <c r="F1972" t="s">
        <v>22</v>
      </c>
      <c r="G1972" t="s">
        <v>37</v>
      </c>
      <c r="H1972" s="1">
        <v>45400</v>
      </c>
      <c r="I1972" t="s">
        <v>24</v>
      </c>
      <c r="J1972" t="s">
        <v>1991</v>
      </c>
      <c r="K1972">
        <v>2</v>
      </c>
      <c r="N1972">
        <v>1913</v>
      </c>
      <c r="O1972">
        <v>40</v>
      </c>
      <c r="P1972" s="1">
        <v>45439</v>
      </c>
      <c r="Q1972" s="1"/>
      <c r="R1972" t="str">
        <f>IF(Table1[[#This Row],[Actual close date]]="","",Table1[[#This Row],[Actual close date]]-Table1[[#This Row],[Expected close date]])</f>
        <v/>
      </c>
    </row>
    <row r="1973" spans="1:18" x14ac:dyDescent="0.25">
      <c r="A1973" t="s">
        <v>2057</v>
      </c>
      <c r="B1973" t="s">
        <v>59</v>
      </c>
      <c r="C1973" t="s">
        <v>60</v>
      </c>
      <c r="D1973" t="s">
        <v>61</v>
      </c>
      <c r="E1973" t="s">
        <v>98</v>
      </c>
      <c r="F1973" t="s">
        <v>22</v>
      </c>
      <c r="G1973" t="s">
        <v>83</v>
      </c>
      <c r="H1973" s="1">
        <v>45346</v>
      </c>
      <c r="I1973" t="s">
        <v>24</v>
      </c>
      <c r="J1973" t="s">
        <v>1991</v>
      </c>
      <c r="K1973">
        <v>2</v>
      </c>
      <c r="N1973">
        <v>1519</v>
      </c>
      <c r="O1973">
        <v>90</v>
      </c>
      <c r="P1973" s="1">
        <v>45580</v>
      </c>
      <c r="Q1973" s="1"/>
      <c r="R1973" t="str">
        <f>IF(Table1[[#This Row],[Actual close date]]="","",Table1[[#This Row],[Actual close date]]-Table1[[#This Row],[Expected close date]])</f>
        <v/>
      </c>
    </row>
    <row r="1974" spans="1:18" x14ac:dyDescent="0.25">
      <c r="A1974" t="s">
        <v>2058</v>
      </c>
      <c r="B1974" t="s">
        <v>39</v>
      </c>
      <c r="C1974" t="s">
        <v>40</v>
      </c>
      <c r="D1974" t="s">
        <v>41</v>
      </c>
      <c r="E1974" t="s">
        <v>98</v>
      </c>
      <c r="F1974" t="s">
        <v>22</v>
      </c>
      <c r="G1974" t="s">
        <v>46</v>
      </c>
      <c r="H1974" s="1">
        <v>45382</v>
      </c>
      <c r="I1974" t="s">
        <v>64</v>
      </c>
      <c r="J1974" t="s">
        <v>1991</v>
      </c>
      <c r="K1974">
        <v>2</v>
      </c>
      <c r="N1974">
        <v>1323</v>
      </c>
      <c r="O1974">
        <v>40</v>
      </c>
      <c r="P1974" s="1">
        <v>45698</v>
      </c>
      <c r="Q1974" s="1"/>
      <c r="R1974" t="str">
        <f>IF(Table1[[#This Row],[Actual close date]]="","",Table1[[#This Row],[Actual close date]]-Table1[[#This Row],[Expected close date]])</f>
        <v/>
      </c>
    </row>
    <row r="1975" spans="1:18" x14ac:dyDescent="0.25">
      <c r="A1975" t="s">
        <v>2059</v>
      </c>
      <c r="B1975" t="s">
        <v>27</v>
      </c>
      <c r="C1975" t="s">
        <v>28</v>
      </c>
      <c r="D1975" t="s">
        <v>29</v>
      </c>
      <c r="E1975" t="s">
        <v>62</v>
      </c>
      <c r="F1975" t="s">
        <v>22</v>
      </c>
      <c r="G1975" t="s">
        <v>85</v>
      </c>
      <c r="H1975" s="1">
        <v>45301</v>
      </c>
      <c r="I1975" t="s">
        <v>47</v>
      </c>
      <c r="J1975" t="s">
        <v>1991</v>
      </c>
      <c r="K1975">
        <v>2</v>
      </c>
      <c r="N1975">
        <v>304</v>
      </c>
      <c r="O1975">
        <v>30</v>
      </c>
      <c r="P1975" s="1">
        <v>45416</v>
      </c>
      <c r="Q1975" s="1"/>
      <c r="R1975" t="str">
        <f>IF(Table1[[#This Row],[Actual close date]]="","",Table1[[#This Row],[Actual close date]]-Table1[[#This Row],[Expected close date]])</f>
        <v/>
      </c>
    </row>
    <row r="1976" spans="1:18" x14ac:dyDescent="0.25">
      <c r="A1976" t="s">
        <v>2060</v>
      </c>
      <c r="B1976" t="s">
        <v>33</v>
      </c>
      <c r="C1976" t="s">
        <v>34</v>
      </c>
      <c r="D1976" t="s">
        <v>35</v>
      </c>
      <c r="E1976" t="s">
        <v>30</v>
      </c>
      <c r="F1976" t="s">
        <v>22</v>
      </c>
      <c r="G1976" t="s">
        <v>37</v>
      </c>
      <c r="H1976" s="1">
        <v>45336</v>
      </c>
      <c r="I1976" t="s">
        <v>24</v>
      </c>
      <c r="J1976" t="s">
        <v>1991</v>
      </c>
      <c r="K1976">
        <v>2</v>
      </c>
      <c r="N1976">
        <v>762</v>
      </c>
      <c r="O1976">
        <v>20</v>
      </c>
      <c r="P1976" s="1">
        <v>45472</v>
      </c>
      <c r="Q1976" s="1"/>
      <c r="R1976" t="str">
        <f>IF(Table1[[#This Row],[Actual close date]]="","",Table1[[#This Row],[Actual close date]]-Table1[[#This Row],[Expected close date]])</f>
        <v/>
      </c>
    </row>
    <row r="1977" spans="1:18" x14ac:dyDescent="0.25">
      <c r="A1977" t="s">
        <v>2061</v>
      </c>
      <c r="B1977" t="s">
        <v>39</v>
      </c>
      <c r="C1977" t="s">
        <v>40</v>
      </c>
      <c r="D1977" t="s">
        <v>41</v>
      </c>
      <c r="E1977" t="s">
        <v>74</v>
      </c>
      <c r="F1977" t="s">
        <v>22</v>
      </c>
      <c r="G1977" t="s">
        <v>31</v>
      </c>
      <c r="H1977" s="1">
        <v>45386</v>
      </c>
      <c r="I1977" t="s">
        <v>24</v>
      </c>
      <c r="J1977" t="s">
        <v>1991</v>
      </c>
      <c r="K1977">
        <v>2</v>
      </c>
      <c r="N1977">
        <v>834</v>
      </c>
      <c r="O1977">
        <v>30</v>
      </c>
      <c r="P1977" s="1">
        <v>45428</v>
      </c>
      <c r="Q1977" s="1"/>
      <c r="R1977" t="str">
        <f>IF(Table1[[#This Row],[Actual close date]]="","",Table1[[#This Row],[Actual close date]]-Table1[[#This Row],[Expected close date]])</f>
        <v/>
      </c>
    </row>
    <row r="1978" spans="1:18" x14ac:dyDescent="0.25">
      <c r="A1978" t="s">
        <v>2062</v>
      </c>
      <c r="B1978" t="s">
        <v>54</v>
      </c>
      <c r="C1978" t="s">
        <v>55</v>
      </c>
      <c r="D1978" t="s">
        <v>56</v>
      </c>
      <c r="E1978" t="s">
        <v>52</v>
      </c>
      <c r="F1978" t="s">
        <v>22</v>
      </c>
      <c r="G1978" t="s">
        <v>37</v>
      </c>
      <c r="H1978" s="1">
        <v>45348</v>
      </c>
      <c r="I1978" t="s">
        <v>64</v>
      </c>
      <c r="J1978" t="s">
        <v>1991</v>
      </c>
      <c r="K1978">
        <v>2</v>
      </c>
      <c r="N1978">
        <v>1973</v>
      </c>
      <c r="O1978">
        <v>50</v>
      </c>
      <c r="P1978" s="1">
        <v>45647</v>
      </c>
      <c r="Q1978" s="1"/>
      <c r="R1978" t="str">
        <f>IF(Table1[[#This Row],[Actual close date]]="","",Table1[[#This Row],[Actual close date]]-Table1[[#This Row],[Expected close date]])</f>
        <v/>
      </c>
    </row>
    <row r="1979" spans="1:18" x14ac:dyDescent="0.25">
      <c r="A1979" t="s">
        <v>2063</v>
      </c>
      <c r="B1979" t="s">
        <v>59</v>
      </c>
      <c r="C1979" t="s">
        <v>60</v>
      </c>
      <c r="D1979" t="s">
        <v>61</v>
      </c>
      <c r="E1979" t="s">
        <v>52</v>
      </c>
      <c r="F1979" t="s">
        <v>22</v>
      </c>
      <c r="G1979" t="s">
        <v>37</v>
      </c>
      <c r="H1979" s="1">
        <v>45351</v>
      </c>
      <c r="I1979" t="s">
        <v>64</v>
      </c>
      <c r="J1979" t="s">
        <v>1991</v>
      </c>
      <c r="K1979">
        <v>2</v>
      </c>
      <c r="N1979">
        <v>1850</v>
      </c>
      <c r="O1979">
        <v>30</v>
      </c>
      <c r="P1979" s="1">
        <v>45567</v>
      </c>
      <c r="Q1979" s="1"/>
      <c r="R1979" t="str">
        <f>IF(Table1[[#This Row],[Actual close date]]="","",Table1[[#This Row],[Actual close date]]-Table1[[#This Row],[Expected close date]])</f>
        <v/>
      </c>
    </row>
    <row r="1980" spans="1:18" x14ac:dyDescent="0.25">
      <c r="A1980" t="s">
        <v>2064</v>
      </c>
      <c r="B1980" t="s">
        <v>33</v>
      </c>
      <c r="C1980" t="s">
        <v>34</v>
      </c>
      <c r="D1980" t="s">
        <v>35</v>
      </c>
      <c r="E1980" t="s">
        <v>74</v>
      </c>
      <c r="F1980" t="s">
        <v>22</v>
      </c>
      <c r="G1980" t="s">
        <v>46</v>
      </c>
      <c r="H1980" s="1">
        <v>45302</v>
      </c>
      <c r="I1980" t="s">
        <v>24</v>
      </c>
      <c r="J1980" t="s">
        <v>1991</v>
      </c>
      <c r="K1980">
        <v>2</v>
      </c>
      <c r="N1980">
        <v>1222</v>
      </c>
      <c r="O1980">
        <v>40</v>
      </c>
      <c r="P1980" s="1">
        <v>45419</v>
      </c>
      <c r="Q1980" s="1"/>
      <c r="R1980" t="str">
        <f>IF(Table1[[#This Row],[Actual close date]]="","",Table1[[#This Row],[Actual close date]]-Table1[[#This Row],[Expected close date]])</f>
        <v/>
      </c>
    </row>
    <row r="1981" spans="1:18" x14ac:dyDescent="0.25">
      <c r="A1981" t="s">
        <v>2065</v>
      </c>
      <c r="B1981" t="s">
        <v>27</v>
      </c>
      <c r="C1981" t="s">
        <v>28</v>
      </c>
      <c r="D1981" t="s">
        <v>29</v>
      </c>
      <c r="E1981" t="s">
        <v>21</v>
      </c>
      <c r="F1981" t="s">
        <v>22</v>
      </c>
      <c r="G1981" t="s">
        <v>46</v>
      </c>
      <c r="H1981" s="1">
        <v>45325</v>
      </c>
      <c r="I1981" t="s">
        <v>24</v>
      </c>
      <c r="J1981" t="s">
        <v>1991</v>
      </c>
      <c r="K1981">
        <v>2</v>
      </c>
      <c r="N1981">
        <v>992</v>
      </c>
      <c r="O1981">
        <v>30</v>
      </c>
      <c r="P1981" s="1">
        <v>45539</v>
      </c>
      <c r="Q1981" s="1"/>
      <c r="R1981" t="str">
        <f>IF(Table1[[#This Row],[Actual close date]]="","",Table1[[#This Row],[Actual close date]]-Table1[[#This Row],[Expected close date]])</f>
        <v/>
      </c>
    </row>
    <row r="1982" spans="1:18" x14ac:dyDescent="0.25">
      <c r="A1982" t="s">
        <v>2066</v>
      </c>
      <c r="B1982" t="s">
        <v>69</v>
      </c>
      <c r="C1982" t="s">
        <v>70</v>
      </c>
      <c r="D1982" t="s">
        <v>71</v>
      </c>
      <c r="E1982" t="s">
        <v>21</v>
      </c>
      <c r="F1982" t="s">
        <v>22</v>
      </c>
      <c r="G1982" t="s">
        <v>72</v>
      </c>
      <c r="H1982" s="1">
        <v>45436</v>
      </c>
      <c r="I1982" t="s">
        <v>64</v>
      </c>
      <c r="J1982" t="s">
        <v>1991</v>
      </c>
      <c r="K1982">
        <v>2</v>
      </c>
      <c r="N1982">
        <v>1488</v>
      </c>
      <c r="O1982">
        <v>40</v>
      </c>
      <c r="P1982" s="1">
        <v>45506</v>
      </c>
      <c r="Q1982" s="1"/>
      <c r="R1982" t="str">
        <f>IF(Table1[[#This Row],[Actual close date]]="","",Table1[[#This Row],[Actual close date]]-Table1[[#This Row],[Expected close date]])</f>
        <v/>
      </c>
    </row>
    <row r="1983" spans="1:18" x14ac:dyDescent="0.25">
      <c r="A1983" t="s">
        <v>2067</v>
      </c>
      <c r="B1983" t="s">
        <v>18</v>
      </c>
      <c r="C1983" t="s">
        <v>19</v>
      </c>
      <c r="D1983" t="s">
        <v>20</v>
      </c>
      <c r="E1983" t="s">
        <v>74</v>
      </c>
      <c r="F1983" t="s">
        <v>22</v>
      </c>
      <c r="G1983" t="s">
        <v>72</v>
      </c>
      <c r="H1983" s="1">
        <v>45318</v>
      </c>
      <c r="I1983" t="s">
        <v>24</v>
      </c>
      <c r="J1983" t="s">
        <v>1991</v>
      </c>
      <c r="K1983">
        <v>2</v>
      </c>
      <c r="N1983">
        <v>1636</v>
      </c>
      <c r="O1983">
        <v>20</v>
      </c>
      <c r="P1983" s="1">
        <v>45399</v>
      </c>
      <c r="Q1983" s="1"/>
      <c r="R1983" t="str">
        <f>IF(Table1[[#This Row],[Actual close date]]="","",Table1[[#This Row],[Actual close date]]-Table1[[#This Row],[Expected close date]])</f>
        <v/>
      </c>
    </row>
    <row r="1984" spans="1:18" x14ac:dyDescent="0.25">
      <c r="A1984" t="s">
        <v>2068</v>
      </c>
      <c r="B1984" t="s">
        <v>33</v>
      </c>
      <c r="C1984" t="s">
        <v>34</v>
      </c>
      <c r="D1984" t="s">
        <v>35</v>
      </c>
      <c r="E1984" t="s">
        <v>52</v>
      </c>
      <c r="F1984" t="s">
        <v>22</v>
      </c>
      <c r="G1984" t="s">
        <v>83</v>
      </c>
      <c r="H1984" s="1">
        <v>45352</v>
      </c>
      <c r="I1984" t="s">
        <v>47</v>
      </c>
      <c r="J1984" t="s">
        <v>1991</v>
      </c>
      <c r="K1984">
        <v>2</v>
      </c>
      <c r="N1984">
        <v>296</v>
      </c>
      <c r="O1984">
        <v>40</v>
      </c>
      <c r="P1984" s="1">
        <v>45549</v>
      </c>
      <c r="Q1984" s="1"/>
      <c r="R1984" t="str">
        <f>IF(Table1[[#This Row],[Actual close date]]="","",Table1[[#This Row],[Actual close date]]-Table1[[#This Row],[Expected close date]])</f>
        <v/>
      </c>
    </row>
    <row r="1985" spans="1:18" x14ac:dyDescent="0.25">
      <c r="A1985" t="s">
        <v>2069</v>
      </c>
      <c r="B1985" t="s">
        <v>76</v>
      </c>
      <c r="C1985" t="s">
        <v>77</v>
      </c>
      <c r="D1985" t="s">
        <v>78</v>
      </c>
      <c r="E1985" t="s">
        <v>42</v>
      </c>
      <c r="F1985" t="s">
        <v>22</v>
      </c>
      <c r="G1985" t="s">
        <v>46</v>
      </c>
      <c r="H1985" s="1">
        <v>45414</v>
      </c>
      <c r="I1985" t="s">
        <v>24</v>
      </c>
      <c r="J1985" t="s">
        <v>1991</v>
      </c>
      <c r="K1985">
        <v>2</v>
      </c>
      <c r="N1985">
        <v>1927</v>
      </c>
      <c r="O1985">
        <v>10</v>
      </c>
      <c r="P1985" s="1">
        <v>45540</v>
      </c>
      <c r="Q1985" s="1"/>
      <c r="R1985" t="str">
        <f>IF(Table1[[#This Row],[Actual close date]]="","",Table1[[#This Row],[Actual close date]]-Table1[[#This Row],[Expected close date]])</f>
        <v/>
      </c>
    </row>
    <row r="1986" spans="1:18" x14ac:dyDescent="0.25">
      <c r="A1986" t="s">
        <v>2070</v>
      </c>
      <c r="B1986" t="s">
        <v>33</v>
      </c>
      <c r="C1986" t="s">
        <v>34</v>
      </c>
      <c r="D1986" t="s">
        <v>35</v>
      </c>
      <c r="E1986" t="s">
        <v>45</v>
      </c>
      <c r="F1986" t="s">
        <v>22</v>
      </c>
      <c r="G1986" t="s">
        <v>46</v>
      </c>
      <c r="H1986" s="1">
        <v>45405</v>
      </c>
      <c r="I1986" t="s">
        <v>64</v>
      </c>
      <c r="J1986" t="s">
        <v>1991</v>
      </c>
      <c r="K1986">
        <v>2</v>
      </c>
      <c r="N1986">
        <v>1958</v>
      </c>
      <c r="O1986">
        <v>50</v>
      </c>
      <c r="P1986" s="1">
        <v>45754</v>
      </c>
      <c r="Q1986" s="1"/>
      <c r="R1986" t="str">
        <f>IF(Table1[[#This Row],[Actual close date]]="","",Table1[[#This Row],[Actual close date]]-Table1[[#This Row],[Expected close date]])</f>
        <v/>
      </c>
    </row>
    <row r="1987" spans="1:18" x14ac:dyDescent="0.25">
      <c r="A1987" t="s">
        <v>2071</v>
      </c>
      <c r="B1987" t="s">
        <v>39</v>
      </c>
      <c r="C1987" t="s">
        <v>40</v>
      </c>
      <c r="D1987" t="s">
        <v>41</v>
      </c>
      <c r="E1987" t="s">
        <v>66</v>
      </c>
      <c r="F1987" t="s">
        <v>22</v>
      </c>
      <c r="G1987" t="s">
        <v>85</v>
      </c>
      <c r="H1987" s="1">
        <v>45363</v>
      </c>
      <c r="I1987" t="s">
        <v>24</v>
      </c>
      <c r="J1987" t="s">
        <v>1991</v>
      </c>
      <c r="K1987">
        <v>2</v>
      </c>
      <c r="N1987">
        <v>1396</v>
      </c>
      <c r="O1987">
        <v>10</v>
      </c>
      <c r="P1987" s="1">
        <v>45544</v>
      </c>
      <c r="Q1987" s="1"/>
      <c r="R1987" t="str">
        <f>IF(Table1[[#This Row],[Actual close date]]="","",Table1[[#This Row],[Actual close date]]-Table1[[#This Row],[Expected close date]])</f>
        <v/>
      </c>
    </row>
    <row r="1988" spans="1:18" x14ac:dyDescent="0.25">
      <c r="A1988" t="s">
        <v>2072</v>
      </c>
      <c r="B1988" t="s">
        <v>59</v>
      </c>
      <c r="C1988" t="s">
        <v>60</v>
      </c>
      <c r="D1988" t="s">
        <v>61</v>
      </c>
      <c r="E1988" t="s">
        <v>45</v>
      </c>
      <c r="F1988" t="s">
        <v>22</v>
      </c>
      <c r="G1988" t="s">
        <v>72</v>
      </c>
      <c r="H1988" s="1">
        <v>45433</v>
      </c>
      <c r="I1988" t="s">
        <v>24</v>
      </c>
      <c r="J1988" t="s">
        <v>1991</v>
      </c>
      <c r="K1988">
        <v>2</v>
      </c>
      <c r="N1988">
        <v>205</v>
      </c>
      <c r="O1988">
        <v>20</v>
      </c>
      <c r="P1988" s="1">
        <v>45603</v>
      </c>
      <c r="Q1988" s="1"/>
      <c r="R1988" t="str">
        <f>IF(Table1[[#This Row],[Actual close date]]="","",Table1[[#This Row],[Actual close date]]-Table1[[#This Row],[Expected close date]])</f>
        <v/>
      </c>
    </row>
    <row r="1989" spans="1:18" x14ac:dyDescent="0.25">
      <c r="A1989" t="s">
        <v>2073</v>
      </c>
      <c r="B1989" t="s">
        <v>54</v>
      </c>
      <c r="C1989" t="s">
        <v>55</v>
      </c>
      <c r="D1989" t="s">
        <v>56</v>
      </c>
      <c r="E1989" t="s">
        <v>52</v>
      </c>
      <c r="F1989" t="s">
        <v>22</v>
      </c>
      <c r="G1989" t="s">
        <v>31</v>
      </c>
      <c r="H1989" s="1">
        <v>45313</v>
      </c>
      <c r="I1989" t="s">
        <v>24</v>
      </c>
      <c r="J1989" t="s">
        <v>1991</v>
      </c>
      <c r="K1989">
        <v>2</v>
      </c>
      <c r="N1989">
        <v>951</v>
      </c>
      <c r="O1989">
        <v>100</v>
      </c>
      <c r="P1989" s="1">
        <v>45353</v>
      </c>
      <c r="Q1989" s="1"/>
      <c r="R1989" t="str">
        <f>IF(Table1[[#This Row],[Actual close date]]="","",Table1[[#This Row],[Actual close date]]-Table1[[#This Row],[Expected close date]])</f>
        <v/>
      </c>
    </row>
    <row r="1990" spans="1:18" x14ac:dyDescent="0.25">
      <c r="A1990" t="s">
        <v>2074</v>
      </c>
      <c r="B1990" t="s">
        <v>33</v>
      </c>
      <c r="C1990" t="s">
        <v>34</v>
      </c>
      <c r="D1990" t="s">
        <v>35</v>
      </c>
      <c r="E1990" t="s">
        <v>42</v>
      </c>
      <c r="F1990" t="s">
        <v>22</v>
      </c>
      <c r="G1990" t="s">
        <v>23</v>
      </c>
      <c r="H1990" s="1">
        <v>45320</v>
      </c>
      <c r="I1990" t="s">
        <v>24</v>
      </c>
      <c r="J1990" t="s">
        <v>1991</v>
      </c>
      <c r="K1990">
        <v>2</v>
      </c>
      <c r="N1990">
        <v>271</v>
      </c>
      <c r="O1990">
        <v>80</v>
      </c>
      <c r="P1990" s="1">
        <v>45569</v>
      </c>
      <c r="Q1990" s="1"/>
      <c r="R1990" t="str">
        <f>IF(Table1[[#This Row],[Actual close date]]="","",Table1[[#This Row],[Actual close date]]-Table1[[#This Row],[Expected close date]])</f>
        <v/>
      </c>
    </row>
    <row r="1991" spans="1:18" x14ac:dyDescent="0.25">
      <c r="A1991" t="s">
        <v>2075</v>
      </c>
      <c r="B1991" t="s">
        <v>33</v>
      </c>
      <c r="C1991" t="s">
        <v>34</v>
      </c>
      <c r="D1991" t="s">
        <v>35</v>
      </c>
      <c r="E1991" t="s">
        <v>98</v>
      </c>
      <c r="F1991" t="s">
        <v>22</v>
      </c>
      <c r="G1991" t="s">
        <v>46</v>
      </c>
      <c r="H1991" s="1">
        <v>45380</v>
      </c>
      <c r="I1991" t="s">
        <v>64</v>
      </c>
      <c r="J1991" t="s">
        <v>1991</v>
      </c>
      <c r="K1991">
        <v>2</v>
      </c>
      <c r="N1991">
        <v>740</v>
      </c>
      <c r="O1991">
        <v>30</v>
      </c>
      <c r="P1991" s="1">
        <v>45632</v>
      </c>
      <c r="Q1991" s="1"/>
      <c r="R1991" t="str">
        <f>IF(Table1[[#This Row],[Actual close date]]="","",Table1[[#This Row],[Actual close date]]-Table1[[#This Row],[Expected close date]])</f>
        <v/>
      </c>
    </row>
    <row r="1992" spans="1:18" x14ac:dyDescent="0.25">
      <c r="A1992" t="s">
        <v>2076</v>
      </c>
      <c r="B1992" t="s">
        <v>39</v>
      </c>
      <c r="C1992" t="s">
        <v>40</v>
      </c>
      <c r="D1992" t="s">
        <v>41</v>
      </c>
      <c r="E1992" t="s">
        <v>101</v>
      </c>
      <c r="F1992" t="s">
        <v>22</v>
      </c>
      <c r="G1992" t="s">
        <v>31</v>
      </c>
      <c r="H1992" s="1">
        <v>45423</v>
      </c>
      <c r="I1992" t="s">
        <v>24</v>
      </c>
      <c r="J1992" t="s">
        <v>1991</v>
      </c>
      <c r="K1992">
        <v>2</v>
      </c>
      <c r="N1992">
        <v>1520</v>
      </c>
      <c r="O1992">
        <v>40</v>
      </c>
      <c r="P1992" s="1">
        <v>45784</v>
      </c>
      <c r="Q1992" s="1"/>
      <c r="R1992" t="str">
        <f>IF(Table1[[#This Row],[Actual close date]]="","",Table1[[#This Row],[Actual close date]]-Table1[[#This Row],[Expected close date]])</f>
        <v/>
      </c>
    </row>
    <row r="1993" spans="1:18" x14ac:dyDescent="0.25">
      <c r="A1993" t="s">
        <v>2077</v>
      </c>
      <c r="B1993" t="s">
        <v>49</v>
      </c>
      <c r="C1993" t="s">
        <v>50</v>
      </c>
      <c r="D1993" t="s">
        <v>51</v>
      </c>
      <c r="E1993" t="s">
        <v>74</v>
      </c>
      <c r="F1993" t="s">
        <v>22</v>
      </c>
      <c r="G1993" t="s">
        <v>46</v>
      </c>
      <c r="H1993" s="1">
        <v>45384</v>
      </c>
      <c r="I1993" t="s">
        <v>64</v>
      </c>
      <c r="J1993" t="s">
        <v>1991</v>
      </c>
      <c r="K1993">
        <v>2</v>
      </c>
      <c r="N1993">
        <v>774</v>
      </c>
      <c r="O1993">
        <v>20</v>
      </c>
      <c r="P1993" s="1">
        <v>45434</v>
      </c>
      <c r="Q1993" s="1"/>
      <c r="R1993" t="str">
        <f>IF(Table1[[#This Row],[Actual close date]]="","",Table1[[#This Row],[Actual close date]]-Table1[[#This Row],[Expected close date]])</f>
        <v/>
      </c>
    </row>
    <row r="1994" spans="1:18" x14ac:dyDescent="0.25">
      <c r="A1994" t="s">
        <v>2078</v>
      </c>
      <c r="B1994" t="s">
        <v>33</v>
      </c>
      <c r="C1994" t="s">
        <v>34</v>
      </c>
      <c r="D1994" t="s">
        <v>35</v>
      </c>
      <c r="E1994" t="s">
        <v>52</v>
      </c>
      <c r="F1994" t="s">
        <v>22</v>
      </c>
      <c r="G1994" t="s">
        <v>37</v>
      </c>
      <c r="H1994" s="1">
        <v>45303</v>
      </c>
      <c r="I1994" t="s">
        <v>24</v>
      </c>
      <c r="J1994" t="s">
        <v>1991</v>
      </c>
      <c r="K1994">
        <v>2</v>
      </c>
      <c r="N1994">
        <v>373</v>
      </c>
      <c r="O1994">
        <v>70</v>
      </c>
      <c r="P1994" s="1">
        <v>45636</v>
      </c>
      <c r="Q1994" s="1"/>
      <c r="R1994" t="str">
        <f>IF(Table1[[#This Row],[Actual close date]]="","",Table1[[#This Row],[Actual close date]]-Table1[[#This Row],[Expected close date]])</f>
        <v/>
      </c>
    </row>
    <row r="1995" spans="1:18" x14ac:dyDescent="0.25">
      <c r="A1995" t="s">
        <v>2079</v>
      </c>
      <c r="B1995" t="s">
        <v>27</v>
      </c>
      <c r="C1995" t="s">
        <v>28</v>
      </c>
      <c r="D1995" t="s">
        <v>29</v>
      </c>
      <c r="E1995" t="s">
        <v>82</v>
      </c>
      <c r="F1995" t="s">
        <v>22</v>
      </c>
      <c r="G1995" t="s">
        <v>57</v>
      </c>
      <c r="H1995" s="1">
        <v>45329</v>
      </c>
      <c r="I1995" t="s">
        <v>64</v>
      </c>
      <c r="J1995" t="s">
        <v>1991</v>
      </c>
      <c r="K1995">
        <v>2</v>
      </c>
      <c r="N1995">
        <v>1382</v>
      </c>
      <c r="O1995">
        <v>40</v>
      </c>
      <c r="P1995" s="1">
        <v>45541</v>
      </c>
      <c r="Q1995" s="1"/>
      <c r="R1995" t="str">
        <f>IF(Table1[[#This Row],[Actual close date]]="","",Table1[[#This Row],[Actual close date]]-Table1[[#This Row],[Expected close date]])</f>
        <v/>
      </c>
    </row>
    <row r="1996" spans="1:18" x14ac:dyDescent="0.25">
      <c r="A1996" t="s">
        <v>2080</v>
      </c>
      <c r="B1996" t="s">
        <v>33</v>
      </c>
      <c r="C1996" t="s">
        <v>34</v>
      </c>
      <c r="D1996" t="s">
        <v>35</v>
      </c>
      <c r="E1996" t="s">
        <v>98</v>
      </c>
      <c r="F1996" t="s">
        <v>22</v>
      </c>
      <c r="G1996" t="s">
        <v>23</v>
      </c>
      <c r="H1996" s="1">
        <v>45322</v>
      </c>
      <c r="I1996" t="s">
        <v>47</v>
      </c>
      <c r="J1996" t="s">
        <v>1991</v>
      </c>
      <c r="K1996">
        <v>2</v>
      </c>
      <c r="N1996">
        <v>1247</v>
      </c>
      <c r="O1996">
        <v>30</v>
      </c>
      <c r="P1996" s="1">
        <v>45670</v>
      </c>
      <c r="Q1996" s="1"/>
      <c r="R1996" t="str">
        <f>IF(Table1[[#This Row],[Actual close date]]="","",Table1[[#This Row],[Actual close date]]-Table1[[#This Row],[Expected close date]])</f>
        <v/>
      </c>
    </row>
    <row r="1997" spans="1:18" x14ac:dyDescent="0.25">
      <c r="A1997" t="s">
        <v>2081</v>
      </c>
      <c r="B1997" t="s">
        <v>59</v>
      </c>
      <c r="C1997" t="s">
        <v>60</v>
      </c>
      <c r="D1997" t="s">
        <v>61</v>
      </c>
      <c r="E1997" t="s">
        <v>74</v>
      </c>
      <c r="F1997" t="s">
        <v>22</v>
      </c>
      <c r="G1997" t="s">
        <v>83</v>
      </c>
      <c r="H1997" s="1">
        <v>45313</v>
      </c>
      <c r="I1997" t="s">
        <v>64</v>
      </c>
      <c r="J1997" t="s">
        <v>1991</v>
      </c>
      <c r="K1997">
        <v>2</v>
      </c>
      <c r="N1997">
        <v>1780</v>
      </c>
      <c r="O1997">
        <v>40</v>
      </c>
      <c r="P1997" s="1">
        <v>45659</v>
      </c>
      <c r="Q1997" s="1"/>
      <c r="R1997" t="str">
        <f>IF(Table1[[#This Row],[Actual close date]]="","",Table1[[#This Row],[Actual close date]]-Table1[[#This Row],[Expected close date]])</f>
        <v/>
      </c>
    </row>
    <row r="1998" spans="1:18" x14ac:dyDescent="0.25">
      <c r="A1998" t="s">
        <v>2082</v>
      </c>
      <c r="B1998" t="s">
        <v>54</v>
      </c>
      <c r="C1998" t="s">
        <v>55</v>
      </c>
      <c r="D1998" t="s">
        <v>56</v>
      </c>
      <c r="E1998" t="s">
        <v>52</v>
      </c>
      <c r="F1998" t="s">
        <v>22</v>
      </c>
      <c r="G1998" t="s">
        <v>23</v>
      </c>
      <c r="H1998" s="1">
        <v>45375</v>
      </c>
      <c r="I1998" t="s">
        <v>64</v>
      </c>
      <c r="J1998" t="s">
        <v>1991</v>
      </c>
      <c r="K1998">
        <v>2</v>
      </c>
      <c r="N1998">
        <v>1589</v>
      </c>
      <c r="O1998">
        <v>10</v>
      </c>
      <c r="P1998" s="1">
        <v>45624</v>
      </c>
      <c r="Q1998" s="1"/>
      <c r="R1998" t="str">
        <f>IF(Table1[[#This Row],[Actual close date]]="","",Table1[[#This Row],[Actual close date]]-Table1[[#This Row],[Expected close date]])</f>
        <v/>
      </c>
    </row>
    <row r="1999" spans="1:18" x14ac:dyDescent="0.25">
      <c r="A1999" t="s">
        <v>2083</v>
      </c>
      <c r="B1999" t="s">
        <v>33</v>
      </c>
      <c r="C1999" t="s">
        <v>34</v>
      </c>
      <c r="D1999" t="s">
        <v>35</v>
      </c>
      <c r="E1999" t="s">
        <v>101</v>
      </c>
      <c r="F1999" t="s">
        <v>22</v>
      </c>
      <c r="G1999" t="s">
        <v>85</v>
      </c>
      <c r="H1999" s="1">
        <v>45351</v>
      </c>
      <c r="I1999" t="s">
        <v>24</v>
      </c>
      <c r="J1999" t="s">
        <v>1991</v>
      </c>
      <c r="K1999">
        <v>2</v>
      </c>
      <c r="N1999">
        <v>303</v>
      </c>
      <c r="O1999">
        <v>20</v>
      </c>
      <c r="P1999" s="1">
        <v>45656</v>
      </c>
      <c r="Q1999" s="1"/>
      <c r="R1999" t="str">
        <f>IF(Table1[[#This Row],[Actual close date]]="","",Table1[[#This Row],[Actual close date]]-Table1[[#This Row],[Expected close date]])</f>
        <v/>
      </c>
    </row>
    <row r="2000" spans="1:18" x14ac:dyDescent="0.25">
      <c r="A2000" t="s">
        <v>2084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t="s">
        <v>46</v>
      </c>
      <c r="H2000" s="1">
        <v>45345</v>
      </c>
      <c r="I2000" t="s">
        <v>24</v>
      </c>
      <c r="J2000" t="s">
        <v>1991</v>
      </c>
      <c r="K2000">
        <v>2</v>
      </c>
      <c r="N2000">
        <v>348</v>
      </c>
      <c r="O2000">
        <v>20</v>
      </c>
      <c r="P2000" s="1">
        <v>45479</v>
      </c>
      <c r="Q2000" s="1"/>
      <c r="R2000" t="str">
        <f>IF(Table1[[#This Row],[Actual close date]]="","",Table1[[#This Row],[Actual close date]]-Table1[[#This Row],[Expected close date]])</f>
        <v/>
      </c>
    </row>
    <row r="2001" spans="1:18" x14ac:dyDescent="0.25">
      <c r="A2001" t="s">
        <v>2085</v>
      </c>
      <c r="B2001" t="s">
        <v>76</v>
      </c>
      <c r="C2001" t="s">
        <v>77</v>
      </c>
      <c r="D2001" t="s">
        <v>78</v>
      </c>
      <c r="E2001" t="s">
        <v>52</v>
      </c>
      <c r="F2001" t="s">
        <v>22</v>
      </c>
      <c r="G2001" t="s">
        <v>46</v>
      </c>
      <c r="H2001" s="1">
        <v>45330</v>
      </c>
      <c r="I2001" t="s">
        <v>24</v>
      </c>
      <c r="J2001" t="s">
        <v>1991</v>
      </c>
      <c r="K2001">
        <v>2</v>
      </c>
      <c r="N2001">
        <v>1908</v>
      </c>
      <c r="O2001">
        <v>40</v>
      </c>
      <c r="P2001" s="1">
        <v>45399</v>
      </c>
      <c r="Q2001" s="1"/>
      <c r="R2001" t="str">
        <f>IF(Table1[[#This Row],[Actual close date]]="","",Table1[[#This Row],[Actual close date]]-Table1[[#This Row],[Expected close date]])</f>
        <v/>
      </c>
    </row>
    <row r="2002" spans="1:18" x14ac:dyDescent="0.25">
      <c r="A2002" t="s">
        <v>2086</v>
      </c>
      <c r="B2002" t="s">
        <v>39</v>
      </c>
      <c r="C2002" t="s">
        <v>40</v>
      </c>
      <c r="D2002" t="s">
        <v>41</v>
      </c>
      <c r="E2002" t="s">
        <v>21</v>
      </c>
      <c r="F2002" t="s">
        <v>22</v>
      </c>
      <c r="G2002" t="s">
        <v>23</v>
      </c>
      <c r="H2002" s="1">
        <v>45297</v>
      </c>
      <c r="I2002" t="s">
        <v>64</v>
      </c>
      <c r="J2002" t="s">
        <v>1991</v>
      </c>
      <c r="K2002">
        <v>2</v>
      </c>
      <c r="N2002">
        <v>433</v>
      </c>
      <c r="O2002">
        <v>50</v>
      </c>
      <c r="P2002" s="1">
        <v>45393</v>
      </c>
      <c r="Q2002" s="1"/>
      <c r="R2002" t="str">
        <f>IF(Table1[[#This Row],[Actual close date]]="","",Table1[[#This Row],[Actual close date]]-Table1[[#This Row],[Expected close date]])</f>
        <v/>
      </c>
    </row>
    <row r="2003" spans="1:18" x14ac:dyDescent="0.25">
      <c r="A2003" t="s">
        <v>2087</v>
      </c>
      <c r="B2003" t="s">
        <v>59</v>
      </c>
      <c r="C2003" t="s">
        <v>60</v>
      </c>
      <c r="D2003" t="s">
        <v>61</v>
      </c>
      <c r="E2003" t="s">
        <v>45</v>
      </c>
      <c r="F2003" t="s">
        <v>22</v>
      </c>
      <c r="G2003" t="s">
        <v>72</v>
      </c>
      <c r="H2003" s="1">
        <v>45377</v>
      </c>
      <c r="I2003" t="s">
        <v>47</v>
      </c>
      <c r="J2003" t="s">
        <v>1991</v>
      </c>
      <c r="K2003">
        <v>2</v>
      </c>
      <c r="N2003">
        <v>325</v>
      </c>
      <c r="O2003">
        <v>40</v>
      </c>
      <c r="P2003" s="1">
        <v>45461</v>
      </c>
      <c r="Q2003" s="1"/>
      <c r="R2003" t="str">
        <f>IF(Table1[[#This Row],[Actual close date]]="","",Table1[[#This Row],[Actual close date]]-Table1[[#This Row],[Expected close date]])</f>
        <v/>
      </c>
    </row>
    <row r="2004" spans="1:18" x14ac:dyDescent="0.25">
      <c r="A2004" t="s">
        <v>2088</v>
      </c>
      <c r="B2004" t="s">
        <v>49</v>
      </c>
      <c r="C2004" t="s">
        <v>50</v>
      </c>
      <c r="D2004" t="s">
        <v>51</v>
      </c>
      <c r="E2004" t="s">
        <v>21</v>
      </c>
      <c r="F2004" t="s">
        <v>22</v>
      </c>
      <c r="G2004" t="s">
        <v>31</v>
      </c>
      <c r="H2004" s="1">
        <v>45320</v>
      </c>
      <c r="I2004" t="s">
        <v>24</v>
      </c>
      <c r="J2004" t="s">
        <v>1991</v>
      </c>
      <c r="K2004">
        <v>2</v>
      </c>
      <c r="N2004">
        <v>970</v>
      </c>
      <c r="O2004">
        <v>20</v>
      </c>
      <c r="P2004" s="1">
        <v>45617</v>
      </c>
      <c r="Q2004" s="1"/>
      <c r="R2004" t="str">
        <f>IF(Table1[[#This Row],[Actual close date]]="","",Table1[[#This Row],[Actual close date]]-Table1[[#This Row],[Expected close date]])</f>
        <v/>
      </c>
    </row>
    <row r="2005" spans="1:18" x14ac:dyDescent="0.25">
      <c r="A2005" t="s">
        <v>2089</v>
      </c>
      <c r="B2005" t="s">
        <v>33</v>
      </c>
      <c r="C2005" t="s">
        <v>34</v>
      </c>
      <c r="D2005" t="s">
        <v>35</v>
      </c>
      <c r="E2005" t="s">
        <v>52</v>
      </c>
      <c r="F2005" t="s">
        <v>22</v>
      </c>
      <c r="G2005" t="s">
        <v>37</v>
      </c>
      <c r="H2005" s="1">
        <v>45348</v>
      </c>
      <c r="I2005" t="s">
        <v>24</v>
      </c>
      <c r="J2005" t="s">
        <v>1991</v>
      </c>
      <c r="K2005">
        <v>2</v>
      </c>
      <c r="N2005">
        <v>325</v>
      </c>
      <c r="O2005">
        <v>20</v>
      </c>
      <c r="P2005" s="1">
        <v>45451</v>
      </c>
      <c r="Q2005" s="1"/>
      <c r="R2005" t="str">
        <f>IF(Table1[[#This Row],[Actual close date]]="","",Table1[[#This Row],[Actual close date]]-Table1[[#This Row],[Expected close date]])</f>
        <v/>
      </c>
    </row>
    <row r="2006" spans="1:18" x14ac:dyDescent="0.25">
      <c r="A2006" t="s">
        <v>2090</v>
      </c>
      <c r="B2006" t="s">
        <v>54</v>
      </c>
      <c r="C2006" t="s">
        <v>55</v>
      </c>
      <c r="D2006" t="s">
        <v>56</v>
      </c>
      <c r="E2006" t="s">
        <v>21</v>
      </c>
      <c r="F2006" t="s">
        <v>22</v>
      </c>
      <c r="G2006" t="s">
        <v>46</v>
      </c>
      <c r="H2006" s="1">
        <v>45431</v>
      </c>
      <c r="I2006" t="s">
        <v>64</v>
      </c>
      <c r="J2006" t="s">
        <v>1991</v>
      </c>
      <c r="K2006">
        <v>2</v>
      </c>
      <c r="N2006">
        <v>206</v>
      </c>
      <c r="O2006">
        <v>20</v>
      </c>
      <c r="P2006" s="1">
        <v>45672</v>
      </c>
      <c r="Q2006" s="1"/>
      <c r="R2006" t="str">
        <f>IF(Table1[[#This Row],[Actual close date]]="","",Table1[[#This Row],[Actual close date]]-Table1[[#This Row],[Expected close date]])</f>
        <v/>
      </c>
    </row>
    <row r="2007" spans="1:18" x14ac:dyDescent="0.25">
      <c r="A2007" t="s">
        <v>2091</v>
      </c>
      <c r="B2007" t="s">
        <v>39</v>
      </c>
      <c r="C2007" t="s">
        <v>40</v>
      </c>
      <c r="D2007" t="s">
        <v>41</v>
      </c>
      <c r="E2007" t="s">
        <v>118</v>
      </c>
      <c r="F2007" t="s">
        <v>22</v>
      </c>
      <c r="G2007" t="s">
        <v>57</v>
      </c>
      <c r="H2007" s="1">
        <v>45306</v>
      </c>
      <c r="I2007" t="s">
        <v>64</v>
      </c>
      <c r="J2007" t="s">
        <v>1991</v>
      </c>
      <c r="K2007">
        <v>2</v>
      </c>
      <c r="N2007">
        <v>1001</v>
      </c>
      <c r="O2007">
        <v>50</v>
      </c>
      <c r="P2007" s="1">
        <v>45660</v>
      </c>
      <c r="Q2007" s="1"/>
      <c r="R2007" t="str">
        <f>IF(Table1[[#This Row],[Actual close date]]="","",Table1[[#This Row],[Actual close date]]-Table1[[#This Row],[Expected close date]])</f>
        <v/>
      </c>
    </row>
    <row r="2008" spans="1:18" x14ac:dyDescent="0.25">
      <c r="A2008" t="s">
        <v>2092</v>
      </c>
      <c r="B2008" t="s">
        <v>54</v>
      </c>
      <c r="C2008" t="s">
        <v>55</v>
      </c>
      <c r="D2008" t="s">
        <v>56</v>
      </c>
      <c r="E2008" t="s">
        <v>52</v>
      </c>
      <c r="F2008" t="s">
        <v>22</v>
      </c>
      <c r="G2008" t="s">
        <v>46</v>
      </c>
      <c r="H2008" s="1">
        <v>45374</v>
      </c>
      <c r="I2008" t="s">
        <v>64</v>
      </c>
      <c r="J2008" t="s">
        <v>1991</v>
      </c>
      <c r="K2008">
        <v>2</v>
      </c>
      <c r="N2008">
        <v>842</v>
      </c>
      <c r="O2008">
        <v>30</v>
      </c>
      <c r="P2008" s="1">
        <v>45420</v>
      </c>
      <c r="Q2008" s="1"/>
      <c r="R2008" t="str">
        <f>IF(Table1[[#This Row],[Actual close date]]="","",Table1[[#This Row],[Actual close date]]-Table1[[#This Row],[Expected close date]])</f>
        <v/>
      </c>
    </row>
    <row r="2009" spans="1:18" x14ac:dyDescent="0.25">
      <c r="A2009" t="s">
        <v>2093</v>
      </c>
      <c r="B2009" t="s">
        <v>39</v>
      </c>
      <c r="C2009" t="s">
        <v>40</v>
      </c>
      <c r="D2009" t="s">
        <v>41</v>
      </c>
      <c r="E2009" t="s">
        <v>82</v>
      </c>
      <c r="F2009" t="s">
        <v>22</v>
      </c>
      <c r="G2009" t="s">
        <v>46</v>
      </c>
      <c r="H2009" s="1">
        <v>45383</v>
      </c>
      <c r="I2009" t="s">
        <v>64</v>
      </c>
      <c r="J2009" t="s">
        <v>1991</v>
      </c>
      <c r="K2009">
        <v>2</v>
      </c>
      <c r="N2009">
        <v>300</v>
      </c>
      <c r="O2009">
        <v>60</v>
      </c>
      <c r="P2009" s="1">
        <v>45734</v>
      </c>
      <c r="Q2009" s="1"/>
      <c r="R2009" t="str">
        <f>IF(Table1[[#This Row],[Actual close date]]="","",Table1[[#This Row],[Actual close date]]-Table1[[#This Row],[Expected close date]])</f>
        <v/>
      </c>
    </row>
    <row r="2010" spans="1:18" x14ac:dyDescent="0.25">
      <c r="A2010" t="s">
        <v>2094</v>
      </c>
      <c r="B2010" t="s">
        <v>33</v>
      </c>
      <c r="C2010" t="s">
        <v>34</v>
      </c>
      <c r="D2010" t="s">
        <v>35</v>
      </c>
      <c r="E2010" t="s">
        <v>30</v>
      </c>
      <c r="F2010" t="s">
        <v>22</v>
      </c>
      <c r="G2010" t="s">
        <v>57</v>
      </c>
      <c r="H2010" s="1">
        <v>45295</v>
      </c>
      <c r="I2010" t="s">
        <v>64</v>
      </c>
      <c r="J2010" t="s">
        <v>1991</v>
      </c>
      <c r="K2010">
        <v>2</v>
      </c>
      <c r="N2010">
        <v>1204</v>
      </c>
      <c r="O2010">
        <v>50</v>
      </c>
      <c r="P2010" s="1">
        <v>45453</v>
      </c>
      <c r="Q2010" s="1"/>
      <c r="R2010" t="str">
        <f>IF(Table1[[#This Row],[Actual close date]]="","",Table1[[#This Row],[Actual close date]]-Table1[[#This Row],[Expected close date]])</f>
        <v/>
      </c>
    </row>
    <row r="2011" spans="1:18" x14ac:dyDescent="0.25">
      <c r="A2011" t="s">
        <v>2095</v>
      </c>
      <c r="B2011" t="s">
        <v>69</v>
      </c>
      <c r="C2011" t="s">
        <v>70</v>
      </c>
      <c r="D2011" t="s">
        <v>71</v>
      </c>
      <c r="E2011" t="s">
        <v>45</v>
      </c>
      <c r="F2011" t="s">
        <v>22</v>
      </c>
      <c r="G2011" t="s">
        <v>72</v>
      </c>
      <c r="H2011" s="1">
        <v>45415</v>
      </c>
      <c r="I2011" t="s">
        <v>24</v>
      </c>
      <c r="J2011" t="s">
        <v>1991</v>
      </c>
      <c r="K2011">
        <v>2</v>
      </c>
      <c r="N2011">
        <v>1834</v>
      </c>
      <c r="O2011">
        <v>40</v>
      </c>
      <c r="P2011" s="1">
        <v>45623</v>
      </c>
      <c r="Q2011" s="1"/>
      <c r="R2011" t="str">
        <f>IF(Table1[[#This Row],[Actual close date]]="","",Table1[[#This Row],[Actual close date]]-Table1[[#This Row],[Expected close date]])</f>
        <v/>
      </c>
    </row>
    <row r="2012" spans="1:18" x14ac:dyDescent="0.25">
      <c r="A2012" t="s">
        <v>2096</v>
      </c>
      <c r="B2012" t="s">
        <v>33</v>
      </c>
      <c r="C2012" t="s">
        <v>34</v>
      </c>
      <c r="D2012" t="s">
        <v>35</v>
      </c>
      <c r="E2012" t="s">
        <v>74</v>
      </c>
      <c r="F2012" t="s">
        <v>22</v>
      </c>
      <c r="G2012" t="s">
        <v>83</v>
      </c>
      <c r="H2012" s="1">
        <v>45429</v>
      </c>
      <c r="I2012" t="s">
        <v>64</v>
      </c>
      <c r="J2012" t="s">
        <v>1991</v>
      </c>
      <c r="K2012">
        <v>2</v>
      </c>
      <c r="N2012">
        <v>444</v>
      </c>
      <c r="O2012">
        <v>30</v>
      </c>
      <c r="P2012" s="1">
        <v>45784</v>
      </c>
      <c r="Q2012" s="1"/>
      <c r="R2012" t="str">
        <f>IF(Table1[[#This Row],[Actual close date]]="","",Table1[[#This Row],[Actual close date]]-Table1[[#This Row],[Expected close date]])</f>
        <v/>
      </c>
    </row>
    <row r="2013" spans="1:18" x14ac:dyDescent="0.25">
      <c r="A2013" t="s">
        <v>2097</v>
      </c>
      <c r="B2013" t="s">
        <v>59</v>
      </c>
      <c r="C2013" t="s">
        <v>60</v>
      </c>
      <c r="D2013" t="s">
        <v>61</v>
      </c>
      <c r="E2013" t="s">
        <v>52</v>
      </c>
      <c r="F2013" t="s">
        <v>22</v>
      </c>
      <c r="G2013" t="s">
        <v>83</v>
      </c>
      <c r="H2013" s="1">
        <v>45335</v>
      </c>
      <c r="I2013" t="s">
        <v>64</v>
      </c>
      <c r="J2013" t="s">
        <v>1991</v>
      </c>
      <c r="K2013">
        <v>2</v>
      </c>
      <c r="N2013">
        <v>1107</v>
      </c>
      <c r="O2013">
        <v>20</v>
      </c>
      <c r="P2013" s="1">
        <v>45584</v>
      </c>
      <c r="Q2013" s="1"/>
      <c r="R2013" t="str">
        <f>IF(Table1[[#This Row],[Actual close date]]="","",Table1[[#This Row],[Actual close date]]-Table1[[#This Row],[Expected close date]])</f>
        <v/>
      </c>
    </row>
    <row r="2014" spans="1:18" x14ac:dyDescent="0.25">
      <c r="A2014" t="s">
        <v>2098</v>
      </c>
      <c r="B2014" t="s">
        <v>33</v>
      </c>
      <c r="C2014" t="s">
        <v>34</v>
      </c>
      <c r="D2014" t="s">
        <v>35</v>
      </c>
      <c r="E2014" t="s">
        <v>36</v>
      </c>
      <c r="F2014" t="s">
        <v>22</v>
      </c>
      <c r="G2014" t="s">
        <v>37</v>
      </c>
      <c r="H2014" s="1">
        <v>45358</v>
      </c>
      <c r="I2014" t="s">
        <v>64</v>
      </c>
      <c r="J2014" t="s">
        <v>1991</v>
      </c>
      <c r="K2014">
        <v>2</v>
      </c>
      <c r="N2014">
        <v>322</v>
      </c>
      <c r="O2014">
        <v>50</v>
      </c>
      <c r="P2014" s="1">
        <v>45551</v>
      </c>
      <c r="Q2014" s="1"/>
      <c r="R2014" t="str">
        <f>IF(Table1[[#This Row],[Actual close date]]="","",Table1[[#This Row],[Actual close date]]-Table1[[#This Row],[Expected close date]])</f>
        <v/>
      </c>
    </row>
    <row r="2015" spans="1:18" x14ac:dyDescent="0.25">
      <c r="A2015" t="s">
        <v>2099</v>
      </c>
      <c r="B2015" t="s">
        <v>76</v>
      </c>
      <c r="C2015" t="s">
        <v>77</v>
      </c>
      <c r="D2015" t="s">
        <v>78</v>
      </c>
      <c r="E2015" t="s">
        <v>42</v>
      </c>
      <c r="F2015" t="s">
        <v>22</v>
      </c>
      <c r="G2015" t="s">
        <v>37</v>
      </c>
      <c r="H2015" s="1">
        <v>45333</v>
      </c>
      <c r="I2015" t="s">
        <v>47</v>
      </c>
      <c r="J2015" t="s">
        <v>1991</v>
      </c>
      <c r="K2015">
        <v>2</v>
      </c>
      <c r="N2015">
        <v>1872</v>
      </c>
      <c r="O2015">
        <v>100</v>
      </c>
      <c r="P2015" s="1">
        <v>45641</v>
      </c>
      <c r="Q2015" s="1"/>
      <c r="R2015" t="str">
        <f>IF(Table1[[#This Row],[Actual close date]]="","",Table1[[#This Row],[Actual close date]]-Table1[[#This Row],[Expected close date]])</f>
        <v/>
      </c>
    </row>
    <row r="2016" spans="1:18" x14ac:dyDescent="0.25">
      <c r="A2016" t="s">
        <v>2100</v>
      </c>
      <c r="B2016" t="s">
        <v>49</v>
      </c>
      <c r="C2016" t="s">
        <v>50</v>
      </c>
      <c r="D2016" t="s">
        <v>51</v>
      </c>
      <c r="E2016" t="s">
        <v>45</v>
      </c>
      <c r="F2016" t="s">
        <v>22</v>
      </c>
      <c r="G2016" t="s">
        <v>37</v>
      </c>
      <c r="H2016" s="1">
        <v>45416</v>
      </c>
      <c r="I2016" t="s">
        <v>24</v>
      </c>
      <c r="J2016" t="s">
        <v>1991</v>
      </c>
      <c r="K2016">
        <v>2</v>
      </c>
      <c r="N2016">
        <v>1774</v>
      </c>
      <c r="O2016">
        <v>90</v>
      </c>
      <c r="P2016" s="1">
        <v>45652</v>
      </c>
      <c r="Q2016" s="1"/>
      <c r="R2016" t="str">
        <f>IF(Table1[[#This Row],[Actual close date]]="","",Table1[[#This Row],[Actual close date]]-Table1[[#This Row],[Expected close date]])</f>
        <v/>
      </c>
    </row>
    <row r="2017" spans="1:18" x14ac:dyDescent="0.25">
      <c r="A2017" t="s">
        <v>2101</v>
      </c>
      <c r="B2017" t="s">
        <v>59</v>
      </c>
      <c r="C2017" t="s">
        <v>60</v>
      </c>
      <c r="D2017" t="s">
        <v>61</v>
      </c>
      <c r="E2017" t="s">
        <v>82</v>
      </c>
      <c r="F2017" t="s">
        <v>22</v>
      </c>
      <c r="G2017" t="s">
        <v>57</v>
      </c>
      <c r="H2017" s="1">
        <v>45377</v>
      </c>
      <c r="I2017" t="s">
        <v>24</v>
      </c>
      <c r="J2017" t="s">
        <v>1991</v>
      </c>
      <c r="K2017">
        <v>2</v>
      </c>
      <c r="N2017">
        <v>1981</v>
      </c>
      <c r="O2017">
        <v>30</v>
      </c>
      <c r="P2017" s="1">
        <v>45717</v>
      </c>
      <c r="Q2017" s="1"/>
      <c r="R2017" t="str">
        <f>IF(Table1[[#This Row],[Actual close date]]="","",Table1[[#This Row],[Actual close date]]-Table1[[#This Row],[Expected close date]])</f>
        <v/>
      </c>
    </row>
    <row r="2018" spans="1:18" x14ac:dyDescent="0.25">
      <c r="A2018" t="s">
        <v>2102</v>
      </c>
      <c r="B2018" t="s">
        <v>76</v>
      </c>
      <c r="C2018" t="s">
        <v>77</v>
      </c>
      <c r="D2018" t="s">
        <v>78</v>
      </c>
      <c r="E2018" t="s">
        <v>118</v>
      </c>
      <c r="F2018" t="s">
        <v>22</v>
      </c>
      <c r="G2018" t="s">
        <v>46</v>
      </c>
      <c r="H2018" s="1">
        <v>45318</v>
      </c>
      <c r="I2018" t="s">
        <v>47</v>
      </c>
      <c r="J2018" t="s">
        <v>1991</v>
      </c>
      <c r="K2018">
        <v>2</v>
      </c>
      <c r="N2018">
        <v>1478</v>
      </c>
      <c r="O2018">
        <v>20</v>
      </c>
      <c r="P2018" s="1">
        <v>45442</v>
      </c>
      <c r="Q2018" s="1"/>
      <c r="R2018" t="str">
        <f>IF(Table1[[#This Row],[Actual close date]]="","",Table1[[#This Row],[Actual close date]]-Table1[[#This Row],[Expected close date]])</f>
        <v/>
      </c>
    </row>
    <row r="2019" spans="1:18" x14ac:dyDescent="0.25">
      <c r="A2019" t="s">
        <v>2103</v>
      </c>
      <c r="B2019" t="s">
        <v>39</v>
      </c>
      <c r="C2019" t="s">
        <v>40</v>
      </c>
      <c r="D2019" t="s">
        <v>41</v>
      </c>
      <c r="E2019" t="s">
        <v>74</v>
      </c>
      <c r="F2019" t="s">
        <v>22</v>
      </c>
      <c r="G2019" t="s">
        <v>85</v>
      </c>
      <c r="H2019" s="1">
        <v>45343</v>
      </c>
      <c r="I2019" t="s">
        <v>47</v>
      </c>
      <c r="J2019" t="s">
        <v>1991</v>
      </c>
      <c r="K2019">
        <v>2</v>
      </c>
      <c r="N2019">
        <v>1199</v>
      </c>
      <c r="O2019">
        <v>40</v>
      </c>
      <c r="P2019" s="1">
        <v>45604</v>
      </c>
      <c r="Q2019" s="1"/>
      <c r="R2019" t="str">
        <f>IF(Table1[[#This Row],[Actual close date]]="","",Table1[[#This Row],[Actual close date]]-Table1[[#This Row],[Expected close date]])</f>
        <v/>
      </c>
    </row>
    <row r="2020" spans="1:18" x14ac:dyDescent="0.25">
      <c r="A2020" t="s">
        <v>2104</v>
      </c>
      <c r="B2020" t="s">
        <v>39</v>
      </c>
      <c r="C2020" t="s">
        <v>40</v>
      </c>
      <c r="D2020" t="s">
        <v>41</v>
      </c>
      <c r="E2020" t="s">
        <v>21</v>
      </c>
      <c r="F2020" t="s">
        <v>22</v>
      </c>
      <c r="G2020" t="s">
        <v>31</v>
      </c>
      <c r="H2020" s="1">
        <v>45299</v>
      </c>
      <c r="I2020" t="s">
        <v>24</v>
      </c>
      <c r="J2020" t="s">
        <v>1991</v>
      </c>
      <c r="K2020">
        <v>2</v>
      </c>
      <c r="N2020">
        <v>1042</v>
      </c>
      <c r="O2020">
        <v>20</v>
      </c>
      <c r="P2020" s="1">
        <v>45377</v>
      </c>
      <c r="Q2020" s="1"/>
      <c r="R2020" t="str">
        <f>IF(Table1[[#This Row],[Actual close date]]="","",Table1[[#This Row],[Actual close date]]-Table1[[#This Row],[Expected close date]])</f>
        <v/>
      </c>
    </row>
    <row r="2021" spans="1:18" x14ac:dyDescent="0.25">
      <c r="A2021" t="s">
        <v>2105</v>
      </c>
      <c r="B2021" t="s">
        <v>39</v>
      </c>
      <c r="C2021" t="s">
        <v>40</v>
      </c>
      <c r="D2021" t="s">
        <v>41</v>
      </c>
      <c r="E2021" t="s">
        <v>52</v>
      </c>
      <c r="F2021" t="s">
        <v>22</v>
      </c>
      <c r="G2021" t="s">
        <v>72</v>
      </c>
      <c r="H2021" s="1">
        <v>45426</v>
      </c>
      <c r="I2021" t="s">
        <v>24</v>
      </c>
      <c r="J2021" t="s">
        <v>1991</v>
      </c>
      <c r="K2021">
        <v>2</v>
      </c>
      <c r="N2021">
        <v>299</v>
      </c>
      <c r="O2021">
        <v>40</v>
      </c>
      <c r="P2021" s="1">
        <v>45722</v>
      </c>
      <c r="Q2021" s="1"/>
      <c r="R2021" t="str">
        <f>IF(Table1[[#This Row],[Actual close date]]="","",Table1[[#This Row],[Actual close date]]-Table1[[#This Row],[Expected close date]])</f>
        <v/>
      </c>
    </row>
    <row r="2022" spans="1:18" x14ac:dyDescent="0.25">
      <c r="A2022" t="s">
        <v>2106</v>
      </c>
      <c r="B2022" t="s">
        <v>54</v>
      </c>
      <c r="C2022" t="s">
        <v>55</v>
      </c>
      <c r="D2022" t="s">
        <v>56</v>
      </c>
      <c r="E2022" t="s">
        <v>42</v>
      </c>
      <c r="F2022" t="s">
        <v>22</v>
      </c>
      <c r="G2022" t="s">
        <v>57</v>
      </c>
      <c r="H2022" s="1">
        <v>45312</v>
      </c>
      <c r="I2022" t="s">
        <v>24</v>
      </c>
      <c r="J2022" t="s">
        <v>1991</v>
      </c>
      <c r="K2022">
        <v>2</v>
      </c>
      <c r="N2022">
        <v>1361</v>
      </c>
      <c r="O2022">
        <v>100</v>
      </c>
      <c r="P2022" s="1">
        <v>45478</v>
      </c>
      <c r="Q2022" s="1"/>
      <c r="R2022" t="str">
        <f>IF(Table1[[#This Row],[Actual close date]]="","",Table1[[#This Row],[Actual close date]]-Table1[[#This Row],[Expected close date]])</f>
        <v/>
      </c>
    </row>
    <row r="2023" spans="1:18" x14ac:dyDescent="0.25">
      <c r="A2023" t="s">
        <v>2107</v>
      </c>
      <c r="B2023" t="s">
        <v>54</v>
      </c>
      <c r="C2023" t="s">
        <v>55</v>
      </c>
      <c r="D2023" t="s">
        <v>56</v>
      </c>
      <c r="E2023" t="s">
        <v>52</v>
      </c>
      <c r="F2023" t="s">
        <v>22</v>
      </c>
      <c r="G2023" t="s">
        <v>37</v>
      </c>
      <c r="H2023" s="1">
        <v>45314</v>
      </c>
      <c r="I2023" t="s">
        <v>64</v>
      </c>
      <c r="J2023" t="s">
        <v>1991</v>
      </c>
      <c r="K2023">
        <v>2</v>
      </c>
      <c r="N2023">
        <v>1946</v>
      </c>
      <c r="O2023">
        <v>90</v>
      </c>
      <c r="P2023" s="1">
        <v>45369</v>
      </c>
      <c r="Q2023" s="1"/>
      <c r="R2023" t="str">
        <f>IF(Table1[[#This Row],[Actual close date]]="","",Table1[[#This Row],[Actual close date]]-Table1[[#This Row],[Expected close date]])</f>
        <v/>
      </c>
    </row>
    <row r="2024" spans="1:18" x14ac:dyDescent="0.25">
      <c r="A2024" t="s">
        <v>2108</v>
      </c>
      <c r="B2024" t="s">
        <v>76</v>
      </c>
      <c r="C2024" t="s">
        <v>77</v>
      </c>
      <c r="D2024" t="s">
        <v>78</v>
      </c>
      <c r="E2024" t="s">
        <v>101</v>
      </c>
      <c r="F2024" t="s">
        <v>22</v>
      </c>
      <c r="G2024" t="s">
        <v>46</v>
      </c>
      <c r="H2024" s="1">
        <v>45331</v>
      </c>
      <c r="I2024" t="s">
        <v>47</v>
      </c>
      <c r="J2024" t="s">
        <v>1991</v>
      </c>
      <c r="K2024">
        <v>2</v>
      </c>
      <c r="N2024">
        <v>1528</v>
      </c>
      <c r="O2024">
        <v>50</v>
      </c>
      <c r="P2024" s="1">
        <v>45555</v>
      </c>
      <c r="Q2024" s="1"/>
      <c r="R2024" t="str">
        <f>IF(Table1[[#This Row],[Actual close date]]="","",Table1[[#This Row],[Actual close date]]-Table1[[#This Row],[Expected close date]])</f>
        <v/>
      </c>
    </row>
    <row r="2025" spans="1:18" x14ac:dyDescent="0.25">
      <c r="A2025" t="s">
        <v>2109</v>
      </c>
      <c r="B2025" t="s">
        <v>33</v>
      </c>
      <c r="C2025" t="s">
        <v>34</v>
      </c>
      <c r="D2025" t="s">
        <v>35</v>
      </c>
      <c r="E2025" t="s">
        <v>45</v>
      </c>
      <c r="F2025" t="s">
        <v>22</v>
      </c>
      <c r="G2025" t="s">
        <v>46</v>
      </c>
      <c r="H2025" s="1">
        <v>45380</v>
      </c>
      <c r="I2025" t="s">
        <v>24</v>
      </c>
      <c r="J2025" t="s">
        <v>1991</v>
      </c>
      <c r="K2025">
        <v>2</v>
      </c>
      <c r="N2025">
        <v>1513</v>
      </c>
      <c r="O2025">
        <v>50</v>
      </c>
      <c r="P2025" s="1">
        <v>45741</v>
      </c>
      <c r="Q2025" s="1"/>
      <c r="R2025" t="str">
        <f>IF(Table1[[#This Row],[Actual close date]]="","",Table1[[#This Row],[Actual close date]]-Table1[[#This Row],[Expected close date]])</f>
        <v/>
      </c>
    </row>
    <row r="2026" spans="1:18" x14ac:dyDescent="0.25">
      <c r="A2026" t="s">
        <v>2110</v>
      </c>
      <c r="B2026" t="s">
        <v>33</v>
      </c>
      <c r="C2026" t="s">
        <v>34</v>
      </c>
      <c r="D2026" t="s">
        <v>35</v>
      </c>
      <c r="E2026" t="s">
        <v>101</v>
      </c>
      <c r="F2026" t="s">
        <v>22</v>
      </c>
      <c r="G2026" t="s">
        <v>46</v>
      </c>
      <c r="H2026" s="1">
        <v>45311</v>
      </c>
      <c r="I2026" t="s">
        <v>64</v>
      </c>
      <c r="J2026" t="s">
        <v>1991</v>
      </c>
      <c r="K2026">
        <v>2</v>
      </c>
      <c r="N2026">
        <v>1901</v>
      </c>
      <c r="O2026">
        <v>10</v>
      </c>
      <c r="P2026" s="1">
        <v>45400</v>
      </c>
      <c r="Q2026" s="1"/>
      <c r="R2026" t="str">
        <f>IF(Table1[[#This Row],[Actual close date]]="","",Table1[[#This Row],[Actual close date]]-Table1[[#This Row],[Expected close date]])</f>
        <v/>
      </c>
    </row>
    <row r="2027" spans="1:18" x14ac:dyDescent="0.25">
      <c r="A2027" t="s">
        <v>2111</v>
      </c>
      <c r="B2027" t="s">
        <v>59</v>
      </c>
      <c r="C2027" t="s">
        <v>60</v>
      </c>
      <c r="D2027" t="s">
        <v>61</v>
      </c>
      <c r="E2027" t="s">
        <v>62</v>
      </c>
      <c r="F2027" t="s">
        <v>22</v>
      </c>
      <c r="G2027" t="s">
        <v>46</v>
      </c>
      <c r="H2027" s="1">
        <v>45412</v>
      </c>
      <c r="I2027" t="s">
        <v>47</v>
      </c>
      <c r="J2027" t="s">
        <v>1991</v>
      </c>
      <c r="K2027">
        <v>2</v>
      </c>
      <c r="N2027">
        <v>1584</v>
      </c>
      <c r="O2027">
        <v>60</v>
      </c>
      <c r="P2027" s="1">
        <v>45621</v>
      </c>
      <c r="Q2027" s="1"/>
      <c r="R2027" t="str">
        <f>IF(Table1[[#This Row],[Actual close date]]="","",Table1[[#This Row],[Actual close date]]-Table1[[#This Row],[Expected close date]])</f>
        <v/>
      </c>
    </row>
    <row r="2028" spans="1:18" x14ac:dyDescent="0.25">
      <c r="A2028" t="s">
        <v>2112</v>
      </c>
      <c r="B2028" t="s">
        <v>33</v>
      </c>
      <c r="C2028" t="s">
        <v>34</v>
      </c>
      <c r="D2028" t="s">
        <v>35</v>
      </c>
      <c r="E2028" t="s">
        <v>45</v>
      </c>
      <c r="F2028" t="s">
        <v>22</v>
      </c>
      <c r="G2028" t="s">
        <v>37</v>
      </c>
      <c r="H2028" s="1">
        <v>45380</v>
      </c>
      <c r="I2028" t="s">
        <v>64</v>
      </c>
      <c r="J2028" t="s">
        <v>1991</v>
      </c>
      <c r="K2028">
        <v>2</v>
      </c>
      <c r="N2028">
        <v>226</v>
      </c>
      <c r="O2028">
        <v>20</v>
      </c>
      <c r="P2028" s="1">
        <v>45740</v>
      </c>
      <c r="Q2028" s="1"/>
      <c r="R2028" t="str">
        <f>IF(Table1[[#This Row],[Actual close date]]="","",Table1[[#This Row],[Actual close date]]-Table1[[#This Row],[Expected close date]])</f>
        <v/>
      </c>
    </row>
    <row r="2029" spans="1:18" x14ac:dyDescent="0.25">
      <c r="A2029" t="s">
        <v>2113</v>
      </c>
      <c r="B2029" t="s">
        <v>33</v>
      </c>
      <c r="C2029" t="s">
        <v>34</v>
      </c>
      <c r="D2029" t="s">
        <v>35</v>
      </c>
      <c r="E2029" t="s">
        <v>74</v>
      </c>
      <c r="F2029" t="s">
        <v>22</v>
      </c>
      <c r="G2029" t="s">
        <v>46</v>
      </c>
      <c r="H2029" s="1">
        <v>45377</v>
      </c>
      <c r="I2029" t="s">
        <v>47</v>
      </c>
      <c r="J2029" t="s">
        <v>1991</v>
      </c>
      <c r="K2029">
        <v>2</v>
      </c>
      <c r="N2029">
        <v>383</v>
      </c>
      <c r="O2029">
        <v>30</v>
      </c>
      <c r="P2029" s="1">
        <v>45503</v>
      </c>
      <c r="Q2029" s="1"/>
      <c r="R2029" t="str">
        <f>IF(Table1[[#This Row],[Actual close date]]="","",Table1[[#This Row],[Actual close date]]-Table1[[#This Row],[Expected close date]])</f>
        <v/>
      </c>
    </row>
    <row r="2030" spans="1:18" x14ac:dyDescent="0.25">
      <c r="A2030" t="s">
        <v>2114</v>
      </c>
      <c r="B2030" t="s">
        <v>76</v>
      </c>
      <c r="C2030" t="s">
        <v>77</v>
      </c>
      <c r="D2030" t="s">
        <v>78</v>
      </c>
      <c r="E2030" t="s">
        <v>74</v>
      </c>
      <c r="F2030" t="s">
        <v>22</v>
      </c>
      <c r="G2030" t="s">
        <v>31</v>
      </c>
      <c r="H2030" s="1">
        <v>45335</v>
      </c>
      <c r="I2030" t="s">
        <v>24</v>
      </c>
      <c r="J2030" t="s">
        <v>1991</v>
      </c>
      <c r="K2030">
        <v>2</v>
      </c>
      <c r="N2030">
        <v>728</v>
      </c>
      <c r="O2030">
        <v>60</v>
      </c>
      <c r="P2030" s="1">
        <v>45449</v>
      </c>
      <c r="Q2030" s="1"/>
      <c r="R2030" t="str">
        <f>IF(Table1[[#This Row],[Actual close date]]="","",Table1[[#This Row],[Actual close date]]-Table1[[#This Row],[Expected close date]])</f>
        <v/>
      </c>
    </row>
    <row r="2031" spans="1:18" x14ac:dyDescent="0.25">
      <c r="A2031" t="s">
        <v>2115</v>
      </c>
      <c r="B2031" t="s">
        <v>27</v>
      </c>
      <c r="C2031" t="s">
        <v>28</v>
      </c>
      <c r="D2031" t="s">
        <v>29</v>
      </c>
      <c r="E2031" t="s">
        <v>45</v>
      </c>
      <c r="F2031" t="s">
        <v>22</v>
      </c>
      <c r="G2031" t="s">
        <v>31</v>
      </c>
      <c r="H2031" s="1">
        <v>45327</v>
      </c>
      <c r="I2031" t="s">
        <v>64</v>
      </c>
      <c r="J2031" t="s">
        <v>1991</v>
      </c>
      <c r="K2031">
        <v>2</v>
      </c>
      <c r="N2031">
        <v>258</v>
      </c>
      <c r="O2031">
        <v>30</v>
      </c>
      <c r="P2031" s="1">
        <v>45687</v>
      </c>
      <c r="Q2031" s="1"/>
      <c r="R2031" t="str">
        <f>IF(Table1[[#This Row],[Actual close date]]="","",Table1[[#This Row],[Actual close date]]-Table1[[#This Row],[Expected close date]])</f>
        <v/>
      </c>
    </row>
    <row r="2032" spans="1:18" x14ac:dyDescent="0.25">
      <c r="A2032" t="s">
        <v>2116</v>
      </c>
      <c r="B2032" t="s">
        <v>76</v>
      </c>
      <c r="C2032" t="s">
        <v>77</v>
      </c>
      <c r="D2032" t="s">
        <v>78</v>
      </c>
      <c r="E2032" t="s">
        <v>36</v>
      </c>
      <c r="F2032" t="s">
        <v>22</v>
      </c>
      <c r="G2032" t="s">
        <v>46</v>
      </c>
      <c r="H2032" s="1">
        <v>45373</v>
      </c>
      <c r="I2032" t="s">
        <v>64</v>
      </c>
      <c r="J2032" t="s">
        <v>1991</v>
      </c>
      <c r="K2032">
        <v>2</v>
      </c>
      <c r="N2032">
        <v>466</v>
      </c>
      <c r="O2032">
        <v>30</v>
      </c>
      <c r="P2032" s="1">
        <v>45611</v>
      </c>
      <c r="Q2032" s="1"/>
      <c r="R2032" t="str">
        <f>IF(Table1[[#This Row],[Actual close date]]="","",Table1[[#This Row],[Actual close date]]-Table1[[#This Row],[Expected close date]])</f>
        <v/>
      </c>
    </row>
    <row r="2033" spans="1:18" x14ac:dyDescent="0.25">
      <c r="A2033" t="s">
        <v>2117</v>
      </c>
      <c r="B2033" t="s">
        <v>76</v>
      </c>
      <c r="C2033" t="s">
        <v>77</v>
      </c>
      <c r="D2033" t="s">
        <v>78</v>
      </c>
      <c r="E2033" t="s">
        <v>118</v>
      </c>
      <c r="F2033" t="s">
        <v>22</v>
      </c>
      <c r="G2033" t="s">
        <v>57</v>
      </c>
      <c r="H2033" s="1">
        <v>45418</v>
      </c>
      <c r="I2033" t="s">
        <v>24</v>
      </c>
      <c r="J2033" t="s">
        <v>1991</v>
      </c>
      <c r="K2033">
        <v>2</v>
      </c>
      <c r="N2033">
        <v>1459</v>
      </c>
      <c r="O2033">
        <v>80</v>
      </c>
      <c r="P2033" s="1">
        <v>45526</v>
      </c>
      <c r="Q2033" s="1"/>
      <c r="R2033" t="str">
        <f>IF(Table1[[#This Row],[Actual close date]]="","",Table1[[#This Row],[Actual close date]]-Table1[[#This Row],[Expected close date]])</f>
        <v/>
      </c>
    </row>
    <row r="2034" spans="1:18" x14ac:dyDescent="0.25">
      <c r="A2034" t="s">
        <v>2118</v>
      </c>
      <c r="B2034" t="s">
        <v>59</v>
      </c>
      <c r="C2034" t="s">
        <v>60</v>
      </c>
      <c r="D2034" t="s">
        <v>61</v>
      </c>
      <c r="E2034" t="s">
        <v>52</v>
      </c>
      <c r="F2034" t="s">
        <v>22</v>
      </c>
      <c r="G2034" t="s">
        <v>72</v>
      </c>
      <c r="H2034" s="1">
        <v>45342</v>
      </c>
      <c r="I2034" t="s">
        <v>24</v>
      </c>
      <c r="J2034" t="s">
        <v>1991</v>
      </c>
      <c r="K2034">
        <v>2</v>
      </c>
      <c r="N2034">
        <v>568</v>
      </c>
      <c r="O2034">
        <v>100</v>
      </c>
      <c r="P2034" s="1">
        <v>45649</v>
      </c>
      <c r="Q2034" s="1"/>
      <c r="R2034" t="str">
        <f>IF(Table1[[#This Row],[Actual close date]]="","",Table1[[#This Row],[Actual close date]]-Table1[[#This Row],[Expected close date]])</f>
        <v/>
      </c>
    </row>
    <row r="2035" spans="1:18" x14ac:dyDescent="0.25">
      <c r="A2035" t="s">
        <v>2119</v>
      </c>
      <c r="B2035" t="s">
        <v>69</v>
      </c>
      <c r="C2035" t="s">
        <v>70</v>
      </c>
      <c r="D2035" t="s">
        <v>71</v>
      </c>
      <c r="E2035" t="s">
        <v>42</v>
      </c>
      <c r="F2035" t="s">
        <v>22</v>
      </c>
      <c r="G2035" t="s">
        <v>57</v>
      </c>
      <c r="H2035" s="1">
        <v>45318</v>
      </c>
      <c r="I2035" t="s">
        <v>24</v>
      </c>
      <c r="J2035" t="s">
        <v>1991</v>
      </c>
      <c r="K2035">
        <v>2</v>
      </c>
      <c r="N2035">
        <v>1826</v>
      </c>
      <c r="O2035">
        <v>30</v>
      </c>
      <c r="P2035" s="1">
        <v>45444</v>
      </c>
      <c r="Q2035" s="1"/>
      <c r="R2035" t="str">
        <f>IF(Table1[[#This Row],[Actual close date]]="","",Table1[[#This Row],[Actual close date]]-Table1[[#This Row],[Expected close date]])</f>
        <v/>
      </c>
    </row>
    <row r="2036" spans="1:18" x14ac:dyDescent="0.25">
      <c r="A2036" t="s">
        <v>2120</v>
      </c>
      <c r="B2036" t="s">
        <v>39</v>
      </c>
      <c r="C2036" t="s">
        <v>40</v>
      </c>
      <c r="D2036" t="s">
        <v>41</v>
      </c>
      <c r="E2036" t="s">
        <v>21</v>
      </c>
      <c r="F2036" t="s">
        <v>22</v>
      </c>
      <c r="G2036" t="s">
        <v>23</v>
      </c>
      <c r="H2036" s="1">
        <v>45325</v>
      </c>
      <c r="I2036" t="s">
        <v>24</v>
      </c>
      <c r="J2036" t="s">
        <v>1991</v>
      </c>
      <c r="K2036">
        <v>2</v>
      </c>
      <c r="N2036">
        <v>1939</v>
      </c>
      <c r="O2036">
        <v>70</v>
      </c>
      <c r="P2036" s="1">
        <v>45515</v>
      </c>
      <c r="Q2036" s="1"/>
      <c r="R2036" t="str">
        <f>IF(Table1[[#This Row],[Actual close date]]="","",Table1[[#This Row],[Actual close date]]-Table1[[#This Row],[Expected close date]])</f>
        <v/>
      </c>
    </row>
    <row r="2037" spans="1:18" x14ac:dyDescent="0.25">
      <c r="A2037" t="s">
        <v>2121</v>
      </c>
      <c r="B2037" t="s">
        <v>33</v>
      </c>
      <c r="C2037" t="s">
        <v>34</v>
      </c>
      <c r="D2037" t="s">
        <v>35</v>
      </c>
      <c r="E2037" t="s">
        <v>52</v>
      </c>
      <c r="F2037" t="s">
        <v>22</v>
      </c>
      <c r="G2037" t="s">
        <v>46</v>
      </c>
      <c r="H2037" s="1">
        <v>45436</v>
      </c>
      <c r="I2037" t="s">
        <v>47</v>
      </c>
      <c r="J2037" t="s">
        <v>1991</v>
      </c>
      <c r="K2037">
        <v>2</v>
      </c>
      <c r="N2037">
        <v>1039</v>
      </c>
      <c r="O2037">
        <v>40</v>
      </c>
      <c r="P2037" s="1">
        <v>45641</v>
      </c>
      <c r="Q2037" s="1"/>
      <c r="R2037" t="str">
        <f>IF(Table1[[#This Row],[Actual close date]]="","",Table1[[#This Row],[Actual close date]]-Table1[[#This Row],[Expected close date]])</f>
        <v/>
      </c>
    </row>
    <row r="2038" spans="1:18" x14ac:dyDescent="0.25">
      <c r="A2038" t="s">
        <v>2122</v>
      </c>
      <c r="B2038" t="s">
        <v>33</v>
      </c>
      <c r="C2038" t="s">
        <v>34</v>
      </c>
      <c r="D2038" t="s">
        <v>35</v>
      </c>
      <c r="E2038" t="s">
        <v>21</v>
      </c>
      <c r="F2038" t="s">
        <v>22</v>
      </c>
      <c r="G2038" t="s">
        <v>46</v>
      </c>
      <c r="H2038" s="1">
        <v>45351</v>
      </c>
      <c r="I2038" t="s">
        <v>24</v>
      </c>
      <c r="J2038" t="s">
        <v>1991</v>
      </c>
      <c r="K2038">
        <v>2</v>
      </c>
      <c r="N2038">
        <v>247</v>
      </c>
      <c r="O2038">
        <v>30</v>
      </c>
      <c r="P2038" s="1">
        <v>45588</v>
      </c>
      <c r="Q2038" s="1"/>
      <c r="R2038" t="str">
        <f>IF(Table1[[#This Row],[Actual close date]]="","",Table1[[#This Row],[Actual close date]]-Table1[[#This Row],[Expected close date]])</f>
        <v/>
      </c>
    </row>
    <row r="2039" spans="1:18" x14ac:dyDescent="0.25">
      <c r="A2039" t="s">
        <v>2123</v>
      </c>
      <c r="B2039" t="s">
        <v>59</v>
      </c>
      <c r="C2039" t="s">
        <v>60</v>
      </c>
      <c r="D2039" t="s">
        <v>61</v>
      </c>
      <c r="E2039" t="s">
        <v>45</v>
      </c>
      <c r="F2039" t="s">
        <v>22</v>
      </c>
      <c r="G2039" t="s">
        <v>46</v>
      </c>
      <c r="H2039" s="1">
        <v>45435</v>
      </c>
      <c r="I2039" t="s">
        <v>47</v>
      </c>
      <c r="J2039" t="s">
        <v>1991</v>
      </c>
      <c r="K2039">
        <v>2</v>
      </c>
      <c r="N2039">
        <v>274</v>
      </c>
      <c r="O2039">
        <v>20</v>
      </c>
      <c r="P2039" s="1">
        <v>45670</v>
      </c>
      <c r="Q2039" s="1"/>
      <c r="R2039" t="str">
        <f>IF(Table1[[#This Row],[Actual close date]]="","",Table1[[#This Row],[Actual close date]]-Table1[[#This Row],[Expected close date]])</f>
        <v/>
      </c>
    </row>
    <row r="2040" spans="1:18" x14ac:dyDescent="0.25">
      <c r="A2040" t="s">
        <v>2124</v>
      </c>
      <c r="B2040" t="s">
        <v>33</v>
      </c>
      <c r="C2040" t="s">
        <v>34</v>
      </c>
      <c r="D2040" t="s">
        <v>35</v>
      </c>
      <c r="E2040" t="s">
        <v>98</v>
      </c>
      <c r="F2040" t="s">
        <v>22</v>
      </c>
      <c r="G2040" t="s">
        <v>46</v>
      </c>
      <c r="H2040" s="1">
        <v>45378</v>
      </c>
      <c r="I2040" t="s">
        <v>47</v>
      </c>
      <c r="J2040" t="s">
        <v>1991</v>
      </c>
      <c r="K2040">
        <v>2</v>
      </c>
      <c r="N2040">
        <v>686</v>
      </c>
      <c r="O2040">
        <v>90</v>
      </c>
      <c r="P2040" s="1">
        <v>45519</v>
      </c>
      <c r="Q2040" s="1"/>
      <c r="R2040" t="str">
        <f>IF(Table1[[#This Row],[Actual close date]]="","",Table1[[#This Row],[Actual close date]]-Table1[[#This Row],[Expected close date]])</f>
        <v/>
      </c>
    </row>
    <row r="2041" spans="1:18" x14ac:dyDescent="0.25">
      <c r="A2041" t="s">
        <v>2125</v>
      </c>
      <c r="B2041" t="s">
        <v>39</v>
      </c>
      <c r="C2041" t="s">
        <v>40</v>
      </c>
      <c r="D2041" t="s">
        <v>41</v>
      </c>
      <c r="E2041" t="s">
        <v>82</v>
      </c>
      <c r="F2041" t="s">
        <v>22</v>
      </c>
      <c r="G2041" t="s">
        <v>31</v>
      </c>
      <c r="H2041" s="1">
        <v>45319</v>
      </c>
      <c r="I2041" t="s">
        <v>64</v>
      </c>
      <c r="J2041" t="s">
        <v>1991</v>
      </c>
      <c r="K2041">
        <v>2</v>
      </c>
      <c r="N2041">
        <v>1568</v>
      </c>
      <c r="O2041">
        <v>20</v>
      </c>
      <c r="P2041" s="1">
        <v>45403</v>
      </c>
      <c r="Q2041" s="1"/>
      <c r="R2041" t="str">
        <f>IF(Table1[[#This Row],[Actual close date]]="","",Table1[[#This Row],[Actual close date]]-Table1[[#This Row],[Expected close date]])</f>
        <v/>
      </c>
    </row>
    <row r="2042" spans="1:18" x14ac:dyDescent="0.25">
      <c r="A2042" t="s">
        <v>2126</v>
      </c>
      <c r="B2042" t="s">
        <v>39</v>
      </c>
      <c r="C2042" t="s">
        <v>40</v>
      </c>
      <c r="D2042" t="s">
        <v>41</v>
      </c>
      <c r="E2042" t="s">
        <v>45</v>
      </c>
      <c r="F2042" t="s">
        <v>22</v>
      </c>
      <c r="G2042" t="s">
        <v>46</v>
      </c>
      <c r="H2042" s="1">
        <v>45299</v>
      </c>
      <c r="I2042" t="s">
        <v>64</v>
      </c>
      <c r="J2042" t="s">
        <v>1991</v>
      </c>
      <c r="K2042">
        <v>2</v>
      </c>
      <c r="N2042">
        <v>1191</v>
      </c>
      <c r="O2042">
        <v>80</v>
      </c>
      <c r="P2042" s="1">
        <v>45479</v>
      </c>
      <c r="Q2042" s="1"/>
      <c r="R2042" t="str">
        <f>IF(Table1[[#This Row],[Actual close date]]="","",Table1[[#This Row],[Actual close date]]-Table1[[#This Row],[Expected close date]])</f>
        <v/>
      </c>
    </row>
    <row r="2043" spans="1:18" x14ac:dyDescent="0.25">
      <c r="A2043" t="s">
        <v>2127</v>
      </c>
      <c r="B2043" t="s">
        <v>69</v>
      </c>
      <c r="C2043" t="s">
        <v>70</v>
      </c>
      <c r="D2043" t="s">
        <v>71</v>
      </c>
      <c r="E2043" t="s">
        <v>45</v>
      </c>
      <c r="F2043" t="s">
        <v>22</v>
      </c>
      <c r="G2043" t="s">
        <v>31</v>
      </c>
      <c r="H2043" s="1">
        <v>45381</v>
      </c>
      <c r="I2043" t="s">
        <v>64</v>
      </c>
      <c r="J2043" t="s">
        <v>1991</v>
      </c>
      <c r="K2043">
        <v>2</v>
      </c>
      <c r="N2043">
        <v>386</v>
      </c>
      <c r="O2043">
        <v>50</v>
      </c>
      <c r="P2043" s="1">
        <v>45678</v>
      </c>
      <c r="Q2043" s="1"/>
      <c r="R2043" t="str">
        <f>IF(Table1[[#This Row],[Actual close date]]="","",Table1[[#This Row],[Actual close date]]-Table1[[#This Row],[Expected close date]])</f>
        <v/>
      </c>
    </row>
    <row r="2044" spans="1:18" x14ac:dyDescent="0.25">
      <c r="A2044" t="s">
        <v>2128</v>
      </c>
      <c r="B2044" t="s">
        <v>39</v>
      </c>
      <c r="C2044" t="s">
        <v>40</v>
      </c>
      <c r="D2044" t="s">
        <v>41</v>
      </c>
      <c r="E2044" t="s">
        <v>52</v>
      </c>
      <c r="F2044" t="s">
        <v>22</v>
      </c>
      <c r="G2044" t="s">
        <v>57</v>
      </c>
      <c r="H2044" s="1">
        <v>45293</v>
      </c>
      <c r="I2044" t="s">
        <v>64</v>
      </c>
      <c r="J2044" t="s">
        <v>1991</v>
      </c>
      <c r="K2044">
        <v>2</v>
      </c>
      <c r="N2044">
        <v>535</v>
      </c>
      <c r="O2044">
        <v>20</v>
      </c>
      <c r="P2044" s="1">
        <v>45527</v>
      </c>
      <c r="Q2044" s="1"/>
      <c r="R2044" t="str">
        <f>IF(Table1[[#This Row],[Actual close date]]="","",Table1[[#This Row],[Actual close date]]-Table1[[#This Row],[Expected close date]])</f>
        <v/>
      </c>
    </row>
    <row r="2045" spans="1:18" x14ac:dyDescent="0.25">
      <c r="A2045" t="s">
        <v>2129</v>
      </c>
      <c r="B2045" t="s">
        <v>54</v>
      </c>
      <c r="C2045" t="s">
        <v>55</v>
      </c>
      <c r="D2045" t="s">
        <v>56</v>
      </c>
      <c r="E2045" t="s">
        <v>118</v>
      </c>
      <c r="F2045" t="s">
        <v>22</v>
      </c>
      <c r="G2045" t="s">
        <v>46</v>
      </c>
      <c r="H2045" s="1">
        <v>45404</v>
      </c>
      <c r="I2045" t="s">
        <v>47</v>
      </c>
      <c r="J2045" t="s">
        <v>1991</v>
      </c>
      <c r="K2045">
        <v>2</v>
      </c>
      <c r="N2045">
        <v>1832</v>
      </c>
      <c r="O2045">
        <v>50</v>
      </c>
      <c r="P2045" s="1">
        <v>45727</v>
      </c>
      <c r="Q2045" s="1"/>
      <c r="R2045" t="str">
        <f>IF(Table1[[#This Row],[Actual close date]]="","",Table1[[#This Row],[Actual close date]]-Table1[[#This Row],[Expected close date]])</f>
        <v/>
      </c>
    </row>
    <row r="2046" spans="1:18" x14ac:dyDescent="0.25">
      <c r="A2046" t="s">
        <v>2130</v>
      </c>
      <c r="B2046" t="s">
        <v>76</v>
      </c>
      <c r="C2046" t="s">
        <v>77</v>
      </c>
      <c r="D2046" t="s">
        <v>78</v>
      </c>
      <c r="E2046" t="s">
        <v>98</v>
      </c>
      <c r="F2046" t="s">
        <v>22</v>
      </c>
      <c r="G2046" t="s">
        <v>37</v>
      </c>
      <c r="H2046" s="1">
        <v>45371</v>
      </c>
      <c r="I2046" t="s">
        <v>64</v>
      </c>
      <c r="J2046" t="s">
        <v>1991</v>
      </c>
      <c r="K2046">
        <v>2</v>
      </c>
      <c r="N2046">
        <v>1175</v>
      </c>
      <c r="O2046">
        <v>40</v>
      </c>
      <c r="P2046" s="1">
        <v>45408</v>
      </c>
      <c r="Q2046" s="1"/>
      <c r="R2046" t="str">
        <f>IF(Table1[[#This Row],[Actual close date]]="","",Table1[[#This Row],[Actual close date]]-Table1[[#This Row],[Expected close date]])</f>
        <v/>
      </c>
    </row>
    <row r="2047" spans="1:18" x14ac:dyDescent="0.25">
      <c r="A2047" t="s">
        <v>2131</v>
      </c>
      <c r="B2047" t="s">
        <v>39</v>
      </c>
      <c r="C2047" t="s">
        <v>40</v>
      </c>
      <c r="D2047" t="s">
        <v>41</v>
      </c>
      <c r="E2047" t="s">
        <v>101</v>
      </c>
      <c r="F2047" t="s">
        <v>22</v>
      </c>
      <c r="G2047" t="s">
        <v>57</v>
      </c>
      <c r="H2047" s="1">
        <v>45425</v>
      </c>
      <c r="I2047" t="s">
        <v>64</v>
      </c>
      <c r="J2047" t="s">
        <v>1991</v>
      </c>
      <c r="K2047">
        <v>2</v>
      </c>
      <c r="N2047">
        <v>894</v>
      </c>
      <c r="O2047">
        <v>50</v>
      </c>
      <c r="P2047" s="1">
        <v>45608</v>
      </c>
      <c r="Q2047" s="1"/>
      <c r="R2047" t="str">
        <f>IF(Table1[[#This Row],[Actual close date]]="","",Table1[[#This Row],[Actual close date]]-Table1[[#This Row],[Expected close date]])</f>
        <v/>
      </c>
    </row>
    <row r="2048" spans="1:18" x14ac:dyDescent="0.25">
      <c r="A2048" t="s">
        <v>2132</v>
      </c>
      <c r="B2048" t="s">
        <v>54</v>
      </c>
      <c r="C2048" t="s">
        <v>55</v>
      </c>
      <c r="D2048" t="s">
        <v>56</v>
      </c>
      <c r="E2048" t="s">
        <v>52</v>
      </c>
      <c r="F2048" t="s">
        <v>22</v>
      </c>
      <c r="G2048" t="s">
        <v>31</v>
      </c>
      <c r="H2048" s="1">
        <v>45424</v>
      </c>
      <c r="I2048" t="s">
        <v>24</v>
      </c>
      <c r="J2048" t="s">
        <v>1991</v>
      </c>
      <c r="K2048">
        <v>2</v>
      </c>
      <c r="N2048">
        <v>291</v>
      </c>
      <c r="O2048">
        <v>50</v>
      </c>
      <c r="P2048" s="1">
        <v>45531</v>
      </c>
      <c r="Q2048" s="1"/>
      <c r="R2048" t="str">
        <f>IF(Table1[[#This Row],[Actual close date]]="","",Table1[[#This Row],[Actual close date]]-Table1[[#This Row],[Expected close date]])</f>
        <v/>
      </c>
    </row>
    <row r="2049" spans="1:18" x14ac:dyDescent="0.25">
      <c r="A2049" t="s">
        <v>2133</v>
      </c>
      <c r="B2049" t="s">
        <v>18</v>
      </c>
      <c r="C2049" t="s">
        <v>19</v>
      </c>
      <c r="D2049" t="s">
        <v>20</v>
      </c>
      <c r="E2049" t="s">
        <v>118</v>
      </c>
      <c r="F2049" t="s">
        <v>22</v>
      </c>
      <c r="G2049" t="s">
        <v>83</v>
      </c>
      <c r="H2049" s="1">
        <v>45354</v>
      </c>
      <c r="I2049" t="s">
        <v>47</v>
      </c>
      <c r="J2049" t="s">
        <v>1991</v>
      </c>
      <c r="K2049">
        <v>2</v>
      </c>
      <c r="N2049">
        <v>1118</v>
      </c>
      <c r="O2049">
        <v>20</v>
      </c>
      <c r="P2049" s="1">
        <v>45569</v>
      </c>
      <c r="Q2049" s="1"/>
      <c r="R2049" t="str">
        <f>IF(Table1[[#This Row],[Actual close date]]="","",Table1[[#This Row],[Actual close date]]-Table1[[#This Row],[Expected close date]])</f>
        <v/>
      </c>
    </row>
    <row r="2050" spans="1:18" x14ac:dyDescent="0.25">
      <c r="A2050" t="s">
        <v>2134</v>
      </c>
      <c r="B2050" t="s">
        <v>33</v>
      </c>
      <c r="C2050" t="s">
        <v>34</v>
      </c>
      <c r="D2050" t="s">
        <v>35</v>
      </c>
      <c r="E2050" t="s">
        <v>66</v>
      </c>
      <c r="F2050" t="s">
        <v>22</v>
      </c>
      <c r="G2050" t="s">
        <v>31</v>
      </c>
      <c r="H2050" s="1">
        <v>45431</v>
      </c>
      <c r="I2050" t="s">
        <v>64</v>
      </c>
      <c r="J2050" t="s">
        <v>1991</v>
      </c>
      <c r="K2050">
        <v>2</v>
      </c>
      <c r="N2050">
        <v>427</v>
      </c>
      <c r="O2050">
        <v>30</v>
      </c>
      <c r="P2050" s="1">
        <v>45647</v>
      </c>
      <c r="Q2050" s="1"/>
      <c r="R2050" t="str">
        <f>IF(Table1[[#This Row],[Actual close date]]="","",Table1[[#This Row],[Actual close date]]-Table1[[#This Row],[Expected close date]])</f>
        <v/>
      </c>
    </row>
    <row r="2051" spans="1:18" x14ac:dyDescent="0.25">
      <c r="A2051" t="s">
        <v>2135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t="s">
        <v>31</v>
      </c>
      <c r="H2051" s="1">
        <v>45440</v>
      </c>
      <c r="I2051" t="s">
        <v>47</v>
      </c>
      <c r="J2051" t="s">
        <v>1991</v>
      </c>
      <c r="K2051">
        <v>2</v>
      </c>
      <c r="N2051">
        <v>1236</v>
      </c>
      <c r="O2051">
        <v>20</v>
      </c>
      <c r="P2051" s="1">
        <v>45736</v>
      </c>
      <c r="Q2051" s="1"/>
      <c r="R2051" t="str">
        <f>IF(Table1[[#This Row],[Actual close date]]="","",Table1[[#This Row],[Actual close date]]-Table1[[#This Row],[Expected close date]])</f>
        <v/>
      </c>
    </row>
    <row r="2052" spans="1:18" x14ac:dyDescent="0.25">
      <c r="A2052" t="s">
        <v>2136</v>
      </c>
      <c r="B2052" t="s">
        <v>54</v>
      </c>
      <c r="C2052" t="s">
        <v>55</v>
      </c>
      <c r="D2052" t="s">
        <v>56</v>
      </c>
      <c r="E2052" t="s">
        <v>21</v>
      </c>
      <c r="F2052" t="s">
        <v>22</v>
      </c>
      <c r="G2052" t="s">
        <v>85</v>
      </c>
      <c r="H2052" s="1">
        <v>45309</v>
      </c>
      <c r="I2052" t="s">
        <v>64</v>
      </c>
      <c r="J2052" t="s">
        <v>1991</v>
      </c>
      <c r="K2052">
        <v>2</v>
      </c>
      <c r="N2052">
        <v>707</v>
      </c>
      <c r="O2052">
        <v>100</v>
      </c>
      <c r="P2052" s="1">
        <v>45507</v>
      </c>
      <c r="Q2052" s="1"/>
      <c r="R2052" t="str">
        <f>IF(Table1[[#This Row],[Actual close date]]="","",Table1[[#This Row],[Actual close date]]-Table1[[#This Row],[Expected close date]])</f>
        <v/>
      </c>
    </row>
    <row r="2053" spans="1:18" x14ac:dyDescent="0.25">
      <c r="A2053" t="s">
        <v>2137</v>
      </c>
      <c r="B2053" t="s">
        <v>54</v>
      </c>
      <c r="C2053" t="s">
        <v>55</v>
      </c>
      <c r="D2053" t="s">
        <v>56</v>
      </c>
      <c r="E2053" t="s">
        <v>42</v>
      </c>
      <c r="F2053" t="s">
        <v>22</v>
      </c>
      <c r="G2053" t="s">
        <v>46</v>
      </c>
      <c r="H2053" s="1">
        <v>45319</v>
      </c>
      <c r="I2053" t="s">
        <v>47</v>
      </c>
      <c r="J2053" t="s">
        <v>1991</v>
      </c>
      <c r="K2053">
        <v>2</v>
      </c>
      <c r="N2053">
        <v>420</v>
      </c>
      <c r="O2053">
        <v>20</v>
      </c>
      <c r="P2053" s="1">
        <v>45433</v>
      </c>
      <c r="Q2053" s="1"/>
      <c r="R2053" t="str">
        <f>IF(Table1[[#This Row],[Actual close date]]="","",Table1[[#This Row],[Actual close date]]-Table1[[#This Row],[Expected close date]])</f>
        <v/>
      </c>
    </row>
    <row r="2054" spans="1:18" x14ac:dyDescent="0.25">
      <c r="A2054" t="s">
        <v>2138</v>
      </c>
      <c r="B2054" t="s">
        <v>49</v>
      </c>
      <c r="C2054" t="s">
        <v>50</v>
      </c>
      <c r="D2054" t="s">
        <v>51</v>
      </c>
      <c r="E2054" t="s">
        <v>52</v>
      </c>
      <c r="F2054" t="s">
        <v>22</v>
      </c>
      <c r="G2054" t="s">
        <v>37</v>
      </c>
      <c r="H2054" s="1">
        <v>45438</v>
      </c>
      <c r="I2054" t="s">
        <v>24</v>
      </c>
      <c r="J2054" t="s">
        <v>1991</v>
      </c>
      <c r="K2054">
        <v>2</v>
      </c>
      <c r="N2054">
        <v>1986</v>
      </c>
      <c r="O2054">
        <v>60</v>
      </c>
      <c r="P2054" s="1">
        <v>45687</v>
      </c>
      <c r="Q2054" s="1"/>
      <c r="R2054" t="str">
        <f>IF(Table1[[#This Row],[Actual close date]]="","",Table1[[#This Row],[Actual close date]]-Table1[[#This Row],[Expected close date]])</f>
        <v/>
      </c>
    </row>
    <row r="2055" spans="1:18" x14ac:dyDescent="0.25">
      <c r="A2055" t="s">
        <v>2139</v>
      </c>
      <c r="B2055" t="s">
        <v>27</v>
      </c>
      <c r="C2055" t="s">
        <v>28</v>
      </c>
      <c r="D2055" t="s">
        <v>29</v>
      </c>
      <c r="E2055" t="s">
        <v>52</v>
      </c>
      <c r="F2055" t="s">
        <v>22</v>
      </c>
      <c r="G2055" t="s">
        <v>37</v>
      </c>
      <c r="H2055" s="1">
        <v>45409</v>
      </c>
      <c r="I2055" t="s">
        <v>24</v>
      </c>
      <c r="J2055" t="s">
        <v>1991</v>
      </c>
      <c r="K2055">
        <v>2</v>
      </c>
      <c r="N2055">
        <v>901</v>
      </c>
      <c r="O2055">
        <v>50</v>
      </c>
      <c r="P2055" s="1">
        <v>45503</v>
      </c>
      <c r="Q2055" s="1"/>
      <c r="R2055" t="str">
        <f>IF(Table1[[#This Row],[Actual close date]]="","",Table1[[#This Row],[Actual close date]]-Table1[[#This Row],[Expected close date]])</f>
        <v/>
      </c>
    </row>
    <row r="2056" spans="1:18" x14ac:dyDescent="0.25">
      <c r="A2056" t="s">
        <v>2140</v>
      </c>
      <c r="B2056" t="s">
        <v>76</v>
      </c>
      <c r="C2056" t="s">
        <v>77</v>
      </c>
      <c r="D2056" t="s">
        <v>78</v>
      </c>
      <c r="E2056" t="s">
        <v>52</v>
      </c>
      <c r="F2056" t="s">
        <v>22</v>
      </c>
      <c r="G2056" t="s">
        <v>83</v>
      </c>
      <c r="H2056" s="1">
        <v>45428</v>
      </c>
      <c r="I2056" t="s">
        <v>64</v>
      </c>
      <c r="J2056" t="s">
        <v>1991</v>
      </c>
      <c r="K2056">
        <v>2</v>
      </c>
      <c r="N2056">
        <v>1164</v>
      </c>
      <c r="O2056">
        <v>60</v>
      </c>
      <c r="P2056" s="1">
        <v>45746</v>
      </c>
      <c r="Q2056" s="1"/>
      <c r="R2056" t="str">
        <f>IF(Table1[[#This Row],[Actual close date]]="","",Table1[[#This Row],[Actual close date]]-Table1[[#This Row],[Expected close date]])</f>
        <v/>
      </c>
    </row>
    <row r="2057" spans="1:18" x14ac:dyDescent="0.25">
      <c r="A2057" t="s">
        <v>2141</v>
      </c>
      <c r="B2057" t="s">
        <v>33</v>
      </c>
      <c r="C2057" t="s">
        <v>34</v>
      </c>
      <c r="D2057" t="s">
        <v>35</v>
      </c>
      <c r="E2057" t="s">
        <v>122</v>
      </c>
      <c r="F2057" t="s">
        <v>22</v>
      </c>
      <c r="G2057" t="s">
        <v>31</v>
      </c>
      <c r="H2057" s="1">
        <v>45433</v>
      </c>
      <c r="I2057" t="s">
        <v>24</v>
      </c>
      <c r="J2057" t="s">
        <v>1991</v>
      </c>
      <c r="K2057">
        <v>2</v>
      </c>
      <c r="N2057">
        <v>1661</v>
      </c>
      <c r="O2057">
        <v>40</v>
      </c>
      <c r="P2057" s="1">
        <v>45753</v>
      </c>
      <c r="Q2057" s="1"/>
      <c r="R2057" t="str">
        <f>IF(Table1[[#This Row],[Actual close date]]="","",Table1[[#This Row],[Actual close date]]-Table1[[#This Row],[Expected close date]])</f>
        <v/>
      </c>
    </row>
    <row r="2058" spans="1:18" x14ac:dyDescent="0.25">
      <c r="A2058" t="s">
        <v>2142</v>
      </c>
      <c r="B2058" t="s">
        <v>33</v>
      </c>
      <c r="C2058" t="s">
        <v>34</v>
      </c>
      <c r="D2058" t="s">
        <v>35</v>
      </c>
      <c r="E2058" t="s">
        <v>21</v>
      </c>
      <c r="F2058" t="s">
        <v>22</v>
      </c>
      <c r="G2058" t="s">
        <v>37</v>
      </c>
      <c r="H2058" s="1">
        <v>45428</v>
      </c>
      <c r="I2058" t="s">
        <v>64</v>
      </c>
      <c r="J2058" t="s">
        <v>1991</v>
      </c>
      <c r="K2058">
        <v>2</v>
      </c>
      <c r="N2058">
        <v>1096</v>
      </c>
      <c r="O2058">
        <v>20</v>
      </c>
      <c r="P2058" s="1">
        <v>45681</v>
      </c>
      <c r="Q2058" s="1"/>
      <c r="R2058" t="str">
        <f>IF(Table1[[#This Row],[Actual close date]]="","",Table1[[#This Row],[Actual close date]]-Table1[[#This Row],[Expected close date]])</f>
        <v/>
      </c>
    </row>
    <row r="2059" spans="1:18" x14ac:dyDescent="0.25">
      <c r="A2059" t="s">
        <v>2143</v>
      </c>
      <c r="B2059" t="s">
        <v>59</v>
      </c>
      <c r="C2059" t="s">
        <v>60</v>
      </c>
      <c r="D2059" t="s">
        <v>61</v>
      </c>
      <c r="E2059" t="s">
        <v>52</v>
      </c>
      <c r="F2059" t="s">
        <v>22</v>
      </c>
      <c r="G2059" t="s">
        <v>31</v>
      </c>
      <c r="H2059" s="1">
        <v>45332</v>
      </c>
      <c r="I2059" t="s">
        <v>64</v>
      </c>
      <c r="J2059" t="s">
        <v>1991</v>
      </c>
      <c r="K2059">
        <v>2</v>
      </c>
      <c r="N2059">
        <v>379</v>
      </c>
      <c r="O2059">
        <v>40</v>
      </c>
      <c r="P2059" s="1">
        <v>45626</v>
      </c>
      <c r="Q2059" s="1"/>
      <c r="R2059" t="str">
        <f>IF(Table1[[#This Row],[Actual close date]]="","",Table1[[#This Row],[Actual close date]]-Table1[[#This Row],[Expected close date]])</f>
        <v/>
      </c>
    </row>
    <row r="2060" spans="1:18" x14ac:dyDescent="0.25">
      <c r="A2060" t="s">
        <v>2144</v>
      </c>
      <c r="B2060" t="s">
        <v>33</v>
      </c>
      <c r="C2060" t="s">
        <v>34</v>
      </c>
      <c r="D2060" t="s">
        <v>35</v>
      </c>
      <c r="E2060" t="s">
        <v>36</v>
      </c>
      <c r="F2060" t="s">
        <v>22</v>
      </c>
      <c r="G2060" t="s">
        <v>23</v>
      </c>
      <c r="H2060" s="1">
        <v>45410</v>
      </c>
      <c r="I2060" t="s">
        <v>24</v>
      </c>
      <c r="J2060" t="s">
        <v>1991</v>
      </c>
      <c r="K2060">
        <v>2</v>
      </c>
      <c r="N2060">
        <v>1368</v>
      </c>
      <c r="O2060">
        <v>20</v>
      </c>
      <c r="P2060" s="1">
        <v>45595</v>
      </c>
      <c r="Q2060" s="1"/>
      <c r="R2060" t="str">
        <f>IF(Table1[[#This Row],[Actual close date]]="","",Table1[[#This Row],[Actual close date]]-Table1[[#This Row],[Expected close date]])</f>
        <v/>
      </c>
    </row>
    <row r="2061" spans="1:18" x14ac:dyDescent="0.25">
      <c r="A2061" t="s">
        <v>2145</v>
      </c>
      <c r="B2061" t="s">
        <v>33</v>
      </c>
      <c r="C2061" t="s">
        <v>34</v>
      </c>
      <c r="D2061" t="s">
        <v>35</v>
      </c>
      <c r="E2061" t="s">
        <v>30</v>
      </c>
      <c r="F2061" t="s">
        <v>22</v>
      </c>
      <c r="G2061" t="s">
        <v>57</v>
      </c>
      <c r="H2061" s="1">
        <v>45377</v>
      </c>
      <c r="I2061" t="s">
        <v>24</v>
      </c>
      <c r="J2061" t="s">
        <v>1991</v>
      </c>
      <c r="K2061">
        <v>2</v>
      </c>
      <c r="N2061">
        <v>1691</v>
      </c>
      <c r="O2061">
        <v>60</v>
      </c>
      <c r="P2061" s="1">
        <v>45711</v>
      </c>
      <c r="Q2061" s="1"/>
      <c r="R2061" t="str">
        <f>IF(Table1[[#This Row],[Actual close date]]="","",Table1[[#This Row],[Actual close date]]-Table1[[#This Row],[Expected close date]])</f>
        <v/>
      </c>
    </row>
    <row r="2062" spans="1:18" x14ac:dyDescent="0.25">
      <c r="A2062" t="s">
        <v>2146</v>
      </c>
      <c r="B2062" t="s">
        <v>27</v>
      </c>
      <c r="C2062" t="s">
        <v>28</v>
      </c>
      <c r="D2062" t="s">
        <v>29</v>
      </c>
      <c r="E2062" t="s">
        <v>45</v>
      </c>
      <c r="F2062" t="s">
        <v>22</v>
      </c>
      <c r="G2062" t="s">
        <v>31</v>
      </c>
      <c r="H2062" s="1">
        <v>45433</v>
      </c>
      <c r="I2062" t="s">
        <v>64</v>
      </c>
      <c r="J2062" t="s">
        <v>1991</v>
      </c>
      <c r="K2062">
        <v>2</v>
      </c>
      <c r="N2062">
        <v>543</v>
      </c>
      <c r="O2062">
        <v>40</v>
      </c>
      <c r="P2062" s="1">
        <v>45633</v>
      </c>
      <c r="Q2062" s="1"/>
      <c r="R2062" t="str">
        <f>IF(Table1[[#This Row],[Actual close date]]="","",Table1[[#This Row],[Actual close date]]-Table1[[#This Row],[Expected close date]])</f>
        <v/>
      </c>
    </row>
    <row r="2063" spans="1:18" x14ac:dyDescent="0.25">
      <c r="A2063" t="s">
        <v>2147</v>
      </c>
      <c r="B2063" t="s">
        <v>49</v>
      </c>
      <c r="C2063" t="s">
        <v>50</v>
      </c>
      <c r="D2063" t="s">
        <v>51</v>
      </c>
      <c r="E2063" t="s">
        <v>52</v>
      </c>
      <c r="F2063" t="s">
        <v>22</v>
      </c>
      <c r="G2063" t="s">
        <v>31</v>
      </c>
      <c r="H2063" s="1">
        <v>45297</v>
      </c>
      <c r="I2063" t="s">
        <v>24</v>
      </c>
      <c r="J2063" t="s">
        <v>1991</v>
      </c>
      <c r="K2063">
        <v>2</v>
      </c>
      <c r="N2063">
        <v>231</v>
      </c>
      <c r="O2063">
        <v>40</v>
      </c>
      <c r="P2063" s="1">
        <v>45478</v>
      </c>
      <c r="Q2063" s="1"/>
      <c r="R2063" t="str">
        <f>IF(Table1[[#This Row],[Actual close date]]="","",Table1[[#This Row],[Actual close date]]-Table1[[#This Row],[Expected close date]])</f>
        <v/>
      </c>
    </row>
    <row r="2064" spans="1:18" x14ac:dyDescent="0.25">
      <c r="A2064" t="s">
        <v>2148</v>
      </c>
      <c r="B2064" t="s">
        <v>33</v>
      </c>
      <c r="C2064" t="s">
        <v>34</v>
      </c>
      <c r="D2064" t="s">
        <v>35</v>
      </c>
      <c r="E2064" t="s">
        <v>98</v>
      </c>
      <c r="F2064" t="s">
        <v>22</v>
      </c>
      <c r="G2064" t="s">
        <v>31</v>
      </c>
      <c r="H2064" s="1">
        <v>45433</v>
      </c>
      <c r="I2064" t="s">
        <v>24</v>
      </c>
      <c r="J2064" t="s">
        <v>1991</v>
      </c>
      <c r="K2064">
        <v>2</v>
      </c>
      <c r="N2064">
        <v>1295</v>
      </c>
      <c r="O2064">
        <v>20</v>
      </c>
      <c r="P2064" s="1">
        <v>45538</v>
      </c>
      <c r="Q2064" s="1"/>
      <c r="R2064" t="str">
        <f>IF(Table1[[#This Row],[Actual close date]]="","",Table1[[#This Row],[Actual close date]]-Table1[[#This Row],[Expected close date]])</f>
        <v/>
      </c>
    </row>
    <row r="2065" spans="1:18" x14ac:dyDescent="0.25">
      <c r="A2065" t="s">
        <v>2149</v>
      </c>
      <c r="B2065" t="s">
        <v>59</v>
      </c>
      <c r="C2065" t="s">
        <v>60</v>
      </c>
      <c r="D2065" t="s">
        <v>61</v>
      </c>
      <c r="E2065" t="s">
        <v>52</v>
      </c>
      <c r="F2065" t="s">
        <v>22</v>
      </c>
      <c r="G2065" t="s">
        <v>46</v>
      </c>
      <c r="H2065" s="1">
        <v>45301</v>
      </c>
      <c r="I2065" t="s">
        <v>47</v>
      </c>
      <c r="J2065" t="s">
        <v>1991</v>
      </c>
      <c r="K2065">
        <v>2</v>
      </c>
      <c r="N2065">
        <v>730</v>
      </c>
      <c r="O2065">
        <v>80</v>
      </c>
      <c r="P2065" s="1">
        <v>45547</v>
      </c>
      <c r="Q2065" s="1"/>
      <c r="R2065" t="str">
        <f>IF(Table1[[#This Row],[Actual close date]]="","",Table1[[#This Row],[Actual close date]]-Table1[[#This Row],[Expected close date]])</f>
        <v/>
      </c>
    </row>
    <row r="2066" spans="1:18" x14ac:dyDescent="0.25">
      <c r="A2066" t="s">
        <v>2150</v>
      </c>
      <c r="B2066" t="s">
        <v>76</v>
      </c>
      <c r="C2066" t="s">
        <v>77</v>
      </c>
      <c r="D2066" t="s">
        <v>78</v>
      </c>
      <c r="E2066" t="s">
        <v>122</v>
      </c>
      <c r="F2066" t="s">
        <v>22</v>
      </c>
      <c r="G2066" t="s">
        <v>23</v>
      </c>
      <c r="H2066" s="1">
        <v>45300</v>
      </c>
      <c r="I2066" t="s">
        <v>47</v>
      </c>
      <c r="J2066" t="s">
        <v>1991</v>
      </c>
      <c r="K2066">
        <v>2</v>
      </c>
      <c r="N2066">
        <v>1201</v>
      </c>
      <c r="O2066">
        <v>20</v>
      </c>
      <c r="P2066" s="1">
        <v>45503</v>
      </c>
      <c r="Q2066" s="1"/>
      <c r="R2066" t="str">
        <f>IF(Table1[[#This Row],[Actual close date]]="","",Table1[[#This Row],[Actual close date]]-Table1[[#This Row],[Expected close date]])</f>
        <v/>
      </c>
    </row>
    <row r="2067" spans="1:18" x14ac:dyDescent="0.25">
      <c r="A2067" t="s">
        <v>2151</v>
      </c>
      <c r="B2067" t="s">
        <v>33</v>
      </c>
      <c r="C2067" t="s">
        <v>34</v>
      </c>
      <c r="D2067" t="s">
        <v>35</v>
      </c>
      <c r="E2067" t="s">
        <v>62</v>
      </c>
      <c r="F2067" t="s">
        <v>22</v>
      </c>
      <c r="G2067" t="s">
        <v>57</v>
      </c>
      <c r="H2067" s="1">
        <v>45334</v>
      </c>
      <c r="I2067" t="s">
        <v>24</v>
      </c>
      <c r="J2067" t="s">
        <v>1991</v>
      </c>
      <c r="K2067">
        <v>2</v>
      </c>
      <c r="N2067">
        <v>1687</v>
      </c>
      <c r="O2067">
        <v>90</v>
      </c>
      <c r="P2067" s="1">
        <v>45694</v>
      </c>
      <c r="Q2067" s="1"/>
      <c r="R2067" t="str">
        <f>IF(Table1[[#This Row],[Actual close date]]="","",Table1[[#This Row],[Actual close date]]-Table1[[#This Row],[Expected close date]])</f>
        <v/>
      </c>
    </row>
    <row r="2068" spans="1:18" x14ac:dyDescent="0.25">
      <c r="A2068" t="s">
        <v>2152</v>
      </c>
      <c r="B2068" t="s">
        <v>76</v>
      </c>
      <c r="C2068" t="s">
        <v>77</v>
      </c>
      <c r="D2068" t="s">
        <v>78</v>
      </c>
      <c r="E2068" t="s">
        <v>66</v>
      </c>
      <c r="F2068" t="s">
        <v>22</v>
      </c>
      <c r="G2068" t="s">
        <v>57</v>
      </c>
      <c r="H2068" s="1">
        <v>45440</v>
      </c>
      <c r="I2068" t="s">
        <v>64</v>
      </c>
      <c r="J2068" t="s">
        <v>1991</v>
      </c>
      <c r="K2068">
        <v>2</v>
      </c>
      <c r="N2068">
        <v>822</v>
      </c>
      <c r="O2068">
        <v>30</v>
      </c>
      <c r="P2068" s="1">
        <v>45777</v>
      </c>
      <c r="Q2068" s="1"/>
      <c r="R2068" t="str">
        <f>IF(Table1[[#This Row],[Actual close date]]="","",Table1[[#This Row],[Actual close date]]-Table1[[#This Row],[Expected close date]])</f>
        <v/>
      </c>
    </row>
    <row r="2069" spans="1:18" x14ac:dyDescent="0.25">
      <c r="A2069" t="s">
        <v>2153</v>
      </c>
      <c r="B2069" t="s">
        <v>27</v>
      </c>
      <c r="C2069" t="s">
        <v>28</v>
      </c>
      <c r="D2069" t="s">
        <v>29</v>
      </c>
      <c r="E2069" t="s">
        <v>30</v>
      </c>
      <c r="F2069" t="s">
        <v>22</v>
      </c>
      <c r="G2069" t="s">
        <v>85</v>
      </c>
      <c r="H2069" s="1">
        <v>45356</v>
      </c>
      <c r="I2069" t="s">
        <v>24</v>
      </c>
      <c r="J2069" t="s">
        <v>1991</v>
      </c>
      <c r="K2069">
        <v>2</v>
      </c>
      <c r="N2069">
        <v>1008</v>
      </c>
      <c r="O2069">
        <v>30</v>
      </c>
      <c r="P2069" s="1">
        <v>45661</v>
      </c>
      <c r="Q2069" s="1"/>
      <c r="R2069" t="str">
        <f>IF(Table1[[#This Row],[Actual close date]]="","",Table1[[#This Row],[Actual close date]]-Table1[[#This Row],[Expected close date]])</f>
        <v/>
      </c>
    </row>
    <row r="2070" spans="1:18" x14ac:dyDescent="0.25">
      <c r="A2070" t="s">
        <v>2154</v>
      </c>
      <c r="B2070" t="s">
        <v>76</v>
      </c>
      <c r="C2070" t="s">
        <v>77</v>
      </c>
      <c r="D2070" t="s">
        <v>78</v>
      </c>
      <c r="E2070" t="s">
        <v>118</v>
      </c>
      <c r="F2070" t="s">
        <v>22</v>
      </c>
      <c r="G2070" t="s">
        <v>46</v>
      </c>
      <c r="H2070" s="1">
        <v>45397</v>
      </c>
      <c r="I2070" t="s">
        <v>24</v>
      </c>
      <c r="J2070" t="s">
        <v>1991</v>
      </c>
      <c r="K2070">
        <v>2</v>
      </c>
      <c r="N2070">
        <v>1973</v>
      </c>
      <c r="O2070">
        <v>30</v>
      </c>
      <c r="P2070" s="1">
        <v>45617</v>
      </c>
      <c r="Q2070" s="1"/>
      <c r="R2070" t="str">
        <f>IF(Table1[[#This Row],[Actual close date]]="","",Table1[[#This Row],[Actual close date]]-Table1[[#This Row],[Expected close date]])</f>
        <v/>
      </c>
    </row>
    <row r="2071" spans="1:18" x14ac:dyDescent="0.25">
      <c r="A2071" t="s">
        <v>2155</v>
      </c>
      <c r="B2071" t="s">
        <v>59</v>
      </c>
      <c r="C2071" t="s">
        <v>60</v>
      </c>
      <c r="D2071" t="s">
        <v>61</v>
      </c>
      <c r="E2071" t="s">
        <v>30</v>
      </c>
      <c r="F2071" t="s">
        <v>22</v>
      </c>
      <c r="G2071" t="s">
        <v>31</v>
      </c>
      <c r="H2071" s="1">
        <v>45408</v>
      </c>
      <c r="I2071" t="s">
        <v>64</v>
      </c>
      <c r="J2071" t="s">
        <v>1991</v>
      </c>
      <c r="K2071">
        <v>2</v>
      </c>
      <c r="N2071">
        <v>1811</v>
      </c>
      <c r="O2071">
        <v>50</v>
      </c>
      <c r="P2071" s="1">
        <v>45741</v>
      </c>
      <c r="Q2071" s="1"/>
      <c r="R2071" t="str">
        <f>IF(Table1[[#This Row],[Actual close date]]="","",Table1[[#This Row],[Actual close date]]-Table1[[#This Row],[Expected close date]])</f>
        <v/>
      </c>
    </row>
    <row r="2072" spans="1:18" x14ac:dyDescent="0.25">
      <c r="A2072" t="s">
        <v>2156</v>
      </c>
      <c r="B2072" t="s">
        <v>76</v>
      </c>
      <c r="C2072" t="s">
        <v>77</v>
      </c>
      <c r="D2072" t="s">
        <v>78</v>
      </c>
      <c r="E2072" t="s">
        <v>74</v>
      </c>
      <c r="F2072" t="s">
        <v>22</v>
      </c>
      <c r="G2072" t="s">
        <v>31</v>
      </c>
      <c r="H2072" s="1">
        <v>45301</v>
      </c>
      <c r="I2072" t="s">
        <v>47</v>
      </c>
      <c r="J2072" t="s">
        <v>1991</v>
      </c>
      <c r="K2072">
        <v>2</v>
      </c>
      <c r="N2072">
        <v>934</v>
      </c>
      <c r="O2072">
        <v>40</v>
      </c>
      <c r="P2072" s="1">
        <v>45386</v>
      </c>
      <c r="Q2072" s="1"/>
      <c r="R2072" t="str">
        <f>IF(Table1[[#This Row],[Actual close date]]="","",Table1[[#This Row],[Actual close date]]-Table1[[#This Row],[Expected close date]])</f>
        <v/>
      </c>
    </row>
    <row r="2073" spans="1:18" x14ac:dyDescent="0.25">
      <c r="A2073" t="s">
        <v>2157</v>
      </c>
      <c r="B2073" t="s">
        <v>39</v>
      </c>
      <c r="C2073" t="s">
        <v>40</v>
      </c>
      <c r="D2073" t="s">
        <v>41</v>
      </c>
      <c r="E2073" t="s">
        <v>45</v>
      </c>
      <c r="F2073" t="s">
        <v>22</v>
      </c>
      <c r="G2073" t="s">
        <v>23</v>
      </c>
      <c r="H2073" s="1">
        <v>45436</v>
      </c>
      <c r="I2073" t="s">
        <v>47</v>
      </c>
      <c r="J2073" t="s">
        <v>1991</v>
      </c>
      <c r="K2073">
        <v>2</v>
      </c>
      <c r="N2073">
        <v>262</v>
      </c>
      <c r="O2073">
        <v>90</v>
      </c>
      <c r="P2073" s="1">
        <v>45559</v>
      </c>
      <c r="Q2073" s="1"/>
      <c r="R2073" t="str">
        <f>IF(Table1[[#This Row],[Actual close date]]="","",Table1[[#This Row],[Actual close date]]-Table1[[#This Row],[Expected close date]])</f>
        <v/>
      </c>
    </row>
    <row r="2074" spans="1:18" x14ac:dyDescent="0.25">
      <c r="A2074" t="s">
        <v>2158</v>
      </c>
      <c r="B2074" t="s">
        <v>39</v>
      </c>
      <c r="C2074" t="s">
        <v>40</v>
      </c>
      <c r="D2074" t="s">
        <v>41</v>
      </c>
      <c r="E2074" t="s">
        <v>52</v>
      </c>
      <c r="F2074" t="s">
        <v>22</v>
      </c>
      <c r="G2074" t="s">
        <v>72</v>
      </c>
      <c r="H2074" s="1">
        <v>45306</v>
      </c>
      <c r="I2074" t="s">
        <v>47</v>
      </c>
      <c r="J2074" t="s">
        <v>1991</v>
      </c>
      <c r="K2074">
        <v>2</v>
      </c>
      <c r="N2074">
        <v>879</v>
      </c>
      <c r="O2074">
        <v>90</v>
      </c>
      <c r="P2074" s="1">
        <v>45659</v>
      </c>
      <c r="Q2074" s="1"/>
      <c r="R2074" t="str">
        <f>IF(Table1[[#This Row],[Actual close date]]="","",Table1[[#This Row],[Actual close date]]-Table1[[#This Row],[Expected close date]])</f>
        <v/>
      </c>
    </row>
    <row r="2075" spans="1:18" x14ac:dyDescent="0.25">
      <c r="A2075" t="s">
        <v>2159</v>
      </c>
      <c r="B2075" t="s">
        <v>59</v>
      </c>
      <c r="C2075" t="s">
        <v>60</v>
      </c>
      <c r="D2075" t="s">
        <v>61</v>
      </c>
      <c r="E2075" t="s">
        <v>66</v>
      </c>
      <c r="F2075" t="s">
        <v>22</v>
      </c>
      <c r="G2075" t="s">
        <v>83</v>
      </c>
      <c r="H2075" s="1">
        <v>45402</v>
      </c>
      <c r="I2075" t="s">
        <v>24</v>
      </c>
      <c r="J2075" t="s">
        <v>1991</v>
      </c>
      <c r="K2075">
        <v>2</v>
      </c>
      <c r="N2075">
        <v>1305</v>
      </c>
      <c r="O2075">
        <v>50</v>
      </c>
      <c r="P2075" s="1">
        <v>45689</v>
      </c>
      <c r="Q2075" s="1"/>
      <c r="R2075" t="str">
        <f>IF(Table1[[#This Row],[Actual close date]]="","",Table1[[#This Row],[Actual close date]]-Table1[[#This Row],[Expected close date]])</f>
        <v/>
      </c>
    </row>
    <row r="2076" spans="1:18" x14ac:dyDescent="0.25">
      <c r="A2076" t="s">
        <v>2160</v>
      </c>
      <c r="B2076" t="s">
        <v>76</v>
      </c>
      <c r="C2076" t="s">
        <v>77</v>
      </c>
      <c r="D2076" t="s">
        <v>78</v>
      </c>
      <c r="E2076" t="s">
        <v>74</v>
      </c>
      <c r="F2076" t="s">
        <v>22</v>
      </c>
      <c r="G2076" t="s">
        <v>83</v>
      </c>
      <c r="H2076" s="1">
        <v>45432</v>
      </c>
      <c r="I2076" t="s">
        <v>64</v>
      </c>
      <c r="J2076" t="s">
        <v>1991</v>
      </c>
      <c r="K2076">
        <v>2</v>
      </c>
      <c r="N2076">
        <v>1704</v>
      </c>
      <c r="O2076">
        <v>100</v>
      </c>
      <c r="P2076" s="1">
        <v>45613</v>
      </c>
      <c r="Q2076" s="1"/>
      <c r="R2076" t="str">
        <f>IF(Table1[[#This Row],[Actual close date]]="","",Table1[[#This Row],[Actual close date]]-Table1[[#This Row],[Expected close date]])</f>
        <v/>
      </c>
    </row>
    <row r="2077" spans="1:18" x14ac:dyDescent="0.25">
      <c r="A2077" t="s">
        <v>2161</v>
      </c>
      <c r="B2077" t="s">
        <v>59</v>
      </c>
      <c r="C2077" t="s">
        <v>60</v>
      </c>
      <c r="D2077" t="s">
        <v>61</v>
      </c>
      <c r="E2077" t="s">
        <v>98</v>
      </c>
      <c r="F2077" t="s">
        <v>22</v>
      </c>
      <c r="G2077" t="s">
        <v>31</v>
      </c>
      <c r="H2077" s="1">
        <v>45418</v>
      </c>
      <c r="I2077" t="s">
        <v>24</v>
      </c>
      <c r="J2077" t="s">
        <v>1991</v>
      </c>
      <c r="K2077">
        <v>2</v>
      </c>
      <c r="N2077">
        <v>261</v>
      </c>
      <c r="O2077">
        <v>40</v>
      </c>
      <c r="P2077" s="1">
        <v>45477</v>
      </c>
      <c r="Q2077" s="1"/>
      <c r="R2077" t="str">
        <f>IF(Table1[[#This Row],[Actual close date]]="","",Table1[[#This Row],[Actual close date]]-Table1[[#This Row],[Expected close date]])</f>
        <v/>
      </c>
    </row>
    <row r="2078" spans="1:18" x14ac:dyDescent="0.25">
      <c r="A2078" t="s">
        <v>2162</v>
      </c>
      <c r="B2078" t="s">
        <v>18</v>
      </c>
      <c r="C2078" t="s">
        <v>19</v>
      </c>
      <c r="D2078" t="s">
        <v>20</v>
      </c>
      <c r="E2078" t="s">
        <v>42</v>
      </c>
      <c r="F2078" t="s">
        <v>22</v>
      </c>
      <c r="G2078" t="s">
        <v>46</v>
      </c>
      <c r="H2078" s="1">
        <v>45324</v>
      </c>
      <c r="I2078" t="s">
        <v>47</v>
      </c>
      <c r="J2078" t="s">
        <v>1991</v>
      </c>
      <c r="K2078">
        <v>2</v>
      </c>
      <c r="N2078">
        <v>1268</v>
      </c>
      <c r="O2078">
        <v>20</v>
      </c>
      <c r="P2078" s="1">
        <v>45547</v>
      </c>
      <c r="Q2078" s="1"/>
      <c r="R2078" t="str">
        <f>IF(Table1[[#This Row],[Actual close date]]="","",Table1[[#This Row],[Actual close date]]-Table1[[#This Row],[Expected close date]])</f>
        <v/>
      </c>
    </row>
    <row r="2079" spans="1:18" x14ac:dyDescent="0.25">
      <c r="A2079" t="s">
        <v>2163</v>
      </c>
      <c r="B2079" t="s">
        <v>49</v>
      </c>
      <c r="C2079" t="s">
        <v>50</v>
      </c>
      <c r="D2079" t="s">
        <v>51</v>
      </c>
      <c r="E2079" t="s">
        <v>52</v>
      </c>
      <c r="F2079" t="s">
        <v>125</v>
      </c>
      <c r="G2079" t="s">
        <v>37</v>
      </c>
      <c r="H2079" s="1">
        <v>45401</v>
      </c>
      <c r="I2079" t="s">
        <v>24</v>
      </c>
      <c r="J2079" t="s">
        <v>1991</v>
      </c>
      <c r="K2079">
        <v>2</v>
      </c>
      <c r="N2079">
        <v>327</v>
      </c>
      <c r="O2079">
        <v>40</v>
      </c>
      <c r="P2079" s="1">
        <v>45736</v>
      </c>
      <c r="Q2079" s="1"/>
      <c r="R2079" t="str">
        <f>IF(Table1[[#This Row],[Actual close date]]="","",Table1[[#This Row],[Actual close date]]-Table1[[#This Row],[Expected close date]])</f>
        <v/>
      </c>
    </row>
    <row r="2080" spans="1:18" x14ac:dyDescent="0.25">
      <c r="A2080" t="s">
        <v>2164</v>
      </c>
      <c r="B2080" t="s">
        <v>76</v>
      </c>
      <c r="C2080" t="s">
        <v>77</v>
      </c>
      <c r="D2080" t="s">
        <v>78</v>
      </c>
      <c r="E2080" t="s">
        <v>82</v>
      </c>
      <c r="F2080" t="s">
        <v>125</v>
      </c>
      <c r="G2080" t="s">
        <v>83</v>
      </c>
      <c r="H2080" s="1">
        <v>45361</v>
      </c>
      <c r="I2080" t="s">
        <v>47</v>
      </c>
      <c r="J2080" t="s">
        <v>1991</v>
      </c>
      <c r="K2080">
        <v>2</v>
      </c>
      <c r="N2080">
        <v>911</v>
      </c>
      <c r="O2080">
        <v>40</v>
      </c>
      <c r="P2080" s="1">
        <v>45687</v>
      </c>
      <c r="Q2080" s="1"/>
      <c r="R2080" t="str">
        <f>IF(Table1[[#This Row],[Actual close date]]="","",Table1[[#This Row],[Actual close date]]-Table1[[#This Row],[Expected close date]])</f>
        <v/>
      </c>
    </row>
    <row r="2081" spans="1:18" x14ac:dyDescent="0.25">
      <c r="A2081" t="s">
        <v>2165</v>
      </c>
      <c r="B2081" t="s">
        <v>59</v>
      </c>
      <c r="C2081" t="s">
        <v>60</v>
      </c>
      <c r="D2081" t="s">
        <v>61</v>
      </c>
      <c r="E2081" t="s">
        <v>45</v>
      </c>
      <c r="F2081" t="s">
        <v>125</v>
      </c>
      <c r="G2081" t="s">
        <v>46</v>
      </c>
      <c r="H2081" s="1">
        <v>45432</v>
      </c>
      <c r="I2081" t="s">
        <v>64</v>
      </c>
      <c r="J2081" t="s">
        <v>1991</v>
      </c>
      <c r="K2081">
        <v>2</v>
      </c>
      <c r="N2081">
        <v>632</v>
      </c>
      <c r="O2081">
        <v>60</v>
      </c>
      <c r="P2081" s="1">
        <v>45677</v>
      </c>
      <c r="Q2081" s="1"/>
      <c r="R2081" t="str">
        <f>IF(Table1[[#This Row],[Actual close date]]="","",Table1[[#This Row],[Actual close date]]-Table1[[#This Row],[Expected close date]])</f>
        <v/>
      </c>
    </row>
    <row r="2082" spans="1:18" x14ac:dyDescent="0.25">
      <c r="A2082" t="s">
        <v>2166</v>
      </c>
      <c r="B2082" t="s">
        <v>54</v>
      </c>
      <c r="C2082" t="s">
        <v>55</v>
      </c>
      <c r="D2082" t="s">
        <v>56</v>
      </c>
      <c r="E2082" t="s">
        <v>42</v>
      </c>
      <c r="F2082" t="s">
        <v>125</v>
      </c>
      <c r="G2082" t="s">
        <v>46</v>
      </c>
      <c r="H2082" s="1">
        <v>45307</v>
      </c>
      <c r="I2082" t="s">
        <v>24</v>
      </c>
      <c r="J2082" t="s">
        <v>1991</v>
      </c>
      <c r="K2082">
        <v>2</v>
      </c>
      <c r="N2082">
        <v>331</v>
      </c>
      <c r="O2082">
        <v>30</v>
      </c>
      <c r="P2082" s="1">
        <v>45399</v>
      </c>
      <c r="Q2082" s="1"/>
      <c r="R2082" t="str">
        <f>IF(Table1[[#This Row],[Actual close date]]="","",Table1[[#This Row],[Actual close date]]-Table1[[#This Row],[Expected close date]])</f>
        <v/>
      </c>
    </row>
    <row r="2083" spans="1:18" x14ac:dyDescent="0.25">
      <c r="A2083" t="s">
        <v>2167</v>
      </c>
      <c r="B2083" t="s">
        <v>54</v>
      </c>
      <c r="C2083" t="s">
        <v>55</v>
      </c>
      <c r="D2083" t="s">
        <v>56</v>
      </c>
      <c r="E2083" t="s">
        <v>21</v>
      </c>
      <c r="F2083" t="s">
        <v>125</v>
      </c>
      <c r="G2083" t="s">
        <v>31</v>
      </c>
      <c r="H2083" s="1">
        <v>45322</v>
      </c>
      <c r="I2083" t="s">
        <v>24</v>
      </c>
      <c r="J2083" t="s">
        <v>1991</v>
      </c>
      <c r="K2083">
        <v>2</v>
      </c>
      <c r="N2083">
        <v>1012</v>
      </c>
      <c r="O2083">
        <v>50</v>
      </c>
      <c r="P2083" s="1">
        <v>45549</v>
      </c>
      <c r="Q2083" s="1"/>
      <c r="R2083" t="str">
        <f>IF(Table1[[#This Row],[Actual close date]]="","",Table1[[#This Row],[Actual close date]]-Table1[[#This Row],[Expected close date]])</f>
        <v/>
      </c>
    </row>
    <row r="2084" spans="1:18" x14ac:dyDescent="0.25">
      <c r="A2084" t="s">
        <v>2168</v>
      </c>
      <c r="B2084" t="s">
        <v>54</v>
      </c>
      <c r="C2084" t="s">
        <v>55</v>
      </c>
      <c r="D2084" t="s">
        <v>56</v>
      </c>
      <c r="E2084" t="s">
        <v>62</v>
      </c>
      <c r="F2084" t="s">
        <v>125</v>
      </c>
      <c r="G2084" t="s">
        <v>57</v>
      </c>
      <c r="H2084" s="1">
        <v>45310</v>
      </c>
      <c r="I2084" t="s">
        <v>47</v>
      </c>
      <c r="J2084" t="s">
        <v>1991</v>
      </c>
      <c r="K2084">
        <v>2</v>
      </c>
      <c r="N2084">
        <v>600</v>
      </c>
      <c r="O2084">
        <v>30</v>
      </c>
      <c r="P2084" s="1">
        <v>45615</v>
      </c>
      <c r="Q2084" s="1"/>
      <c r="R2084" t="str">
        <f>IF(Table1[[#This Row],[Actual close date]]="","",Table1[[#This Row],[Actual close date]]-Table1[[#This Row],[Expected close date]])</f>
        <v/>
      </c>
    </row>
    <row r="2085" spans="1:18" x14ac:dyDescent="0.25">
      <c r="A2085" t="s">
        <v>2169</v>
      </c>
      <c r="B2085" t="s">
        <v>33</v>
      </c>
      <c r="C2085" t="s">
        <v>34</v>
      </c>
      <c r="D2085" t="s">
        <v>35</v>
      </c>
      <c r="E2085" t="s">
        <v>36</v>
      </c>
      <c r="F2085" t="s">
        <v>125</v>
      </c>
      <c r="G2085" t="s">
        <v>31</v>
      </c>
      <c r="H2085" s="1">
        <v>45404</v>
      </c>
      <c r="I2085" t="s">
        <v>24</v>
      </c>
      <c r="J2085" t="s">
        <v>1991</v>
      </c>
      <c r="K2085">
        <v>2</v>
      </c>
      <c r="N2085">
        <v>338</v>
      </c>
      <c r="O2085">
        <v>30</v>
      </c>
      <c r="P2085" s="1">
        <v>45696</v>
      </c>
      <c r="Q2085" s="1"/>
      <c r="R2085" t="str">
        <f>IF(Table1[[#This Row],[Actual close date]]="","",Table1[[#This Row],[Actual close date]]-Table1[[#This Row],[Expected close date]])</f>
        <v/>
      </c>
    </row>
    <row r="2086" spans="1:18" x14ac:dyDescent="0.25">
      <c r="A2086" t="s">
        <v>2170</v>
      </c>
      <c r="B2086" t="s">
        <v>33</v>
      </c>
      <c r="C2086" t="s">
        <v>34</v>
      </c>
      <c r="D2086" t="s">
        <v>35</v>
      </c>
      <c r="E2086" t="s">
        <v>62</v>
      </c>
      <c r="F2086" t="s">
        <v>125</v>
      </c>
      <c r="G2086" t="s">
        <v>37</v>
      </c>
      <c r="H2086" s="1">
        <v>45319</v>
      </c>
      <c r="I2086" t="s">
        <v>47</v>
      </c>
      <c r="J2086" t="s">
        <v>1991</v>
      </c>
      <c r="K2086">
        <v>2</v>
      </c>
      <c r="N2086">
        <v>410</v>
      </c>
      <c r="O2086">
        <v>30</v>
      </c>
      <c r="P2086" s="1">
        <v>45441</v>
      </c>
      <c r="Q2086" s="1"/>
      <c r="R2086" t="str">
        <f>IF(Table1[[#This Row],[Actual close date]]="","",Table1[[#This Row],[Actual close date]]-Table1[[#This Row],[Expected close date]])</f>
        <v/>
      </c>
    </row>
    <row r="2087" spans="1:18" x14ac:dyDescent="0.25">
      <c r="A2087" t="s">
        <v>2171</v>
      </c>
      <c r="B2087" t="s">
        <v>49</v>
      </c>
      <c r="C2087" t="s">
        <v>50</v>
      </c>
      <c r="D2087" t="s">
        <v>51</v>
      </c>
      <c r="E2087" t="s">
        <v>98</v>
      </c>
      <c r="F2087" t="s">
        <v>125</v>
      </c>
      <c r="G2087" t="s">
        <v>57</v>
      </c>
      <c r="H2087" s="1">
        <v>45406</v>
      </c>
      <c r="I2087" t="s">
        <v>64</v>
      </c>
      <c r="J2087" t="s">
        <v>1991</v>
      </c>
      <c r="K2087">
        <v>2</v>
      </c>
      <c r="N2087">
        <v>830</v>
      </c>
      <c r="O2087">
        <v>20</v>
      </c>
      <c r="P2087" s="1">
        <v>45538</v>
      </c>
      <c r="Q2087" s="1"/>
      <c r="R2087" t="str">
        <f>IF(Table1[[#This Row],[Actual close date]]="","",Table1[[#This Row],[Actual close date]]-Table1[[#This Row],[Expected close date]])</f>
        <v/>
      </c>
    </row>
    <row r="2088" spans="1:18" x14ac:dyDescent="0.25">
      <c r="A2088" t="s">
        <v>2172</v>
      </c>
      <c r="B2088" t="s">
        <v>59</v>
      </c>
      <c r="C2088" t="s">
        <v>60</v>
      </c>
      <c r="D2088" t="s">
        <v>61</v>
      </c>
      <c r="E2088" t="s">
        <v>42</v>
      </c>
      <c r="F2088" t="s">
        <v>125</v>
      </c>
      <c r="G2088" t="s">
        <v>57</v>
      </c>
      <c r="H2088" s="1">
        <v>45373</v>
      </c>
      <c r="I2088" t="s">
        <v>64</v>
      </c>
      <c r="J2088" t="s">
        <v>1991</v>
      </c>
      <c r="K2088">
        <v>2</v>
      </c>
      <c r="N2088">
        <v>417</v>
      </c>
      <c r="O2088">
        <v>40</v>
      </c>
      <c r="P2088" s="1">
        <v>45420</v>
      </c>
      <c r="Q2088" s="1"/>
      <c r="R2088" t="str">
        <f>IF(Table1[[#This Row],[Actual close date]]="","",Table1[[#This Row],[Actual close date]]-Table1[[#This Row],[Expected close date]])</f>
        <v/>
      </c>
    </row>
    <row r="2089" spans="1:18" x14ac:dyDescent="0.25">
      <c r="A2089" t="s">
        <v>2173</v>
      </c>
      <c r="B2089" t="s">
        <v>39</v>
      </c>
      <c r="C2089" t="s">
        <v>40</v>
      </c>
      <c r="D2089" t="s">
        <v>41</v>
      </c>
      <c r="E2089" t="s">
        <v>21</v>
      </c>
      <c r="F2089" t="s">
        <v>125</v>
      </c>
      <c r="G2089" t="s">
        <v>46</v>
      </c>
      <c r="H2089" s="1">
        <v>45293</v>
      </c>
      <c r="I2089" t="s">
        <v>64</v>
      </c>
      <c r="J2089" t="s">
        <v>1991</v>
      </c>
      <c r="K2089">
        <v>2</v>
      </c>
      <c r="N2089">
        <v>801</v>
      </c>
      <c r="O2089">
        <v>10</v>
      </c>
      <c r="P2089" s="1">
        <v>45622</v>
      </c>
      <c r="Q2089" s="1"/>
      <c r="R2089" t="str">
        <f>IF(Table1[[#This Row],[Actual close date]]="","",Table1[[#This Row],[Actual close date]]-Table1[[#This Row],[Expected close date]])</f>
        <v/>
      </c>
    </row>
    <row r="2090" spans="1:18" x14ac:dyDescent="0.25">
      <c r="A2090" t="s">
        <v>2174</v>
      </c>
      <c r="B2090" t="s">
        <v>33</v>
      </c>
      <c r="C2090" t="s">
        <v>34</v>
      </c>
      <c r="D2090" t="s">
        <v>35</v>
      </c>
      <c r="E2090" t="s">
        <v>45</v>
      </c>
      <c r="F2090" t="s">
        <v>125</v>
      </c>
      <c r="G2090" t="s">
        <v>85</v>
      </c>
      <c r="H2090" s="1">
        <v>45364</v>
      </c>
      <c r="I2090" t="s">
        <v>24</v>
      </c>
      <c r="J2090" t="s">
        <v>1991</v>
      </c>
      <c r="K2090">
        <v>2</v>
      </c>
      <c r="N2090">
        <v>632</v>
      </c>
      <c r="O2090">
        <v>60</v>
      </c>
      <c r="P2090" s="1">
        <v>45723</v>
      </c>
      <c r="Q2090" s="1"/>
      <c r="R2090" t="str">
        <f>IF(Table1[[#This Row],[Actual close date]]="","",Table1[[#This Row],[Actual close date]]-Table1[[#This Row],[Expected close date]])</f>
        <v/>
      </c>
    </row>
    <row r="2091" spans="1:18" x14ac:dyDescent="0.25">
      <c r="A2091" t="s">
        <v>2175</v>
      </c>
      <c r="B2091" t="s">
        <v>69</v>
      </c>
      <c r="C2091" t="s">
        <v>70</v>
      </c>
      <c r="D2091" t="s">
        <v>71</v>
      </c>
      <c r="E2091" t="s">
        <v>36</v>
      </c>
      <c r="F2091" t="s">
        <v>125</v>
      </c>
      <c r="G2091" t="s">
        <v>46</v>
      </c>
      <c r="H2091" s="1">
        <v>45361</v>
      </c>
      <c r="I2091" t="s">
        <v>24</v>
      </c>
      <c r="J2091" t="s">
        <v>1991</v>
      </c>
      <c r="K2091">
        <v>2</v>
      </c>
      <c r="N2091">
        <v>720</v>
      </c>
      <c r="O2091">
        <v>40</v>
      </c>
      <c r="P2091" s="1">
        <v>45399</v>
      </c>
      <c r="Q2091" s="1"/>
      <c r="R2091" t="str">
        <f>IF(Table1[[#This Row],[Actual close date]]="","",Table1[[#This Row],[Actual close date]]-Table1[[#This Row],[Expected close date]])</f>
        <v/>
      </c>
    </row>
    <row r="2092" spans="1:18" x14ac:dyDescent="0.25">
      <c r="A2092" t="s">
        <v>2176</v>
      </c>
      <c r="B2092" t="s">
        <v>69</v>
      </c>
      <c r="C2092" t="s">
        <v>70</v>
      </c>
      <c r="D2092" t="s">
        <v>71</v>
      </c>
      <c r="E2092" t="s">
        <v>122</v>
      </c>
      <c r="F2092" t="s">
        <v>125</v>
      </c>
      <c r="G2092" t="s">
        <v>46</v>
      </c>
      <c r="H2092" s="1">
        <v>45403</v>
      </c>
      <c r="I2092" t="s">
        <v>47</v>
      </c>
      <c r="J2092" t="s">
        <v>1991</v>
      </c>
      <c r="K2092">
        <v>2</v>
      </c>
      <c r="N2092">
        <v>815</v>
      </c>
      <c r="O2092">
        <v>20</v>
      </c>
      <c r="P2092" s="1">
        <v>45509</v>
      </c>
      <c r="Q2092" s="1"/>
      <c r="R2092" t="str">
        <f>IF(Table1[[#This Row],[Actual close date]]="","",Table1[[#This Row],[Actual close date]]-Table1[[#This Row],[Expected close date]])</f>
        <v/>
      </c>
    </row>
    <row r="2093" spans="1:18" x14ac:dyDescent="0.25">
      <c r="A2093" t="s">
        <v>2177</v>
      </c>
      <c r="B2093" t="s">
        <v>54</v>
      </c>
      <c r="C2093" t="s">
        <v>55</v>
      </c>
      <c r="D2093" t="s">
        <v>56</v>
      </c>
      <c r="E2093" t="s">
        <v>36</v>
      </c>
      <c r="F2093" t="s">
        <v>125</v>
      </c>
      <c r="G2093" t="s">
        <v>31</v>
      </c>
      <c r="H2093" s="1">
        <v>45309</v>
      </c>
      <c r="I2093" t="s">
        <v>64</v>
      </c>
      <c r="J2093" t="s">
        <v>1991</v>
      </c>
      <c r="K2093">
        <v>2</v>
      </c>
      <c r="N2093">
        <v>1026</v>
      </c>
      <c r="O2093">
        <v>10</v>
      </c>
      <c r="P2093" s="1">
        <v>45637</v>
      </c>
      <c r="Q2093" s="1"/>
      <c r="R2093" t="str">
        <f>IF(Table1[[#This Row],[Actual close date]]="","",Table1[[#This Row],[Actual close date]]-Table1[[#This Row],[Expected close date]])</f>
        <v/>
      </c>
    </row>
    <row r="2094" spans="1:18" x14ac:dyDescent="0.25">
      <c r="A2094" t="s">
        <v>2178</v>
      </c>
      <c r="B2094" t="s">
        <v>59</v>
      </c>
      <c r="C2094" t="s">
        <v>60</v>
      </c>
      <c r="D2094" t="s">
        <v>61</v>
      </c>
      <c r="E2094" t="s">
        <v>42</v>
      </c>
      <c r="F2094" t="s">
        <v>125</v>
      </c>
      <c r="G2094" t="s">
        <v>57</v>
      </c>
      <c r="H2094" s="1">
        <v>45352</v>
      </c>
      <c r="I2094" t="s">
        <v>47</v>
      </c>
      <c r="J2094" t="s">
        <v>1991</v>
      </c>
      <c r="K2094">
        <v>2</v>
      </c>
      <c r="N2094">
        <v>308</v>
      </c>
      <c r="O2094">
        <v>30</v>
      </c>
      <c r="P2094" s="1">
        <v>45490</v>
      </c>
      <c r="Q2094" s="1"/>
      <c r="R2094" t="str">
        <f>IF(Table1[[#This Row],[Actual close date]]="","",Table1[[#This Row],[Actual close date]]-Table1[[#This Row],[Expected close date]])</f>
        <v/>
      </c>
    </row>
    <row r="2095" spans="1:18" x14ac:dyDescent="0.25">
      <c r="A2095" t="s">
        <v>2179</v>
      </c>
      <c r="B2095" t="s">
        <v>49</v>
      </c>
      <c r="C2095" t="s">
        <v>50</v>
      </c>
      <c r="D2095" t="s">
        <v>51</v>
      </c>
      <c r="E2095" t="s">
        <v>52</v>
      </c>
      <c r="F2095" t="s">
        <v>125</v>
      </c>
      <c r="G2095" t="s">
        <v>72</v>
      </c>
      <c r="H2095" s="1">
        <v>45356</v>
      </c>
      <c r="I2095" t="s">
        <v>24</v>
      </c>
      <c r="J2095" t="s">
        <v>1991</v>
      </c>
      <c r="K2095">
        <v>2</v>
      </c>
      <c r="N2095">
        <v>1199</v>
      </c>
      <c r="O2095">
        <v>30</v>
      </c>
      <c r="P2095" s="1">
        <v>45526</v>
      </c>
      <c r="Q2095" s="1"/>
      <c r="R2095" t="str">
        <f>IF(Table1[[#This Row],[Actual close date]]="","",Table1[[#This Row],[Actual close date]]-Table1[[#This Row],[Expected close date]])</f>
        <v/>
      </c>
    </row>
    <row r="2096" spans="1:18" x14ac:dyDescent="0.25">
      <c r="A2096" t="s">
        <v>2180</v>
      </c>
      <c r="B2096" t="s">
        <v>59</v>
      </c>
      <c r="C2096" t="s">
        <v>60</v>
      </c>
      <c r="D2096" t="s">
        <v>61</v>
      </c>
      <c r="E2096" t="s">
        <v>42</v>
      </c>
      <c r="F2096" t="s">
        <v>125</v>
      </c>
      <c r="G2096" t="s">
        <v>57</v>
      </c>
      <c r="H2096" s="1">
        <v>45425</v>
      </c>
      <c r="I2096" t="s">
        <v>24</v>
      </c>
      <c r="J2096" t="s">
        <v>1991</v>
      </c>
      <c r="K2096">
        <v>2</v>
      </c>
      <c r="N2096">
        <v>984</v>
      </c>
      <c r="O2096">
        <v>90</v>
      </c>
      <c r="P2096" s="1">
        <v>45478</v>
      </c>
      <c r="Q2096" s="1"/>
      <c r="R2096" t="str">
        <f>IF(Table1[[#This Row],[Actual close date]]="","",Table1[[#This Row],[Actual close date]]-Table1[[#This Row],[Expected close date]])</f>
        <v/>
      </c>
    </row>
    <row r="2097" spans="1:18" x14ac:dyDescent="0.25">
      <c r="A2097" t="s">
        <v>2181</v>
      </c>
      <c r="B2097" t="s">
        <v>49</v>
      </c>
      <c r="C2097" t="s">
        <v>50</v>
      </c>
      <c r="D2097" t="s">
        <v>51</v>
      </c>
      <c r="E2097" t="s">
        <v>101</v>
      </c>
      <c r="F2097" t="s">
        <v>125</v>
      </c>
      <c r="G2097" t="s">
        <v>57</v>
      </c>
      <c r="H2097" s="1">
        <v>45318</v>
      </c>
      <c r="I2097" t="s">
        <v>24</v>
      </c>
      <c r="J2097" t="s">
        <v>1991</v>
      </c>
      <c r="K2097">
        <v>2</v>
      </c>
      <c r="N2097">
        <v>991</v>
      </c>
      <c r="O2097">
        <v>20</v>
      </c>
      <c r="P2097" s="1">
        <v>45529</v>
      </c>
      <c r="Q2097" s="1"/>
      <c r="R2097" t="str">
        <f>IF(Table1[[#This Row],[Actual close date]]="","",Table1[[#This Row],[Actual close date]]-Table1[[#This Row],[Expected close date]])</f>
        <v/>
      </c>
    </row>
    <row r="2098" spans="1:18" x14ac:dyDescent="0.25">
      <c r="A2098" t="s">
        <v>2182</v>
      </c>
      <c r="B2098" t="s">
        <v>33</v>
      </c>
      <c r="C2098" t="s">
        <v>34</v>
      </c>
      <c r="D2098" t="s">
        <v>35</v>
      </c>
      <c r="E2098" t="s">
        <v>45</v>
      </c>
      <c r="F2098" t="s">
        <v>125</v>
      </c>
      <c r="G2098" t="s">
        <v>37</v>
      </c>
      <c r="H2098" s="1">
        <v>45322</v>
      </c>
      <c r="I2098" t="s">
        <v>64</v>
      </c>
      <c r="J2098" t="s">
        <v>1991</v>
      </c>
      <c r="K2098">
        <v>2</v>
      </c>
      <c r="N2098">
        <v>1141</v>
      </c>
      <c r="O2098">
        <v>20</v>
      </c>
      <c r="P2098" s="1">
        <v>45418</v>
      </c>
      <c r="Q2098" s="1"/>
      <c r="R2098" t="str">
        <f>IF(Table1[[#This Row],[Actual close date]]="","",Table1[[#This Row],[Actual close date]]-Table1[[#This Row],[Expected close date]])</f>
        <v/>
      </c>
    </row>
    <row r="2099" spans="1:18" x14ac:dyDescent="0.25">
      <c r="A2099" t="s">
        <v>2183</v>
      </c>
      <c r="B2099" t="s">
        <v>69</v>
      </c>
      <c r="C2099" t="s">
        <v>70</v>
      </c>
      <c r="D2099" t="s">
        <v>71</v>
      </c>
      <c r="E2099" t="s">
        <v>45</v>
      </c>
      <c r="F2099" t="s">
        <v>125</v>
      </c>
      <c r="G2099" t="s">
        <v>72</v>
      </c>
      <c r="H2099" s="1">
        <v>45423</v>
      </c>
      <c r="I2099" t="s">
        <v>64</v>
      </c>
      <c r="J2099" t="s">
        <v>1991</v>
      </c>
      <c r="K2099">
        <v>2</v>
      </c>
      <c r="N2099">
        <v>1186</v>
      </c>
      <c r="O2099">
        <v>90</v>
      </c>
      <c r="P2099" s="1">
        <v>45700</v>
      </c>
      <c r="Q2099" s="1"/>
      <c r="R2099" t="str">
        <f>IF(Table1[[#This Row],[Actual close date]]="","",Table1[[#This Row],[Actual close date]]-Table1[[#This Row],[Expected close date]])</f>
        <v/>
      </c>
    </row>
    <row r="2100" spans="1:18" x14ac:dyDescent="0.25">
      <c r="A2100" t="s">
        <v>2184</v>
      </c>
      <c r="B2100" t="s">
        <v>69</v>
      </c>
      <c r="C2100" t="s">
        <v>70</v>
      </c>
      <c r="D2100" t="s">
        <v>71</v>
      </c>
      <c r="E2100" t="s">
        <v>52</v>
      </c>
      <c r="F2100" t="s">
        <v>125</v>
      </c>
      <c r="G2100" t="s">
        <v>37</v>
      </c>
      <c r="H2100" s="1">
        <v>45437</v>
      </c>
      <c r="I2100" t="s">
        <v>24</v>
      </c>
      <c r="J2100" t="s">
        <v>1991</v>
      </c>
      <c r="K2100">
        <v>2</v>
      </c>
      <c r="N2100">
        <v>1054</v>
      </c>
      <c r="O2100">
        <v>80</v>
      </c>
      <c r="P2100" s="1">
        <v>45738</v>
      </c>
      <c r="Q2100" s="1"/>
      <c r="R2100" t="str">
        <f>IF(Table1[[#This Row],[Actual close date]]="","",Table1[[#This Row],[Actual close date]]-Table1[[#This Row],[Expected close date]])</f>
        <v/>
      </c>
    </row>
    <row r="2101" spans="1:18" x14ac:dyDescent="0.25">
      <c r="A2101" t="s">
        <v>2185</v>
      </c>
      <c r="B2101" t="s">
        <v>39</v>
      </c>
      <c r="C2101" t="s">
        <v>40</v>
      </c>
      <c r="D2101" t="s">
        <v>41</v>
      </c>
      <c r="E2101" t="s">
        <v>66</v>
      </c>
      <c r="F2101" t="s">
        <v>125</v>
      </c>
      <c r="G2101" t="s">
        <v>23</v>
      </c>
      <c r="H2101" s="1">
        <v>45341</v>
      </c>
      <c r="I2101" t="s">
        <v>24</v>
      </c>
      <c r="J2101" t="s">
        <v>1991</v>
      </c>
      <c r="K2101">
        <v>2</v>
      </c>
      <c r="N2101">
        <v>816</v>
      </c>
      <c r="O2101">
        <v>40</v>
      </c>
      <c r="P2101" s="1">
        <v>45532</v>
      </c>
      <c r="Q2101" s="1"/>
      <c r="R2101" t="str">
        <f>IF(Table1[[#This Row],[Actual close date]]="","",Table1[[#This Row],[Actual close date]]-Table1[[#This Row],[Expected close date]])</f>
        <v/>
      </c>
    </row>
    <row r="2102" spans="1:18" x14ac:dyDescent="0.25">
      <c r="A2102" t="s">
        <v>2186</v>
      </c>
      <c r="B2102" t="s">
        <v>39</v>
      </c>
      <c r="C2102" t="s">
        <v>40</v>
      </c>
      <c r="D2102" t="s">
        <v>41</v>
      </c>
      <c r="E2102" t="s">
        <v>62</v>
      </c>
      <c r="F2102" t="s">
        <v>125</v>
      </c>
      <c r="G2102" t="s">
        <v>57</v>
      </c>
      <c r="H2102" s="1">
        <v>45339</v>
      </c>
      <c r="I2102" t="s">
        <v>64</v>
      </c>
      <c r="J2102" t="s">
        <v>1991</v>
      </c>
      <c r="K2102">
        <v>2</v>
      </c>
      <c r="N2102">
        <v>415</v>
      </c>
      <c r="O2102">
        <v>10</v>
      </c>
      <c r="P2102" s="1">
        <v>45543</v>
      </c>
      <c r="Q2102" s="1"/>
      <c r="R2102" t="str">
        <f>IF(Table1[[#This Row],[Actual close date]]="","",Table1[[#This Row],[Actual close date]]-Table1[[#This Row],[Expected close date]])</f>
        <v/>
      </c>
    </row>
    <row r="2103" spans="1:18" x14ac:dyDescent="0.25">
      <c r="A2103" t="s">
        <v>2187</v>
      </c>
      <c r="B2103" t="s">
        <v>54</v>
      </c>
      <c r="C2103" t="s">
        <v>55</v>
      </c>
      <c r="D2103" t="s">
        <v>56</v>
      </c>
      <c r="E2103" t="s">
        <v>21</v>
      </c>
      <c r="F2103" t="s">
        <v>125</v>
      </c>
      <c r="G2103" t="s">
        <v>37</v>
      </c>
      <c r="H2103" s="1">
        <v>45379</v>
      </c>
      <c r="I2103" t="s">
        <v>64</v>
      </c>
      <c r="J2103" t="s">
        <v>1991</v>
      </c>
      <c r="K2103">
        <v>2</v>
      </c>
      <c r="N2103">
        <v>349</v>
      </c>
      <c r="O2103">
        <v>60</v>
      </c>
      <c r="P2103" s="1">
        <v>45605</v>
      </c>
      <c r="Q2103" s="1"/>
      <c r="R2103" t="str">
        <f>IF(Table1[[#This Row],[Actual close date]]="","",Table1[[#This Row],[Actual close date]]-Table1[[#This Row],[Expected close date]])</f>
        <v/>
      </c>
    </row>
    <row r="2104" spans="1:18" x14ac:dyDescent="0.25">
      <c r="A2104" t="s">
        <v>2188</v>
      </c>
      <c r="B2104" t="s">
        <v>76</v>
      </c>
      <c r="C2104" t="s">
        <v>77</v>
      </c>
      <c r="D2104" t="s">
        <v>78</v>
      </c>
      <c r="E2104" t="s">
        <v>101</v>
      </c>
      <c r="F2104" t="s">
        <v>125</v>
      </c>
      <c r="G2104" t="s">
        <v>46</v>
      </c>
      <c r="H2104" s="1">
        <v>45423</v>
      </c>
      <c r="I2104" t="s">
        <v>47</v>
      </c>
      <c r="J2104" t="s">
        <v>1991</v>
      </c>
      <c r="K2104">
        <v>2</v>
      </c>
      <c r="N2104">
        <v>284</v>
      </c>
      <c r="O2104">
        <v>100</v>
      </c>
      <c r="P2104" s="1">
        <v>45601</v>
      </c>
      <c r="Q2104" s="1"/>
      <c r="R2104" t="str">
        <f>IF(Table1[[#This Row],[Actual close date]]="","",Table1[[#This Row],[Actual close date]]-Table1[[#This Row],[Expected close date]])</f>
        <v/>
      </c>
    </row>
    <row r="2105" spans="1:18" x14ac:dyDescent="0.25">
      <c r="A2105" t="s">
        <v>2189</v>
      </c>
      <c r="B2105" t="s">
        <v>59</v>
      </c>
      <c r="C2105" t="s">
        <v>60</v>
      </c>
      <c r="D2105" t="s">
        <v>61</v>
      </c>
      <c r="E2105" t="s">
        <v>74</v>
      </c>
      <c r="F2105" t="s">
        <v>125</v>
      </c>
      <c r="G2105" t="s">
        <v>23</v>
      </c>
      <c r="H2105" s="1">
        <v>45315</v>
      </c>
      <c r="I2105" t="s">
        <v>24</v>
      </c>
      <c r="J2105" t="s">
        <v>1991</v>
      </c>
      <c r="K2105">
        <v>2</v>
      </c>
      <c r="N2105">
        <v>540</v>
      </c>
      <c r="O2105">
        <v>60</v>
      </c>
      <c r="P2105" s="1">
        <v>45592</v>
      </c>
      <c r="Q2105" s="1"/>
      <c r="R2105" t="str">
        <f>IF(Table1[[#This Row],[Actual close date]]="","",Table1[[#This Row],[Actual close date]]-Table1[[#This Row],[Expected close date]])</f>
        <v/>
      </c>
    </row>
    <row r="2106" spans="1:18" x14ac:dyDescent="0.25">
      <c r="A2106" t="s">
        <v>2190</v>
      </c>
      <c r="B2106" t="s">
        <v>54</v>
      </c>
      <c r="C2106" t="s">
        <v>55</v>
      </c>
      <c r="D2106" t="s">
        <v>56</v>
      </c>
      <c r="E2106" t="s">
        <v>52</v>
      </c>
      <c r="F2106" t="s">
        <v>125</v>
      </c>
      <c r="G2106" t="s">
        <v>37</v>
      </c>
      <c r="H2106" s="1">
        <v>45426</v>
      </c>
      <c r="I2106" t="s">
        <v>64</v>
      </c>
      <c r="J2106" t="s">
        <v>1991</v>
      </c>
      <c r="K2106">
        <v>2</v>
      </c>
      <c r="N2106">
        <v>751</v>
      </c>
      <c r="O2106">
        <v>40</v>
      </c>
      <c r="P2106" s="1">
        <v>45659</v>
      </c>
      <c r="Q2106" s="1"/>
      <c r="R2106" t="str">
        <f>IF(Table1[[#This Row],[Actual close date]]="","",Table1[[#This Row],[Actual close date]]-Table1[[#This Row],[Expected close date]])</f>
        <v/>
      </c>
    </row>
    <row r="2107" spans="1:18" x14ac:dyDescent="0.25">
      <c r="A2107" t="s">
        <v>2191</v>
      </c>
      <c r="B2107" t="s">
        <v>39</v>
      </c>
      <c r="C2107" t="s">
        <v>40</v>
      </c>
      <c r="D2107" t="s">
        <v>41</v>
      </c>
      <c r="E2107" t="s">
        <v>42</v>
      </c>
      <c r="F2107" t="s">
        <v>125</v>
      </c>
      <c r="G2107" t="s">
        <v>83</v>
      </c>
      <c r="H2107" s="1">
        <v>45431</v>
      </c>
      <c r="I2107" t="s">
        <v>24</v>
      </c>
      <c r="J2107" t="s">
        <v>1991</v>
      </c>
      <c r="K2107">
        <v>2</v>
      </c>
      <c r="N2107">
        <v>316</v>
      </c>
      <c r="O2107">
        <v>50</v>
      </c>
      <c r="P2107" s="1">
        <v>45732</v>
      </c>
      <c r="Q2107" s="1"/>
      <c r="R2107" t="str">
        <f>IF(Table1[[#This Row],[Actual close date]]="","",Table1[[#This Row],[Actual close date]]-Table1[[#This Row],[Expected close date]])</f>
        <v/>
      </c>
    </row>
    <row r="2108" spans="1:18" x14ac:dyDescent="0.25">
      <c r="A2108" t="s">
        <v>2192</v>
      </c>
      <c r="B2108" t="s">
        <v>18</v>
      </c>
      <c r="C2108" t="s">
        <v>19</v>
      </c>
      <c r="D2108" t="s">
        <v>20</v>
      </c>
      <c r="E2108" t="s">
        <v>36</v>
      </c>
      <c r="F2108" t="s">
        <v>125</v>
      </c>
      <c r="G2108" t="s">
        <v>46</v>
      </c>
      <c r="H2108" s="1">
        <v>45342</v>
      </c>
      <c r="I2108" t="s">
        <v>24</v>
      </c>
      <c r="J2108" t="s">
        <v>1991</v>
      </c>
      <c r="K2108">
        <v>2</v>
      </c>
      <c r="N2108">
        <v>1185</v>
      </c>
      <c r="O2108">
        <v>20</v>
      </c>
      <c r="P2108" s="1">
        <v>45435</v>
      </c>
      <c r="Q2108" s="1"/>
      <c r="R2108" t="str">
        <f>IF(Table1[[#This Row],[Actual close date]]="","",Table1[[#This Row],[Actual close date]]-Table1[[#This Row],[Expected close date]])</f>
        <v/>
      </c>
    </row>
    <row r="2109" spans="1:18" x14ac:dyDescent="0.25">
      <c r="A2109" t="s">
        <v>2193</v>
      </c>
      <c r="B2109" t="s">
        <v>33</v>
      </c>
      <c r="C2109" t="s">
        <v>34</v>
      </c>
      <c r="D2109" t="s">
        <v>35</v>
      </c>
      <c r="E2109" t="s">
        <v>52</v>
      </c>
      <c r="F2109" t="s">
        <v>125</v>
      </c>
      <c r="G2109" t="s">
        <v>23</v>
      </c>
      <c r="H2109" s="1">
        <v>45392</v>
      </c>
      <c r="I2109" t="s">
        <v>24</v>
      </c>
      <c r="J2109" t="s">
        <v>1991</v>
      </c>
      <c r="K2109">
        <v>2</v>
      </c>
      <c r="N2109">
        <v>927</v>
      </c>
      <c r="O2109">
        <v>40</v>
      </c>
      <c r="P2109" s="1">
        <v>45560</v>
      </c>
      <c r="Q2109" s="1"/>
      <c r="R2109" t="str">
        <f>IF(Table1[[#This Row],[Actual close date]]="","",Table1[[#This Row],[Actual close date]]-Table1[[#This Row],[Expected close date]])</f>
        <v/>
      </c>
    </row>
    <row r="2110" spans="1:18" x14ac:dyDescent="0.25">
      <c r="A2110" t="s">
        <v>2194</v>
      </c>
      <c r="B2110" t="s">
        <v>54</v>
      </c>
      <c r="C2110" t="s">
        <v>55</v>
      </c>
      <c r="D2110" t="s">
        <v>56</v>
      </c>
      <c r="E2110" t="s">
        <v>52</v>
      </c>
      <c r="F2110" t="s">
        <v>125</v>
      </c>
      <c r="G2110" t="s">
        <v>31</v>
      </c>
      <c r="H2110" s="1">
        <v>45428</v>
      </c>
      <c r="I2110" t="s">
        <v>24</v>
      </c>
      <c r="J2110" t="s">
        <v>1991</v>
      </c>
      <c r="K2110">
        <v>2</v>
      </c>
      <c r="N2110">
        <v>1175</v>
      </c>
      <c r="O2110">
        <v>50</v>
      </c>
      <c r="P2110" s="1">
        <v>45726</v>
      </c>
      <c r="Q2110" s="1"/>
      <c r="R2110" t="str">
        <f>IF(Table1[[#This Row],[Actual close date]]="","",Table1[[#This Row],[Actual close date]]-Table1[[#This Row],[Expected close date]])</f>
        <v/>
      </c>
    </row>
    <row r="2111" spans="1:18" x14ac:dyDescent="0.25">
      <c r="A2111" t="s">
        <v>2195</v>
      </c>
      <c r="B2111" t="s">
        <v>54</v>
      </c>
      <c r="C2111" t="s">
        <v>55</v>
      </c>
      <c r="D2111" t="s">
        <v>56</v>
      </c>
      <c r="E2111" t="s">
        <v>36</v>
      </c>
      <c r="F2111" t="s">
        <v>125</v>
      </c>
      <c r="G2111" t="s">
        <v>57</v>
      </c>
      <c r="H2111" s="1">
        <v>45295</v>
      </c>
      <c r="I2111" t="s">
        <v>64</v>
      </c>
      <c r="J2111" t="s">
        <v>1991</v>
      </c>
      <c r="K2111">
        <v>2</v>
      </c>
      <c r="N2111">
        <v>309</v>
      </c>
      <c r="O2111">
        <v>60</v>
      </c>
      <c r="P2111" s="1">
        <v>45629</v>
      </c>
      <c r="Q2111" s="1"/>
      <c r="R2111" t="str">
        <f>IF(Table1[[#This Row],[Actual close date]]="","",Table1[[#This Row],[Actual close date]]-Table1[[#This Row],[Expected close date]])</f>
        <v/>
      </c>
    </row>
    <row r="2112" spans="1:18" x14ac:dyDescent="0.25">
      <c r="A2112" t="s">
        <v>2196</v>
      </c>
      <c r="B2112" t="s">
        <v>33</v>
      </c>
      <c r="C2112" t="s">
        <v>34</v>
      </c>
      <c r="D2112" t="s">
        <v>35</v>
      </c>
      <c r="E2112" t="s">
        <v>21</v>
      </c>
      <c r="F2112" t="s">
        <v>125</v>
      </c>
      <c r="G2112" t="s">
        <v>46</v>
      </c>
      <c r="H2112" s="1">
        <v>45406</v>
      </c>
      <c r="I2112" t="s">
        <v>24</v>
      </c>
      <c r="J2112" t="s">
        <v>1991</v>
      </c>
      <c r="K2112">
        <v>2</v>
      </c>
      <c r="N2112">
        <v>684</v>
      </c>
      <c r="O2112">
        <v>30</v>
      </c>
      <c r="P2112" s="1">
        <v>45694</v>
      </c>
      <c r="Q2112" s="1"/>
      <c r="R2112" t="str">
        <f>IF(Table1[[#This Row],[Actual close date]]="","",Table1[[#This Row],[Actual close date]]-Table1[[#This Row],[Expected close date]])</f>
        <v/>
      </c>
    </row>
    <row r="2113" spans="1:18" x14ac:dyDescent="0.25">
      <c r="A2113" t="s">
        <v>2197</v>
      </c>
      <c r="B2113" t="s">
        <v>54</v>
      </c>
      <c r="C2113" t="s">
        <v>55</v>
      </c>
      <c r="D2113" t="s">
        <v>56</v>
      </c>
      <c r="E2113" t="s">
        <v>118</v>
      </c>
      <c r="F2113" t="s">
        <v>125</v>
      </c>
      <c r="G2113" t="s">
        <v>85</v>
      </c>
      <c r="H2113" s="1">
        <v>45311</v>
      </c>
      <c r="I2113" t="s">
        <v>24</v>
      </c>
      <c r="J2113" t="s">
        <v>1991</v>
      </c>
      <c r="K2113">
        <v>2</v>
      </c>
      <c r="N2113">
        <v>221</v>
      </c>
      <c r="O2113">
        <v>20</v>
      </c>
      <c r="P2113" s="1">
        <v>45486</v>
      </c>
      <c r="Q2113" s="1"/>
      <c r="R2113" t="str">
        <f>IF(Table1[[#This Row],[Actual close date]]="","",Table1[[#This Row],[Actual close date]]-Table1[[#This Row],[Expected close date]])</f>
        <v/>
      </c>
    </row>
    <row r="2114" spans="1:18" x14ac:dyDescent="0.25">
      <c r="A2114" t="s">
        <v>2198</v>
      </c>
      <c r="B2114" t="s">
        <v>59</v>
      </c>
      <c r="C2114" t="s">
        <v>60</v>
      </c>
      <c r="D2114" t="s">
        <v>61</v>
      </c>
      <c r="E2114" t="s">
        <v>36</v>
      </c>
      <c r="F2114" t="s">
        <v>125</v>
      </c>
      <c r="G2114" t="s">
        <v>83</v>
      </c>
      <c r="H2114" s="1">
        <v>45402</v>
      </c>
      <c r="I2114" t="s">
        <v>64</v>
      </c>
      <c r="J2114" t="s">
        <v>1991</v>
      </c>
      <c r="K2114">
        <v>2</v>
      </c>
      <c r="N2114">
        <v>856</v>
      </c>
      <c r="O2114">
        <v>50</v>
      </c>
      <c r="P2114" s="1">
        <v>45694</v>
      </c>
      <c r="Q2114" s="1"/>
      <c r="R2114" t="str">
        <f>IF(Table1[[#This Row],[Actual close date]]="","",Table1[[#This Row],[Actual close date]]-Table1[[#This Row],[Expected close date]])</f>
        <v/>
      </c>
    </row>
    <row r="2115" spans="1:18" x14ac:dyDescent="0.25">
      <c r="A2115" t="s">
        <v>2199</v>
      </c>
      <c r="B2115" t="s">
        <v>39</v>
      </c>
      <c r="C2115" t="s">
        <v>40</v>
      </c>
      <c r="D2115" t="s">
        <v>41</v>
      </c>
      <c r="E2115" t="s">
        <v>21</v>
      </c>
      <c r="F2115" t="s">
        <v>125</v>
      </c>
      <c r="G2115" t="s">
        <v>31</v>
      </c>
      <c r="H2115" s="1">
        <v>45372</v>
      </c>
      <c r="I2115" t="s">
        <v>24</v>
      </c>
      <c r="J2115" t="s">
        <v>1991</v>
      </c>
      <c r="K2115">
        <v>2</v>
      </c>
      <c r="N2115">
        <v>366</v>
      </c>
      <c r="O2115">
        <v>30</v>
      </c>
      <c r="P2115" s="1">
        <v>45734</v>
      </c>
      <c r="Q2115" s="1"/>
      <c r="R2115" t="str">
        <f>IF(Table1[[#This Row],[Actual close date]]="","",Table1[[#This Row],[Actual close date]]-Table1[[#This Row],[Expected close date]])</f>
        <v/>
      </c>
    </row>
    <row r="2116" spans="1:18" x14ac:dyDescent="0.25">
      <c r="A2116" t="s">
        <v>2200</v>
      </c>
      <c r="B2116" t="s">
        <v>76</v>
      </c>
      <c r="C2116" t="s">
        <v>77</v>
      </c>
      <c r="D2116" t="s">
        <v>78</v>
      </c>
      <c r="E2116" t="s">
        <v>45</v>
      </c>
      <c r="F2116" t="s">
        <v>125</v>
      </c>
      <c r="G2116" t="s">
        <v>23</v>
      </c>
      <c r="H2116" s="1">
        <v>45365</v>
      </c>
      <c r="I2116" t="s">
        <v>24</v>
      </c>
      <c r="J2116" t="s">
        <v>1991</v>
      </c>
      <c r="K2116">
        <v>2</v>
      </c>
      <c r="N2116">
        <v>983</v>
      </c>
      <c r="O2116">
        <v>60</v>
      </c>
      <c r="P2116" s="1">
        <v>45728</v>
      </c>
      <c r="Q2116" s="1"/>
      <c r="R2116" t="str">
        <f>IF(Table1[[#This Row],[Actual close date]]="","",Table1[[#This Row],[Actual close date]]-Table1[[#This Row],[Expected close date]])</f>
        <v/>
      </c>
    </row>
    <row r="2117" spans="1:18" x14ac:dyDescent="0.25">
      <c r="A2117" t="s">
        <v>2201</v>
      </c>
      <c r="B2117" t="s">
        <v>76</v>
      </c>
      <c r="C2117" t="s">
        <v>77</v>
      </c>
      <c r="D2117" t="s">
        <v>78</v>
      </c>
      <c r="E2117" t="s">
        <v>74</v>
      </c>
      <c r="F2117" t="s">
        <v>125</v>
      </c>
      <c r="G2117" t="s">
        <v>57</v>
      </c>
      <c r="H2117" s="1">
        <v>45359</v>
      </c>
      <c r="I2117" t="s">
        <v>64</v>
      </c>
      <c r="J2117" t="s">
        <v>1991</v>
      </c>
      <c r="K2117">
        <v>2</v>
      </c>
      <c r="N2117">
        <v>1068</v>
      </c>
      <c r="O2117">
        <v>30</v>
      </c>
      <c r="P2117" s="1">
        <v>45416</v>
      </c>
      <c r="Q2117" s="1"/>
      <c r="R2117" t="str">
        <f>IF(Table1[[#This Row],[Actual close date]]="","",Table1[[#This Row],[Actual close date]]-Table1[[#This Row],[Expected close date]])</f>
        <v/>
      </c>
    </row>
    <row r="2118" spans="1:18" x14ac:dyDescent="0.25">
      <c r="A2118" t="s">
        <v>2202</v>
      </c>
      <c r="B2118" t="s">
        <v>76</v>
      </c>
      <c r="C2118" t="s">
        <v>77</v>
      </c>
      <c r="D2118" t="s">
        <v>78</v>
      </c>
      <c r="E2118" t="s">
        <v>101</v>
      </c>
      <c r="F2118" t="s">
        <v>125</v>
      </c>
      <c r="G2118" t="s">
        <v>83</v>
      </c>
      <c r="H2118" s="1">
        <v>45317</v>
      </c>
      <c r="I2118" t="s">
        <v>24</v>
      </c>
      <c r="J2118" t="s">
        <v>1991</v>
      </c>
      <c r="K2118">
        <v>2</v>
      </c>
      <c r="N2118">
        <v>322</v>
      </c>
      <c r="O2118">
        <v>40</v>
      </c>
      <c r="P2118" s="1">
        <v>45435</v>
      </c>
      <c r="Q2118" s="1"/>
      <c r="R2118" t="str">
        <f>IF(Table1[[#This Row],[Actual close date]]="","",Table1[[#This Row],[Actual close date]]-Table1[[#This Row],[Expected close date]])</f>
        <v/>
      </c>
    </row>
    <row r="2119" spans="1:18" x14ac:dyDescent="0.25">
      <c r="A2119" t="s">
        <v>2203</v>
      </c>
      <c r="B2119" t="s">
        <v>33</v>
      </c>
      <c r="C2119" t="s">
        <v>34</v>
      </c>
      <c r="D2119" t="s">
        <v>35</v>
      </c>
      <c r="E2119" t="s">
        <v>36</v>
      </c>
      <c r="F2119" t="s">
        <v>125</v>
      </c>
      <c r="G2119" t="s">
        <v>46</v>
      </c>
      <c r="H2119" s="1">
        <v>45328</v>
      </c>
      <c r="I2119" t="s">
        <v>47</v>
      </c>
      <c r="J2119" t="s">
        <v>1991</v>
      </c>
      <c r="K2119">
        <v>2</v>
      </c>
      <c r="N2119">
        <v>242</v>
      </c>
      <c r="O2119">
        <v>70</v>
      </c>
      <c r="P2119" s="1">
        <v>45475</v>
      </c>
      <c r="Q2119" s="1"/>
      <c r="R2119" t="str">
        <f>IF(Table1[[#This Row],[Actual close date]]="","",Table1[[#This Row],[Actual close date]]-Table1[[#This Row],[Expected close date]])</f>
        <v/>
      </c>
    </row>
    <row r="2120" spans="1:18" x14ac:dyDescent="0.25">
      <c r="A2120" t="s">
        <v>2204</v>
      </c>
      <c r="B2120" t="s">
        <v>39</v>
      </c>
      <c r="C2120" t="s">
        <v>40</v>
      </c>
      <c r="D2120" t="s">
        <v>41</v>
      </c>
      <c r="E2120" t="s">
        <v>98</v>
      </c>
      <c r="F2120" t="s">
        <v>125</v>
      </c>
      <c r="G2120" t="s">
        <v>46</v>
      </c>
      <c r="H2120" s="1">
        <v>45373</v>
      </c>
      <c r="I2120" t="s">
        <v>24</v>
      </c>
      <c r="J2120" t="s">
        <v>1991</v>
      </c>
      <c r="K2120">
        <v>2</v>
      </c>
      <c r="N2120">
        <v>752</v>
      </c>
      <c r="O2120">
        <v>60</v>
      </c>
      <c r="P2120" s="1">
        <v>45524</v>
      </c>
      <c r="Q2120" s="1"/>
      <c r="R2120" t="str">
        <f>IF(Table1[[#This Row],[Actual close date]]="","",Table1[[#This Row],[Actual close date]]-Table1[[#This Row],[Expected close date]])</f>
        <v/>
      </c>
    </row>
    <row r="2121" spans="1:18" x14ac:dyDescent="0.25">
      <c r="A2121" t="s">
        <v>2205</v>
      </c>
      <c r="B2121" t="s">
        <v>18</v>
      </c>
      <c r="C2121" t="s">
        <v>19</v>
      </c>
      <c r="D2121" t="s">
        <v>20</v>
      </c>
      <c r="E2121" t="s">
        <v>21</v>
      </c>
      <c r="F2121" t="s">
        <v>125</v>
      </c>
      <c r="G2121" t="s">
        <v>46</v>
      </c>
      <c r="H2121" s="1">
        <v>45411</v>
      </c>
      <c r="I2121" t="s">
        <v>24</v>
      </c>
      <c r="J2121" t="s">
        <v>1991</v>
      </c>
      <c r="K2121">
        <v>2</v>
      </c>
      <c r="N2121">
        <v>608</v>
      </c>
      <c r="O2121">
        <v>70</v>
      </c>
      <c r="P2121" s="1">
        <v>45651</v>
      </c>
      <c r="Q2121" s="1"/>
      <c r="R2121" t="str">
        <f>IF(Table1[[#This Row],[Actual close date]]="","",Table1[[#This Row],[Actual close date]]-Table1[[#This Row],[Expected close date]])</f>
        <v/>
      </c>
    </row>
    <row r="2122" spans="1:18" x14ac:dyDescent="0.25">
      <c r="A2122" t="s">
        <v>2206</v>
      </c>
      <c r="B2122" t="s">
        <v>33</v>
      </c>
      <c r="C2122" t="s">
        <v>34</v>
      </c>
      <c r="D2122" t="s">
        <v>35</v>
      </c>
      <c r="E2122" t="s">
        <v>52</v>
      </c>
      <c r="F2122" t="s">
        <v>125</v>
      </c>
      <c r="G2122" t="s">
        <v>46</v>
      </c>
      <c r="H2122" s="1">
        <v>45427</v>
      </c>
      <c r="I2122" t="s">
        <v>24</v>
      </c>
      <c r="J2122" t="s">
        <v>1991</v>
      </c>
      <c r="K2122">
        <v>2</v>
      </c>
      <c r="N2122">
        <v>571</v>
      </c>
      <c r="O2122">
        <v>40</v>
      </c>
      <c r="P2122" s="1">
        <v>45471</v>
      </c>
      <c r="Q2122" s="1"/>
      <c r="R2122" t="str">
        <f>IF(Table1[[#This Row],[Actual close date]]="","",Table1[[#This Row],[Actual close date]]-Table1[[#This Row],[Expected close date]])</f>
        <v/>
      </c>
    </row>
    <row r="2123" spans="1:18" x14ac:dyDescent="0.25">
      <c r="A2123" t="s">
        <v>2207</v>
      </c>
      <c r="B2123" t="s">
        <v>69</v>
      </c>
      <c r="C2123" t="s">
        <v>70</v>
      </c>
      <c r="D2123" t="s">
        <v>71</v>
      </c>
      <c r="E2123" t="s">
        <v>52</v>
      </c>
      <c r="F2123" t="s">
        <v>125</v>
      </c>
      <c r="G2123" t="s">
        <v>72</v>
      </c>
      <c r="H2123" s="1">
        <v>45349</v>
      </c>
      <c r="I2123" t="s">
        <v>64</v>
      </c>
      <c r="J2123" t="s">
        <v>1991</v>
      </c>
      <c r="K2123">
        <v>2</v>
      </c>
      <c r="N2123">
        <v>970</v>
      </c>
      <c r="O2123">
        <v>30</v>
      </c>
      <c r="P2123" s="1">
        <v>45506</v>
      </c>
      <c r="Q2123" s="1"/>
      <c r="R2123" t="str">
        <f>IF(Table1[[#This Row],[Actual close date]]="","",Table1[[#This Row],[Actual close date]]-Table1[[#This Row],[Expected close date]])</f>
        <v/>
      </c>
    </row>
    <row r="2124" spans="1:18" x14ac:dyDescent="0.25">
      <c r="A2124" t="s">
        <v>2208</v>
      </c>
      <c r="B2124" t="s">
        <v>27</v>
      </c>
      <c r="C2124" t="s">
        <v>28</v>
      </c>
      <c r="D2124" t="s">
        <v>29</v>
      </c>
      <c r="E2124" t="s">
        <v>45</v>
      </c>
      <c r="F2124" t="s">
        <v>125</v>
      </c>
      <c r="G2124" t="s">
        <v>31</v>
      </c>
      <c r="H2124" s="1">
        <v>45441</v>
      </c>
      <c r="I2124" t="s">
        <v>47</v>
      </c>
      <c r="J2124" t="s">
        <v>1991</v>
      </c>
      <c r="K2124">
        <v>2</v>
      </c>
      <c r="N2124">
        <v>351</v>
      </c>
      <c r="O2124">
        <v>80</v>
      </c>
      <c r="P2124" s="1">
        <v>45603</v>
      </c>
      <c r="Q2124" s="1"/>
      <c r="R2124" t="str">
        <f>IF(Table1[[#This Row],[Actual close date]]="","",Table1[[#This Row],[Actual close date]]-Table1[[#This Row],[Expected close date]])</f>
        <v/>
      </c>
    </row>
    <row r="2125" spans="1:18" x14ac:dyDescent="0.25">
      <c r="A2125" t="s">
        <v>2209</v>
      </c>
      <c r="B2125" t="s">
        <v>33</v>
      </c>
      <c r="C2125" t="s">
        <v>34</v>
      </c>
      <c r="D2125" t="s">
        <v>35</v>
      </c>
      <c r="E2125" t="s">
        <v>74</v>
      </c>
      <c r="F2125" t="s">
        <v>125</v>
      </c>
      <c r="G2125" t="s">
        <v>46</v>
      </c>
      <c r="H2125" s="1">
        <v>45332</v>
      </c>
      <c r="I2125" t="s">
        <v>47</v>
      </c>
      <c r="J2125" t="s">
        <v>1991</v>
      </c>
      <c r="K2125">
        <v>2</v>
      </c>
      <c r="N2125">
        <v>1029</v>
      </c>
      <c r="O2125">
        <v>40</v>
      </c>
      <c r="P2125" s="1">
        <v>45446</v>
      </c>
      <c r="Q2125" s="1"/>
      <c r="R2125" t="str">
        <f>IF(Table1[[#This Row],[Actual close date]]="","",Table1[[#This Row],[Actual close date]]-Table1[[#This Row],[Expected close date]])</f>
        <v/>
      </c>
    </row>
    <row r="2126" spans="1:18" x14ac:dyDescent="0.25">
      <c r="A2126" t="s">
        <v>2210</v>
      </c>
      <c r="B2126" t="s">
        <v>59</v>
      </c>
      <c r="C2126" t="s">
        <v>60</v>
      </c>
      <c r="D2126" t="s">
        <v>61</v>
      </c>
      <c r="E2126" t="s">
        <v>66</v>
      </c>
      <c r="F2126" t="s">
        <v>125</v>
      </c>
      <c r="G2126" t="s">
        <v>85</v>
      </c>
      <c r="H2126" s="1">
        <v>45382</v>
      </c>
      <c r="I2126" t="s">
        <v>47</v>
      </c>
      <c r="J2126" t="s">
        <v>1991</v>
      </c>
      <c r="K2126">
        <v>2</v>
      </c>
      <c r="N2126">
        <v>866</v>
      </c>
      <c r="O2126">
        <v>30</v>
      </c>
      <c r="P2126" s="1">
        <v>45643</v>
      </c>
      <c r="Q2126" s="1"/>
      <c r="R2126" t="str">
        <f>IF(Table1[[#This Row],[Actual close date]]="","",Table1[[#This Row],[Actual close date]]-Table1[[#This Row],[Expected close date]])</f>
        <v/>
      </c>
    </row>
    <row r="2127" spans="1:18" x14ac:dyDescent="0.25">
      <c r="A2127" t="s">
        <v>2211</v>
      </c>
      <c r="B2127" t="s">
        <v>69</v>
      </c>
      <c r="C2127" t="s">
        <v>70</v>
      </c>
      <c r="D2127" t="s">
        <v>71</v>
      </c>
      <c r="E2127" t="s">
        <v>74</v>
      </c>
      <c r="F2127" t="s">
        <v>125</v>
      </c>
      <c r="G2127" t="s">
        <v>57</v>
      </c>
      <c r="H2127" s="1">
        <v>45374</v>
      </c>
      <c r="I2127" t="s">
        <v>64</v>
      </c>
      <c r="J2127" t="s">
        <v>1991</v>
      </c>
      <c r="K2127">
        <v>2</v>
      </c>
      <c r="N2127">
        <v>478</v>
      </c>
      <c r="O2127">
        <v>30</v>
      </c>
      <c r="P2127" s="1">
        <v>45447</v>
      </c>
      <c r="Q2127" s="1"/>
      <c r="R2127" t="str">
        <f>IF(Table1[[#This Row],[Actual close date]]="","",Table1[[#This Row],[Actual close date]]-Table1[[#This Row],[Expected close date]])</f>
        <v/>
      </c>
    </row>
    <row r="2128" spans="1:18" x14ac:dyDescent="0.25">
      <c r="A2128" t="s">
        <v>2212</v>
      </c>
      <c r="B2128" t="s">
        <v>54</v>
      </c>
      <c r="C2128" t="s">
        <v>55</v>
      </c>
      <c r="D2128" t="s">
        <v>56</v>
      </c>
      <c r="E2128" t="s">
        <v>52</v>
      </c>
      <c r="F2128" t="s">
        <v>125</v>
      </c>
      <c r="G2128" t="s">
        <v>46</v>
      </c>
      <c r="H2128" s="1">
        <v>45379</v>
      </c>
      <c r="I2128" t="s">
        <v>24</v>
      </c>
      <c r="J2128" t="s">
        <v>1991</v>
      </c>
      <c r="K2128">
        <v>2</v>
      </c>
      <c r="N2128">
        <v>936</v>
      </c>
      <c r="O2128">
        <v>30</v>
      </c>
      <c r="P2128" s="1">
        <v>45487</v>
      </c>
      <c r="Q2128" s="1"/>
      <c r="R2128" t="str">
        <f>IF(Table1[[#This Row],[Actual close date]]="","",Table1[[#This Row],[Actual close date]]-Table1[[#This Row],[Expected close date]])</f>
        <v/>
      </c>
    </row>
    <row r="2129" spans="1:18" x14ac:dyDescent="0.25">
      <c r="A2129" t="s">
        <v>2213</v>
      </c>
      <c r="B2129" t="s">
        <v>39</v>
      </c>
      <c r="C2129" t="s">
        <v>40</v>
      </c>
      <c r="D2129" t="s">
        <v>41</v>
      </c>
      <c r="E2129" t="s">
        <v>101</v>
      </c>
      <c r="F2129" t="s">
        <v>125</v>
      </c>
      <c r="G2129" t="s">
        <v>46</v>
      </c>
      <c r="H2129" s="1">
        <v>45296</v>
      </c>
      <c r="I2129" t="s">
        <v>24</v>
      </c>
      <c r="J2129" t="s">
        <v>1991</v>
      </c>
      <c r="K2129">
        <v>2</v>
      </c>
      <c r="N2129">
        <v>280</v>
      </c>
      <c r="O2129">
        <v>80</v>
      </c>
      <c r="P2129" s="1">
        <v>45394</v>
      </c>
      <c r="Q2129" s="1"/>
      <c r="R2129" t="str">
        <f>IF(Table1[[#This Row],[Actual close date]]="","",Table1[[#This Row],[Actual close date]]-Table1[[#This Row],[Expected close date]])</f>
        <v/>
      </c>
    </row>
    <row r="2130" spans="1:18" x14ac:dyDescent="0.25">
      <c r="A2130" t="s">
        <v>2214</v>
      </c>
      <c r="B2130" t="s">
        <v>54</v>
      </c>
      <c r="C2130" t="s">
        <v>55</v>
      </c>
      <c r="D2130" t="s">
        <v>56</v>
      </c>
      <c r="E2130" t="s">
        <v>42</v>
      </c>
      <c r="F2130" t="s">
        <v>125</v>
      </c>
      <c r="G2130" t="s">
        <v>57</v>
      </c>
      <c r="H2130" s="1">
        <v>45318</v>
      </c>
      <c r="I2130" t="s">
        <v>24</v>
      </c>
      <c r="J2130" t="s">
        <v>1991</v>
      </c>
      <c r="K2130">
        <v>2</v>
      </c>
      <c r="N2130">
        <v>398</v>
      </c>
      <c r="O2130">
        <v>50</v>
      </c>
      <c r="P2130" s="1">
        <v>45618</v>
      </c>
      <c r="Q2130" s="1"/>
      <c r="R2130" t="str">
        <f>IF(Table1[[#This Row],[Actual close date]]="","",Table1[[#This Row],[Actual close date]]-Table1[[#This Row],[Expected close date]])</f>
        <v/>
      </c>
    </row>
    <row r="2131" spans="1:18" x14ac:dyDescent="0.25">
      <c r="A2131" t="s">
        <v>2215</v>
      </c>
      <c r="B2131" t="s">
        <v>39</v>
      </c>
      <c r="C2131" t="s">
        <v>40</v>
      </c>
      <c r="D2131" t="s">
        <v>41</v>
      </c>
      <c r="E2131" t="s">
        <v>101</v>
      </c>
      <c r="F2131" t="s">
        <v>125</v>
      </c>
      <c r="G2131" t="s">
        <v>23</v>
      </c>
      <c r="H2131" s="1">
        <v>45400</v>
      </c>
      <c r="I2131" t="s">
        <v>24</v>
      </c>
      <c r="J2131" t="s">
        <v>1991</v>
      </c>
      <c r="K2131">
        <v>2</v>
      </c>
      <c r="N2131">
        <v>931</v>
      </c>
      <c r="O2131">
        <v>70</v>
      </c>
      <c r="P2131" s="1">
        <v>45571</v>
      </c>
      <c r="Q2131" s="1"/>
      <c r="R2131" t="str">
        <f>IF(Table1[[#This Row],[Actual close date]]="","",Table1[[#This Row],[Actual close date]]-Table1[[#This Row],[Expected close date]])</f>
        <v/>
      </c>
    </row>
    <row r="2132" spans="1:18" x14ac:dyDescent="0.25">
      <c r="A2132" t="s">
        <v>2216</v>
      </c>
      <c r="B2132" t="s">
        <v>59</v>
      </c>
      <c r="C2132" t="s">
        <v>60</v>
      </c>
      <c r="D2132" t="s">
        <v>61</v>
      </c>
      <c r="E2132" t="s">
        <v>62</v>
      </c>
      <c r="F2132" t="s">
        <v>125</v>
      </c>
      <c r="G2132" t="s">
        <v>23</v>
      </c>
      <c r="H2132" s="1">
        <v>45344</v>
      </c>
      <c r="I2132" t="s">
        <v>24</v>
      </c>
      <c r="J2132" t="s">
        <v>1991</v>
      </c>
      <c r="K2132">
        <v>2</v>
      </c>
      <c r="N2132">
        <v>807</v>
      </c>
      <c r="O2132">
        <v>40</v>
      </c>
      <c r="P2132" s="1">
        <v>45657</v>
      </c>
      <c r="Q2132" s="1"/>
      <c r="R2132" t="str">
        <f>IF(Table1[[#This Row],[Actual close date]]="","",Table1[[#This Row],[Actual close date]]-Table1[[#This Row],[Expected close date]])</f>
        <v/>
      </c>
    </row>
    <row r="2133" spans="1:18" x14ac:dyDescent="0.25">
      <c r="A2133" t="s">
        <v>2217</v>
      </c>
      <c r="B2133" t="s">
        <v>39</v>
      </c>
      <c r="C2133" t="s">
        <v>40</v>
      </c>
      <c r="D2133" t="s">
        <v>41</v>
      </c>
      <c r="E2133" t="s">
        <v>122</v>
      </c>
      <c r="F2133" t="s">
        <v>125</v>
      </c>
      <c r="G2133" t="s">
        <v>57</v>
      </c>
      <c r="H2133" s="1">
        <v>45376</v>
      </c>
      <c r="I2133" t="s">
        <v>24</v>
      </c>
      <c r="J2133" t="s">
        <v>1991</v>
      </c>
      <c r="K2133">
        <v>2</v>
      </c>
      <c r="N2133">
        <v>262</v>
      </c>
      <c r="O2133">
        <v>20</v>
      </c>
      <c r="P2133" s="1">
        <v>45531</v>
      </c>
      <c r="Q2133" s="1"/>
      <c r="R2133" t="str">
        <f>IF(Table1[[#This Row],[Actual close date]]="","",Table1[[#This Row],[Actual close date]]-Table1[[#This Row],[Expected close date]])</f>
        <v/>
      </c>
    </row>
    <row r="2134" spans="1:18" x14ac:dyDescent="0.25">
      <c r="A2134" t="s">
        <v>2218</v>
      </c>
      <c r="B2134" t="s">
        <v>69</v>
      </c>
      <c r="C2134" t="s">
        <v>70</v>
      </c>
      <c r="D2134" t="s">
        <v>71</v>
      </c>
      <c r="E2134" t="s">
        <v>118</v>
      </c>
      <c r="F2134" t="s">
        <v>125</v>
      </c>
      <c r="G2134" t="s">
        <v>57</v>
      </c>
      <c r="H2134" s="1">
        <v>45293</v>
      </c>
      <c r="I2134" t="s">
        <v>64</v>
      </c>
      <c r="J2134" t="s">
        <v>1991</v>
      </c>
      <c r="K2134">
        <v>2</v>
      </c>
      <c r="N2134">
        <v>710</v>
      </c>
      <c r="O2134">
        <v>40</v>
      </c>
      <c r="P2134" s="1">
        <v>45595</v>
      </c>
      <c r="Q2134" s="1"/>
      <c r="R2134" t="str">
        <f>IF(Table1[[#This Row],[Actual close date]]="","",Table1[[#This Row],[Actual close date]]-Table1[[#This Row],[Expected close date]])</f>
        <v/>
      </c>
    </row>
    <row r="2135" spans="1:18" x14ac:dyDescent="0.25">
      <c r="A2135" t="s">
        <v>2219</v>
      </c>
      <c r="B2135" t="s">
        <v>76</v>
      </c>
      <c r="C2135" t="s">
        <v>77</v>
      </c>
      <c r="D2135" t="s">
        <v>78</v>
      </c>
      <c r="E2135" t="s">
        <v>98</v>
      </c>
      <c r="F2135" t="s">
        <v>125</v>
      </c>
      <c r="G2135" t="s">
        <v>57</v>
      </c>
      <c r="H2135" s="1">
        <v>45416</v>
      </c>
      <c r="I2135" t="s">
        <v>24</v>
      </c>
      <c r="J2135" t="s">
        <v>1991</v>
      </c>
      <c r="K2135">
        <v>2</v>
      </c>
      <c r="N2135">
        <v>853</v>
      </c>
      <c r="O2135">
        <v>60</v>
      </c>
      <c r="P2135" s="1">
        <v>45683</v>
      </c>
      <c r="Q2135" s="1"/>
      <c r="R2135" t="str">
        <f>IF(Table1[[#This Row],[Actual close date]]="","",Table1[[#This Row],[Actual close date]]-Table1[[#This Row],[Expected close date]])</f>
        <v/>
      </c>
    </row>
    <row r="2136" spans="1:18" x14ac:dyDescent="0.25">
      <c r="A2136" t="s">
        <v>2220</v>
      </c>
      <c r="B2136" t="s">
        <v>59</v>
      </c>
      <c r="C2136" t="s">
        <v>60</v>
      </c>
      <c r="D2136" t="s">
        <v>61</v>
      </c>
      <c r="E2136" t="s">
        <v>36</v>
      </c>
      <c r="F2136" t="s">
        <v>125</v>
      </c>
      <c r="G2136" t="s">
        <v>46</v>
      </c>
      <c r="H2136" s="1">
        <v>45353</v>
      </c>
      <c r="I2136" t="s">
        <v>24</v>
      </c>
      <c r="J2136" t="s">
        <v>1991</v>
      </c>
      <c r="K2136">
        <v>2</v>
      </c>
      <c r="N2136">
        <v>345</v>
      </c>
      <c r="O2136">
        <v>70</v>
      </c>
      <c r="P2136" s="1">
        <v>45403</v>
      </c>
      <c r="Q2136" s="1"/>
      <c r="R2136" t="str">
        <f>IF(Table1[[#This Row],[Actual close date]]="","",Table1[[#This Row],[Actual close date]]-Table1[[#This Row],[Expected close date]])</f>
        <v/>
      </c>
    </row>
    <row r="2137" spans="1:18" x14ac:dyDescent="0.25">
      <c r="A2137" t="s">
        <v>2221</v>
      </c>
      <c r="B2137" t="s">
        <v>39</v>
      </c>
      <c r="C2137" t="s">
        <v>40</v>
      </c>
      <c r="D2137" t="s">
        <v>41</v>
      </c>
      <c r="E2137" t="s">
        <v>30</v>
      </c>
      <c r="F2137" t="s">
        <v>125</v>
      </c>
      <c r="G2137" t="s">
        <v>83</v>
      </c>
      <c r="H2137" s="1">
        <v>45372</v>
      </c>
      <c r="I2137" t="s">
        <v>47</v>
      </c>
      <c r="J2137" t="s">
        <v>1991</v>
      </c>
      <c r="K2137">
        <v>2</v>
      </c>
      <c r="N2137">
        <v>263</v>
      </c>
      <c r="O2137">
        <v>20</v>
      </c>
      <c r="P2137" s="1">
        <v>45428</v>
      </c>
      <c r="Q2137" s="1"/>
      <c r="R2137" t="str">
        <f>IF(Table1[[#This Row],[Actual close date]]="","",Table1[[#This Row],[Actual close date]]-Table1[[#This Row],[Expected close date]])</f>
        <v/>
      </c>
    </row>
    <row r="2138" spans="1:18" x14ac:dyDescent="0.25">
      <c r="A2138" t="s">
        <v>2222</v>
      </c>
      <c r="B2138" t="s">
        <v>76</v>
      </c>
      <c r="C2138" t="s">
        <v>77</v>
      </c>
      <c r="D2138" t="s">
        <v>78</v>
      </c>
      <c r="E2138" t="s">
        <v>30</v>
      </c>
      <c r="F2138" t="s">
        <v>125</v>
      </c>
      <c r="G2138" t="s">
        <v>57</v>
      </c>
      <c r="H2138" s="1">
        <v>45390</v>
      </c>
      <c r="I2138" t="s">
        <v>24</v>
      </c>
      <c r="J2138" t="s">
        <v>1991</v>
      </c>
      <c r="K2138">
        <v>2</v>
      </c>
      <c r="N2138">
        <v>461</v>
      </c>
      <c r="O2138">
        <v>60</v>
      </c>
      <c r="P2138" s="1">
        <v>45517</v>
      </c>
      <c r="Q2138" s="1"/>
      <c r="R2138" t="str">
        <f>IF(Table1[[#This Row],[Actual close date]]="","",Table1[[#This Row],[Actual close date]]-Table1[[#This Row],[Expected close date]])</f>
        <v/>
      </c>
    </row>
    <row r="2139" spans="1:18" x14ac:dyDescent="0.25">
      <c r="A2139" t="s">
        <v>2223</v>
      </c>
      <c r="B2139" t="s">
        <v>76</v>
      </c>
      <c r="C2139" t="s">
        <v>77</v>
      </c>
      <c r="D2139" t="s">
        <v>78</v>
      </c>
      <c r="E2139" t="s">
        <v>122</v>
      </c>
      <c r="F2139" t="s">
        <v>125</v>
      </c>
      <c r="G2139" t="s">
        <v>46</v>
      </c>
      <c r="H2139" s="1">
        <v>45335</v>
      </c>
      <c r="I2139" t="s">
        <v>24</v>
      </c>
      <c r="J2139" t="s">
        <v>1991</v>
      </c>
      <c r="K2139">
        <v>2</v>
      </c>
      <c r="N2139">
        <v>1082</v>
      </c>
      <c r="O2139">
        <v>80</v>
      </c>
      <c r="P2139" s="1">
        <v>45659</v>
      </c>
      <c r="Q2139" s="1"/>
      <c r="R2139" t="str">
        <f>IF(Table1[[#This Row],[Actual close date]]="","",Table1[[#This Row],[Actual close date]]-Table1[[#This Row],[Expected close date]])</f>
        <v/>
      </c>
    </row>
    <row r="2140" spans="1:18" x14ac:dyDescent="0.25">
      <c r="A2140" t="s">
        <v>2224</v>
      </c>
      <c r="B2140" t="s">
        <v>54</v>
      </c>
      <c r="C2140" t="s">
        <v>55</v>
      </c>
      <c r="D2140" t="s">
        <v>56</v>
      </c>
      <c r="E2140" t="s">
        <v>42</v>
      </c>
      <c r="F2140" t="s">
        <v>125</v>
      </c>
      <c r="G2140" t="s">
        <v>23</v>
      </c>
      <c r="H2140" s="1">
        <v>45317</v>
      </c>
      <c r="I2140" t="s">
        <v>24</v>
      </c>
      <c r="J2140" t="s">
        <v>1991</v>
      </c>
      <c r="K2140">
        <v>2</v>
      </c>
      <c r="N2140">
        <v>1145</v>
      </c>
      <c r="O2140">
        <v>60</v>
      </c>
      <c r="P2140" s="1">
        <v>45631</v>
      </c>
      <c r="Q2140" s="1"/>
      <c r="R2140" t="str">
        <f>IF(Table1[[#This Row],[Actual close date]]="","",Table1[[#This Row],[Actual close date]]-Table1[[#This Row],[Expected close date]])</f>
        <v/>
      </c>
    </row>
    <row r="2141" spans="1:18" x14ac:dyDescent="0.25">
      <c r="A2141" t="s">
        <v>2225</v>
      </c>
      <c r="B2141" t="s">
        <v>69</v>
      </c>
      <c r="C2141" t="s">
        <v>70</v>
      </c>
      <c r="D2141" t="s">
        <v>71</v>
      </c>
      <c r="E2141" t="s">
        <v>36</v>
      </c>
      <c r="F2141" t="s">
        <v>125</v>
      </c>
      <c r="G2141" t="s">
        <v>31</v>
      </c>
      <c r="H2141" s="1">
        <v>45373</v>
      </c>
      <c r="I2141" t="s">
        <v>24</v>
      </c>
      <c r="J2141" t="s">
        <v>1991</v>
      </c>
      <c r="K2141">
        <v>2</v>
      </c>
      <c r="N2141">
        <v>300</v>
      </c>
      <c r="O2141">
        <v>20</v>
      </c>
      <c r="P2141" s="1">
        <v>45427</v>
      </c>
      <c r="Q2141" s="1"/>
      <c r="R2141" t="str">
        <f>IF(Table1[[#This Row],[Actual close date]]="","",Table1[[#This Row],[Actual close date]]-Table1[[#This Row],[Expected close date]])</f>
        <v/>
      </c>
    </row>
    <row r="2142" spans="1:18" x14ac:dyDescent="0.25">
      <c r="A2142" t="s">
        <v>2226</v>
      </c>
      <c r="B2142" t="s">
        <v>39</v>
      </c>
      <c r="C2142" t="s">
        <v>40</v>
      </c>
      <c r="D2142" t="s">
        <v>41</v>
      </c>
      <c r="E2142" t="s">
        <v>45</v>
      </c>
      <c r="F2142" t="s">
        <v>125</v>
      </c>
      <c r="G2142" t="s">
        <v>85</v>
      </c>
      <c r="H2142" s="1">
        <v>45392</v>
      </c>
      <c r="I2142" t="s">
        <v>64</v>
      </c>
      <c r="J2142" t="s">
        <v>1991</v>
      </c>
      <c r="K2142">
        <v>2</v>
      </c>
      <c r="N2142">
        <v>497</v>
      </c>
      <c r="O2142">
        <v>80</v>
      </c>
      <c r="P2142" s="1">
        <v>45694</v>
      </c>
      <c r="Q2142" s="1"/>
      <c r="R2142" t="str">
        <f>IF(Table1[[#This Row],[Actual close date]]="","",Table1[[#This Row],[Actual close date]]-Table1[[#This Row],[Expected close date]])</f>
        <v/>
      </c>
    </row>
    <row r="2143" spans="1:18" x14ac:dyDescent="0.25">
      <c r="A2143" t="s">
        <v>2227</v>
      </c>
      <c r="B2143" t="s">
        <v>76</v>
      </c>
      <c r="C2143" t="s">
        <v>77</v>
      </c>
      <c r="D2143" t="s">
        <v>78</v>
      </c>
      <c r="E2143" t="s">
        <v>45</v>
      </c>
      <c r="F2143" t="s">
        <v>125</v>
      </c>
      <c r="G2143" t="s">
        <v>31</v>
      </c>
      <c r="H2143" s="1">
        <v>45348</v>
      </c>
      <c r="I2143" t="s">
        <v>64</v>
      </c>
      <c r="J2143" t="s">
        <v>1991</v>
      </c>
      <c r="K2143">
        <v>2</v>
      </c>
      <c r="N2143">
        <v>423</v>
      </c>
      <c r="O2143">
        <v>10</v>
      </c>
      <c r="P2143" s="1">
        <v>45378</v>
      </c>
      <c r="Q2143" s="1"/>
      <c r="R2143" t="str">
        <f>IF(Table1[[#This Row],[Actual close date]]="","",Table1[[#This Row],[Actual close date]]-Table1[[#This Row],[Expected close date]])</f>
        <v/>
      </c>
    </row>
    <row r="2144" spans="1:18" x14ac:dyDescent="0.25">
      <c r="A2144" t="s">
        <v>2228</v>
      </c>
      <c r="B2144" t="s">
        <v>69</v>
      </c>
      <c r="C2144" t="s">
        <v>70</v>
      </c>
      <c r="D2144" t="s">
        <v>71</v>
      </c>
      <c r="E2144" t="s">
        <v>62</v>
      </c>
      <c r="F2144" t="s">
        <v>125</v>
      </c>
      <c r="G2144" t="s">
        <v>46</v>
      </c>
      <c r="H2144" s="1">
        <v>45410</v>
      </c>
      <c r="I2144" t="s">
        <v>24</v>
      </c>
      <c r="J2144" t="s">
        <v>1991</v>
      </c>
      <c r="K2144">
        <v>2</v>
      </c>
      <c r="N2144">
        <v>1077</v>
      </c>
      <c r="O2144">
        <v>20</v>
      </c>
      <c r="P2144" s="1">
        <v>45681</v>
      </c>
      <c r="Q2144" s="1"/>
      <c r="R2144" t="str">
        <f>IF(Table1[[#This Row],[Actual close date]]="","",Table1[[#This Row],[Actual close date]]-Table1[[#This Row],[Expected close date]])</f>
        <v/>
      </c>
    </row>
    <row r="2145" spans="1:18" x14ac:dyDescent="0.25">
      <c r="A2145" t="s">
        <v>2229</v>
      </c>
      <c r="B2145" t="s">
        <v>49</v>
      </c>
      <c r="C2145" t="s">
        <v>50</v>
      </c>
      <c r="D2145" t="s">
        <v>51</v>
      </c>
      <c r="E2145" t="s">
        <v>21</v>
      </c>
      <c r="F2145" t="s">
        <v>125</v>
      </c>
      <c r="G2145" t="s">
        <v>46</v>
      </c>
      <c r="H2145" s="1">
        <v>45433</v>
      </c>
      <c r="I2145" t="s">
        <v>64</v>
      </c>
      <c r="J2145" t="s">
        <v>1991</v>
      </c>
      <c r="K2145">
        <v>2</v>
      </c>
      <c r="N2145">
        <v>1156</v>
      </c>
      <c r="O2145">
        <v>70</v>
      </c>
      <c r="P2145" s="1">
        <v>45462</v>
      </c>
      <c r="Q2145" s="1"/>
      <c r="R2145" t="str">
        <f>IF(Table1[[#This Row],[Actual close date]]="","",Table1[[#This Row],[Actual close date]]-Table1[[#This Row],[Expected close date]])</f>
        <v/>
      </c>
    </row>
    <row r="2146" spans="1:18" x14ac:dyDescent="0.25">
      <c r="A2146" t="s">
        <v>2230</v>
      </c>
      <c r="B2146" t="s">
        <v>39</v>
      </c>
      <c r="C2146" t="s">
        <v>40</v>
      </c>
      <c r="D2146" t="s">
        <v>41</v>
      </c>
      <c r="E2146" t="s">
        <v>21</v>
      </c>
      <c r="F2146" t="s">
        <v>125</v>
      </c>
      <c r="G2146" t="s">
        <v>46</v>
      </c>
      <c r="H2146" s="1">
        <v>45422</v>
      </c>
      <c r="I2146" t="s">
        <v>24</v>
      </c>
      <c r="J2146" t="s">
        <v>1991</v>
      </c>
      <c r="K2146">
        <v>2</v>
      </c>
      <c r="N2146">
        <v>348</v>
      </c>
      <c r="O2146">
        <v>60</v>
      </c>
      <c r="P2146" s="1">
        <v>45751</v>
      </c>
      <c r="Q2146" s="1"/>
      <c r="R2146" t="str">
        <f>IF(Table1[[#This Row],[Actual close date]]="","",Table1[[#This Row],[Actual close date]]-Table1[[#This Row],[Expected close date]])</f>
        <v/>
      </c>
    </row>
    <row r="2147" spans="1:18" x14ac:dyDescent="0.25">
      <c r="A2147" t="s">
        <v>2231</v>
      </c>
      <c r="B2147" t="s">
        <v>59</v>
      </c>
      <c r="C2147" t="s">
        <v>60</v>
      </c>
      <c r="D2147" t="s">
        <v>61</v>
      </c>
      <c r="E2147" t="s">
        <v>98</v>
      </c>
      <c r="F2147" t="s">
        <v>125</v>
      </c>
      <c r="G2147" t="s">
        <v>37</v>
      </c>
      <c r="H2147" s="1">
        <v>45399</v>
      </c>
      <c r="I2147" t="s">
        <v>47</v>
      </c>
      <c r="J2147" t="s">
        <v>1991</v>
      </c>
      <c r="K2147">
        <v>2</v>
      </c>
      <c r="N2147">
        <v>933</v>
      </c>
      <c r="O2147">
        <v>70</v>
      </c>
      <c r="P2147" s="1">
        <v>45646</v>
      </c>
      <c r="Q2147" s="1"/>
      <c r="R2147" t="str">
        <f>IF(Table1[[#This Row],[Actual close date]]="","",Table1[[#This Row],[Actual close date]]-Table1[[#This Row],[Expected close date]])</f>
        <v/>
      </c>
    </row>
    <row r="2148" spans="1:18" x14ac:dyDescent="0.25">
      <c r="A2148" t="s">
        <v>2232</v>
      </c>
      <c r="B2148" t="s">
        <v>54</v>
      </c>
      <c r="C2148" t="s">
        <v>55</v>
      </c>
      <c r="D2148" t="s">
        <v>56</v>
      </c>
      <c r="E2148" t="s">
        <v>74</v>
      </c>
      <c r="F2148" t="s">
        <v>125</v>
      </c>
      <c r="G2148" t="s">
        <v>57</v>
      </c>
      <c r="H2148" s="1">
        <v>45319</v>
      </c>
      <c r="I2148" t="s">
        <v>24</v>
      </c>
      <c r="J2148" t="s">
        <v>1991</v>
      </c>
      <c r="K2148">
        <v>2</v>
      </c>
      <c r="N2148">
        <v>576</v>
      </c>
      <c r="O2148">
        <v>80</v>
      </c>
      <c r="P2148" s="1">
        <v>45643</v>
      </c>
      <c r="Q2148" s="1"/>
      <c r="R2148" t="str">
        <f>IF(Table1[[#This Row],[Actual close date]]="","",Table1[[#This Row],[Actual close date]]-Table1[[#This Row],[Expected close date]])</f>
        <v/>
      </c>
    </row>
    <row r="2149" spans="1:18" x14ac:dyDescent="0.25">
      <c r="A2149" t="s">
        <v>2233</v>
      </c>
      <c r="B2149" t="s">
        <v>76</v>
      </c>
      <c r="C2149" t="s">
        <v>77</v>
      </c>
      <c r="D2149" t="s">
        <v>78</v>
      </c>
      <c r="E2149" t="s">
        <v>62</v>
      </c>
      <c r="F2149" t="s">
        <v>125</v>
      </c>
      <c r="G2149" t="s">
        <v>85</v>
      </c>
      <c r="H2149" s="1">
        <v>45334</v>
      </c>
      <c r="I2149" t="s">
        <v>64</v>
      </c>
      <c r="J2149" t="s">
        <v>1991</v>
      </c>
      <c r="K2149">
        <v>2</v>
      </c>
      <c r="N2149">
        <v>617</v>
      </c>
      <c r="O2149">
        <v>40</v>
      </c>
      <c r="P2149" s="1">
        <v>45454</v>
      </c>
      <c r="Q2149" s="1"/>
      <c r="R2149" t="str">
        <f>IF(Table1[[#This Row],[Actual close date]]="","",Table1[[#This Row],[Actual close date]]-Table1[[#This Row],[Expected close date]])</f>
        <v/>
      </c>
    </row>
    <row r="2150" spans="1:18" x14ac:dyDescent="0.25">
      <c r="A2150" t="s">
        <v>2234</v>
      </c>
      <c r="B2150" t="s">
        <v>76</v>
      </c>
      <c r="C2150" t="s">
        <v>77</v>
      </c>
      <c r="D2150" t="s">
        <v>78</v>
      </c>
      <c r="E2150" t="s">
        <v>74</v>
      </c>
      <c r="F2150" t="s">
        <v>125</v>
      </c>
      <c r="G2150" t="s">
        <v>23</v>
      </c>
      <c r="H2150" s="1">
        <v>45395</v>
      </c>
      <c r="I2150" t="s">
        <v>64</v>
      </c>
      <c r="J2150" t="s">
        <v>1991</v>
      </c>
      <c r="K2150">
        <v>2</v>
      </c>
      <c r="N2150">
        <v>602</v>
      </c>
      <c r="O2150">
        <v>30</v>
      </c>
      <c r="P2150" s="1">
        <v>45720</v>
      </c>
      <c r="Q2150" s="1"/>
      <c r="R2150" t="str">
        <f>IF(Table1[[#This Row],[Actual close date]]="","",Table1[[#This Row],[Actual close date]]-Table1[[#This Row],[Expected close date]])</f>
        <v/>
      </c>
    </row>
    <row r="2151" spans="1:18" x14ac:dyDescent="0.25">
      <c r="A2151" t="s">
        <v>2235</v>
      </c>
      <c r="B2151" t="s">
        <v>59</v>
      </c>
      <c r="C2151" t="s">
        <v>60</v>
      </c>
      <c r="D2151" t="s">
        <v>61</v>
      </c>
      <c r="E2151" t="s">
        <v>45</v>
      </c>
      <c r="F2151" t="s">
        <v>125</v>
      </c>
      <c r="G2151" t="s">
        <v>72</v>
      </c>
      <c r="H2151" s="1">
        <v>45387</v>
      </c>
      <c r="I2151" t="s">
        <v>64</v>
      </c>
      <c r="J2151" t="s">
        <v>1991</v>
      </c>
      <c r="K2151">
        <v>2</v>
      </c>
      <c r="N2151">
        <v>708</v>
      </c>
      <c r="O2151">
        <v>50</v>
      </c>
      <c r="P2151" s="1">
        <v>45619</v>
      </c>
      <c r="Q2151" s="1"/>
      <c r="R2151" t="str">
        <f>IF(Table1[[#This Row],[Actual close date]]="","",Table1[[#This Row],[Actual close date]]-Table1[[#This Row],[Expected close date]])</f>
        <v/>
      </c>
    </row>
    <row r="2152" spans="1:18" x14ac:dyDescent="0.25">
      <c r="A2152" t="s">
        <v>2236</v>
      </c>
      <c r="B2152" t="s">
        <v>59</v>
      </c>
      <c r="C2152" t="s">
        <v>60</v>
      </c>
      <c r="D2152" t="s">
        <v>61</v>
      </c>
      <c r="E2152" t="s">
        <v>21</v>
      </c>
      <c r="F2152" t="s">
        <v>125</v>
      </c>
      <c r="G2152" t="s">
        <v>31</v>
      </c>
      <c r="H2152" s="1">
        <v>45381</v>
      </c>
      <c r="I2152" t="s">
        <v>47</v>
      </c>
      <c r="J2152" t="s">
        <v>1991</v>
      </c>
      <c r="K2152">
        <v>2</v>
      </c>
      <c r="N2152">
        <v>418</v>
      </c>
      <c r="O2152">
        <v>30</v>
      </c>
      <c r="P2152" s="1">
        <v>45423</v>
      </c>
      <c r="Q2152" s="1"/>
      <c r="R2152" t="str">
        <f>IF(Table1[[#This Row],[Actual close date]]="","",Table1[[#This Row],[Actual close date]]-Table1[[#This Row],[Expected close date]])</f>
        <v/>
      </c>
    </row>
    <row r="2153" spans="1:18" x14ac:dyDescent="0.25">
      <c r="A2153" t="s">
        <v>2237</v>
      </c>
      <c r="B2153" t="s">
        <v>76</v>
      </c>
      <c r="C2153" t="s">
        <v>77</v>
      </c>
      <c r="D2153" t="s">
        <v>78</v>
      </c>
      <c r="E2153" t="s">
        <v>62</v>
      </c>
      <c r="F2153" t="s">
        <v>125</v>
      </c>
      <c r="G2153" t="s">
        <v>46</v>
      </c>
      <c r="H2153" s="1">
        <v>45327</v>
      </c>
      <c r="I2153" t="s">
        <v>24</v>
      </c>
      <c r="J2153" t="s">
        <v>1991</v>
      </c>
      <c r="K2153">
        <v>2</v>
      </c>
      <c r="N2153">
        <v>269</v>
      </c>
      <c r="O2153">
        <v>70</v>
      </c>
      <c r="P2153" s="1">
        <v>45617</v>
      </c>
      <c r="Q2153" s="1"/>
      <c r="R2153" t="str">
        <f>IF(Table1[[#This Row],[Actual close date]]="","",Table1[[#This Row],[Actual close date]]-Table1[[#This Row],[Expected close date]])</f>
        <v/>
      </c>
    </row>
    <row r="2154" spans="1:18" x14ac:dyDescent="0.25">
      <c r="A2154" t="s">
        <v>2238</v>
      </c>
      <c r="B2154" t="s">
        <v>18</v>
      </c>
      <c r="C2154" t="s">
        <v>19</v>
      </c>
      <c r="D2154" t="s">
        <v>20</v>
      </c>
      <c r="E2154" t="s">
        <v>122</v>
      </c>
      <c r="F2154" t="s">
        <v>125</v>
      </c>
      <c r="G2154" t="s">
        <v>31</v>
      </c>
      <c r="H2154" s="1">
        <v>45347</v>
      </c>
      <c r="I2154" t="s">
        <v>24</v>
      </c>
      <c r="J2154" t="s">
        <v>1991</v>
      </c>
      <c r="K2154">
        <v>2</v>
      </c>
      <c r="N2154">
        <v>945</v>
      </c>
      <c r="O2154">
        <v>40</v>
      </c>
      <c r="P2154" s="1">
        <v>45490</v>
      </c>
      <c r="Q2154" s="1"/>
      <c r="R2154" t="str">
        <f>IF(Table1[[#This Row],[Actual close date]]="","",Table1[[#This Row],[Actual close date]]-Table1[[#This Row],[Expected close date]])</f>
        <v/>
      </c>
    </row>
    <row r="2155" spans="1:18" x14ac:dyDescent="0.25">
      <c r="A2155" t="s">
        <v>2239</v>
      </c>
      <c r="B2155" t="s">
        <v>76</v>
      </c>
      <c r="C2155" t="s">
        <v>77</v>
      </c>
      <c r="D2155" t="s">
        <v>78</v>
      </c>
      <c r="E2155" t="s">
        <v>45</v>
      </c>
      <c r="F2155" t="s">
        <v>125</v>
      </c>
      <c r="G2155" t="s">
        <v>57</v>
      </c>
      <c r="H2155" s="1">
        <v>45404</v>
      </c>
      <c r="I2155" t="s">
        <v>47</v>
      </c>
      <c r="J2155" t="s">
        <v>1991</v>
      </c>
      <c r="K2155">
        <v>2</v>
      </c>
      <c r="N2155">
        <v>432</v>
      </c>
      <c r="O2155">
        <v>40</v>
      </c>
      <c r="P2155" s="1">
        <v>45526</v>
      </c>
      <c r="Q2155" s="1"/>
      <c r="R2155" t="str">
        <f>IF(Table1[[#This Row],[Actual close date]]="","",Table1[[#This Row],[Actual close date]]-Table1[[#This Row],[Expected close date]])</f>
        <v/>
      </c>
    </row>
    <row r="2156" spans="1:18" x14ac:dyDescent="0.25">
      <c r="A2156" t="s">
        <v>2240</v>
      </c>
      <c r="B2156" t="s">
        <v>54</v>
      </c>
      <c r="C2156" t="s">
        <v>55</v>
      </c>
      <c r="D2156" t="s">
        <v>56</v>
      </c>
      <c r="E2156" t="s">
        <v>52</v>
      </c>
      <c r="F2156" t="s">
        <v>125</v>
      </c>
      <c r="G2156" t="s">
        <v>72</v>
      </c>
      <c r="H2156" s="1">
        <v>45365</v>
      </c>
      <c r="I2156" t="s">
        <v>24</v>
      </c>
      <c r="J2156" t="s">
        <v>1991</v>
      </c>
      <c r="K2156">
        <v>2</v>
      </c>
      <c r="N2156">
        <v>1096</v>
      </c>
      <c r="O2156">
        <v>40</v>
      </c>
      <c r="P2156" s="1">
        <v>45607</v>
      </c>
      <c r="Q2156" s="1"/>
      <c r="R2156" t="str">
        <f>IF(Table1[[#This Row],[Actual close date]]="","",Table1[[#This Row],[Actual close date]]-Table1[[#This Row],[Expected close date]])</f>
        <v/>
      </c>
    </row>
    <row r="2157" spans="1:18" x14ac:dyDescent="0.25">
      <c r="A2157" t="s">
        <v>2241</v>
      </c>
      <c r="B2157" t="s">
        <v>33</v>
      </c>
      <c r="C2157" t="s">
        <v>34</v>
      </c>
      <c r="D2157" t="s">
        <v>35</v>
      </c>
      <c r="E2157" t="s">
        <v>52</v>
      </c>
      <c r="F2157" t="s">
        <v>125</v>
      </c>
      <c r="G2157" t="s">
        <v>37</v>
      </c>
      <c r="H2157" s="1">
        <v>45310</v>
      </c>
      <c r="I2157" t="s">
        <v>24</v>
      </c>
      <c r="J2157" t="s">
        <v>1991</v>
      </c>
      <c r="K2157">
        <v>2</v>
      </c>
      <c r="N2157">
        <v>566</v>
      </c>
      <c r="O2157">
        <v>20</v>
      </c>
      <c r="P2157" s="1">
        <v>45645</v>
      </c>
      <c r="Q2157" s="1"/>
      <c r="R2157" t="str">
        <f>IF(Table1[[#This Row],[Actual close date]]="","",Table1[[#This Row],[Actual close date]]-Table1[[#This Row],[Expected close date]])</f>
        <v/>
      </c>
    </row>
    <row r="2158" spans="1:18" x14ac:dyDescent="0.25">
      <c r="A2158" t="s">
        <v>2242</v>
      </c>
      <c r="B2158" t="s">
        <v>54</v>
      </c>
      <c r="C2158" t="s">
        <v>55</v>
      </c>
      <c r="D2158" t="s">
        <v>56</v>
      </c>
      <c r="E2158" t="s">
        <v>45</v>
      </c>
      <c r="F2158" t="s">
        <v>125</v>
      </c>
      <c r="G2158" t="s">
        <v>37</v>
      </c>
      <c r="H2158" s="1">
        <v>45371</v>
      </c>
      <c r="I2158" t="s">
        <v>24</v>
      </c>
      <c r="J2158" t="s">
        <v>1991</v>
      </c>
      <c r="K2158">
        <v>2</v>
      </c>
      <c r="N2158">
        <v>1146</v>
      </c>
      <c r="O2158">
        <v>20</v>
      </c>
      <c r="P2158" s="1">
        <v>45520</v>
      </c>
      <c r="Q2158" s="1"/>
      <c r="R2158" t="str">
        <f>IF(Table1[[#This Row],[Actual close date]]="","",Table1[[#This Row],[Actual close date]]-Table1[[#This Row],[Expected close date]])</f>
        <v/>
      </c>
    </row>
    <row r="2159" spans="1:18" x14ac:dyDescent="0.25">
      <c r="A2159" t="s">
        <v>2243</v>
      </c>
      <c r="B2159" t="s">
        <v>33</v>
      </c>
      <c r="C2159" t="s">
        <v>34</v>
      </c>
      <c r="D2159" t="s">
        <v>35</v>
      </c>
      <c r="E2159" t="s">
        <v>62</v>
      </c>
      <c r="F2159" t="s">
        <v>125</v>
      </c>
      <c r="G2159" t="s">
        <v>85</v>
      </c>
      <c r="H2159" s="1">
        <v>45313</v>
      </c>
      <c r="I2159" t="s">
        <v>24</v>
      </c>
      <c r="J2159" t="s">
        <v>1991</v>
      </c>
      <c r="K2159">
        <v>2</v>
      </c>
      <c r="N2159">
        <v>1140</v>
      </c>
      <c r="O2159">
        <v>30</v>
      </c>
      <c r="P2159" s="1">
        <v>45444</v>
      </c>
      <c r="Q2159" s="1"/>
      <c r="R2159" t="str">
        <f>IF(Table1[[#This Row],[Actual close date]]="","",Table1[[#This Row],[Actual close date]]-Table1[[#This Row],[Expected close date]])</f>
        <v/>
      </c>
    </row>
    <row r="2160" spans="1:18" x14ac:dyDescent="0.25">
      <c r="A2160" t="s">
        <v>2244</v>
      </c>
      <c r="B2160" t="s">
        <v>39</v>
      </c>
      <c r="C2160" t="s">
        <v>40</v>
      </c>
      <c r="D2160" t="s">
        <v>41</v>
      </c>
      <c r="E2160" t="s">
        <v>45</v>
      </c>
      <c r="F2160" t="s">
        <v>125</v>
      </c>
      <c r="G2160" t="s">
        <v>57</v>
      </c>
      <c r="H2160" s="1">
        <v>45420</v>
      </c>
      <c r="I2160" t="s">
        <v>24</v>
      </c>
      <c r="J2160" t="s">
        <v>1991</v>
      </c>
      <c r="K2160">
        <v>2</v>
      </c>
      <c r="N2160">
        <v>632</v>
      </c>
      <c r="O2160">
        <v>40</v>
      </c>
      <c r="P2160" s="1">
        <v>45624</v>
      </c>
      <c r="Q2160" s="1"/>
      <c r="R2160" t="str">
        <f>IF(Table1[[#This Row],[Actual close date]]="","",Table1[[#This Row],[Actual close date]]-Table1[[#This Row],[Expected close date]])</f>
        <v/>
      </c>
    </row>
    <row r="2161" spans="1:18" x14ac:dyDescent="0.25">
      <c r="A2161" t="s">
        <v>2245</v>
      </c>
      <c r="B2161" t="s">
        <v>76</v>
      </c>
      <c r="C2161" t="s">
        <v>77</v>
      </c>
      <c r="D2161" t="s">
        <v>78</v>
      </c>
      <c r="E2161" t="s">
        <v>42</v>
      </c>
      <c r="F2161" t="s">
        <v>125</v>
      </c>
      <c r="G2161" t="s">
        <v>31</v>
      </c>
      <c r="H2161" s="1">
        <v>45314</v>
      </c>
      <c r="I2161" t="s">
        <v>47</v>
      </c>
      <c r="J2161" t="s">
        <v>1991</v>
      </c>
      <c r="K2161">
        <v>2</v>
      </c>
      <c r="N2161">
        <v>487</v>
      </c>
      <c r="O2161">
        <v>30</v>
      </c>
      <c r="P2161" s="1">
        <v>45448</v>
      </c>
      <c r="Q2161" s="1"/>
      <c r="R2161" t="str">
        <f>IF(Table1[[#This Row],[Actual close date]]="","",Table1[[#This Row],[Actual close date]]-Table1[[#This Row],[Expected close date]])</f>
        <v/>
      </c>
    </row>
    <row r="2162" spans="1:18" x14ac:dyDescent="0.25">
      <c r="A2162" t="s">
        <v>2246</v>
      </c>
      <c r="B2162" t="s">
        <v>27</v>
      </c>
      <c r="C2162" t="s">
        <v>28</v>
      </c>
      <c r="D2162" t="s">
        <v>29</v>
      </c>
      <c r="E2162" t="s">
        <v>30</v>
      </c>
      <c r="F2162" t="s">
        <v>125</v>
      </c>
      <c r="G2162" t="s">
        <v>72</v>
      </c>
      <c r="H2162" s="1">
        <v>45427</v>
      </c>
      <c r="I2162" t="s">
        <v>24</v>
      </c>
      <c r="J2162" t="s">
        <v>1991</v>
      </c>
      <c r="K2162">
        <v>2</v>
      </c>
      <c r="N2162">
        <v>469</v>
      </c>
      <c r="O2162">
        <v>70</v>
      </c>
      <c r="P2162" s="1">
        <v>45755</v>
      </c>
      <c r="Q2162" s="1"/>
      <c r="R2162" t="str">
        <f>IF(Table1[[#This Row],[Actual close date]]="","",Table1[[#This Row],[Actual close date]]-Table1[[#This Row],[Expected close date]])</f>
        <v/>
      </c>
    </row>
    <row r="2163" spans="1:18" x14ac:dyDescent="0.25">
      <c r="A2163" t="s">
        <v>2247</v>
      </c>
      <c r="B2163" t="s">
        <v>54</v>
      </c>
      <c r="C2163" t="s">
        <v>55</v>
      </c>
      <c r="D2163" t="s">
        <v>56</v>
      </c>
      <c r="E2163" t="s">
        <v>45</v>
      </c>
      <c r="F2163" t="s">
        <v>125</v>
      </c>
      <c r="G2163" t="s">
        <v>37</v>
      </c>
      <c r="H2163" s="1">
        <v>45323</v>
      </c>
      <c r="I2163" t="s">
        <v>24</v>
      </c>
      <c r="J2163" t="s">
        <v>1991</v>
      </c>
      <c r="K2163">
        <v>2</v>
      </c>
      <c r="N2163">
        <v>316</v>
      </c>
      <c r="O2163">
        <v>60</v>
      </c>
      <c r="P2163" s="1">
        <v>45625</v>
      </c>
      <c r="Q2163" s="1"/>
      <c r="R2163" t="str">
        <f>IF(Table1[[#This Row],[Actual close date]]="","",Table1[[#This Row],[Actual close date]]-Table1[[#This Row],[Expected close date]])</f>
        <v/>
      </c>
    </row>
    <row r="2164" spans="1:18" x14ac:dyDescent="0.25">
      <c r="A2164" t="s">
        <v>2248</v>
      </c>
      <c r="B2164" t="s">
        <v>33</v>
      </c>
      <c r="C2164" t="s">
        <v>34</v>
      </c>
      <c r="D2164" t="s">
        <v>35</v>
      </c>
      <c r="E2164" t="s">
        <v>52</v>
      </c>
      <c r="F2164" t="s">
        <v>125</v>
      </c>
      <c r="G2164" t="s">
        <v>37</v>
      </c>
      <c r="H2164" s="1">
        <v>45293</v>
      </c>
      <c r="I2164" t="s">
        <v>24</v>
      </c>
      <c r="J2164" t="s">
        <v>1991</v>
      </c>
      <c r="K2164">
        <v>2</v>
      </c>
      <c r="N2164">
        <v>1134</v>
      </c>
      <c r="O2164">
        <v>70</v>
      </c>
      <c r="P2164" s="1">
        <v>45603</v>
      </c>
      <c r="Q2164" s="1"/>
      <c r="R2164" t="str">
        <f>IF(Table1[[#This Row],[Actual close date]]="","",Table1[[#This Row],[Actual close date]]-Table1[[#This Row],[Expected close date]])</f>
        <v/>
      </c>
    </row>
    <row r="2165" spans="1:18" x14ac:dyDescent="0.25">
      <c r="A2165" t="s">
        <v>2249</v>
      </c>
      <c r="B2165" t="s">
        <v>18</v>
      </c>
      <c r="C2165" t="s">
        <v>19</v>
      </c>
      <c r="D2165" t="s">
        <v>20</v>
      </c>
      <c r="E2165" t="s">
        <v>101</v>
      </c>
      <c r="F2165" t="s">
        <v>125</v>
      </c>
      <c r="G2165" t="s">
        <v>57</v>
      </c>
      <c r="H2165" s="1">
        <v>45314</v>
      </c>
      <c r="I2165" t="s">
        <v>24</v>
      </c>
      <c r="J2165" t="s">
        <v>1991</v>
      </c>
      <c r="K2165">
        <v>2</v>
      </c>
      <c r="N2165">
        <v>1183</v>
      </c>
      <c r="O2165">
        <v>40</v>
      </c>
      <c r="P2165" s="1">
        <v>45462</v>
      </c>
      <c r="Q2165" s="1"/>
      <c r="R2165" t="str">
        <f>IF(Table1[[#This Row],[Actual close date]]="","",Table1[[#This Row],[Actual close date]]-Table1[[#This Row],[Expected close date]])</f>
        <v/>
      </c>
    </row>
    <row r="2166" spans="1:18" x14ac:dyDescent="0.25">
      <c r="A2166" t="s">
        <v>2250</v>
      </c>
      <c r="B2166" t="s">
        <v>33</v>
      </c>
      <c r="C2166" t="s">
        <v>34</v>
      </c>
      <c r="D2166" t="s">
        <v>35</v>
      </c>
      <c r="E2166" t="s">
        <v>122</v>
      </c>
      <c r="F2166" t="s">
        <v>125</v>
      </c>
      <c r="G2166" t="s">
        <v>31</v>
      </c>
      <c r="H2166" s="1">
        <v>45295</v>
      </c>
      <c r="I2166" t="s">
        <v>24</v>
      </c>
      <c r="J2166" t="s">
        <v>1991</v>
      </c>
      <c r="K2166">
        <v>2</v>
      </c>
      <c r="N2166">
        <v>521</v>
      </c>
      <c r="O2166">
        <v>80</v>
      </c>
      <c r="P2166" s="1">
        <v>45412</v>
      </c>
      <c r="Q2166" s="1"/>
      <c r="R2166" t="str">
        <f>IF(Table1[[#This Row],[Actual close date]]="","",Table1[[#This Row],[Actual close date]]-Table1[[#This Row],[Expected close date]])</f>
        <v/>
      </c>
    </row>
    <row r="2167" spans="1:18" x14ac:dyDescent="0.25">
      <c r="A2167" t="s">
        <v>2251</v>
      </c>
      <c r="B2167" t="s">
        <v>39</v>
      </c>
      <c r="C2167" t="s">
        <v>40</v>
      </c>
      <c r="D2167" t="s">
        <v>41</v>
      </c>
      <c r="E2167" t="s">
        <v>62</v>
      </c>
      <c r="F2167" t="s">
        <v>125</v>
      </c>
      <c r="G2167" t="s">
        <v>72</v>
      </c>
      <c r="H2167" s="1">
        <v>45317</v>
      </c>
      <c r="I2167" t="s">
        <v>47</v>
      </c>
      <c r="J2167" t="s">
        <v>1991</v>
      </c>
      <c r="K2167">
        <v>2</v>
      </c>
      <c r="N2167">
        <v>510</v>
      </c>
      <c r="O2167">
        <v>40</v>
      </c>
      <c r="P2167" s="1">
        <v>45460</v>
      </c>
      <c r="Q2167" s="1"/>
      <c r="R2167" t="str">
        <f>IF(Table1[[#This Row],[Actual close date]]="","",Table1[[#This Row],[Actual close date]]-Table1[[#This Row],[Expected close date]])</f>
        <v/>
      </c>
    </row>
    <row r="2168" spans="1:18" x14ac:dyDescent="0.25">
      <c r="A2168" t="s">
        <v>2252</v>
      </c>
      <c r="B2168" t="s">
        <v>33</v>
      </c>
      <c r="C2168" t="s">
        <v>34</v>
      </c>
      <c r="D2168" t="s">
        <v>35</v>
      </c>
      <c r="E2168" t="s">
        <v>45</v>
      </c>
      <c r="F2168" t="s">
        <v>125</v>
      </c>
      <c r="G2168" t="s">
        <v>83</v>
      </c>
      <c r="H2168" s="1">
        <v>45365</v>
      </c>
      <c r="I2168" t="s">
        <v>64</v>
      </c>
      <c r="J2168" t="s">
        <v>1991</v>
      </c>
      <c r="K2168">
        <v>2</v>
      </c>
      <c r="N2168">
        <v>219</v>
      </c>
      <c r="O2168">
        <v>70</v>
      </c>
      <c r="P2168" s="1">
        <v>45536</v>
      </c>
      <c r="Q2168" s="1"/>
      <c r="R2168" t="str">
        <f>IF(Table1[[#This Row],[Actual close date]]="","",Table1[[#This Row],[Actual close date]]-Table1[[#This Row],[Expected close date]])</f>
        <v/>
      </c>
    </row>
    <row r="2169" spans="1:18" x14ac:dyDescent="0.25">
      <c r="A2169" t="s">
        <v>2253</v>
      </c>
      <c r="B2169" t="s">
        <v>54</v>
      </c>
      <c r="C2169" t="s">
        <v>55</v>
      </c>
      <c r="D2169" t="s">
        <v>56</v>
      </c>
      <c r="E2169" t="s">
        <v>118</v>
      </c>
      <c r="F2169" t="s">
        <v>125</v>
      </c>
      <c r="G2169" t="s">
        <v>31</v>
      </c>
      <c r="H2169" s="1">
        <v>45418</v>
      </c>
      <c r="I2169" t="s">
        <v>24</v>
      </c>
      <c r="J2169" t="s">
        <v>1991</v>
      </c>
      <c r="K2169">
        <v>2</v>
      </c>
      <c r="N2169">
        <v>1163</v>
      </c>
      <c r="O2169">
        <v>10</v>
      </c>
      <c r="P2169" s="1">
        <v>45675</v>
      </c>
      <c r="Q2169" s="1"/>
      <c r="R2169" t="str">
        <f>IF(Table1[[#This Row],[Actual close date]]="","",Table1[[#This Row],[Actual close date]]-Table1[[#This Row],[Expected close date]])</f>
        <v/>
      </c>
    </row>
    <row r="2170" spans="1:18" x14ac:dyDescent="0.25">
      <c r="A2170" t="s">
        <v>2254</v>
      </c>
      <c r="B2170" t="s">
        <v>49</v>
      </c>
      <c r="C2170" t="s">
        <v>50</v>
      </c>
      <c r="D2170" t="s">
        <v>51</v>
      </c>
      <c r="E2170" t="s">
        <v>118</v>
      </c>
      <c r="F2170" t="s">
        <v>125</v>
      </c>
      <c r="G2170" t="s">
        <v>46</v>
      </c>
      <c r="H2170" s="1">
        <v>45401</v>
      </c>
      <c r="I2170" t="s">
        <v>24</v>
      </c>
      <c r="J2170" t="s">
        <v>1991</v>
      </c>
      <c r="K2170">
        <v>2</v>
      </c>
      <c r="N2170">
        <v>578</v>
      </c>
      <c r="O2170">
        <v>80</v>
      </c>
      <c r="P2170" s="1">
        <v>45626</v>
      </c>
      <c r="Q2170" s="1"/>
      <c r="R2170" t="str">
        <f>IF(Table1[[#This Row],[Actual close date]]="","",Table1[[#This Row],[Actual close date]]-Table1[[#This Row],[Expected close date]])</f>
        <v/>
      </c>
    </row>
    <row r="2171" spans="1:18" x14ac:dyDescent="0.25">
      <c r="A2171" t="s">
        <v>2255</v>
      </c>
      <c r="B2171" t="s">
        <v>39</v>
      </c>
      <c r="C2171" t="s">
        <v>40</v>
      </c>
      <c r="D2171" t="s">
        <v>41</v>
      </c>
      <c r="E2171" t="s">
        <v>30</v>
      </c>
      <c r="F2171" t="s">
        <v>125</v>
      </c>
      <c r="G2171" t="s">
        <v>57</v>
      </c>
      <c r="H2171" s="1">
        <v>45404</v>
      </c>
      <c r="I2171" t="s">
        <v>24</v>
      </c>
      <c r="J2171" t="s">
        <v>1991</v>
      </c>
      <c r="K2171">
        <v>2</v>
      </c>
      <c r="N2171">
        <v>701</v>
      </c>
      <c r="O2171">
        <v>30</v>
      </c>
      <c r="P2171" s="1">
        <v>45692</v>
      </c>
      <c r="Q2171" s="1"/>
      <c r="R2171" t="str">
        <f>IF(Table1[[#This Row],[Actual close date]]="","",Table1[[#This Row],[Actual close date]]-Table1[[#This Row],[Expected close date]])</f>
        <v/>
      </c>
    </row>
    <row r="2172" spans="1:18" x14ac:dyDescent="0.25">
      <c r="A2172" t="s">
        <v>2256</v>
      </c>
      <c r="B2172" t="s">
        <v>54</v>
      </c>
      <c r="C2172" t="s">
        <v>55</v>
      </c>
      <c r="D2172" t="s">
        <v>56</v>
      </c>
      <c r="E2172" t="s">
        <v>74</v>
      </c>
      <c r="F2172" t="s">
        <v>125</v>
      </c>
      <c r="G2172" t="s">
        <v>37</v>
      </c>
      <c r="H2172" s="1">
        <v>45403</v>
      </c>
      <c r="I2172" t="s">
        <v>24</v>
      </c>
      <c r="J2172" t="s">
        <v>1991</v>
      </c>
      <c r="K2172">
        <v>2</v>
      </c>
      <c r="N2172">
        <v>779</v>
      </c>
      <c r="O2172">
        <v>100</v>
      </c>
      <c r="P2172" s="1">
        <v>45500</v>
      </c>
      <c r="Q2172" s="1"/>
      <c r="R2172" t="str">
        <f>IF(Table1[[#This Row],[Actual close date]]="","",Table1[[#This Row],[Actual close date]]-Table1[[#This Row],[Expected close date]])</f>
        <v/>
      </c>
    </row>
    <row r="2173" spans="1:18" x14ac:dyDescent="0.25">
      <c r="A2173" t="s">
        <v>2257</v>
      </c>
      <c r="B2173" t="s">
        <v>33</v>
      </c>
      <c r="C2173" t="s">
        <v>34</v>
      </c>
      <c r="D2173" t="s">
        <v>35</v>
      </c>
      <c r="E2173" t="s">
        <v>45</v>
      </c>
      <c r="F2173" t="s">
        <v>125</v>
      </c>
      <c r="G2173" t="s">
        <v>37</v>
      </c>
      <c r="H2173" s="1">
        <v>45414</v>
      </c>
      <c r="I2173" t="s">
        <v>24</v>
      </c>
      <c r="J2173" t="s">
        <v>1991</v>
      </c>
      <c r="K2173">
        <v>2</v>
      </c>
      <c r="N2173">
        <v>1083</v>
      </c>
      <c r="O2173">
        <v>40</v>
      </c>
      <c r="P2173" s="1">
        <v>45501</v>
      </c>
      <c r="Q2173" s="1"/>
      <c r="R2173" t="str">
        <f>IF(Table1[[#This Row],[Actual close date]]="","",Table1[[#This Row],[Actual close date]]-Table1[[#This Row],[Expected close date]])</f>
        <v/>
      </c>
    </row>
    <row r="2174" spans="1:18" x14ac:dyDescent="0.25">
      <c r="A2174" t="s">
        <v>2258</v>
      </c>
      <c r="B2174" t="s">
        <v>54</v>
      </c>
      <c r="C2174" t="s">
        <v>55</v>
      </c>
      <c r="D2174" t="s">
        <v>56</v>
      </c>
      <c r="E2174" t="s">
        <v>45</v>
      </c>
      <c r="F2174" t="s">
        <v>125</v>
      </c>
      <c r="G2174" t="s">
        <v>46</v>
      </c>
      <c r="H2174" s="1">
        <v>45418</v>
      </c>
      <c r="I2174" t="s">
        <v>47</v>
      </c>
      <c r="J2174" t="s">
        <v>1991</v>
      </c>
      <c r="K2174">
        <v>2</v>
      </c>
      <c r="N2174">
        <v>414</v>
      </c>
      <c r="O2174">
        <v>60</v>
      </c>
      <c r="P2174" s="1">
        <v>45754</v>
      </c>
      <c r="Q2174" s="1"/>
      <c r="R2174" t="str">
        <f>IF(Table1[[#This Row],[Actual close date]]="","",Table1[[#This Row],[Actual close date]]-Table1[[#This Row],[Expected close date]])</f>
        <v/>
      </c>
    </row>
    <row r="2175" spans="1:18" x14ac:dyDescent="0.25">
      <c r="A2175" t="s">
        <v>2259</v>
      </c>
      <c r="B2175" t="s">
        <v>59</v>
      </c>
      <c r="C2175" t="s">
        <v>60</v>
      </c>
      <c r="D2175" t="s">
        <v>61</v>
      </c>
      <c r="E2175" t="s">
        <v>45</v>
      </c>
      <c r="F2175" t="s">
        <v>125</v>
      </c>
      <c r="G2175" t="s">
        <v>31</v>
      </c>
      <c r="H2175" s="1">
        <v>45323</v>
      </c>
      <c r="I2175" t="s">
        <v>24</v>
      </c>
      <c r="J2175" t="s">
        <v>1991</v>
      </c>
      <c r="K2175">
        <v>2</v>
      </c>
      <c r="N2175">
        <v>472</v>
      </c>
      <c r="O2175">
        <v>20</v>
      </c>
      <c r="P2175" s="1">
        <v>45464</v>
      </c>
      <c r="Q2175" s="1"/>
      <c r="R2175" t="str">
        <f>IF(Table1[[#This Row],[Actual close date]]="","",Table1[[#This Row],[Actual close date]]-Table1[[#This Row],[Expected close date]])</f>
        <v/>
      </c>
    </row>
    <row r="2176" spans="1:18" x14ac:dyDescent="0.25">
      <c r="A2176" t="s">
        <v>2260</v>
      </c>
      <c r="B2176" t="s">
        <v>39</v>
      </c>
      <c r="C2176" t="s">
        <v>40</v>
      </c>
      <c r="D2176" t="s">
        <v>41</v>
      </c>
      <c r="E2176" t="s">
        <v>74</v>
      </c>
      <c r="F2176" t="s">
        <v>125</v>
      </c>
      <c r="G2176" t="s">
        <v>46</v>
      </c>
      <c r="H2176" s="1">
        <v>45426</v>
      </c>
      <c r="I2176" t="s">
        <v>24</v>
      </c>
      <c r="J2176" t="s">
        <v>1991</v>
      </c>
      <c r="K2176">
        <v>2</v>
      </c>
      <c r="N2176">
        <v>212</v>
      </c>
      <c r="O2176">
        <v>100</v>
      </c>
      <c r="P2176" s="1">
        <v>45738</v>
      </c>
      <c r="Q2176" s="1"/>
      <c r="R2176" t="str">
        <f>IF(Table1[[#This Row],[Actual close date]]="","",Table1[[#This Row],[Actual close date]]-Table1[[#This Row],[Expected close date]])</f>
        <v/>
      </c>
    </row>
    <row r="2177" spans="1:18" x14ac:dyDescent="0.25">
      <c r="A2177" t="s">
        <v>2261</v>
      </c>
      <c r="B2177" t="s">
        <v>39</v>
      </c>
      <c r="C2177" t="s">
        <v>40</v>
      </c>
      <c r="D2177" t="s">
        <v>41</v>
      </c>
      <c r="E2177" t="s">
        <v>74</v>
      </c>
      <c r="F2177" t="s">
        <v>125</v>
      </c>
      <c r="G2177" t="s">
        <v>46</v>
      </c>
      <c r="H2177" s="1">
        <v>45316</v>
      </c>
      <c r="I2177" t="s">
        <v>64</v>
      </c>
      <c r="J2177" t="s">
        <v>1991</v>
      </c>
      <c r="K2177">
        <v>2</v>
      </c>
      <c r="N2177">
        <v>911</v>
      </c>
      <c r="O2177">
        <v>50</v>
      </c>
      <c r="P2177" s="1">
        <v>45557</v>
      </c>
      <c r="Q2177" s="1"/>
      <c r="R2177" t="str">
        <f>IF(Table1[[#This Row],[Actual close date]]="","",Table1[[#This Row],[Actual close date]]-Table1[[#This Row],[Expected close date]])</f>
        <v/>
      </c>
    </row>
    <row r="2178" spans="1:18" x14ac:dyDescent="0.25">
      <c r="A2178" t="s">
        <v>2262</v>
      </c>
      <c r="B2178" t="s">
        <v>49</v>
      </c>
      <c r="C2178" t="s">
        <v>50</v>
      </c>
      <c r="D2178" t="s">
        <v>51</v>
      </c>
      <c r="E2178" t="s">
        <v>21</v>
      </c>
      <c r="F2178" t="s">
        <v>125</v>
      </c>
      <c r="G2178" t="s">
        <v>57</v>
      </c>
      <c r="H2178" s="1">
        <v>45413</v>
      </c>
      <c r="I2178" t="s">
        <v>47</v>
      </c>
      <c r="J2178" t="s">
        <v>1991</v>
      </c>
      <c r="K2178">
        <v>2</v>
      </c>
      <c r="N2178">
        <v>907</v>
      </c>
      <c r="O2178">
        <v>60</v>
      </c>
      <c r="P2178" s="1">
        <v>45651</v>
      </c>
      <c r="Q2178" s="1"/>
      <c r="R2178" t="str">
        <f>IF(Table1[[#This Row],[Actual close date]]="","",Table1[[#This Row],[Actual close date]]-Table1[[#This Row],[Expected close date]])</f>
        <v/>
      </c>
    </row>
    <row r="2179" spans="1:18" x14ac:dyDescent="0.25">
      <c r="A2179" t="s">
        <v>2263</v>
      </c>
      <c r="B2179" t="s">
        <v>39</v>
      </c>
      <c r="C2179" t="s">
        <v>40</v>
      </c>
      <c r="D2179" t="s">
        <v>41</v>
      </c>
      <c r="E2179" t="s">
        <v>74</v>
      </c>
      <c r="F2179" t="s">
        <v>125</v>
      </c>
      <c r="G2179" t="s">
        <v>46</v>
      </c>
      <c r="H2179" s="1">
        <v>45376</v>
      </c>
      <c r="I2179" t="s">
        <v>64</v>
      </c>
      <c r="J2179" t="s">
        <v>1991</v>
      </c>
      <c r="K2179">
        <v>2</v>
      </c>
      <c r="N2179">
        <v>588</v>
      </c>
      <c r="O2179">
        <v>20</v>
      </c>
      <c r="P2179" s="1">
        <v>45415</v>
      </c>
      <c r="Q2179" s="1"/>
      <c r="R2179" t="str">
        <f>IF(Table1[[#This Row],[Actual close date]]="","",Table1[[#This Row],[Actual close date]]-Table1[[#This Row],[Expected close date]])</f>
        <v/>
      </c>
    </row>
    <row r="2180" spans="1:18" x14ac:dyDescent="0.25">
      <c r="A2180" t="s">
        <v>2264</v>
      </c>
      <c r="B2180" t="s">
        <v>59</v>
      </c>
      <c r="C2180" t="s">
        <v>60</v>
      </c>
      <c r="D2180" t="s">
        <v>61</v>
      </c>
      <c r="E2180" t="s">
        <v>52</v>
      </c>
      <c r="F2180" t="s">
        <v>125</v>
      </c>
      <c r="G2180" t="s">
        <v>72</v>
      </c>
      <c r="H2180" s="1">
        <v>45438</v>
      </c>
      <c r="I2180" t="s">
        <v>24</v>
      </c>
      <c r="J2180" t="s">
        <v>1991</v>
      </c>
      <c r="K2180">
        <v>2</v>
      </c>
      <c r="N2180">
        <v>593</v>
      </c>
      <c r="O2180">
        <v>60</v>
      </c>
      <c r="P2180" s="1">
        <v>45676</v>
      </c>
      <c r="Q2180" s="1"/>
      <c r="R2180" t="str">
        <f>IF(Table1[[#This Row],[Actual close date]]="","",Table1[[#This Row],[Actual close date]]-Table1[[#This Row],[Expected close date]])</f>
        <v/>
      </c>
    </row>
    <row r="2181" spans="1:18" x14ac:dyDescent="0.25">
      <c r="A2181" t="s">
        <v>2265</v>
      </c>
      <c r="B2181" t="s">
        <v>33</v>
      </c>
      <c r="C2181" t="s">
        <v>34</v>
      </c>
      <c r="D2181" t="s">
        <v>35</v>
      </c>
      <c r="E2181" t="s">
        <v>45</v>
      </c>
      <c r="F2181" t="s">
        <v>125</v>
      </c>
      <c r="G2181" t="s">
        <v>85</v>
      </c>
      <c r="H2181" s="1">
        <v>45358</v>
      </c>
      <c r="I2181" t="s">
        <v>64</v>
      </c>
      <c r="J2181" t="s">
        <v>1991</v>
      </c>
      <c r="K2181">
        <v>2</v>
      </c>
      <c r="N2181">
        <v>615</v>
      </c>
      <c r="O2181">
        <v>30</v>
      </c>
      <c r="P2181" s="1">
        <v>45668</v>
      </c>
      <c r="Q2181" s="1"/>
      <c r="R2181" t="str">
        <f>IF(Table1[[#This Row],[Actual close date]]="","",Table1[[#This Row],[Actual close date]]-Table1[[#This Row],[Expected close date]])</f>
        <v/>
      </c>
    </row>
    <row r="2182" spans="1:18" x14ac:dyDescent="0.25">
      <c r="A2182" t="s">
        <v>2266</v>
      </c>
      <c r="B2182" t="s">
        <v>59</v>
      </c>
      <c r="C2182" t="s">
        <v>60</v>
      </c>
      <c r="D2182" t="s">
        <v>61</v>
      </c>
      <c r="E2182" t="s">
        <v>101</v>
      </c>
      <c r="F2182" t="s">
        <v>125</v>
      </c>
      <c r="G2182" t="s">
        <v>57</v>
      </c>
      <c r="H2182" s="1">
        <v>45394</v>
      </c>
      <c r="I2182" t="s">
        <v>47</v>
      </c>
      <c r="J2182" t="s">
        <v>1991</v>
      </c>
      <c r="K2182">
        <v>2</v>
      </c>
      <c r="N2182">
        <v>1138</v>
      </c>
      <c r="O2182">
        <v>20</v>
      </c>
      <c r="P2182" s="1">
        <v>45687</v>
      </c>
      <c r="Q2182" s="1"/>
      <c r="R2182" t="str">
        <f>IF(Table1[[#This Row],[Actual close date]]="","",Table1[[#This Row],[Actual close date]]-Table1[[#This Row],[Expected close date]])</f>
        <v/>
      </c>
    </row>
    <row r="2183" spans="1:18" x14ac:dyDescent="0.25">
      <c r="A2183" t="s">
        <v>2267</v>
      </c>
      <c r="B2183" t="s">
        <v>27</v>
      </c>
      <c r="C2183" t="s">
        <v>28</v>
      </c>
      <c r="D2183" t="s">
        <v>29</v>
      </c>
      <c r="E2183" t="s">
        <v>52</v>
      </c>
      <c r="F2183" t="s">
        <v>125</v>
      </c>
      <c r="G2183" t="s">
        <v>46</v>
      </c>
      <c r="H2183" s="1">
        <v>45388</v>
      </c>
      <c r="I2183" t="s">
        <v>24</v>
      </c>
      <c r="J2183" t="s">
        <v>1991</v>
      </c>
      <c r="K2183">
        <v>2</v>
      </c>
      <c r="N2183">
        <v>273</v>
      </c>
      <c r="O2183">
        <v>20</v>
      </c>
      <c r="P2183" s="1">
        <v>45648</v>
      </c>
      <c r="Q2183" s="1"/>
      <c r="R2183" t="str">
        <f>IF(Table1[[#This Row],[Actual close date]]="","",Table1[[#This Row],[Actual close date]]-Table1[[#This Row],[Expected close date]])</f>
        <v/>
      </c>
    </row>
    <row r="2184" spans="1:18" x14ac:dyDescent="0.25">
      <c r="A2184" t="s">
        <v>2268</v>
      </c>
      <c r="B2184" t="s">
        <v>49</v>
      </c>
      <c r="C2184" t="s">
        <v>50</v>
      </c>
      <c r="D2184" t="s">
        <v>51</v>
      </c>
      <c r="E2184" t="s">
        <v>42</v>
      </c>
      <c r="F2184" t="s">
        <v>125</v>
      </c>
      <c r="G2184" t="s">
        <v>37</v>
      </c>
      <c r="H2184" s="1">
        <v>45392</v>
      </c>
      <c r="I2184" t="s">
        <v>24</v>
      </c>
      <c r="J2184" t="s">
        <v>1991</v>
      </c>
      <c r="K2184">
        <v>2</v>
      </c>
      <c r="N2184">
        <v>585</v>
      </c>
      <c r="O2184">
        <v>90</v>
      </c>
      <c r="P2184" s="1">
        <v>45453</v>
      </c>
      <c r="Q2184" s="1"/>
      <c r="R2184" t="str">
        <f>IF(Table1[[#This Row],[Actual close date]]="","",Table1[[#This Row],[Actual close date]]-Table1[[#This Row],[Expected close date]])</f>
        <v/>
      </c>
    </row>
    <row r="2185" spans="1:18" x14ac:dyDescent="0.25">
      <c r="A2185" t="s">
        <v>2269</v>
      </c>
      <c r="B2185" t="s">
        <v>33</v>
      </c>
      <c r="C2185" t="s">
        <v>34</v>
      </c>
      <c r="D2185" t="s">
        <v>35</v>
      </c>
      <c r="E2185" t="s">
        <v>45</v>
      </c>
      <c r="F2185" t="s">
        <v>125</v>
      </c>
      <c r="G2185" t="s">
        <v>57</v>
      </c>
      <c r="H2185" s="1">
        <v>45326</v>
      </c>
      <c r="I2185" t="s">
        <v>64</v>
      </c>
      <c r="J2185" t="s">
        <v>1991</v>
      </c>
      <c r="K2185">
        <v>2</v>
      </c>
      <c r="N2185">
        <v>414</v>
      </c>
      <c r="O2185">
        <v>30</v>
      </c>
      <c r="P2185" s="1">
        <v>45430</v>
      </c>
      <c r="Q2185" s="1"/>
      <c r="R2185" t="str">
        <f>IF(Table1[[#This Row],[Actual close date]]="","",Table1[[#This Row],[Actual close date]]-Table1[[#This Row],[Expected close date]])</f>
        <v/>
      </c>
    </row>
    <row r="2186" spans="1:18" x14ac:dyDescent="0.25">
      <c r="A2186" t="s">
        <v>2270</v>
      </c>
      <c r="B2186" t="s">
        <v>59</v>
      </c>
      <c r="C2186" t="s">
        <v>60</v>
      </c>
      <c r="D2186" t="s">
        <v>61</v>
      </c>
      <c r="E2186" t="s">
        <v>52</v>
      </c>
      <c r="F2186" t="s">
        <v>125</v>
      </c>
      <c r="G2186" t="s">
        <v>46</v>
      </c>
      <c r="H2186" s="1">
        <v>45429</v>
      </c>
      <c r="I2186" t="s">
        <v>24</v>
      </c>
      <c r="J2186" t="s">
        <v>1991</v>
      </c>
      <c r="K2186">
        <v>2</v>
      </c>
      <c r="N2186">
        <v>944</v>
      </c>
      <c r="O2186">
        <v>30</v>
      </c>
      <c r="P2186" s="1">
        <v>45743</v>
      </c>
      <c r="Q2186" s="1"/>
      <c r="R2186" t="str">
        <f>IF(Table1[[#This Row],[Actual close date]]="","",Table1[[#This Row],[Actual close date]]-Table1[[#This Row],[Expected close date]])</f>
        <v/>
      </c>
    </row>
    <row r="2187" spans="1:18" x14ac:dyDescent="0.25">
      <c r="A2187" t="s">
        <v>2271</v>
      </c>
      <c r="B2187" t="s">
        <v>59</v>
      </c>
      <c r="C2187" t="s">
        <v>60</v>
      </c>
      <c r="D2187" t="s">
        <v>61</v>
      </c>
      <c r="E2187" t="s">
        <v>52</v>
      </c>
      <c r="F2187" t="s">
        <v>125</v>
      </c>
      <c r="G2187" t="s">
        <v>23</v>
      </c>
      <c r="H2187" s="1">
        <v>45355</v>
      </c>
      <c r="I2187" t="s">
        <v>24</v>
      </c>
      <c r="J2187" t="s">
        <v>1991</v>
      </c>
      <c r="K2187">
        <v>2</v>
      </c>
      <c r="N2187">
        <v>922</v>
      </c>
      <c r="O2187">
        <v>100</v>
      </c>
      <c r="P2187" s="1">
        <v>45500</v>
      </c>
      <c r="Q2187" s="1"/>
      <c r="R2187" t="str">
        <f>IF(Table1[[#This Row],[Actual close date]]="","",Table1[[#This Row],[Actual close date]]-Table1[[#This Row],[Expected close date]])</f>
        <v/>
      </c>
    </row>
    <row r="2188" spans="1:18" x14ac:dyDescent="0.25">
      <c r="A2188" t="s">
        <v>2272</v>
      </c>
      <c r="B2188" t="s">
        <v>27</v>
      </c>
      <c r="C2188" t="s">
        <v>28</v>
      </c>
      <c r="D2188" t="s">
        <v>29</v>
      </c>
      <c r="E2188" t="s">
        <v>98</v>
      </c>
      <c r="F2188" t="s">
        <v>125</v>
      </c>
      <c r="G2188" t="s">
        <v>83</v>
      </c>
      <c r="H2188" s="1">
        <v>45332</v>
      </c>
      <c r="I2188" t="s">
        <v>24</v>
      </c>
      <c r="J2188" t="s">
        <v>1991</v>
      </c>
      <c r="K2188">
        <v>2</v>
      </c>
      <c r="N2188">
        <v>499</v>
      </c>
      <c r="O2188">
        <v>30</v>
      </c>
      <c r="P2188" s="1">
        <v>45610</v>
      </c>
      <c r="Q2188" s="1"/>
      <c r="R2188" t="str">
        <f>IF(Table1[[#This Row],[Actual close date]]="","",Table1[[#This Row],[Actual close date]]-Table1[[#This Row],[Expected close date]])</f>
        <v/>
      </c>
    </row>
    <row r="2189" spans="1:18" x14ac:dyDescent="0.25">
      <c r="A2189" t="s">
        <v>2273</v>
      </c>
      <c r="B2189" t="s">
        <v>54</v>
      </c>
      <c r="C2189" t="s">
        <v>55</v>
      </c>
      <c r="D2189" t="s">
        <v>56</v>
      </c>
      <c r="E2189" t="s">
        <v>36</v>
      </c>
      <c r="F2189" t="s">
        <v>125</v>
      </c>
      <c r="G2189" t="s">
        <v>57</v>
      </c>
      <c r="H2189" s="1">
        <v>45403</v>
      </c>
      <c r="I2189" t="s">
        <v>64</v>
      </c>
      <c r="J2189" t="s">
        <v>1991</v>
      </c>
      <c r="K2189">
        <v>2</v>
      </c>
      <c r="N2189">
        <v>971</v>
      </c>
      <c r="O2189">
        <v>10</v>
      </c>
      <c r="P2189" s="1">
        <v>45768</v>
      </c>
      <c r="Q2189" s="1"/>
      <c r="R2189" t="str">
        <f>IF(Table1[[#This Row],[Actual close date]]="","",Table1[[#This Row],[Actual close date]]-Table1[[#This Row],[Expected close date]])</f>
        <v/>
      </c>
    </row>
    <row r="2190" spans="1:18" x14ac:dyDescent="0.25">
      <c r="A2190" t="s">
        <v>2274</v>
      </c>
      <c r="B2190" t="s">
        <v>54</v>
      </c>
      <c r="C2190" t="s">
        <v>55</v>
      </c>
      <c r="D2190" t="s">
        <v>56</v>
      </c>
      <c r="E2190" t="s">
        <v>45</v>
      </c>
      <c r="F2190" t="s">
        <v>125</v>
      </c>
      <c r="G2190" t="s">
        <v>31</v>
      </c>
      <c r="H2190" s="1">
        <v>45417</v>
      </c>
      <c r="I2190" t="s">
        <v>64</v>
      </c>
      <c r="J2190" t="s">
        <v>1991</v>
      </c>
      <c r="K2190">
        <v>2</v>
      </c>
      <c r="N2190">
        <v>334</v>
      </c>
      <c r="O2190">
        <v>30</v>
      </c>
      <c r="P2190" s="1">
        <v>45439</v>
      </c>
      <c r="Q2190" s="1"/>
      <c r="R2190" t="str">
        <f>IF(Table1[[#This Row],[Actual close date]]="","",Table1[[#This Row],[Actual close date]]-Table1[[#This Row],[Expected close date]])</f>
        <v/>
      </c>
    </row>
    <row r="2191" spans="1:18" x14ac:dyDescent="0.25">
      <c r="A2191" t="s">
        <v>2275</v>
      </c>
      <c r="B2191" t="s">
        <v>54</v>
      </c>
      <c r="C2191" t="s">
        <v>55</v>
      </c>
      <c r="D2191" t="s">
        <v>56</v>
      </c>
      <c r="E2191" t="s">
        <v>52</v>
      </c>
      <c r="F2191" t="s">
        <v>125</v>
      </c>
      <c r="G2191" t="s">
        <v>37</v>
      </c>
      <c r="H2191" s="1">
        <v>45331</v>
      </c>
      <c r="I2191" t="s">
        <v>24</v>
      </c>
      <c r="J2191" t="s">
        <v>1991</v>
      </c>
      <c r="K2191">
        <v>2</v>
      </c>
      <c r="N2191">
        <v>662</v>
      </c>
      <c r="O2191">
        <v>30</v>
      </c>
      <c r="P2191" s="1">
        <v>45695</v>
      </c>
      <c r="Q2191" s="1"/>
      <c r="R2191" t="str">
        <f>IF(Table1[[#This Row],[Actual close date]]="","",Table1[[#This Row],[Actual close date]]-Table1[[#This Row],[Expected close date]])</f>
        <v/>
      </c>
    </row>
    <row r="2192" spans="1:18" x14ac:dyDescent="0.25">
      <c r="A2192" t="s">
        <v>2276</v>
      </c>
      <c r="B2192" t="s">
        <v>54</v>
      </c>
      <c r="C2192" t="s">
        <v>55</v>
      </c>
      <c r="D2192" t="s">
        <v>56</v>
      </c>
      <c r="E2192" t="s">
        <v>45</v>
      </c>
      <c r="F2192" t="s">
        <v>125</v>
      </c>
      <c r="G2192" t="s">
        <v>46</v>
      </c>
      <c r="H2192" s="1">
        <v>45356</v>
      </c>
      <c r="I2192" t="s">
        <v>24</v>
      </c>
      <c r="J2192" t="s">
        <v>1991</v>
      </c>
      <c r="K2192">
        <v>2</v>
      </c>
      <c r="N2192">
        <v>618</v>
      </c>
      <c r="O2192">
        <v>40</v>
      </c>
      <c r="P2192" s="1">
        <v>45391</v>
      </c>
      <c r="Q2192" s="1"/>
      <c r="R2192" t="str">
        <f>IF(Table1[[#This Row],[Actual close date]]="","",Table1[[#This Row],[Actual close date]]-Table1[[#This Row],[Expected close date]])</f>
        <v/>
      </c>
    </row>
    <row r="2193" spans="1:18" x14ac:dyDescent="0.25">
      <c r="A2193" t="s">
        <v>2277</v>
      </c>
      <c r="B2193" t="s">
        <v>54</v>
      </c>
      <c r="C2193" t="s">
        <v>55</v>
      </c>
      <c r="D2193" t="s">
        <v>56</v>
      </c>
      <c r="E2193" t="s">
        <v>45</v>
      </c>
      <c r="F2193" t="s">
        <v>125</v>
      </c>
      <c r="G2193" t="s">
        <v>37</v>
      </c>
      <c r="H2193" s="1">
        <v>45410</v>
      </c>
      <c r="I2193" t="s">
        <v>24</v>
      </c>
      <c r="J2193" t="s">
        <v>1991</v>
      </c>
      <c r="K2193">
        <v>2</v>
      </c>
      <c r="N2193">
        <v>567</v>
      </c>
      <c r="O2193">
        <v>30</v>
      </c>
      <c r="P2193" s="1">
        <v>45746</v>
      </c>
      <c r="Q2193" s="1"/>
      <c r="R2193" t="str">
        <f>IF(Table1[[#This Row],[Actual close date]]="","",Table1[[#This Row],[Actual close date]]-Table1[[#This Row],[Expected close date]])</f>
        <v/>
      </c>
    </row>
    <row r="2194" spans="1:18" x14ac:dyDescent="0.25">
      <c r="A2194" t="s">
        <v>2278</v>
      </c>
      <c r="B2194" t="s">
        <v>33</v>
      </c>
      <c r="C2194" t="s">
        <v>34</v>
      </c>
      <c r="D2194" t="s">
        <v>35</v>
      </c>
      <c r="E2194" t="s">
        <v>52</v>
      </c>
      <c r="F2194" t="s">
        <v>125</v>
      </c>
      <c r="G2194" t="s">
        <v>72</v>
      </c>
      <c r="H2194" s="1">
        <v>45369</v>
      </c>
      <c r="I2194" t="s">
        <v>64</v>
      </c>
      <c r="J2194" t="s">
        <v>1991</v>
      </c>
      <c r="K2194">
        <v>2</v>
      </c>
      <c r="N2194">
        <v>604</v>
      </c>
      <c r="O2194">
        <v>40</v>
      </c>
      <c r="P2194" s="1">
        <v>45706</v>
      </c>
      <c r="Q2194" s="1"/>
      <c r="R2194" t="str">
        <f>IF(Table1[[#This Row],[Actual close date]]="","",Table1[[#This Row],[Actual close date]]-Table1[[#This Row],[Expected close date]])</f>
        <v/>
      </c>
    </row>
    <row r="2195" spans="1:18" x14ac:dyDescent="0.25">
      <c r="A2195" t="s">
        <v>2279</v>
      </c>
      <c r="B2195" t="s">
        <v>18</v>
      </c>
      <c r="C2195" t="s">
        <v>19</v>
      </c>
      <c r="D2195" t="s">
        <v>20</v>
      </c>
      <c r="E2195" t="s">
        <v>74</v>
      </c>
      <c r="F2195" t="s">
        <v>125</v>
      </c>
      <c r="G2195" t="s">
        <v>57</v>
      </c>
      <c r="H2195" s="1">
        <v>45363</v>
      </c>
      <c r="I2195" t="s">
        <v>64</v>
      </c>
      <c r="J2195" t="s">
        <v>1991</v>
      </c>
      <c r="K2195">
        <v>2</v>
      </c>
      <c r="N2195">
        <v>473</v>
      </c>
      <c r="O2195">
        <v>70</v>
      </c>
      <c r="P2195" s="1">
        <v>45424</v>
      </c>
      <c r="Q2195" s="1"/>
      <c r="R2195" t="str">
        <f>IF(Table1[[#This Row],[Actual close date]]="","",Table1[[#This Row],[Actual close date]]-Table1[[#This Row],[Expected close date]])</f>
        <v/>
      </c>
    </row>
    <row r="2196" spans="1:18" x14ac:dyDescent="0.25">
      <c r="A2196" t="s">
        <v>2280</v>
      </c>
      <c r="B2196" t="s">
        <v>33</v>
      </c>
      <c r="C2196" t="s">
        <v>34</v>
      </c>
      <c r="D2196" t="s">
        <v>35</v>
      </c>
      <c r="E2196" t="s">
        <v>52</v>
      </c>
      <c r="F2196" t="s">
        <v>125</v>
      </c>
      <c r="G2196" t="s">
        <v>23</v>
      </c>
      <c r="H2196" s="1">
        <v>45433</v>
      </c>
      <c r="I2196" t="s">
        <v>64</v>
      </c>
      <c r="J2196" t="s">
        <v>1991</v>
      </c>
      <c r="K2196">
        <v>2</v>
      </c>
      <c r="N2196">
        <v>633</v>
      </c>
      <c r="O2196">
        <v>50</v>
      </c>
      <c r="P2196" s="1">
        <v>45696</v>
      </c>
      <c r="Q2196" s="1"/>
      <c r="R2196" t="str">
        <f>IF(Table1[[#This Row],[Actual close date]]="","",Table1[[#This Row],[Actual close date]]-Table1[[#This Row],[Expected close date]])</f>
        <v/>
      </c>
    </row>
    <row r="2197" spans="1:18" x14ac:dyDescent="0.25">
      <c r="A2197" t="s">
        <v>2281</v>
      </c>
      <c r="B2197" t="s">
        <v>76</v>
      </c>
      <c r="C2197" t="s">
        <v>77</v>
      </c>
      <c r="D2197" t="s">
        <v>78</v>
      </c>
      <c r="E2197" t="s">
        <v>21</v>
      </c>
      <c r="F2197" t="s">
        <v>125</v>
      </c>
      <c r="G2197" t="s">
        <v>46</v>
      </c>
      <c r="H2197" s="1">
        <v>45318</v>
      </c>
      <c r="I2197" t="s">
        <v>24</v>
      </c>
      <c r="J2197" t="s">
        <v>1991</v>
      </c>
      <c r="K2197">
        <v>2</v>
      </c>
      <c r="N2197">
        <v>536</v>
      </c>
      <c r="O2197">
        <v>40</v>
      </c>
      <c r="P2197" s="1">
        <v>45338</v>
      </c>
      <c r="Q2197" s="1"/>
      <c r="R2197" t="str">
        <f>IF(Table1[[#This Row],[Actual close date]]="","",Table1[[#This Row],[Actual close date]]-Table1[[#This Row],[Expected close date]])</f>
        <v/>
      </c>
    </row>
    <row r="2198" spans="1:18" x14ac:dyDescent="0.25">
      <c r="A2198" t="s">
        <v>2282</v>
      </c>
      <c r="B2198" t="s">
        <v>39</v>
      </c>
      <c r="C2198" t="s">
        <v>40</v>
      </c>
      <c r="D2198" t="s">
        <v>41</v>
      </c>
      <c r="E2198" t="s">
        <v>82</v>
      </c>
      <c r="F2198" t="s">
        <v>125</v>
      </c>
      <c r="G2198" t="s">
        <v>37</v>
      </c>
      <c r="H2198" s="1">
        <v>45438</v>
      </c>
      <c r="I2198" t="s">
        <v>24</v>
      </c>
      <c r="J2198" t="s">
        <v>1991</v>
      </c>
      <c r="K2198">
        <v>2</v>
      </c>
      <c r="N2198">
        <v>854</v>
      </c>
      <c r="O2198">
        <v>60</v>
      </c>
      <c r="P2198" s="1">
        <v>45475</v>
      </c>
      <c r="Q2198" s="1"/>
      <c r="R2198" t="str">
        <f>IF(Table1[[#This Row],[Actual close date]]="","",Table1[[#This Row],[Actual close date]]-Table1[[#This Row],[Expected close date]])</f>
        <v/>
      </c>
    </row>
    <row r="2199" spans="1:18" x14ac:dyDescent="0.25">
      <c r="A2199" t="s">
        <v>2283</v>
      </c>
      <c r="B2199" t="s">
        <v>76</v>
      </c>
      <c r="C2199" t="s">
        <v>77</v>
      </c>
      <c r="D2199" t="s">
        <v>78</v>
      </c>
      <c r="E2199" t="s">
        <v>122</v>
      </c>
      <c r="F2199" t="s">
        <v>167</v>
      </c>
      <c r="G2199" t="s">
        <v>37</v>
      </c>
      <c r="H2199" s="1">
        <v>45432</v>
      </c>
      <c r="I2199" t="s">
        <v>64</v>
      </c>
      <c r="J2199" t="s">
        <v>1991</v>
      </c>
      <c r="K2199">
        <v>2</v>
      </c>
      <c r="N2199">
        <v>1839</v>
      </c>
      <c r="O2199">
        <v>80</v>
      </c>
      <c r="P2199" s="1">
        <v>45452</v>
      </c>
      <c r="Q2199" s="1"/>
      <c r="R2199" t="str">
        <f>IF(Table1[[#This Row],[Actual close date]]="","",Table1[[#This Row],[Actual close date]]-Table1[[#This Row],[Expected close date]])</f>
        <v/>
      </c>
    </row>
    <row r="2200" spans="1:18" x14ac:dyDescent="0.25">
      <c r="A2200" t="s">
        <v>2284</v>
      </c>
      <c r="B2200" t="s">
        <v>39</v>
      </c>
      <c r="C2200" t="s">
        <v>40</v>
      </c>
      <c r="D2200" t="s">
        <v>41</v>
      </c>
      <c r="E2200" t="s">
        <v>21</v>
      </c>
      <c r="F2200" t="s">
        <v>167</v>
      </c>
      <c r="G2200" t="s">
        <v>46</v>
      </c>
      <c r="H2200" s="1">
        <v>45327</v>
      </c>
      <c r="I2200" t="s">
        <v>24</v>
      </c>
      <c r="J2200" t="s">
        <v>1991</v>
      </c>
      <c r="K2200">
        <v>2</v>
      </c>
      <c r="N2200">
        <v>1689</v>
      </c>
      <c r="O2200">
        <v>40</v>
      </c>
      <c r="P2200" s="1">
        <v>45411</v>
      </c>
      <c r="Q2200" s="1"/>
      <c r="R2200" t="str">
        <f>IF(Table1[[#This Row],[Actual close date]]="","",Table1[[#This Row],[Actual close date]]-Table1[[#This Row],[Expected close date]])</f>
        <v/>
      </c>
    </row>
    <row r="2201" spans="1:18" x14ac:dyDescent="0.25">
      <c r="A2201" t="s">
        <v>2285</v>
      </c>
      <c r="B2201" t="s">
        <v>59</v>
      </c>
      <c r="C2201" t="s">
        <v>60</v>
      </c>
      <c r="D2201" t="s">
        <v>61</v>
      </c>
      <c r="E2201" t="s">
        <v>36</v>
      </c>
      <c r="F2201" t="s">
        <v>167</v>
      </c>
      <c r="G2201" t="s">
        <v>57</v>
      </c>
      <c r="H2201" s="1">
        <v>45405</v>
      </c>
      <c r="I2201" t="s">
        <v>47</v>
      </c>
      <c r="J2201" t="s">
        <v>1991</v>
      </c>
      <c r="K2201">
        <v>2</v>
      </c>
      <c r="N2201">
        <v>984</v>
      </c>
      <c r="O2201">
        <v>30</v>
      </c>
      <c r="P2201" s="1">
        <v>45697</v>
      </c>
      <c r="Q2201" s="1"/>
      <c r="R2201" t="str">
        <f>IF(Table1[[#This Row],[Actual close date]]="","",Table1[[#This Row],[Actual close date]]-Table1[[#This Row],[Expected close date]])</f>
        <v/>
      </c>
    </row>
    <row r="2202" spans="1:18" x14ac:dyDescent="0.25">
      <c r="A2202" t="s">
        <v>2286</v>
      </c>
      <c r="B2202" t="s">
        <v>59</v>
      </c>
      <c r="C2202" t="s">
        <v>60</v>
      </c>
      <c r="D2202" t="s">
        <v>61</v>
      </c>
      <c r="E2202" t="s">
        <v>42</v>
      </c>
      <c r="F2202" t="s">
        <v>167</v>
      </c>
      <c r="G2202" t="s">
        <v>46</v>
      </c>
      <c r="H2202" s="1">
        <v>45362</v>
      </c>
      <c r="I2202" t="s">
        <v>24</v>
      </c>
      <c r="J2202" t="s">
        <v>1991</v>
      </c>
      <c r="K2202">
        <v>2</v>
      </c>
      <c r="N2202">
        <v>5945</v>
      </c>
      <c r="O2202">
        <v>20</v>
      </c>
      <c r="P2202" s="1">
        <v>45404</v>
      </c>
      <c r="Q2202" s="1"/>
      <c r="R2202" t="str">
        <f>IF(Table1[[#This Row],[Actual close date]]="","",Table1[[#This Row],[Actual close date]]-Table1[[#This Row],[Expected close date]])</f>
        <v/>
      </c>
    </row>
    <row r="2203" spans="1:18" x14ac:dyDescent="0.25">
      <c r="A2203" t="s">
        <v>2287</v>
      </c>
      <c r="B2203" t="s">
        <v>76</v>
      </c>
      <c r="C2203" t="s">
        <v>77</v>
      </c>
      <c r="D2203" t="s">
        <v>78</v>
      </c>
      <c r="E2203" t="s">
        <v>45</v>
      </c>
      <c r="F2203" t="s">
        <v>167</v>
      </c>
      <c r="G2203" t="s">
        <v>72</v>
      </c>
      <c r="H2203" s="1">
        <v>45366</v>
      </c>
      <c r="I2203" t="s">
        <v>64</v>
      </c>
      <c r="J2203" t="s">
        <v>1991</v>
      </c>
      <c r="K2203">
        <v>2</v>
      </c>
      <c r="N2203">
        <v>992</v>
      </c>
      <c r="O2203">
        <v>20</v>
      </c>
      <c r="P2203" s="1">
        <v>45430</v>
      </c>
      <c r="Q2203" s="1"/>
      <c r="R2203" t="str">
        <f>IF(Table1[[#This Row],[Actual close date]]="","",Table1[[#This Row],[Actual close date]]-Table1[[#This Row],[Expected close date]])</f>
        <v/>
      </c>
    </row>
    <row r="2204" spans="1:18" x14ac:dyDescent="0.25">
      <c r="A2204" t="s">
        <v>2288</v>
      </c>
      <c r="B2204" t="s">
        <v>18</v>
      </c>
      <c r="C2204" t="s">
        <v>19</v>
      </c>
      <c r="D2204" t="s">
        <v>20</v>
      </c>
      <c r="E2204" t="s">
        <v>45</v>
      </c>
      <c r="F2204" t="s">
        <v>167</v>
      </c>
      <c r="G2204" t="s">
        <v>57</v>
      </c>
      <c r="H2204" s="1">
        <v>45366</v>
      </c>
      <c r="I2204" t="s">
        <v>24</v>
      </c>
      <c r="J2204" t="s">
        <v>1991</v>
      </c>
      <c r="K2204">
        <v>2</v>
      </c>
      <c r="N2204">
        <v>1516</v>
      </c>
      <c r="O2204">
        <v>40</v>
      </c>
      <c r="P2204" s="1">
        <v>45478</v>
      </c>
      <c r="Q2204" s="1"/>
      <c r="R2204" t="str">
        <f>IF(Table1[[#This Row],[Actual close date]]="","",Table1[[#This Row],[Actual close date]]-Table1[[#This Row],[Expected close date]])</f>
        <v/>
      </c>
    </row>
    <row r="2205" spans="1:18" x14ac:dyDescent="0.25">
      <c r="A2205" t="s">
        <v>2289</v>
      </c>
      <c r="B2205" t="s">
        <v>27</v>
      </c>
      <c r="C2205" t="s">
        <v>28</v>
      </c>
      <c r="D2205" t="s">
        <v>29</v>
      </c>
      <c r="E2205" t="s">
        <v>45</v>
      </c>
      <c r="F2205" t="s">
        <v>167</v>
      </c>
      <c r="G2205" t="s">
        <v>85</v>
      </c>
      <c r="H2205" s="1">
        <v>45323</v>
      </c>
      <c r="I2205" t="s">
        <v>64</v>
      </c>
      <c r="J2205" t="s">
        <v>1991</v>
      </c>
      <c r="K2205">
        <v>2</v>
      </c>
      <c r="N2205">
        <v>1937</v>
      </c>
      <c r="O2205">
        <v>60</v>
      </c>
      <c r="P2205" s="1">
        <v>45423</v>
      </c>
      <c r="Q2205" s="1"/>
      <c r="R2205" t="str">
        <f>IF(Table1[[#This Row],[Actual close date]]="","",Table1[[#This Row],[Actual close date]]-Table1[[#This Row],[Expected close date]])</f>
        <v/>
      </c>
    </row>
    <row r="2206" spans="1:18" x14ac:dyDescent="0.25">
      <c r="A2206" t="s">
        <v>2290</v>
      </c>
      <c r="B2206" t="s">
        <v>33</v>
      </c>
      <c r="C2206" t="s">
        <v>34</v>
      </c>
      <c r="D2206" t="s">
        <v>35</v>
      </c>
      <c r="E2206" t="s">
        <v>21</v>
      </c>
      <c r="F2206" t="s">
        <v>167</v>
      </c>
      <c r="G2206" t="s">
        <v>83</v>
      </c>
      <c r="H2206" s="1">
        <v>45341</v>
      </c>
      <c r="I2206" t="s">
        <v>24</v>
      </c>
      <c r="J2206" t="s">
        <v>1991</v>
      </c>
      <c r="K2206">
        <v>2</v>
      </c>
      <c r="N2206">
        <v>377</v>
      </c>
      <c r="O2206">
        <v>40</v>
      </c>
      <c r="P2206" s="1">
        <v>45390</v>
      </c>
      <c r="Q2206" s="1"/>
      <c r="R2206" t="str">
        <f>IF(Table1[[#This Row],[Actual close date]]="","",Table1[[#This Row],[Actual close date]]-Table1[[#This Row],[Expected close date]])</f>
        <v/>
      </c>
    </row>
    <row r="2207" spans="1:18" x14ac:dyDescent="0.25">
      <c r="A2207" t="s">
        <v>2291</v>
      </c>
      <c r="B2207" t="s">
        <v>27</v>
      </c>
      <c r="C2207" t="s">
        <v>28</v>
      </c>
      <c r="D2207" t="s">
        <v>29</v>
      </c>
      <c r="E2207" t="s">
        <v>21</v>
      </c>
      <c r="F2207" t="s">
        <v>167</v>
      </c>
      <c r="G2207" t="s">
        <v>46</v>
      </c>
      <c r="H2207" s="1">
        <v>45301</v>
      </c>
      <c r="I2207" t="s">
        <v>24</v>
      </c>
      <c r="J2207" t="s">
        <v>1991</v>
      </c>
      <c r="K2207">
        <v>2</v>
      </c>
      <c r="N2207">
        <v>7200</v>
      </c>
      <c r="O2207">
        <v>40</v>
      </c>
      <c r="P2207" s="1">
        <v>45501</v>
      </c>
      <c r="Q2207" s="1"/>
      <c r="R2207" t="str">
        <f>IF(Table1[[#This Row],[Actual close date]]="","",Table1[[#This Row],[Actual close date]]-Table1[[#This Row],[Expected close date]])</f>
        <v/>
      </c>
    </row>
    <row r="2208" spans="1:18" x14ac:dyDescent="0.25">
      <c r="A2208" t="s">
        <v>2292</v>
      </c>
      <c r="B2208" t="s">
        <v>18</v>
      </c>
      <c r="C2208" t="s">
        <v>19</v>
      </c>
      <c r="D2208" t="s">
        <v>20</v>
      </c>
      <c r="E2208" t="s">
        <v>122</v>
      </c>
      <c r="F2208" t="s">
        <v>167</v>
      </c>
      <c r="G2208" t="s">
        <v>31</v>
      </c>
      <c r="H2208" s="1">
        <v>45387</v>
      </c>
      <c r="I2208" t="s">
        <v>24</v>
      </c>
      <c r="J2208" t="s">
        <v>1991</v>
      </c>
      <c r="K2208">
        <v>2</v>
      </c>
      <c r="N2208">
        <v>6884</v>
      </c>
      <c r="O2208">
        <v>100</v>
      </c>
      <c r="P2208" s="1">
        <v>45605</v>
      </c>
      <c r="Q2208" s="1"/>
      <c r="R2208" t="str">
        <f>IF(Table1[[#This Row],[Actual close date]]="","",Table1[[#This Row],[Actual close date]]-Table1[[#This Row],[Expected close date]])</f>
        <v/>
      </c>
    </row>
    <row r="2209" spans="1:18" x14ac:dyDescent="0.25">
      <c r="A2209" t="s">
        <v>2293</v>
      </c>
      <c r="B2209" t="s">
        <v>27</v>
      </c>
      <c r="C2209" t="s">
        <v>28</v>
      </c>
      <c r="D2209" t="s">
        <v>29</v>
      </c>
      <c r="E2209" t="s">
        <v>101</v>
      </c>
      <c r="F2209" t="s">
        <v>167</v>
      </c>
      <c r="G2209" t="s">
        <v>46</v>
      </c>
      <c r="H2209" s="1">
        <v>45352</v>
      </c>
      <c r="I2209" t="s">
        <v>64</v>
      </c>
      <c r="J2209" t="s">
        <v>1991</v>
      </c>
      <c r="K2209">
        <v>2</v>
      </c>
      <c r="N2209">
        <v>3935</v>
      </c>
      <c r="O2209">
        <v>70</v>
      </c>
      <c r="P2209" s="1">
        <v>45492</v>
      </c>
      <c r="Q2209" s="1"/>
      <c r="R2209" t="str">
        <f>IF(Table1[[#This Row],[Actual close date]]="","",Table1[[#This Row],[Actual close date]]-Table1[[#This Row],[Expected close date]])</f>
        <v/>
      </c>
    </row>
    <row r="2210" spans="1:18" x14ac:dyDescent="0.25">
      <c r="A2210" t="s">
        <v>2294</v>
      </c>
      <c r="B2210" t="s">
        <v>54</v>
      </c>
      <c r="C2210" t="s">
        <v>55</v>
      </c>
      <c r="D2210" t="s">
        <v>56</v>
      </c>
      <c r="E2210" t="s">
        <v>21</v>
      </c>
      <c r="F2210" t="s">
        <v>167</v>
      </c>
      <c r="G2210" t="s">
        <v>83</v>
      </c>
      <c r="H2210" s="1">
        <v>45336</v>
      </c>
      <c r="I2210" t="s">
        <v>24</v>
      </c>
      <c r="J2210" t="s">
        <v>1991</v>
      </c>
      <c r="K2210">
        <v>2</v>
      </c>
      <c r="N2210">
        <v>5401</v>
      </c>
      <c r="O2210">
        <v>30</v>
      </c>
      <c r="P2210" s="1">
        <v>45664</v>
      </c>
      <c r="Q2210" s="1"/>
      <c r="R2210" t="str">
        <f>IF(Table1[[#This Row],[Actual close date]]="","",Table1[[#This Row],[Actual close date]]-Table1[[#This Row],[Expected close date]])</f>
        <v/>
      </c>
    </row>
    <row r="2211" spans="1:18" x14ac:dyDescent="0.25">
      <c r="A2211" t="s">
        <v>2295</v>
      </c>
      <c r="B2211" t="s">
        <v>39</v>
      </c>
      <c r="C2211" t="s">
        <v>40</v>
      </c>
      <c r="D2211" t="s">
        <v>41</v>
      </c>
      <c r="E2211" t="s">
        <v>118</v>
      </c>
      <c r="F2211" t="s">
        <v>167</v>
      </c>
      <c r="G2211" t="s">
        <v>31</v>
      </c>
      <c r="H2211" s="1">
        <v>45336</v>
      </c>
      <c r="I2211" t="s">
        <v>24</v>
      </c>
      <c r="J2211" t="s">
        <v>1991</v>
      </c>
      <c r="K2211">
        <v>2</v>
      </c>
      <c r="N2211">
        <v>3336</v>
      </c>
      <c r="O2211">
        <v>40</v>
      </c>
      <c r="P2211" s="1">
        <v>45698</v>
      </c>
      <c r="Q2211" s="1"/>
      <c r="R2211" t="str">
        <f>IF(Table1[[#This Row],[Actual close date]]="","",Table1[[#This Row],[Actual close date]]-Table1[[#This Row],[Expected close date]])</f>
        <v/>
      </c>
    </row>
    <row r="2212" spans="1:18" x14ac:dyDescent="0.25">
      <c r="A2212" t="s">
        <v>2296</v>
      </c>
      <c r="B2212" t="s">
        <v>39</v>
      </c>
      <c r="C2212" t="s">
        <v>40</v>
      </c>
      <c r="D2212" t="s">
        <v>41</v>
      </c>
      <c r="E2212" t="s">
        <v>21</v>
      </c>
      <c r="F2212" t="s">
        <v>167</v>
      </c>
      <c r="G2212" t="s">
        <v>46</v>
      </c>
      <c r="H2212" s="1">
        <v>45312</v>
      </c>
      <c r="I2212" t="s">
        <v>24</v>
      </c>
      <c r="J2212" t="s">
        <v>1991</v>
      </c>
      <c r="K2212">
        <v>2</v>
      </c>
      <c r="N2212">
        <v>2944</v>
      </c>
      <c r="O2212">
        <v>30</v>
      </c>
      <c r="P2212" s="1">
        <v>45406</v>
      </c>
      <c r="Q2212" s="1"/>
      <c r="R2212" t="str">
        <f>IF(Table1[[#This Row],[Actual close date]]="","",Table1[[#This Row],[Actual close date]]-Table1[[#This Row],[Expected close date]])</f>
        <v/>
      </c>
    </row>
    <row r="2213" spans="1:18" x14ac:dyDescent="0.25">
      <c r="A2213" t="s">
        <v>2297</v>
      </c>
      <c r="B2213" t="s">
        <v>59</v>
      </c>
      <c r="C2213" t="s">
        <v>60</v>
      </c>
      <c r="D2213" t="s">
        <v>61</v>
      </c>
      <c r="E2213" t="s">
        <v>82</v>
      </c>
      <c r="F2213" t="s">
        <v>167</v>
      </c>
      <c r="G2213" t="s">
        <v>37</v>
      </c>
      <c r="H2213" s="1">
        <v>45296</v>
      </c>
      <c r="I2213" t="s">
        <v>64</v>
      </c>
      <c r="J2213" t="s">
        <v>1991</v>
      </c>
      <c r="K2213">
        <v>2</v>
      </c>
      <c r="N2213">
        <v>2186</v>
      </c>
      <c r="O2213">
        <v>30</v>
      </c>
      <c r="P2213" s="1">
        <v>45457</v>
      </c>
      <c r="Q2213" s="1"/>
      <c r="R2213" t="str">
        <f>IF(Table1[[#This Row],[Actual close date]]="","",Table1[[#This Row],[Actual close date]]-Table1[[#This Row],[Expected close date]])</f>
        <v/>
      </c>
    </row>
    <row r="2214" spans="1:18" x14ac:dyDescent="0.25">
      <c r="A2214" t="s">
        <v>2298</v>
      </c>
      <c r="B2214" t="s">
        <v>33</v>
      </c>
      <c r="C2214" t="s">
        <v>34</v>
      </c>
      <c r="D2214" t="s">
        <v>35</v>
      </c>
      <c r="E2214" t="s">
        <v>36</v>
      </c>
      <c r="F2214" t="s">
        <v>167</v>
      </c>
      <c r="G2214" t="s">
        <v>31</v>
      </c>
      <c r="H2214" s="1">
        <v>45375</v>
      </c>
      <c r="I2214" t="s">
        <v>47</v>
      </c>
      <c r="J2214" t="s">
        <v>1991</v>
      </c>
      <c r="K2214">
        <v>2</v>
      </c>
      <c r="N2214">
        <v>6479</v>
      </c>
      <c r="O2214">
        <v>100</v>
      </c>
      <c r="P2214" s="1">
        <v>45621</v>
      </c>
      <c r="Q2214" s="1"/>
      <c r="R2214" t="str">
        <f>IF(Table1[[#This Row],[Actual close date]]="","",Table1[[#This Row],[Actual close date]]-Table1[[#This Row],[Expected close date]])</f>
        <v/>
      </c>
    </row>
    <row r="2215" spans="1:18" x14ac:dyDescent="0.25">
      <c r="A2215" t="s">
        <v>2299</v>
      </c>
      <c r="B2215" t="s">
        <v>59</v>
      </c>
      <c r="C2215" t="s">
        <v>60</v>
      </c>
      <c r="D2215" t="s">
        <v>61</v>
      </c>
      <c r="E2215" t="s">
        <v>45</v>
      </c>
      <c r="F2215" t="s">
        <v>167</v>
      </c>
      <c r="G2215" t="s">
        <v>57</v>
      </c>
      <c r="H2215" s="1">
        <v>45310</v>
      </c>
      <c r="I2215" t="s">
        <v>24</v>
      </c>
      <c r="J2215" t="s">
        <v>1991</v>
      </c>
      <c r="K2215">
        <v>2</v>
      </c>
      <c r="N2215">
        <v>6526</v>
      </c>
      <c r="O2215">
        <v>10</v>
      </c>
      <c r="P2215" s="1">
        <v>45620</v>
      </c>
      <c r="Q2215" s="1"/>
      <c r="R2215" t="str">
        <f>IF(Table1[[#This Row],[Actual close date]]="","",Table1[[#This Row],[Actual close date]]-Table1[[#This Row],[Expected close date]])</f>
        <v/>
      </c>
    </row>
    <row r="2216" spans="1:18" x14ac:dyDescent="0.25">
      <c r="A2216" t="s">
        <v>2300</v>
      </c>
      <c r="B2216" t="s">
        <v>54</v>
      </c>
      <c r="C2216" t="s">
        <v>55</v>
      </c>
      <c r="D2216" t="s">
        <v>56</v>
      </c>
      <c r="E2216" t="s">
        <v>30</v>
      </c>
      <c r="F2216" t="s">
        <v>167</v>
      </c>
      <c r="G2216" t="s">
        <v>46</v>
      </c>
      <c r="H2216" s="1">
        <v>45404</v>
      </c>
      <c r="I2216" t="s">
        <v>24</v>
      </c>
      <c r="J2216" t="s">
        <v>1991</v>
      </c>
      <c r="K2216">
        <v>2</v>
      </c>
      <c r="N2216">
        <v>4638</v>
      </c>
      <c r="O2216">
        <v>40</v>
      </c>
      <c r="P2216" s="1">
        <v>45577</v>
      </c>
      <c r="Q2216" s="1"/>
      <c r="R2216" t="str">
        <f>IF(Table1[[#This Row],[Actual close date]]="","",Table1[[#This Row],[Actual close date]]-Table1[[#This Row],[Expected close date]])</f>
        <v/>
      </c>
    </row>
    <row r="2217" spans="1:18" x14ac:dyDescent="0.25">
      <c r="A2217" t="s">
        <v>2301</v>
      </c>
      <c r="B2217" t="s">
        <v>33</v>
      </c>
      <c r="C2217" t="s">
        <v>34</v>
      </c>
      <c r="D2217" t="s">
        <v>35</v>
      </c>
      <c r="E2217" t="s">
        <v>21</v>
      </c>
      <c r="F2217" t="s">
        <v>167</v>
      </c>
      <c r="G2217" t="s">
        <v>57</v>
      </c>
      <c r="H2217" s="1">
        <v>45296</v>
      </c>
      <c r="I2217" t="s">
        <v>24</v>
      </c>
      <c r="J2217" t="s">
        <v>1991</v>
      </c>
      <c r="K2217">
        <v>2</v>
      </c>
      <c r="N2217">
        <v>4652</v>
      </c>
      <c r="O2217">
        <v>60</v>
      </c>
      <c r="P2217" s="1">
        <v>45326</v>
      </c>
      <c r="Q2217" s="1"/>
      <c r="R2217" t="str">
        <f>IF(Table1[[#This Row],[Actual close date]]="","",Table1[[#This Row],[Actual close date]]-Table1[[#This Row],[Expected close date]])</f>
        <v/>
      </c>
    </row>
    <row r="2218" spans="1:18" x14ac:dyDescent="0.25">
      <c r="A2218" t="s">
        <v>2302</v>
      </c>
      <c r="B2218" t="s">
        <v>33</v>
      </c>
      <c r="C2218" t="s">
        <v>34</v>
      </c>
      <c r="D2218" t="s">
        <v>35</v>
      </c>
      <c r="E2218" t="s">
        <v>101</v>
      </c>
      <c r="F2218" t="s">
        <v>167</v>
      </c>
      <c r="G2218" t="s">
        <v>72</v>
      </c>
      <c r="H2218" s="1">
        <v>45297</v>
      </c>
      <c r="I2218" t="s">
        <v>64</v>
      </c>
      <c r="J2218" t="s">
        <v>1991</v>
      </c>
      <c r="K2218">
        <v>2</v>
      </c>
      <c r="N2218">
        <v>5941</v>
      </c>
      <c r="O2218">
        <v>50</v>
      </c>
      <c r="P2218" s="1">
        <v>45481</v>
      </c>
      <c r="Q2218" s="1"/>
      <c r="R2218" t="str">
        <f>IF(Table1[[#This Row],[Actual close date]]="","",Table1[[#This Row],[Actual close date]]-Table1[[#This Row],[Expected close date]])</f>
        <v/>
      </c>
    </row>
    <row r="2219" spans="1:18" x14ac:dyDescent="0.25">
      <c r="A2219" t="s">
        <v>2303</v>
      </c>
      <c r="B2219" t="s">
        <v>76</v>
      </c>
      <c r="C2219" t="s">
        <v>77</v>
      </c>
      <c r="D2219" t="s">
        <v>78</v>
      </c>
      <c r="E2219" t="s">
        <v>62</v>
      </c>
      <c r="F2219" t="s">
        <v>167</v>
      </c>
      <c r="G2219" t="s">
        <v>46</v>
      </c>
      <c r="H2219" s="1">
        <v>45396</v>
      </c>
      <c r="I2219" t="s">
        <v>24</v>
      </c>
      <c r="J2219" t="s">
        <v>1991</v>
      </c>
      <c r="K2219">
        <v>2</v>
      </c>
      <c r="N2219">
        <v>3370</v>
      </c>
      <c r="O2219">
        <v>50</v>
      </c>
      <c r="P2219" s="1">
        <v>45490</v>
      </c>
      <c r="Q2219" s="1"/>
      <c r="R2219" t="str">
        <f>IF(Table1[[#This Row],[Actual close date]]="","",Table1[[#This Row],[Actual close date]]-Table1[[#This Row],[Expected close date]])</f>
        <v/>
      </c>
    </row>
    <row r="2220" spans="1:18" x14ac:dyDescent="0.25">
      <c r="A2220" t="s">
        <v>2304</v>
      </c>
      <c r="B2220" t="s">
        <v>39</v>
      </c>
      <c r="C2220" t="s">
        <v>40</v>
      </c>
      <c r="D2220" t="s">
        <v>41</v>
      </c>
      <c r="E2220" t="s">
        <v>82</v>
      </c>
      <c r="F2220" t="s">
        <v>167</v>
      </c>
      <c r="G2220" t="s">
        <v>46</v>
      </c>
      <c r="H2220" s="1">
        <v>45383</v>
      </c>
      <c r="I2220" t="s">
        <v>64</v>
      </c>
      <c r="J2220" t="s">
        <v>1991</v>
      </c>
      <c r="K2220">
        <v>2</v>
      </c>
      <c r="N2220">
        <v>7093</v>
      </c>
      <c r="O2220">
        <v>40</v>
      </c>
      <c r="P2220" s="1">
        <v>45747</v>
      </c>
      <c r="Q2220" s="1"/>
      <c r="R2220" t="str">
        <f>IF(Table1[[#This Row],[Actual close date]]="","",Table1[[#This Row],[Actual close date]]-Table1[[#This Row],[Expected close date]])</f>
        <v/>
      </c>
    </row>
    <row r="2221" spans="1:18" x14ac:dyDescent="0.25">
      <c r="A2221" t="s">
        <v>2305</v>
      </c>
      <c r="B2221" t="s">
        <v>59</v>
      </c>
      <c r="C2221" t="s">
        <v>60</v>
      </c>
      <c r="D2221" t="s">
        <v>61</v>
      </c>
      <c r="E2221" t="s">
        <v>30</v>
      </c>
      <c r="F2221" t="s">
        <v>167</v>
      </c>
      <c r="G2221" t="s">
        <v>37</v>
      </c>
      <c r="H2221" s="1">
        <v>45442</v>
      </c>
      <c r="I2221" t="s">
        <v>64</v>
      </c>
      <c r="J2221" t="s">
        <v>1991</v>
      </c>
      <c r="K2221">
        <v>2</v>
      </c>
      <c r="N2221">
        <v>4407</v>
      </c>
      <c r="O2221">
        <v>40</v>
      </c>
      <c r="P2221" s="1">
        <v>45757</v>
      </c>
      <c r="Q2221" s="1"/>
      <c r="R2221" t="str">
        <f>IF(Table1[[#This Row],[Actual close date]]="","",Table1[[#This Row],[Actual close date]]-Table1[[#This Row],[Expected close date]])</f>
        <v/>
      </c>
    </row>
    <row r="2222" spans="1:18" x14ac:dyDescent="0.25">
      <c r="A2222" t="s">
        <v>2306</v>
      </c>
      <c r="B2222" t="s">
        <v>27</v>
      </c>
      <c r="C2222" t="s">
        <v>28</v>
      </c>
      <c r="D2222" t="s">
        <v>29</v>
      </c>
      <c r="E2222" t="s">
        <v>98</v>
      </c>
      <c r="F2222" t="s">
        <v>167</v>
      </c>
      <c r="G2222" t="s">
        <v>57</v>
      </c>
      <c r="H2222" s="1">
        <v>45404</v>
      </c>
      <c r="I2222" t="s">
        <v>64</v>
      </c>
      <c r="J2222" t="s">
        <v>1991</v>
      </c>
      <c r="K2222">
        <v>2</v>
      </c>
      <c r="N2222">
        <v>2950</v>
      </c>
      <c r="O2222">
        <v>30</v>
      </c>
      <c r="P2222" s="1">
        <v>45719</v>
      </c>
      <c r="Q2222" s="1"/>
      <c r="R2222" t="str">
        <f>IF(Table1[[#This Row],[Actual close date]]="","",Table1[[#This Row],[Actual close date]]-Table1[[#This Row],[Expected close date]])</f>
        <v/>
      </c>
    </row>
    <row r="2223" spans="1:18" x14ac:dyDescent="0.25">
      <c r="A2223" t="s">
        <v>2307</v>
      </c>
      <c r="B2223" t="s">
        <v>76</v>
      </c>
      <c r="C2223" t="s">
        <v>77</v>
      </c>
      <c r="D2223" t="s">
        <v>78</v>
      </c>
      <c r="E2223" t="s">
        <v>42</v>
      </c>
      <c r="F2223" t="s">
        <v>167</v>
      </c>
      <c r="G2223" t="s">
        <v>85</v>
      </c>
      <c r="H2223" s="1">
        <v>45438</v>
      </c>
      <c r="I2223" t="s">
        <v>64</v>
      </c>
      <c r="J2223" t="s">
        <v>1991</v>
      </c>
      <c r="K2223">
        <v>2</v>
      </c>
      <c r="N2223">
        <v>2431</v>
      </c>
      <c r="O2223">
        <v>20</v>
      </c>
      <c r="P2223" s="1">
        <v>45605</v>
      </c>
      <c r="Q2223" s="1"/>
      <c r="R2223" t="str">
        <f>IF(Table1[[#This Row],[Actual close date]]="","",Table1[[#This Row],[Actual close date]]-Table1[[#This Row],[Expected close date]])</f>
        <v/>
      </c>
    </row>
    <row r="2224" spans="1:18" x14ac:dyDescent="0.25">
      <c r="A2224" t="s">
        <v>2308</v>
      </c>
      <c r="B2224" t="s">
        <v>59</v>
      </c>
      <c r="C2224" t="s">
        <v>60</v>
      </c>
      <c r="D2224" t="s">
        <v>61</v>
      </c>
      <c r="E2224" t="s">
        <v>101</v>
      </c>
      <c r="F2224" t="s">
        <v>167</v>
      </c>
      <c r="G2224" t="s">
        <v>57</v>
      </c>
      <c r="H2224" s="1">
        <v>45423</v>
      </c>
      <c r="I2224" t="s">
        <v>24</v>
      </c>
      <c r="J2224" t="s">
        <v>1991</v>
      </c>
      <c r="K2224">
        <v>2</v>
      </c>
      <c r="N2224">
        <v>2924</v>
      </c>
      <c r="O2224">
        <v>30</v>
      </c>
      <c r="P2224" s="1">
        <v>45725</v>
      </c>
      <c r="Q2224" s="1"/>
      <c r="R2224" t="str">
        <f>IF(Table1[[#This Row],[Actual close date]]="","",Table1[[#This Row],[Actual close date]]-Table1[[#This Row],[Expected close date]])</f>
        <v/>
      </c>
    </row>
    <row r="2225" spans="1:18" x14ac:dyDescent="0.25">
      <c r="A2225" t="s">
        <v>2309</v>
      </c>
      <c r="B2225" t="s">
        <v>69</v>
      </c>
      <c r="C2225" t="s">
        <v>70</v>
      </c>
      <c r="D2225" t="s">
        <v>71</v>
      </c>
      <c r="E2225" t="s">
        <v>21</v>
      </c>
      <c r="F2225" t="s">
        <v>167</v>
      </c>
      <c r="G2225" t="s">
        <v>37</v>
      </c>
      <c r="H2225" s="1">
        <v>45317</v>
      </c>
      <c r="I2225" t="s">
        <v>64</v>
      </c>
      <c r="J2225" t="s">
        <v>1991</v>
      </c>
      <c r="K2225">
        <v>2</v>
      </c>
      <c r="N2225">
        <v>7400</v>
      </c>
      <c r="O2225">
        <v>30</v>
      </c>
      <c r="P2225" s="1">
        <v>45453</v>
      </c>
      <c r="Q2225" s="1"/>
      <c r="R2225" t="str">
        <f>IF(Table1[[#This Row],[Actual close date]]="","",Table1[[#This Row],[Actual close date]]-Table1[[#This Row],[Expected close date]])</f>
        <v/>
      </c>
    </row>
    <row r="2226" spans="1:18" x14ac:dyDescent="0.25">
      <c r="A2226" t="s">
        <v>2310</v>
      </c>
      <c r="B2226" t="s">
        <v>27</v>
      </c>
      <c r="C2226" t="s">
        <v>28</v>
      </c>
      <c r="D2226" t="s">
        <v>29</v>
      </c>
      <c r="E2226" t="s">
        <v>42</v>
      </c>
      <c r="F2226" t="s">
        <v>167</v>
      </c>
      <c r="G2226" t="s">
        <v>46</v>
      </c>
      <c r="H2226" s="1">
        <v>45345</v>
      </c>
      <c r="I2226" t="s">
        <v>24</v>
      </c>
      <c r="J2226" t="s">
        <v>1991</v>
      </c>
      <c r="K2226">
        <v>2</v>
      </c>
      <c r="N2226">
        <v>3191</v>
      </c>
      <c r="O2226">
        <v>40</v>
      </c>
      <c r="P2226" s="1">
        <v>45617</v>
      </c>
      <c r="Q2226" s="1"/>
      <c r="R2226" t="str">
        <f>IF(Table1[[#This Row],[Actual close date]]="","",Table1[[#This Row],[Actual close date]]-Table1[[#This Row],[Expected close date]])</f>
        <v/>
      </c>
    </row>
    <row r="2227" spans="1:18" x14ac:dyDescent="0.25">
      <c r="A2227" t="s">
        <v>2311</v>
      </c>
      <c r="B2227" t="s">
        <v>27</v>
      </c>
      <c r="C2227" t="s">
        <v>28</v>
      </c>
      <c r="D2227" t="s">
        <v>29</v>
      </c>
      <c r="E2227" t="s">
        <v>36</v>
      </c>
      <c r="F2227" t="s">
        <v>167</v>
      </c>
      <c r="G2227" t="s">
        <v>46</v>
      </c>
      <c r="H2227" s="1">
        <v>45332</v>
      </c>
      <c r="I2227" t="s">
        <v>64</v>
      </c>
      <c r="J2227" t="s">
        <v>1991</v>
      </c>
      <c r="K2227">
        <v>2</v>
      </c>
      <c r="N2227">
        <v>7968</v>
      </c>
      <c r="O2227">
        <v>20</v>
      </c>
      <c r="P2227" s="1">
        <v>45535</v>
      </c>
      <c r="Q2227" s="1"/>
      <c r="R2227" t="str">
        <f>IF(Table1[[#This Row],[Actual close date]]="","",Table1[[#This Row],[Actual close date]]-Table1[[#This Row],[Expected close date]])</f>
        <v/>
      </c>
    </row>
    <row r="2228" spans="1:18" x14ac:dyDescent="0.25">
      <c r="A2228" t="s">
        <v>2312</v>
      </c>
      <c r="B2228" t="s">
        <v>59</v>
      </c>
      <c r="C2228" t="s">
        <v>60</v>
      </c>
      <c r="D2228" t="s">
        <v>61</v>
      </c>
      <c r="E2228" t="s">
        <v>21</v>
      </c>
      <c r="F2228" t="s">
        <v>167</v>
      </c>
      <c r="G2228" t="s">
        <v>37</v>
      </c>
      <c r="H2228" s="1">
        <v>45424</v>
      </c>
      <c r="I2228" t="s">
        <v>64</v>
      </c>
      <c r="J2228" t="s">
        <v>1991</v>
      </c>
      <c r="K2228">
        <v>2</v>
      </c>
      <c r="N2228">
        <v>5251</v>
      </c>
      <c r="O2228">
        <v>20</v>
      </c>
      <c r="P2228" s="1">
        <v>45527</v>
      </c>
      <c r="Q2228" s="1"/>
      <c r="R2228" t="str">
        <f>IF(Table1[[#This Row],[Actual close date]]="","",Table1[[#This Row],[Actual close date]]-Table1[[#This Row],[Expected close date]])</f>
        <v/>
      </c>
    </row>
    <row r="2229" spans="1:18" x14ac:dyDescent="0.25">
      <c r="A2229" t="s">
        <v>2313</v>
      </c>
      <c r="B2229" t="s">
        <v>54</v>
      </c>
      <c r="C2229" t="s">
        <v>55</v>
      </c>
      <c r="D2229" t="s">
        <v>56</v>
      </c>
      <c r="E2229" t="s">
        <v>45</v>
      </c>
      <c r="F2229" t="s">
        <v>167</v>
      </c>
      <c r="G2229" t="s">
        <v>46</v>
      </c>
      <c r="H2229" s="1">
        <v>45346</v>
      </c>
      <c r="I2229" t="s">
        <v>64</v>
      </c>
      <c r="J2229" t="s">
        <v>1991</v>
      </c>
      <c r="K2229">
        <v>2</v>
      </c>
      <c r="N2229">
        <v>7458</v>
      </c>
      <c r="O2229">
        <v>40</v>
      </c>
      <c r="P2229" s="1">
        <v>45633</v>
      </c>
      <c r="Q2229" s="1"/>
      <c r="R2229" t="str">
        <f>IF(Table1[[#This Row],[Actual close date]]="","",Table1[[#This Row],[Actual close date]]-Table1[[#This Row],[Expected close date]])</f>
        <v/>
      </c>
    </row>
    <row r="2230" spans="1:18" x14ac:dyDescent="0.25">
      <c r="A2230" t="s">
        <v>2314</v>
      </c>
      <c r="B2230" t="s">
        <v>49</v>
      </c>
      <c r="C2230" t="s">
        <v>50</v>
      </c>
      <c r="D2230" t="s">
        <v>51</v>
      </c>
      <c r="E2230" t="s">
        <v>52</v>
      </c>
      <c r="F2230" t="s">
        <v>167</v>
      </c>
      <c r="G2230" t="s">
        <v>31</v>
      </c>
      <c r="H2230" s="1">
        <v>45307</v>
      </c>
      <c r="I2230" t="s">
        <v>24</v>
      </c>
      <c r="J2230" t="s">
        <v>1991</v>
      </c>
      <c r="K2230">
        <v>2</v>
      </c>
      <c r="N2230">
        <v>2346</v>
      </c>
      <c r="O2230">
        <v>10</v>
      </c>
      <c r="P2230" s="1">
        <v>45498</v>
      </c>
      <c r="Q2230" s="1"/>
      <c r="R2230" t="str">
        <f>IF(Table1[[#This Row],[Actual close date]]="","",Table1[[#This Row],[Actual close date]]-Table1[[#This Row],[Expected close date]])</f>
        <v/>
      </c>
    </row>
    <row r="2231" spans="1:18" x14ac:dyDescent="0.25">
      <c r="A2231" t="s">
        <v>2315</v>
      </c>
      <c r="B2231" t="s">
        <v>33</v>
      </c>
      <c r="C2231" t="s">
        <v>34</v>
      </c>
      <c r="D2231" t="s">
        <v>35</v>
      </c>
      <c r="E2231" t="s">
        <v>74</v>
      </c>
      <c r="F2231" t="s">
        <v>167</v>
      </c>
      <c r="G2231" t="s">
        <v>37</v>
      </c>
      <c r="H2231" s="1">
        <v>45405</v>
      </c>
      <c r="I2231" t="s">
        <v>64</v>
      </c>
      <c r="J2231" t="s">
        <v>1991</v>
      </c>
      <c r="K2231">
        <v>2</v>
      </c>
      <c r="N2231">
        <v>354</v>
      </c>
      <c r="O2231">
        <v>30</v>
      </c>
      <c r="P2231" s="1">
        <v>45760</v>
      </c>
      <c r="Q2231" s="1"/>
      <c r="R2231" t="str">
        <f>IF(Table1[[#This Row],[Actual close date]]="","",Table1[[#This Row],[Actual close date]]-Table1[[#This Row],[Expected close date]])</f>
        <v/>
      </c>
    </row>
    <row r="2232" spans="1:18" x14ac:dyDescent="0.25">
      <c r="A2232" t="s">
        <v>2316</v>
      </c>
      <c r="B2232" t="s">
        <v>76</v>
      </c>
      <c r="C2232" t="s">
        <v>77</v>
      </c>
      <c r="D2232" t="s">
        <v>78</v>
      </c>
      <c r="E2232" t="s">
        <v>82</v>
      </c>
      <c r="F2232" t="s">
        <v>167</v>
      </c>
      <c r="G2232" t="s">
        <v>37</v>
      </c>
      <c r="H2232" s="1">
        <v>45366</v>
      </c>
      <c r="I2232" t="s">
        <v>47</v>
      </c>
      <c r="J2232" t="s">
        <v>1991</v>
      </c>
      <c r="K2232">
        <v>2</v>
      </c>
      <c r="N2232">
        <v>3855</v>
      </c>
      <c r="O2232">
        <v>60</v>
      </c>
      <c r="P2232" s="1">
        <v>45460</v>
      </c>
      <c r="Q2232" s="1"/>
      <c r="R2232" t="str">
        <f>IF(Table1[[#This Row],[Actual close date]]="","",Table1[[#This Row],[Actual close date]]-Table1[[#This Row],[Expected close date]])</f>
        <v/>
      </c>
    </row>
    <row r="2233" spans="1:18" x14ac:dyDescent="0.25">
      <c r="A2233" t="s">
        <v>2317</v>
      </c>
      <c r="B2233" t="s">
        <v>33</v>
      </c>
      <c r="C2233" t="s">
        <v>34</v>
      </c>
      <c r="D2233" t="s">
        <v>35</v>
      </c>
      <c r="E2233" t="s">
        <v>45</v>
      </c>
      <c r="F2233" t="s">
        <v>167</v>
      </c>
      <c r="G2233" t="s">
        <v>72</v>
      </c>
      <c r="H2233" s="1">
        <v>45380</v>
      </c>
      <c r="I2233" t="s">
        <v>24</v>
      </c>
      <c r="J2233" t="s">
        <v>1991</v>
      </c>
      <c r="K2233">
        <v>2</v>
      </c>
      <c r="N2233">
        <v>4368</v>
      </c>
      <c r="O2233">
        <v>20</v>
      </c>
      <c r="P2233" s="1">
        <v>45583</v>
      </c>
      <c r="Q2233" s="1"/>
      <c r="R2233" t="str">
        <f>IF(Table1[[#This Row],[Actual close date]]="","",Table1[[#This Row],[Actual close date]]-Table1[[#This Row],[Expected close date]])</f>
        <v/>
      </c>
    </row>
    <row r="2234" spans="1:18" x14ac:dyDescent="0.25">
      <c r="A2234" t="s">
        <v>2318</v>
      </c>
      <c r="B2234" t="s">
        <v>33</v>
      </c>
      <c r="C2234" t="s">
        <v>34</v>
      </c>
      <c r="D2234" t="s">
        <v>35</v>
      </c>
      <c r="E2234" t="s">
        <v>21</v>
      </c>
      <c r="F2234" t="s">
        <v>167</v>
      </c>
      <c r="G2234" t="s">
        <v>23</v>
      </c>
      <c r="H2234" s="1">
        <v>45347</v>
      </c>
      <c r="I2234" t="s">
        <v>64</v>
      </c>
      <c r="J2234" t="s">
        <v>1991</v>
      </c>
      <c r="K2234">
        <v>2</v>
      </c>
      <c r="N2234">
        <v>449</v>
      </c>
      <c r="O2234">
        <v>20</v>
      </c>
      <c r="P2234" s="1">
        <v>45703</v>
      </c>
      <c r="Q2234" s="1"/>
      <c r="R2234" t="str">
        <f>IF(Table1[[#This Row],[Actual close date]]="","",Table1[[#This Row],[Actual close date]]-Table1[[#This Row],[Expected close date]])</f>
        <v/>
      </c>
    </row>
    <row r="2235" spans="1:18" x14ac:dyDescent="0.25">
      <c r="A2235" t="s">
        <v>2319</v>
      </c>
      <c r="B2235" t="s">
        <v>33</v>
      </c>
      <c r="C2235" t="s">
        <v>34</v>
      </c>
      <c r="D2235" t="s">
        <v>35</v>
      </c>
      <c r="E2235" t="s">
        <v>98</v>
      </c>
      <c r="F2235" t="s">
        <v>167</v>
      </c>
      <c r="G2235" t="s">
        <v>31</v>
      </c>
      <c r="H2235" s="1">
        <v>45412</v>
      </c>
      <c r="I2235" t="s">
        <v>24</v>
      </c>
      <c r="J2235" t="s">
        <v>1991</v>
      </c>
      <c r="K2235">
        <v>2</v>
      </c>
      <c r="N2235">
        <v>5205</v>
      </c>
      <c r="O2235">
        <v>30</v>
      </c>
      <c r="P2235" s="1">
        <v>45459</v>
      </c>
      <c r="Q2235" s="1"/>
      <c r="R2235" t="str">
        <f>IF(Table1[[#This Row],[Actual close date]]="","",Table1[[#This Row],[Actual close date]]-Table1[[#This Row],[Expected close date]])</f>
        <v/>
      </c>
    </row>
    <row r="2236" spans="1:18" x14ac:dyDescent="0.25">
      <c r="A2236" t="s">
        <v>2320</v>
      </c>
      <c r="B2236" t="s">
        <v>33</v>
      </c>
      <c r="C2236" t="s">
        <v>34</v>
      </c>
      <c r="D2236" t="s">
        <v>35</v>
      </c>
      <c r="E2236" t="s">
        <v>52</v>
      </c>
      <c r="F2236" t="s">
        <v>167</v>
      </c>
      <c r="G2236" t="s">
        <v>37</v>
      </c>
      <c r="H2236" s="1">
        <v>45311</v>
      </c>
      <c r="I2236" t="s">
        <v>64</v>
      </c>
      <c r="J2236" t="s">
        <v>1991</v>
      </c>
      <c r="K2236">
        <v>2</v>
      </c>
      <c r="N2236">
        <v>5539</v>
      </c>
      <c r="O2236">
        <v>100</v>
      </c>
      <c r="P2236" s="1">
        <v>45493</v>
      </c>
      <c r="Q2236" s="1"/>
      <c r="R2236" t="str">
        <f>IF(Table1[[#This Row],[Actual close date]]="","",Table1[[#This Row],[Actual close date]]-Table1[[#This Row],[Expected close date]])</f>
        <v/>
      </c>
    </row>
    <row r="2237" spans="1:18" x14ac:dyDescent="0.25">
      <c r="A2237" t="s">
        <v>2321</v>
      </c>
      <c r="B2237" t="s">
        <v>59</v>
      </c>
      <c r="C2237" t="s">
        <v>60</v>
      </c>
      <c r="D2237" t="s">
        <v>61</v>
      </c>
      <c r="E2237" t="s">
        <v>21</v>
      </c>
      <c r="F2237" t="s">
        <v>167</v>
      </c>
      <c r="G2237" t="s">
        <v>85</v>
      </c>
      <c r="H2237" s="1">
        <v>45358</v>
      </c>
      <c r="I2237" t="s">
        <v>47</v>
      </c>
      <c r="J2237" t="s">
        <v>1991</v>
      </c>
      <c r="K2237">
        <v>2</v>
      </c>
      <c r="N2237">
        <v>4855</v>
      </c>
      <c r="O2237">
        <v>50</v>
      </c>
      <c r="P2237" s="1">
        <v>45623</v>
      </c>
      <c r="Q2237" s="1"/>
      <c r="R2237" t="str">
        <f>IF(Table1[[#This Row],[Actual close date]]="","",Table1[[#This Row],[Actual close date]]-Table1[[#This Row],[Expected close date]])</f>
        <v/>
      </c>
    </row>
    <row r="2238" spans="1:18" x14ac:dyDescent="0.25">
      <c r="A2238" t="s">
        <v>2322</v>
      </c>
      <c r="B2238" t="s">
        <v>33</v>
      </c>
      <c r="C2238" t="s">
        <v>34</v>
      </c>
      <c r="D2238" t="s">
        <v>35</v>
      </c>
      <c r="E2238" t="s">
        <v>52</v>
      </c>
      <c r="F2238" t="s">
        <v>167</v>
      </c>
      <c r="G2238" t="s">
        <v>72</v>
      </c>
      <c r="H2238" s="1">
        <v>45433</v>
      </c>
      <c r="I2238" t="s">
        <v>24</v>
      </c>
      <c r="J2238" t="s">
        <v>1991</v>
      </c>
      <c r="K2238">
        <v>2</v>
      </c>
      <c r="N2238">
        <v>7008</v>
      </c>
      <c r="O2238">
        <v>70</v>
      </c>
      <c r="P2238" s="1">
        <v>45642</v>
      </c>
      <c r="Q2238" s="1"/>
      <c r="R2238" t="str">
        <f>IF(Table1[[#This Row],[Actual close date]]="","",Table1[[#This Row],[Actual close date]]-Table1[[#This Row],[Expected close date]])</f>
        <v/>
      </c>
    </row>
    <row r="2239" spans="1:18" x14ac:dyDescent="0.25">
      <c r="A2239" t="s">
        <v>2323</v>
      </c>
      <c r="B2239" t="s">
        <v>59</v>
      </c>
      <c r="C2239" t="s">
        <v>60</v>
      </c>
      <c r="D2239" t="s">
        <v>61</v>
      </c>
      <c r="E2239" t="s">
        <v>82</v>
      </c>
      <c r="F2239" t="s">
        <v>167</v>
      </c>
      <c r="G2239" t="s">
        <v>57</v>
      </c>
      <c r="H2239" s="1">
        <v>45434</v>
      </c>
      <c r="I2239" t="s">
        <v>64</v>
      </c>
      <c r="J2239" t="s">
        <v>1991</v>
      </c>
      <c r="K2239">
        <v>2</v>
      </c>
      <c r="N2239">
        <v>5121</v>
      </c>
      <c r="O2239">
        <v>20</v>
      </c>
      <c r="P2239" s="1">
        <v>45512</v>
      </c>
      <c r="Q2239" s="1"/>
      <c r="R2239" t="str">
        <f>IF(Table1[[#This Row],[Actual close date]]="","",Table1[[#This Row],[Actual close date]]-Table1[[#This Row],[Expected close date]])</f>
        <v/>
      </c>
    </row>
    <row r="2240" spans="1:18" x14ac:dyDescent="0.25">
      <c r="A2240" t="s">
        <v>2324</v>
      </c>
      <c r="B2240" t="s">
        <v>76</v>
      </c>
      <c r="C2240" t="s">
        <v>77</v>
      </c>
      <c r="D2240" t="s">
        <v>78</v>
      </c>
      <c r="E2240" t="s">
        <v>21</v>
      </c>
      <c r="F2240" t="s">
        <v>167</v>
      </c>
      <c r="G2240" t="s">
        <v>72</v>
      </c>
      <c r="H2240" s="1">
        <v>45368</v>
      </c>
      <c r="I2240" t="s">
        <v>64</v>
      </c>
      <c r="J2240" t="s">
        <v>1991</v>
      </c>
      <c r="K2240">
        <v>2</v>
      </c>
      <c r="N2240">
        <v>6482</v>
      </c>
      <c r="O2240">
        <v>30</v>
      </c>
      <c r="P2240" s="1">
        <v>45418</v>
      </c>
      <c r="Q2240" s="1"/>
      <c r="R2240" t="str">
        <f>IF(Table1[[#This Row],[Actual close date]]="","",Table1[[#This Row],[Actual close date]]-Table1[[#This Row],[Expected close date]])</f>
        <v/>
      </c>
    </row>
    <row r="2241" spans="1:18" x14ac:dyDescent="0.25">
      <c r="A2241" t="s">
        <v>2325</v>
      </c>
      <c r="B2241" t="s">
        <v>54</v>
      </c>
      <c r="C2241" t="s">
        <v>55</v>
      </c>
      <c r="D2241" t="s">
        <v>56</v>
      </c>
      <c r="E2241" t="s">
        <v>62</v>
      </c>
      <c r="F2241" t="s">
        <v>167</v>
      </c>
      <c r="G2241" t="s">
        <v>46</v>
      </c>
      <c r="H2241" s="1">
        <v>45435</v>
      </c>
      <c r="I2241" t="s">
        <v>47</v>
      </c>
      <c r="J2241" t="s">
        <v>1991</v>
      </c>
      <c r="K2241">
        <v>2</v>
      </c>
      <c r="N2241">
        <v>2686</v>
      </c>
      <c r="O2241">
        <v>70</v>
      </c>
      <c r="P2241" s="1">
        <v>45704</v>
      </c>
      <c r="Q2241" s="1"/>
      <c r="R2241" t="str">
        <f>IF(Table1[[#This Row],[Actual close date]]="","",Table1[[#This Row],[Actual close date]]-Table1[[#This Row],[Expected close date]])</f>
        <v/>
      </c>
    </row>
    <row r="2242" spans="1:18" x14ac:dyDescent="0.25">
      <c r="A2242" t="s">
        <v>2326</v>
      </c>
      <c r="B2242" t="s">
        <v>39</v>
      </c>
      <c r="C2242" t="s">
        <v>40</v>
      </c>
      <c r="D2242" t="s">
        <v>41</v>
      </c>
      <c r="E2242" t="s">
        <v>74</v>
      </c>
      <c r="F2242" t="s">
        <v>167</v>
      </c>
      <c r="G2242" t="s">
        <v>31</v>
      </c>
      <c r="H2242" s="1">
        <v>45394</v>
      </c>
      <c r="I2242" t="s">
        <v>64</v>
      </c>
      <c r="J2242" t="s">
        <v>1991</v>
      </c>
      <c r="K2242">
        <v>2</v>
      </c>
      <c r="N2242">
        <v>7610</v>
      </c>
      <c r="O2242">
        <v>40</v>
      </c>
      <c r="P2242" s="1">
        <v>45633</v>
      </c>
      <c r="Q2242" s="1"/>
      <c r="R2242" t="str">
        <f>IF(Table1[[#This Row],[Actual close date]]="","",Table1[[#This Row],[Actual close date]]-Table1[[#This Row],[Expected close date]])</f>
        <v/>
      </c>
    </row>
    <row r="2243" spans="1:18" x14ac:dyDescent="0.25">
      <c r="A2243" t="s">
        <v>2327</v>
      </c>
      <c r="B2243" t="s">
        <v>76</v>
      </c>
      <c r="C2243" t="s">
        <v>77</v>
      </c>
      <c r="D2243" t="s">
        <v>78</v>
      </c>
      <c r="E2243" t="s">
        <v>21</v>
      </c>
      <c r="F2243" t="s">
        <v>167</v>
      </c>
      <c r="G2243" t="s">
        <v>31</v>
      </c>
      <c r="H2243" s="1">
        <v>45328</v>
      </c>
      <c r="I2243" t="s">
        <v>24</v>
      </c>
      <c r="J2243" t="s">
        <v>1991</v>
      </c>
      <c r="K2243">
        <v>2</v>
      </c>
      <c r="N2243">
        <v>5020</v>
      </c>
      <c r="O2243">
        <v>30</v>
      </c>
      <c r="P2243" s="1">
        <v>45598</v>
      </c>
      <c r="Q2243" s="1"/>
      <c r="R2243" t="str">
        <f>IF(Table1[[#This Row],[Actual close date]]="","",Table1[[#This Row],[Actual close date]]-Table1[[#This Row],[Expected close date]])</f>
        <v/>
      </c>
    </row>
    <row r="2244" spans="1:18" x14ac:dyDescent="0.25">
      <c r="A2244" t="s">
        <v>2328</v>
      </c>
      <c r="B2244" t="s">
        <v>39</v>
      </c>
      <c r="C2244" t="s">
        <v>40</v>
      </c>
      <c r="D2244" t="s">
        <v>41</v>
      </c>
      <c r="E2244" t="s">
        <v>42</v>
      </c>
      <c r="F2244" t="s">
        <v>167</v>
      </c>
      <c r="G2244" t="s">
        <v>57</v>
      </c>
      <c r="H2244" s="1">
        <v>45434</v>
      </c>
      <c r="I2244" t="s">
        <v>24</v>
      </c>
      <c r="J2244" t="s">
        <v>1991</v>
      </c>
      <c r="K2244">
        <v>2</v>
      </c>
      <c r="N2244">
        <v>5132</v>
      </c>
      <c r="O2244">
        <v>30</v>
      </c>
      <c r="P2244" s="1">
        <v>45786</v>
      </c>
      <c r="Q2244" s="1"/>
      <c r="R2244" t="str">
        <f>IF(Table1[[#This Row],[Actual close date]]="","",Table1[[#This Row],[Actual close date]]-Table1[[#This Row],[Expected close date]])</f>
        <v/>
      </c>
    </row>
    <row r="2245" spans="1:18" x14ac:dyDescent="0.25">
      <c r="A2245" t="s">
        <v>2329</v>
      </c>
      <c r="B2245" t="s">
        <v>54</v>
      </c>
      <c r="C2245" t="s">
        <v>55</v>
      </c>
      <c r="D2245" t="s">
        <v>56</v>
      </c>
      <c r="E2245" t="s">
        <v>101</v>
      </c>
      <c r="F2245" t="s">
        <v>167</v>
      </c>
      <c r="G2245" t="s">
        <v>37</v>
      </c>
      <c r="H2245" s="1">
        <v>45411</v>
      </c>
      <c r="I2245" t="s">
        <v>24</v>
      </c>
      <c r="J2245" t="s">
        <v>1991</v>
      </c>
      <c r="K2245">
        <v>2</v>
      </c>
      <c r="N2245">
        <v>4531</v>
      </c>
      <c r="O2245">
        <v>30</v>
      </c>
      <c r="P2245" s="1">
        <v>45463</v>
      </c>
      <c r="Q2245" s="1"/>
      <c r="R2245" t="str">
        <f>IF(Table1[[#This Row],[Actual close date]]="","",Table1[[#This Row],[Actual close date]]-Table1[[#This Row],[Expected close date]])</f>
        <v/>
      </c>
    </row>
    <row r="2246" spans="1:18" x14ac:dyDescent="0.25">
      <c r="A2246" t="s">
        <v>2330</v>
      </c>
      <c r="B2246" t="s">
        <v>59</v>
      </c>
      <c r="C2246" t="s">
        <v>60</v>
      </c>
      <c r="D2246" t="s">
        <v>61</v>
      </c>
      <c r="E2246" t="s">
        <v>45</v>
      </c>
      <c r="F2246" t="s">
        <v>167</v>
      </c>
      <c r="G2246" t="s">
        <v>37</v>
      </c>
      <c r="H2246" s="1">
        <v>45297</v>
      </c>
      <c r="I2246" t="s">
        <v>24</v>
      </c>
      <c r="J2246" t="s">
        <v>1991</v>
      </c>
      <c r="K2246">
        <v>2</v>
      </c>
      <c r="N2246">
        <v>5617</v>
      </c>
      <c r="O2246">
        <v>40</v>
      </c>
      <c r="P2246" s="1">
        <v>45541</v>
      </c>
      <c r="Q2246" s="1"/>
      <c r="R2246" t="str">
        <f>IF(Table1[[#This Row],[Actual close date]]="","",Table1[[#This Row],[Actual close date]]-Table1[[#This Row],[Expected close date]])</f>
        <v/>
      </c>
    </row>
    <row r="2247" spans="1:18" x14ac:dyDescent="0.25">
      <c r="A2247" t="s">
        <v>2331</v>
      </c>
      <c r="B2247" t="s">
        <v>76</v>
      </c>
      <c r="C2247" t="s">
        <v>77</v>
      </c>
      <c r="D2247" t="s">
        <v>78</v>
      </c>
      <c r="E2247" t="s">
        <v>52</v>
      </c>
      <c r="F2247" t="s">
        <v>167</v>
      </c>
      <c r="G2247" t="s">
        <v>46</v>
      </c>
      <c r="H2247" s="1">
        <v>45322</v>
      </c>
      <c r="I2247" t="s">
        <v>64</v>
      </c>
      <c r="J2247" t="s">
        <v>1991</v>
      </c>
      <c r="K2247">
        <v>2</v>
      </c>
      <c r="N2247">
        <v>1250</v>
      </c>
      <c r="O2247">
        <v>50</v>
      </c>
      <c r="P2247" s="1">
        <v>45419</v>
      </c>
      <c r="Q2247" s="1"/>
      <c r="R2247" t="str">
        <f>IF(Table1[[#This Row],[Actual close date]]="","",Table1[[#This Row],[Actual close date]]-Table1[[#This Row],[Expected close date]])</f>
        <v/>
      </c>
    </row>
    <row r="2248" spans="1:18" x14ac:dyDescent="0.25">
      <c r="A2248" t="s">
        <v>2332</v>
      </c>
      <c r="B2248" t="s">
        <v>59</v>
      </c>
      <c r="C2248" t="s">
        <v>60</v>
      </c>
      <c r="D2248" t="s">
        <v>61</v>
      </c>
      <c r="E2248" t="s">
        <v>98</v>
      </c>
      <c r="F2248" t="s">
        <v>167</v>
      </c>
      <c r="G2248" t="s">
        <v>83</v>
      </c>
      <c r="H2248" s="1">
        <v>45394</v>
      </c>
      <c r="I2248" t="s">
        <v>64</v>
      </c>
      <c r="J2248" t="s">
        <v>1991</v>
      </c>
      <c r="K2248">
        <v>2</v>
      </c>
      <c r="N2248">
        <v>3831</v>
      </c>
      <c r="O2248">
        <v>60</v>
      </c>
      <c r="P2248" s="1">
        <v>45568</v>
      </c>
      <c r="Q2248" s="1"/>
      <c r="R2248" t="str">
        <f>IF(Table1[[#This Row],[Actual close date]]="","",Table1[[#This Row],[Actual close date]]-Table1[[#This Row],[Expected close date]])</f>
        <v/>
      </c>
    </row>
    <row r="2249" spans="1:18" x14ac:dyDescent="0.25">
      <c r="A2249" t="s">
        <v>2333</v>
      </c>
      <c r="B2249" t="s">
        <v>59</v>
      </c>
      <c r="C2249" t="s">
        <v>60</v>
      </c>
      <c r="D2249" t="s">
        <v>61</v>
      </c>
      <c r="E2249" t="s">
        <v>66</v>
      </c>
      <c r="F2249" t="s">
        <v>167</v>
      </c>
      <c r="G2249" t="s">
        <v>46</v>
      </c>
      <c r="H2249" s="1">
        <v>45353</v>
      </c>
      <c r="I2249" t="s">
        <v>47</v>
      </c>
      <c r="J2249" t="s">
        <v>1991</v>
      </c>
      <c r="K2249">
        <v>2</v>
      </c>
      <c r="N2249">
        <v>3962</v>
      </c>
      <c r="O2249">
        <v>50</v>
      </c>
      <c r="P2249" s="1">
        <v>45496</v>
      </c>
      <c r="Q2249" s="1"/>
      <c r="R2249" t="str">
        <f>IF(Table1[[#This Row],[Actual close date]]="","",Table1[[#This Row],[Actual close date]]-Table1[[#This Row],[Expected close date]])</f>
        <v/>
      </c>
    </row>
    <row r="2250" spans="1:18" x14ac:dyDescent="0.25">
      <c r="A2250" t="s">
        <v>2334</v>
      </c>
      <c r="B2250" t="s">
        <v>33</v>
      </c>
      <c r="C2250" t="s">
        <v>34</v>
      </c>
      <c r="D2250" t="s">
        <v>35</v>
      </c>
      <c r="E2250" t="s">
        <v>45</v>
      </c>
      <c r="F2250" t="s">
        <v>167</v>
      </c>
      <c r="G2250" t="s">
        <v>46</v>
      </c>
      <c r="H2250" s="1">
        <v>45315</v>
      </c>
      <c r="I2250" t="s">
        <v>64</v>
      </c>
      <c r="J2250" t="s">
        <v>1991</v>
      </c>
      <c r="K2250">
        <v>2</v>
      </c>
      <c r="N2250">
        <v>3657</v>
      </c>
      <c r="O2250">
        <v>40</v>
      </c>
      <c r="P2250" s="1">
        <v>45396</v>
      </c>
      <c r="Q2250" s="1"/>
      <c r="R2250" t="str">
        <f>IF(Table1[[#This Row],[Actual close date]]="","",Table1[[#This Row],[Actual close date]]-Table1[[#This Row],[Expected close date]])</f>
        <v/>
      </c>
    </row>
    <row r="2251" spans="1:18" x14ac:dyDescent="0.25">
      <c r="A2251" t="s">
        <v>2335</v>
      </c>
      <c r="B2251" t="s">
        <v>39</v>
      </c>
      <c r="C2251" t="s">
        <v>40</v>
      </c>
      <c r="D2251" t="s">
        <v>41</v>
      </c>
      <c r="E2251" t="s">
        <v>30</v>
      </c>
      <c r="F2251" t="s">
        <v>167</v>
      </c>
      <c r="G2251" t="s">
        <v>57</v>
      </c>
      <c r="H2251" s="1">
        <v>45345</v>
      </c>
      <c r="I2251" t="s">
        <v>47</v>
      </c>
      <c r="J2251" t="s">
        <v>1991</v>
      </c>
      <c r="K2251">
        <v>2</v>
      </c>
      <c r="N2251">
        <v>3597</v>
      </c>
      <c r="O2251">
        <v>50</v>
      </c>
      <c r="P2251" s="1">
        <v>45416</v>
      </c>
      <c r="Q2251" s="1"/>
      <c r="R2251" t="str">
        <f>IF(Table1[[#This Row],[Actual close date]]="","",Table1[[#This Row],[Actual close date]]-Table1[[#This Row],[Expected close date]])</f>
        <v/>
      </c>
    </row>
    <row r="2252" spans="1:18" x14ac:dyDescent="0.25">
      <c r="A2252" t="s">
        <v>2336</v>
      </c>
      <c r="B2252" t="s">
        <v>27</v>
      </c>
      <c r="C2252" t="s">
        <v>28</v>
      </c>
      <c r="D2252" t="s">
        <v>29</v>
      </c>
      <c r="E2252" t="s">
        <v>82</v>
      </c>
      <c r="F2252" t="s">
        <v>167</v>
      </c>
      <c r="G2252" t="s">
        <v>83</v>
      </c>
      <c r="H2252" s="1">
        <v>45304</v>
      </c>
      <c r="I2252" t="s">
        <v>24</v>
      </c>
      <c r="J2252" t="s">
        <v>1991</v>
      </c>
      <c r="K2252">
        <v>2</v>
      </c>
      <c r="N2252">
        <v>5065</v>
      </c>
      <c r="O2252">
        <v>100</v>
      </c>
      <c r="P2252" s="1">
        <v>45606</v>
      </c>
      <c r="Q2252" s="1"/>
      <c r="R2252" t="str">
        <f>IF(Table1[[#This Row],[Actual close date]]="","",Table1[[#This Row],[Actual close date]]-Table1[[#This Row],[Expected close date]])</f>
        <v/>
      </c>
    </row>
    <row r="2253" spans="1:18" x14ac:dyDescent="0.25">
      <c r="A2253" t="s">
        <v>2337</v>
      </c>
      <c r="B2253" t="s">
        <v>54</v>
      </c>
      <c r="C2253" t="s">
        <v>55</v>
      </c>
      <c r="D2253" t="s">
        <v>56</v>
      </c>
      <c r="E2253" t="s">
        <v>74</v>
      </c>
      <c r="F2253" t="s">
        <v>167</v>
      </c>
      <c r="G2253" t="s">
        <v>37</v>
      </c>
      <c r="H2253" s="1">
        <v>45401</v>
      </c>
      <c r="I2253" t="s">
        <v>64</v>
      </c>
      <c r="J2253" t="s">
        <v>1991</v>
      </c>
      <c r="K2253">
        <v>2</v>
      </c>
      <c r="N2253">
        <v>6487</v>
      </c>
      <c r="O2253">
        <v>20</v>
      </c>
      <c r="P2253" s="1">
        <v>45556</v>
      </c>
      <c r="Q2253" s="1"/>
      <c r="R2253" t="str">
        <f>IF(Table1[[#This Row],[Actual close date]]="","",Table1[[#This Row],[Actual close date]]-Table1[[#This Row],[Expected close date]])</f>
        <v/>
      </c>
    </row>
    <row r="2254" spans="1:18" x14ac:dyDescent="0.25">
      <c r="A2254" t="s">
        <v>2338</v>
      </c>
      <c r="B2254" t="s">
        <v>33</v>
      </c>
      <c r="C2254" t="s">
        <v>34</v>
      </c>
      <c r="D2254" t="s">
        <v>35</v>
      </c>
      <c r="E2254" t="s">
        <v>52</v>
      </c>
      <c r="F2254" t="s">
        <v>167</v>
      </c>
      <c r="G2254" t="s">
        <v>31</v>
      </c>
      <c r="H2254" s="1">
        <v>45394</v>
      </c>
      <c r="I2254" t="s">
        <v>47</v>
      </c>
      <c r="J2254" t="s">
        <v>1991</v>
      </c>
      <c r="K2254">
        <v>2</v>
      </c>
      <c r="N2254">
        <v>4611</v>
      </c>
      <c r="O2254">
        <v>90</v>
      </c>
      <c r="P2254" s="1">
        <v>45447</v>
      </c>
      <c r="Q2254" s="1"/>
      <c r="R2254" t="str">
        <f>IF(Table1[[#This Row],[Actual close date]]="","",Table1[[#This Row],[Actual close date]]-Table1[[#This Row],[Expected close date]])</f>
        <v/>
      </c>
    </row>
    <row r="2255" spans="1:18" x14ac:dyDescent="0.25">
      <c r="A2255" t="s">
        <v>2339</v>
      </c>
      <c r="B2255" t="s">
        <v>33</v>
      </c>
      <c r="C2255" t="s">
        <v>34</v>
      </c>
      <c r="D2255" t="s">
        <v>35</v>
      </c>
      <c r="E2255" t="s">
        <v>74</v>
      </c>
      <c r="F2255" t="s">
        <v>167</v>
      </c>
      <c r="G2255" t="s">
        <v>83</v>
      </c>
      <c r="H2255" s="1">
        <v>45401</v>
      </c>
      <c r="I2255" t="s">
        <v>47</v>
      </c>
      <c r="J2255" t="s">
        <v>1991</v>
      </c>
      <c r="K2255">
        <v>2</v>
      </c>
      <c r="N2255">
        <v>2657</v>
      </c>
      <c r="O2255">
        <v>30</v>
      </c>
      <c r="P2255" s="1">
        <v>45571</v>
      </c>
      <c r="Q2255" s="1"/>
      <c r="R2255" t="str">
        <f>IF(Table1[[#This Row],[Actual close date]]="","",Table1[[#This Row],[Actual close date]]-Table1[[#This Row],[Expected close date]])</f>
        <v/>
      </c>
    </row>
    <row r="2256" spans="1:18" x14ac:dyDescent="0.25">
      <c r="A2256" t="s">
        <v>2340</v>
      </c>
      <c r="B2256" t="s">
        <v>49</v>
      </c>
      <c r="C2256" t="s">
        <v>50</v>
      </c>
      <c r="D2256" t="s">
        <v>51</v>
      </c>
      <c r="E2256" t="s">
        <v>101</v>
      </c>
      <c r="F2256" t="s">
        <v>167</v>
      </c>
      <c r="G2256" t="s">
        <v>23</v>
      </c>
      <c r="H2256" s="1">
        <v>45328</v>
      </c>
      <c r="I2256" t="s">
        <v>24</v>
      </c>
      <c r="J2256" t="s">
        <v>1991</v>
      </c>
      <c r="K2256">
        <v>2</v>
      </c>
      <c r="N2256">
        <v>5314</v>
      </c>
      <c r="O2256">
        <v>10</v>
      </c>
      <c r="P2256" s="1">
        <v>45502</v>
      </c>
      <c r="Q2256" s="1"/>
      <c r="R2256" t="str">
        <f>IF(Table1[[#This Row],[Actual close date]]="","",Table1[[#This Row],[Actual close date]]-Table1[[#This Row],[Expected close date]])</f>
        <v/>
      </c>
    </row>
    <row r="2257" spans="1:18" x14ac:dyDescent="0.25">
      <c r="A2257" t="s">
        <v>2341</v>
      </c>
      <c r="B2257" t="s">
        <v>39</v>
      </c>
      <c r="C2257" t="s">
        <v>40</v>
      </c>
      <c r="D2257" t="s">
        <v>41</v>
      </c>
      <c r="E2257" t="s">
        <v>101</v>
      </c>
      <c r="F2257" t="s">
        <v>167</v>
      </c>
      <c r="G2257" t="s">
        <v>83</v>
      </c>
      <c r="H2257" s="1">
        <v>45347</v>
      </c>
      <c r="I2257" t="s">
        <v>64</v>
      </c>
      <c r="J2257" t="s">
        <v>1991</v>
      </c>
      <c r="K2257">
        <v>2</v>
      </c>
      <c r="N2257">
        <v>7450</v>
      </c>
      <c r="O2257">
        <v>70</v>
      </c>
      <c r="P2257" s="1">
        <v>45413</v>
      </c>
      <c r="Q2257" s="1"/>
      <c r="R2257" t="str">
        <f>IF(Table1[[#This Row],[Actual close date]]="","",Table1[[#This Row],[Actual close date]]-Table1[[#This Row],[Expected close date]])</f>
        <v/>
      </c>
    </row>
    <row r="2258" spans="1:18" x14ac:dyDescent="0.25">
      <c r="A2258" t="s">
        <v>2342</v>
      </c>
      <c r="B2258" t="s">
        <v>76</v>
      </c>
      <c r="C2258" t="s">
        <v>77</v>
      </c>
      <c r="D2258" t="s">
        <v>78</v>
      </c>
      <c r="E2258" t="s">
        <v>30</v>
      </c>
      <c r="F2258" t="s">
        <v>167</v>
      </c>
      <c r="G2258" t="s">
        <v>72</v>
      </c>
      <c r="H2258" s="1">
        <v>45378</v>
      </c>
      <c r="I2258" t="s">
        <v>24</v>
      </c>
      <c r="J2258" t="s">
        <v>1991</v>
      </c>
      <c r="K2258">
        <v>2</v>
      </c>
      <c r="N2258">
        <v>5717</v>
      </c>
      <c r="O2258">
        <v>60</v>
      </c>
      <c r="P2258" s="1">
        <v>45564</v>
      </c>
      <c r="Q2258" s="1"/>
      <c r="R2258" t="str">
        <f>IF(Table1[[#This Row],[Actual close date]]="","",Table1[[#This Row],[Actual close date]]-Table1[[#This Row],[Expected close date]])</f>
        <v/>
      </c>
    </row>
    <row r="2259" spans="1:18" x14ac:dyDescent="0.25">
      <c r="A2259" t="s">
        <v>2343</v>
      </c>
      <c r="B2259" t="s">
        <v>39</v>
      </c>
      <c r="C2259" t="s">
        <v>40</v>
      </c>
      <c r="D2259" t="s">
        <v>41</v>
      </c>
      <c r="E2259" t="s">
        <v>101</v>
      </c>
      <c r="F2259" t="s">
        <v>167</v>
      </c>
      <c r="G2259" t="s">
        <v>37</v>
      </c>
      <c r="H2259" s="1">
        <v>45357</v>
      </c>
      <c r="I2259" t="s">
        <v>24</v>
      </c>
      <c r="J2259" t="s">
        <v>1991</v>
      </c>
      <c r="K2259">
        <v>2</v>
      </c>
      <c r="N2259">
        <v>1475</v>
      </c>
      <c r="O2259">
        <v>20</v>
      </c>
      <c r="P2259" s="1">
        <v>45418</v>
      </c>
      <c r="Q2259" s="1"/>
      <c r="R2259" t="str">
        <f>IF(Table1[[#This Row],[Actual close date]]="","",Table1[[#This Row],[Actual close date]]-Table1[[#This Row],[Expected close date]])</f>
        <v/>
      </c>
    </row>
    <row r="2260" spans="1:18" x14ac:dyDescent="0.25">
      <c r="A2260" t="s">
        <v>2344</v>
      </c>
      <c r="B2260" t="s">
        <v>54</v>
      </c>
      <c r="C2260" t="s">
        <v>55</v>
      </c>
      <c r="D2260" t="s">
        <v>56</v>
      </c>
      <c r="E2260" t="s">
        <v>45</v>
      </c>
      <c r="F2260" t="s">
        <v>167</v>
      </c>
      <c r="G2260" t="s">
        <v>46</v>
      </c>
      <c r="H2260" s="1">
        <v>45319</v>
      </c>
      <c r="I2260" t="s">
        <v>64</v>
      </c>
      <c r="J2260" t="s">
        <v>1991</v>
      </c>
      <c r="K2260">
        <v>2</v>
      </c>
      <c r="N2260">
        <v>623</v>
      </c>
      <c r="O2260">
        <v>20</v>
      </c>
      <c r="P2260" s="1">
        <v>45412</v>
      </c>
      <c r="Q2260" s="1"/>
      <c r="R2260" t="str">
        <f>IF(Table1[[#This Row],[Actual close date]]="","",Table1[[#This Row],[Actual close date]]-Table1[[#This Row],[Expected close date]])</f>
        <v/>
      </c>
    </row>
    <row r="2261" spans="1:18" x14ac:dyDescent="0.25">
      <c r="A2261" t="s">
        <v>2345</v>
      </c>
      <c r="B2261" t="s">
        <v>59</v>
      </c>
      <c r="C2261" t="s">
        <v>60</v>
      </c>
      <c r="D2261" t="s">
        <v>61</v>
      </c>
      <c r="E2261" t="s">
        <v>52</v>
      </c>
      <c r="F2261" t="s">
        <v>167</v>
      </c>
      <c r="G2261" t="s">
        <v>85</v>
      </c>
      <c r="H2261" s="1">
        <v>45429</v>
      </c>
      <c r="I2261" t="s">
        <v>47</v>
      </c>
      <c r="J2261" t="s">
        <v>1991</v>
      </c>
      <c r="K2261">
        <v>2</v>
      </c>
      <c r="N2261">
        <v>4917</v>
      </c>
      <c r="O2261">
        <v>20</v>
      </c>
      <c r="P2261" s="1">
        <v>45670</v>
      </c>
      <c r="Q2261" s="1"/>
      <c r="R2261" t="str">
        <f>IF(Table1[[#This Row],[Actual close date]]="","",Table1[[#This Row],[Actual close date]]-Table1[[#This Row],[Expected close date]])</f>
        <v/>
      </c>
    </row>
    <row r="2262" spans="1:18" x14ac:dyDescent="0.25">
      <c r="A2262" t="s">
        <v>2346</v>
      </c>
      <c r="B2262" t="s">
        <v>54</v>
      </c>
      <c r="C2262" t="s">
        <v>55</v>
      </c>
      <c r="D2262" t="s">
        <v>56</v>
      </c>
      <c r="E2262" t="s">
        <v>101</v>
      </c>
      <c r="F2262" t="s">
        <v>167</v>
      </c>
      <c r="G2262" t="s">
        <v>37</v>
      </c>
      <c r="H2262" s="1">
        <v>45346</v>
      </c>
      <c r="I2262" t="s">
        <v>64</v>
      </c>
      <c r="J2262" t="s">
        <v>1991</v>
      </c>
      <c r="K2262">
        <v>2</v>
      </c>
      <c r="N2262">
        <v>7208</v>
      </c>
      <c r="O2262">
        <v>50</v>
      </c>
      <c r="P2262" s="1">
        <v>45583</v>
      </c>
      <c r="Q2262" s="1"/>
      <c r="R2262" t="str">
        <f>IF(Table1[[#This Row],[Actual close date]]="","",Table1[[#This Row],[Actual close date]]-Table1[[#This Row],[Expected close date]])</f>
        <v/>
      </c>
    </row>
    <row r="2263" spans="1:18" x14ac:dyDescent="0.25">
      <c r="A2263" t="s">
        <v>2347</v>
      </c>
      <c r="B2263" t="s">
        <v>54</v>
      </c>
      <c r="C2263" t="s">
        <v>55</v>
      </c>
      <c r="D2263" t="s">
        <v>56</v>
      </c>
      <c r="E2263" t="s">
        <v>66</v>
      </c>
      <c r="F2263" t="s">
        <v>167</v>
      </c>
      <c r="G2263" t="s">
        <v>37</v>
      </c>
      <c r="H2263" s="1">
        <v>45300</v>
      </c>
      <c r="I2263" t="s">
        <v>24</v>
      </c>
      <c r="J2263" t="s">
        <v>1991</v>
      </c>
      <c r="K2263">
        <v>2</v>
      </c>
      <c r="N2263">
        <v>4534</v>
      </c>
      <c r="O2263">
        <v>10</v>
      </c>
      <c r="P2263" s="1">
        <v>45332</v>
      </c>
      <c r="Q2263" s="1"/>
      <c r="R2263" t="str">
        <f>IF(Table1[[#This Row],[Actual close date]]="","",Table1[[#This Row],[Actual close date]]-Table1[[#This Row],[Expected close date]])</f>
        <v/>
      </c>
    </row>
    <row r="2264" spans="1:18" x14ac:dyDescent="0.25">
      <c r="A2264" t="s">
        <v>2348</v>
      </c>
      <c r="B2264" t="s">
        <v>33</v>
      </c>
      <c r="C2264" t="s">
        <v>34</v>
      </c>
      <c r="D2264" t="s">
        <v>35</v>
      </c>
      <c r="E2264" t="s">
        <v>36</v>
      </c>
      <c r="F2264" t="s">
        <v>167</v>
      </c>
      <c r="G2264" t="s">
        <v>46</v>
      </c>
      <c r="H2264" s="1">
        <v>45388</v>
      </c>
      <c r="I2264" t="s">
        <v>24</v>
      </c>
      <c r="J2264" t="s">
        <v>1991</v>
      </c>
      <c r="K2264">
        <v>2</v>
      </c>
      <c r="N2264">
        <v>7112</v>
      </c>
      <c r="O2264">
        <v>40</v>
      </c>
      <c r="P2264" s="1">
        <v>45529</v>
      </c>
      <c r="Q2264" s="1"/>
      <c r="R2264" t="str">
        <f>IF(Table1[[#This Row],[Actual close date]]="","",Table1[[#This Row],[Actual close date]]-Table1[[#This Row],[Expected close date]])</f>
        <v/>
      </c>
    </row>
    <row r="2265" spans="1:18" x14ac:dyDescent="0.25">
      <c r="A2265" t="s">
        <v>2349</v>
      </c>
      <c r="B2265" t="s">
        <v>33</v>
      </c>
      <c r="C2265" t="s">
        <v>34</v>
      </c>
      <c r="D2265" t="s">
        <v>35</v>
      </c>
      <c r="E2265" t="s">
        <v>21</v>
      </c>
      <c r="F2265" t="s">
        <v>167</v>
      </c>
      <c r="G2265" t="s">
        <v>31</v>
      </c>
      <c r="H2265" s="1">
        <v>45300</v>
      </c>
      <c r="I2265" t="s">
        <v>64</v>
      </c>
      <c r="J2265" t="s">
        <v>1991</v>
      </c>
      <c r="K2265">
        <v>2</v>
      </c>
      <c r="N2265">
        <v>2505</v>
      </c>
      <c r="O2265">
        <v>60</v>
      </c>
      <c r="P2265" s="1">
        <v>45545</v>
      </c>
      <c r="Q2265" s="1"/>
      <c r="R2265" t="str">
        <f>IF(Table1[[#This Row],[Actual close date]]="","",Table1[[#This Row],[Actual close date]]-Table1[[#This Row],[Expected close date]])</f>
        <v/>
      </c>
    </row>
    <row r="2266" spans="1:18" x14ac:dyDescent="0.25">
      <c r="A2266" t="s">
        <v>2350</v>
      </c>
      <c r="B2266" t="s">
        <v>33</v>
      </c>
      <c r="C2266" t="s">
        <v>34</v>
      </c>
      <c r="D2266" t="s">
        <v>35</v>
      </c>
      <c r="E2266" t="s">
        <v>21</v>
      </c>
      <c r="F2266" t="s">
        <v>167</v>
      </c>
      <c r="G2266" t="s">
        <v>57</v>
      </c>
      <c r="H2266" s="1">
        <v>45370</v>
      </c>
      <c r="I2266" t="s">
        <v>64</v>
      </c>
      <c r="J2266" t="s">
        <v>1991</v>
      </c>
      <c r="K2266">
        <v>2</v>
      </c>
      <c r="N2266">
        <v>2181</v>
      </c>
      <c r="O2266">
        <v>100</v>
      </c>
      <c r="P2266" s="1">
        <v>45616</v>
      </c>
      <c r="Q2266" s="1"/>
      <c r="R2266" t="str">
        <f>IF(Table1[[#This Row],[Actual close date]]="","",Table1[[#This Row],[Actual close date]]-Table1[[#This Row],[Expected close date]])</f>
        <v/>
      </c>
    </row>
    <row r="2267" spans="1:18" x14ac:dyDescent="0.25">
      <c r="A2267" t="s">
        <v>2351</v>
      </c>
      <c r="B2267" t="s">
        <v>54</v>
      </c>
      <c r="C2267" t="s">
        <v>55</v>
      </c>
      <c r="D2267" t="s">
        <v>56</v>
      </c>
      <c r="E2267" t="s">
        <v>66</v>
      </c>
      <c r="F2267" t="s">
        <v>167</v>
      </c>
      <c r="G2267" t="s">
        <v>46</v>
      </c>
      <c r="H2267" s="1">
        <v>45302</v>
      </c>
      <c r="I2267" t="s">
        <v>64</v>
      </c>
      <c r="J2267" t="s">
        <v>1991</v>
      </c>
      <c r="K2267">
        <v>2</v>
      </c>
      <c r="N2267">
        <v>5144</v>
      </c>
      <c r="O2267">
        <v>40</v>
      </c>
      <c r="P2267" s="1">
        <v>45494</v>
      </c>
      <c r="Q2267" s="1"/>
      <c r="R2267" t="str">
        <f>IF(Table1[[#This Row],[Actual close date]]="","",Table1[[#This Row],[Actual close date]]-Table1[[#This Row],[Expected close date]])</f>
        <v/>
      </c>
    </row>
    <row r="2268" spans="1:18" x14ac:dyDescent="0.25">
      <c r="A2268" t="s">
        <v>2352</v>
      </c>
      <c r="B2268" t="s">
        <v>27</v>
      </c>
      <c r="C2268" t="s">
        <v>28</v>
      </c>
      <c r="D2268" t="s">
        <v>29</v>
      </c>
      <c r="E2268" t="s">
        <v>52</v>
      </c>
      <c r="F2268" t="s">
        <v>167</v>
      </c>
      <c r="G2268" t="s">
        <v>46</v>
      </c>
      <c r="H2268" s="1">
        <v>45311</v>
      </c>
      <c r="I2268" t="s">
        <v>24</v>
      </c>
      <c r="J2268" t="s">
        <v>1991</v>
      </c>
      <c r="K2268">
        <v>2</v>
      </c>
      <c r="N2268">
        <v>2097</v>
      </c>
      <c r="O2268">
        <v>20</v>
      </c>
      <c r="P2268" s="1">
        <v>45638</v>
      </c>
      <c r="Q2268" s="1"/>
      <c r="R2268" t="str">
        <f>IF(Table1[[#This Row],[Actual close date]]="","",Table1[[#This Row],[Actual close date]]-Table1[[#This Row],[Expected close date]])</f>
        <v/>
      </c>
    </row>
    <row r="2269" spans="1:18" x14ac:dyDescent="0.25">
      <c r="A2269" t="s">
        <v>2353</v>
      </c>
      <c r="B2269" t="s">
        <v>59</v>
      </c>
      <c r="C2269" t="s">
        <v>60</v>
      </c>
      <c r="D2269" t="s">
        <v>61</v>
      </c>
      <c r="E2269" t="s">
        <v>118</v>
      </c>
      <c r="F2269" t="s">
        <v>167</v>
      </c>
      <c r="G2269" t="s">
        <v>46</v>
      </c>
      <c r="H2269" s="1">
        <v>45429</v>
      </c>
      <c r="I2269" t="s">
        <v>47</v>
      </c>
      <c r="J2269" t="s">
        <v>1991</v>
      </c>
      <c r="K2269">
        <v>2</v>
      </c>
      <c r="N2269">
        <v>4640</v>
      </c>
      <c r="O2269">
        <v>20</v>
      </c>
      <c r="P2269" s="1">
        <v>45710</v>
      </c>
      <c r="Q2269" s="1"/>
      <c r="R2269" t="str">
        <f>IF(Table1[[#This Row],[Actual close date]]="","",Table1[[#This Row],[Actual close date]]-Table1[[#This Row],[Expected close date]])</f>
        <v/>
      </c>
    </row>
    <row r="2270" spans="1:18" x14ac:dyDescent="0.25">
      <c r="A2270" t="s">
        <v>2354</v>
      </c>
      <c r="B2270" t="s">
        <v>59</v>
      </c>
      <c r="C2270" t="s">
        <v>60</v>
      </c>
      <c r="D2270" t="s">
        <v>61</v>
      </c>
      <c r="E2270" t="s">
        <v>122</v>
      </c>
      <c r="F2270" t="s">
        <v>167</v>
      </c>
      <c r="G2270" t="s">
        <v>46</v>
      </c>
      <c r="H2270" s="1">
        <v>45331</v>
      </c>
      <c r="I2270" t="s">
        <v>24</v>
      </c>
      <c r="J2270" t="s">
        <v>1991</v>
      </c>
      <c r="K2270">
        <v>2</v>
      </c>
      <c r="N2270">
        <v>3447</v>
      </c>
      <c r="O2270">
        <v>40</v>
      </c>
      <c r="P2270" s="1">
        <v>45669</v>
      </c>
      <c r="Q2270" s="1"/>
      <c r="R2270" t="str">
        <f>IF(Table1[[#This Row],[Actual close date]]="","",Table1[[#This Row],[Actual close date]]-Table1[[#This Row],[Expected close date]])</f>
        <v/>
      </c>
    </row>
    <row r="2271" spans="1:18" x14ac:dyDescent="0.25">
      <c r="A2271" t="s">
        <v>2355</v>
      </c>
      <c r="B2271" t="s">
        <v>59</v>
      </c>
      <c r="C2271" t="s">
        <v>60</v>
      </c>
      <c r="D2271" t="s">
        <v>61</v>
      </c>
      <c r="E2271" t="s">
        <v>42</v>
      </c>
      <c r="F2271" t="s">
        <v>167</v>
      </c>
      <c r="G2271" t="s">
        <v>46</v>
      </c>
      <c r="H2271" s="1">
        <v>45368</v>
      </c>
      <c r="I2271" t="s">
        <v>24</v>
      </c>
      <c r="J2271" t="s">
        <v>1991</v>
      </c>
      <c r="K2271">
        <v>2</v>
      </c>
      <c r="N2271">
        <v>7072</v>
      </c>
      <c r="O2271">
        <v>80</v>
      </c>
      <c r="P2271" s="1">
        <v>45388</v>
      </c>
      <c r="Q2271" s="1"/>
      <c r="R2271" t="str">
        <f>IF(Table1[[#This Row],[Actual close date]]="","",Table1[[#This Row],[Actual close date]]-Table1[[#This Row],[Expected close date]])</f>
        <v/>
      </c>
    </row>
    <row r="2272" spans="1:18" x14ac:dyDescent="0.25">
      <c r="A2272" t="s">
        <v>2356</v>
      </c>
      <c r="B2272" t="s">
        <v>49</v>
      </c>
      <c r="C2272" t="s">
        <v>50</v>
      </c>
      <c r="D2272" t="s">
        <v>51</v>
      </c>
      <c r="E2272" t="s">
        <v>45</v>
      </c>
      <c r="F2272" t="s">
        <v>167</v>
      </c>
      <c r="G2272" t="s">
        <v>37</v>
      </c>
      <c r="H2272" s="1">
        <v>45349</v>
      </c>
      <c r="I2272" t="s">
        <v>64</v>
      </c>
      <c r="J2272" t="s">
        <v>1991</v>
      </c>
      <c r="K2272">
        <v>2</v>
      </c>
      <c r="N2272">
        <v>4044</v>
      </c>
      <c r="O2272">
        <v>40</v>
      </c>
      <c r="P2272" s="1">
        <v>45522</v>
      </c>
      <c r="Q2272" s="1"/>
      <c r="R2272" t="str">
        <f>IF(Table1[[#This Row],[Actual close date]]="","",Table1[[#This Row],[Actual close date]]-Table1[[#This Row],[Expected close date]])</f>
        <v/>
      </c>
    </row>
    <row r="2273" spans="1:18" x14ac:dyDescent="0.25">
      <c r="A2273" t="s">
        <v>2357</v>
      </c>
      <c r="B2273" t="s">
        <v>39</v>
      </c>
      <c r="C2273" t="s">
        <v>40</v>
      </c>
      <c r="D2273" t="s">
        <v>41</v>
      </c>
      <c r="E2273" t="s">
        <v>98</v>
      </c>
      <c r="F2273" t="s">
        <v>167</v>
      </c>
      <c r="G2273" t="s">
        <v>37</v>
      </c>
      <c r="H2273" s="1">
        <v>45322</v>
      </c>
      <c r="I2273" t="s">
        <v>24</v>
      </c>
      <c r="J2273" t="s">
        <v>1991</v>
      </c>
      <c r="K2273">
        <v>2</v>
      </c>
      <c r="N2273">
        <v>6569</v>
      </c>
      <c r="O2273">
        <v>90</v>
      </c>
      <c r="P2273" s="1">
        <v>45387</v>
      </c>
      <c r="Q2273" s="1"/>
      <c r="R2273" t="str">
        <f>IF(Table1[[#This Row],[Actual close date]]="","",Table1[[#This Row],[Actual close date]]-Table1[[#This Row],[Expected close date]])</f>
        <v/>
      </c>
    </row>
    <row r="2274" spans="1:18" x14ac:dyDescent="0.25">
      <c r="A2274" t="s">
        <v>2358</v>
      </c>
      <c r="B2274" t="s">
        <v>33</v>
      </c>
      <c r="C2274" t="s">
        <v>34</v>
      </c>
      <c r="D2274" t="s">
        <v>35</v>
      </c>
      <c r="E2274" t="s">
        <v>21</v>
      </c>
      <c r="F2274" t="s">
        <v>167</v>
      </c>
      <c r="G2274" t="s">
        <v>83</v>
      </c>
      <c r="H2274" s="1">
        <v>45368</v>
      </c>
      <c r="I2274" t="s">
        <v>64</v>
      </c>
      <c r="J2274" t="s">
        <v>1991</v>
      </c>
      <c r="K2274">
        <v>2</v>
      </c>
      <c r="N2274">
        <v>2969</v>
      </c>
      <c r="O2274">
        <v>30</v>
      </c>
      <c r="P2274" s="1">
        <v>45466</v>
      </c>
      <c r="Q2274" s="1"/>
      <c r="R2274" t="str">
        <f>IF(Table1[[#This Row],[Actual close date]]="","",Table1[[#This Row],[Actual close date]]-Table1[[#This Row],[Expected close date]])</f>
        <v/>
      </c>
    </row>
    <row r="2275" spans="1:18" x14ac:dyDescent="0.25">
      <c r="A2275" t="s">
        <v>2359</v>
      </c>
      <c r="B2275" t="s">
        <v>59</v>
      </c>
      <c r="C2275" t="s">
        <v>60</v>
      </c>
      <c r="D2275" t="s">
        <v>61</v>
      </c>
      <c r="E2275" t="s">
        <v>52</v>
      </c>
      <c r="F2275" t="s">
        <v>167</v>
      </c>
      <c r="G2275" t="s">
        <v>83</v>
      </c>
      <c r="H2275" s="1">
        <v>45328</v>
      </c>
      <c r="I2275" t="s">
        <v>47</v>
      </c>
      <c r="J2275" t="s">
        <v>1991</v>
      </c>
      <c r="K2275">
        <v>2</v>
      </c>
      <c r="N2275">
        <v>4957</v>
      </c>
      <c r="O2275">
        <v>90</v>
      </c>
      <c r="P2275" s="1">
        <v>45640</v>
      </c>
      <c r="Q2275" s="1"/>
      <c r="R2275" t="str">
        <f>IF(Table1[[#This Row],[Actual close date]]="","",Table1[[#This Row],[Actual close date]]-Table1[[#This Row],[Expected close date]])</f>
        <v/>
      </c>
    </row>
    <row r="2276" spans="1:18" x14ac:dyDescent="0.25">
      <c r="A2276" t="s">
        <v>2360</v>
      </c>
      <c r="B2276" t="s">
        <v>33</v>
      </c>
      <c r="C2276" t="s">
        <v>34</v>
      </c>
      <c r="D2276" t="s">
        <v>35</v>
      </c>
      <c r="E2276" t="s">
        <v>52</v>
      </c>
      <c r="F2276" t="s">
        <v>167</v>
      </c>
      <c r="G2276" t="s">
        <v>57</v>
      </c>
      <c r="H2276" s="1">
        <v>45424</v>
      </c>
      <c r="I2276" t="s">
        <v>64</v>
      </c>
      <c r="J2276" t="s">
        <v>1991</v>
      </c>
      <c r="K2276">
        <v>2</v>
      </c>
      <c r="N2276">
        <v>6457</v>
      </c>
      <c r="O2276">
        <v>30</v>
      </c>
      <c r="P2276" s="1">
        <v>45722</v>
      </c>
      <c r="Q2276" s="1"/>
      <c r="R2276" t="str">
        <f>IF(Table1[[#This Row],[Actual close date]]="","",Table1[[#This Row],[Actual close date]]-Table1[[#This Row],[Expected close date]])</f>
        <v/>
      </c>
    </row>
    <row r="2277" spans="1:18" x14ac:dyDescent="0.25">
      <c r="A2277" t="s">
        <v>2361</v>
      </c>
      <c r="B2277" t="s">
        <v>76</v>
      </c>
      <c r="C2277" t="s">
        <v>77</v>
      </c>
      <c r="D2277" t="s">
        <v>78</v>
      </c>
      <c r="E2277" t="s">
        <v>52</v>
      </c>
      <c r="F2277" t="s">
        <v>167</v>
      </c>
      <c r="G2277" t="s">
        <v>31</v>
      </c>
      <c r="H2277" s="1">
        <v>45364</v>
      </c>
      <c r="I2277" t="s">
        <v>24</v>
      </c>
      <c r="J2277" t="s">
        <v>1991</v>
      </c>
      <c r="K2277">
        <v>2</v>
      </c>
      <c r="N2277">
        <v>2032</v>
      </c>
      <c r="O2277">
        <v>20</v>
      </c>
      <c r="P2277" s="1">
        <v>45728</v>
      </c>
      <c r="Q2277" s="1"/>
      <c r="R2277" t="str">
        <f>IF(Table1[[#This Row],[Actual close date]]="","",Table1[[#This Row],[Actual close date]]-Table1[[#This Row],[Expected close date]])</f>
        <v/>
      </c>
    </row>
    <row r="2278" spans="1:18" x14ac:dyDescent="0.25">
      <c r="A2278" t="s">
        <v>2362</v>
      </c>
      <c r="B2278" t="s">
        <v>76</v>
      </c>
      <c r="C2278" t="s">
        <v>77</v>
      </c>
      <c r="D2278" t="s">
        <v>78</v>
      </c>
      <c r="E2278" t="s">
        <v>45</v>
      </c>
      <c r="F2278" t="s">
        <v>167</v>
      </c>
      <c r="G2278" t="s">
        <v>31</v>
      </c>
      <c r="H2278" s="1">
        <v>45325</v>
      </c>
      <c r="I2278" t="s">
        <v>24</v>
      </c>
      <c r="J2278" t="s">
        <v>1991</v>
      </c>
      <c r="K2278">
        <v>2</v>
      </c>
      <c r="N2278">
        <v>1523</v>
      </c>
      <c r="O2278">
        <v>60</v>
      </c>
      <c r="P2278" s="1">
        <v>45669</v>
      </c>
      <c r="Q2278" s="1"/>
      <c r="R2278" t="str">
        <f>IF(Table1[[#This Row],[Actual close date]]="","",Table1[[#This Row],[Actual close date]]-Table1[[#This Row],[Expected close date]])</f>
        <v/>
      </c>
    </row>
    <row r="2279" spans="1:18" x14ac:dyDescent="0.25">
      <c r="A2279" t="s">
        <v>2363</v>
      </c>
      <c r="B2279" t="s">
        <v>18</v>
      </c>
      <c r="C2279" t="s">
        <v>19</v>
      </c>
      <c r="D2279" t="s">
        <v>20</v>
      </c>
      <c r="E2279" t="s">
        <v>21</v>
      </c>
      <c r="F2279" t="s">
        <v>167</v>
      </c>
      <c r="G2279" t="s">
        <v>46</v>
      </c>
      <c r="H2279" s="1">
        <v>45338</v>
      </c>
      <c r="I2279" t="s">
        <v>47</v>
      </c>
      <c r="J2279" t="s">
        <v>1991</v>
      </c>
      <c r="K2279">
        <v>2</v>
      </c>
      <c r="N2279">
        <v>4986</v>
      </c>
      <c r="O2279">
        <v>60</v>
      </c>
      <c r="P2279" s="1">
        <v>45655</v>
      </c>
      <c r="Q2279" s="1"/>
      <c r="R2279" t="str">
        <f>IF(Table1[[#This Row],[Actual close date]]="","",Table1[[#This Row],[Actual close date]]-Table1[[#This Row],[Expected close date]])</f>
        <v/>
      </c>
    </row>
    <row r="2280" spans="1:18" x14ac:dyDescent="0.25">
      <c r="A2280" t="s">
        <v>2364</v>
      </c>
      <c r="B2280" t="s">
        <v>27</v>
      </c>
      <c r="C2280" t="s">
        <v>28</v>
      </c>
      <c r="D2280" t="s">
        <v>29</v>
      </c>
      <c r="E2280" t="s">
        <v>21</v>
      </c>
      <c r="F2280" t="s">
        <v>167</v>
      </c>
      <c r="G2280" t="s">
        <v>46</v>
      </c>
      <c r="H2280" s="1">
        <v>45415</v>
      </c>
      <c r="I2280" t="s">
        <v>64</v>
      </c>
      <c r="J2280" t="s">
        <v>1991</v>
      </c>
      <c r="K2280">
        <v>2</v>
      </c>
      <c r="N2280">
        <v>3346</v>
      </c>
      <c r="O2280">
        <v>50</v>
      </c>
      <c r="P2280" s="1">
        <v>45741</v>
      </c>
      <c r="Q2280" s="1"/>
      <c r="R2280" t="str">
        <f>IF(Table1[[#This Row],[Actual close date]]="","",Table1[[#This Row],[Actual close date]]-Table1[[#This Row],[Expected close date]])</f>
        <v/>
      </c>
    </row>
    <row r="2281" spans="1:18" x14ac:dyDescent="0.25">
      <c r="A2281" t="s">
        <v>2365</v>
      </c>
      <c r="B2281" t="s">
        <v>69</v>
      </c>
      <c r="C2281" t="s">
        <v>70</v>
      </c>
      <c r="D2281" t="s">
        <v>71</v>
      </c>
      <c r="E2281" t="s">
        <v>62</v>
      </c>
      <c r="F2281" t="s">
        <v>167</v>
      </c>
      <c r="G2281" t="s">
        <v>57</v>
      </c>
      <c r="H2281" s="1">
        <v>45368</v>
      </c>
      <c r="I2281" t="s">
        <v>64</v>
      </c>
      <c r="J2281" t="s">
        <v>1991</v>
      </c>
      <c r="K2281">
        <v>2</v>
      </c>
      <c r="N2281">
        <v>6674</v>
      </c>
      <c r="O2281">
        <v>30</v>
      </c>
      <c r="P2281" s="1">
        <v>45545</v>
      </c>
      <c r="Q2281" s="1"/>
      <c r="R2281" t="str">
        <f>IF(Table1[[#This Row],[Actual close date]]="","",Table1[[#This Row],[Actual close date]]-Table1[[#This Row],[Expected close date]])</f>
        <v/>
      </c>
    </row>
    <row r="2282" spans="1:18" x14ac:dyDescent="0.25">
      <c r="A2282" t="s">
        <v>2366</v>
      </c>
      <c r="B2282" t="s">
        <v>39</v>
      </c>
      <c r="C2282" t="s">
        <v>40</v>
      </c>
      <c r="D2282" t="s">
        <v>41</v>
      </c>
      <c r="E2282" t="s">
        <v>21</v>
      </c>
      <c r="F2282" t="s">
        <v>167</v>
      </c>
      <c r="G2282" t="s">
        <v>46</v>
      </c>
      <c r="H2282" s="1">
        <v>45358</v>
      </c>
      <c r="I2282" t="s">
        <v>24</v>
      </c>
      <c r="J2282" t="s">
        <v>1991</v>
      </c>
      <c r="K2282">
        <v>2</v>
      </c>
      <c r="N2282">
        <v>7677</v>
      </c>
      <c r="O2282">
        <v>40</v>
      </c>
      <c r="P2282" s="1">
        <v>45564</v>
      </c>
      <c r="Q2282" s="1"/>
      <c r="R2282" t="str">
        <f>IF(Table1[[#This Row],[Actual close date]]="","",Table1[[#This Row],[Actual close date]]-Table1[[#This Row],[Expected close date]])</f>
        <v/>
      </c>
    </row>
    <row r="2283" spans="1:18" x14ac:dyDescent="0.25">
      <c r="A2283" t="s">
        <v>2367</v>
      </c>
      <c r="B2283" t="s">
        <v>33</v>
      </c>
      <c r="C2283" t="s">
        <v>34</v>
      </c>
      <c r="D2283" t="s">
        <v>35</v>
      </c>
      <c r="E2283" t="s">
        <v>42</v>
      </c>
      <c r="F2283" t="s">
        <v>167</v>
      </c>
      <c r="G2283" t="s">
        <v>57</v>
      </c>
      <c r="H2283" s="1">
        <v>45298</v>
      </c>
      <c r="I2283" t="s">
        <v>24</v>
      </c>
      <c r="J2283" t="s">
        <v>1991</v>
      </c>
      <c r="K2283">
        <v>2</v>
      </c>
      <c r="N2283">
        <v>1132</v>
      </c>
      <c r="O2283">
        <v>30</v>
      </c>
      <c r="P2283" s="1">
        <v>45452</v>
      </c>
      <c r="Q2283" s="1"/>
      <c r="R2283" t="str">
        <f>IF(Table1[[#This Row],[Actual close date]]="","",Table1[[#This Row],[Actual close date]]-Table1[[#This Row],[Expected close date]])</f>
        <v/>
      </c>
    </row>
    <row r="2284" spans="1:18" x14ac:dyDescent="0.25">
      <c r="A2284" t="s">
        <v>2368</v>
      </c>
      <c r="B2284" t="s">
        <v>54</v>
      </c>
      <c r="C2284" t="s">
        <v>55</v>
      </c>
      <c r="D2284" t="s">
        <v>56</v>
      </c>
      <c r="E2284" t="s">
        <v>101</v>
      </c>
      <c r="F2284" t="s">
        <v>167</v>
      </c>
      <c r="G2284" t="s">
        <v>46</v>
      </c>
      <c r="H2284" s="1">
        <v>45372</v>
      </c>
      <c r="I2284" t="s">
        <v>47</v>
      </c>
      <c r="J2284" t="s">
        <v>1991</v>
      </c>
      <c r="K2284">
        <v>2</v>
      </c>
      <c r="N2284">
        <v>639</v>
      </c>
      <c r="O2284">
        <v>50</v>
      </c>
      <c r="P2284" s="1">
        <v>45442</v>
      </c>
      <c r="Q2284" s="1"/>
      <c r="R2284" t="str">
        <f>IF(Table1[[#This Row],[Actual close date]]="","",Table1[[#This Row],[Actual close date]]-Table1[[#This Row],[Expected close date]])</f>
        <v/>
      </c>
    </row>
    <row r="2285" spans="1:18" x14ac:dyDescent="0.25">
      <c r="A2285" t="s">
        <v>2369</v>
      </c>
      <c r="B2285" t="s">
        <v>54</v>
      </c>
      <c r="C2285" t="s">
        <v>55</v>
      </c>
      <c r="D2285" t="s">
        <v>56</v>
      </c>
      <c r="E2285" t="s">
        <v>36</v>
      </c>
      <c r="F2285" t="s">
        <v>167</v>
      </c>
      <c r="G2285" t="s">
        <v>72</v>
      </c>
      <c r="H2285" s="1">
        <v>45395</v>
      </c>
      <c r="I2285" t="s">
        <v>47</v>
      </c>
      <c r="J2285" t="s">
        <v>1991</v>
      </c>
      <c r="K2285">
        <v>2</v>
      </c>
      <c r="N2285">
        <v>257</v>
      </c>
      <c r="O2285">
        <v>20</v>
      </c>
      <c r="P2285" s="1">
        <v>45447</v>
      </c>
      <c r="Q2285" s="1"/>
      <c r="R2285" t="str">
        <f>IF(Table1[[#This Row],[Actual close date]]="","",Table1[[#This Row],[Actual close date]]-Table1[[#This Row],[Expected close date]])</f>
        <v/>
      </c>
    </row>
    <row r="2286" spans="1:18" x14ac:dyDescent="0.25">
      <c r="A2286" t="s">
        <v>2370</v>
      </c>
      <c r="B2286" t="s">
        <v>39</v>
      </c>
      <c r="C2286" t="s">
        <v>40</v>
      </c>
      <c r="D2286" t="s">
        <v>41</v>
      </c>
      <c r="E2286" t="s">
        <v>21</v>
      </c>
      <c r="F2286" t="s">
        <v>167</v>
      </c>
      <c r="G2286" t="s">
        <v>23</v>
      </c>
      <c r="H2286" s="1">
        <v>45330</v>
      </c>
      <c r="I2286" t="s">
        <v>24</v>
      </c>
      <c r="J2286" t="s">
        <v>1991</v>
      </c>
      <c r="K2286">
        <v>2</v>
      </c>
      <c r="N2286">
        <v>5783</v>
      </c>
      <c r="O2286">
        <v>40</v>
      </c>
      <c r="P2286" s="1">
        <v>45388</v>
      </c>
      <c r="Q2286" s="1"/>
      <c r="R2286" t="str">
        <f>IF(Table1[[#This Row],[Actual close date]]="","",Table1[[#This Row],[Actual close date]]-Table1[[#This Row],[Expected close date]])</f>
        <v/>
      </c>
    </row>
    <row r="2287" spans="1:18" x14ac:dyDescent="0.25">
      <c r="A2287" t="s">
        <v>2371</v>
      </c>
      <c r="B2287" t="s">
        <v>76</v>
      </c>
      <c r="C2287" t="s">
        <v>77</v>
      </c>
      <c r="D2287" t="s">
        <v>78</v>
      </c>
      <c r="E2287" t="s">
        <v>62</v>
      </c>
      <c r="F2287" t="s">
        <v>167</v>
      </c>
      <c r="G2287" t="s">
        <v>46</v>
      </c>
      <c r="H2287" s="1">
        <v>45408</v>
      </c>
      <c r="I2287" t="s">
        <v>47</v>
      </c>
      <c r="J2287" t="s">
        <v>1991</v>
      </c>
      <c r="K2287">
        <v>2</v>
      </c>
      <c r="N2287">
        <v>1490</v>
      </c>
      <c r="O2287">
        <v>40</v>
      </c>
      <c r="P2287" s="1">
        <v>45637</v>
      </c>
      <c r="Q2287" s="1"/>
      <c r="R2287" t="str">
        <f>IF(Table1[[#This Row],[Actual close date]]="","",Table1[[#This Row],[Actual close date]]-Table1[[#This Row],[Expected close date]])</f>
        <v/>
      </c>
    </row>
    <row r="2288" spans="1:18" x14ac:dyDescent="0.25">
      <c r="A2288" t="s">
        <v>2372</v>
      </c>
      <c r="B2288" t="s">
        <v>33</v>
      </c>
      <c r="C2288" t="s">
        <v>34</v>
      </c>
      <c r="D2288" t="s">
        <v>35</v>
      </c>
      <c r="E2288" t="s">
        <v>36</v>
      </c>
      <c r="F2288" t="s">
        <v>167</v>
      </c>
      <c r="G2288" t="s">
        <v>46</v>
      </c>
      <c r="H2288" s="1">
        <v>45320</v>
      </c>
      <c r="I2288" t="s">
        <v>47</v>
      </c>
      <c r="J2288" t="s">
        <v>1991</v>
      </c>
      <c r="K2288">
        <v>2</v>
      </c>
      <c r="N2288">
        <v>3366</v>
      </c>
      <c r="O2288">
        <v>10</v>
      </c>
      <c r="P2288" s="1">
        <v>45623</v>
      </c>
      <c r="Q2288" s="1"/>
      <c r="R2288" t="str">
        <f>IF(Table1[[#This Row],[Actual close date]]="","",Table1[[#This Row],[Actual close date]]-Table1[[#This Row],[Expected close date]])</f>
        <v/>
      </c>
    </row>
    <row r="2289" spans="1:18" x14ac:dyDescent="0.25">
      <c r="A2289" t="s">
        <v>2373</v>
      </c>
      <c r="B2289" t="s">
        <v>76</v>
      </c>
      <c r="C2289" t="s">
        <v>77</v>
      </c>
      <c r="D2289" t="s">
        <v>78</v>
      </c>
      <c r="E2289" t="s">
        <v>21</v>
      </c>
      <c r="F2289" t="s">
        <v>167</v>
      </c>
      <c r="G2289" t="s">
        <v>57</v>
      </c>
      <c r="H2289" s="1">
        <v>45384</v>
      </c>
      <c r="I2289" t="s">
        <v>64</v>
      </c>
      <c r="J2289" t="s">
        <v>1991</v>
      </c>
      <c r="K2289">
        <v>2</v>
      </c>
      <c r="N2289">
        <v>1686</v>
      </c>
      <c r="O2289">
        <v>60</v>
      </c>
      <c r="P2289" s="1">
        <v>45654</v>
      </c>
      <c r="Q2289" s="1"/>
      <c r="R2289" t="str">
        <f>IF(Table1[[#This Row],[Actual close date]]="","",Table1[[#This Row],[Actual close date]]-Table1[[#This Row],[Expected close date]])</f>
        <v/>
      </c>
    </row>
    <row r="2290" spans="1:18" x14ac:dyDescent="0.25">
      <c r="A2290" t="s">
        <v>2374</v>
      </c>
      <c r="B2290" t="s">
        <v>39</v>
      </c>
      <c r="C2290" t="s">
        <v>40</v>
      </c>
      <c r="D2290" t="s">
        <v>41</v>
      </c>
      <c r="E2290" t="s">
        <v>36</v>
      </c>
      <c r="F2290" t="s">
        <v>167</v>
      </c>
      <c r="G2290" t="s">
        <v>37</v>
      </c>
      <c r="H2290" s="1">
        <v>45333</v>
      </c>
      <c r="I2290" t="s">
        <v>64</v>
      </c>
      <c r="J2290" t="s">
        <v>1991</v>
      </c>
      <c r="K2290">
        <v>2</v>
      </c>
      <c r="N2290">
        <v>2609</v>
      </c>
      <c r="O2290">
        <v>10</v>
      </c>
      <c r="P2290" s="1">
        <v>45558</v>
      </c>
      <c r="Q2290" s="1"/>
      <c r="R2290" t="str">
        <f>IF(Table1[[#This Row],[Actual close date]]="","",Table1[[#This Row],[Actual close date]]-Table1[[#This Row],[Expected close date]])</f>
        <v/>
      </c>
    </row>
    <row r="2291" spans="1:18" x14ac:dyDescent="0.25">
      <c r="A2291" t="s">
        <v>2375</v>
      </c>
      <c r="B2291" t="s">
        <v>54</v>
      </c>
      <c r="C2291" t="s">
        <v>55</v>
      </c>
      <c r="D2291" t="s">
        <v>56</v>
      </c>
      <c r="E2291" t="s">
        <v>118</v>
      </c>
      <c r="F2291" t="s">
        <v>167</v>
      </c>
      <c r="G2291" t="s">
        <v>46</v>
      </c>
      <c r="H2291" s="1">
        <v>45348</v>
      </c>
      <c r="I2291" t="s">
        <v>24</v>
      </c>
      <c r="J2291" t="s">
        <v>1991</v>
      </c>
      <c r="K2291">
        <v>2</v>
      </c>
      <c r="N2291">
        <v>1564</v>
      </c>
      <c r="O2291">
        <v>80</v>
      </c>
      <c r="P2291" s="1">
        <v>45606</v>
      </c>
      <c r="Q2291" s="1"/>
      <c r="R2291" t="str">
        <f>IF(Table1[[#This Row],[Actual close date]]="","",Table1[[#This Row],[Actual close date]]-Table1[[#This Row],[Expected close date]])</f>
        <v/>
      </c>
    </row>
    <row r="2292" spans="1:18" x14ac:dyDescent="0.25">
      <c r="A2292" t="s">
        <v>2376</v>
      </c>
      <c r="B2292" t="s">
        <v>33</v>
      </c>
      <c r="C2292" t="s">
        <v>34</v>
      </c>
      <c r="D2292" t="s">
        <v>35</v>
      </c>
      <c r="E2292" t="s">
        <v>45</v>
      </c>
      <c r="F2292" t="s">
        <v>167</v>
      </c>
      <c r="G2292" t="s">
        <v>46</v>
      </c>
      <c r="H2292" s="1">
        <v>45380</v>
      </c>
      <c r="I2292" t="s">
        <v>24</v>
      </c>
      <c r="J2292" t="s">
        <v>1991</v>
      </c>
      <c r="K2292">
        <v>2</v>
      </c>
      <c r="N2292">
        <v>4067</v>
      </c>
      <c r="O2292">
        <v>10</v>
      </c>
      <c r="P2292" s="1">
        <v>45580</v>
      </c>
      <c r="Q2292" s="1"/>
      <c r="R2292" t="str">
        <f>IF(Table1[[#This Row],[Actual close date]]="","",Table1[[#This Row],[Actual close date]]-Table1[[#This Row],[Expected close date]])</f>
        <v/>
      </c>
    </row>
    <row r="2293" spans="1:18" x14ac:dyDescent="0.25">
      <c r="A2293" t="s">
        <v>2377</v>
      </c>
      <c r="B2293" t="s">
        <v>39</v>
      </c>
      <c r="C2293" t="s">
        <v>40</v>
      </c>
      <c r="D2293" t="s">
        <v>41</v>
      </c>
      <c r="E2293" t="s">
        <v>45</v>
      </c>
      <c r="F2293" t="s">
        <v>167</v>
      </c>
      <c r="G2293" t="s">
        <v>85</v>
      </c>
      <c r="H2293" s="1">
        <v>45438</v>
      </c>
      <c r="I2293" t="s">
        <v>24</v>
      </c>
      <c r="J2293" t="s">
        <v>1991</v>
      </c>
      <c r="K2293">
        <v>2</v>
      </c>
      <c r="N2293">
        <v>1309</v>
      </c>
      <c r="O2293">
        <v>30</v>
      </c>
      <c r="P2293" s="1">
        <v>45541</v>
      </c>
      <c r="Q2293" s="1"/>
      <c r="R2293" t="str">
        <f>IF(Table1[[#This Row],[Actual close date]]="","",Table1[[#This Row],[Actual close date]]-Table1[[#This Row],[Expected close date]])</f>
        <v/>
      </c>
    </row>
    <row r="2294" spans="1:18" x14ac:dyDescent="0.25">
      <c r="A2294" t="s">
        <v>2378</v>
      </c>
      <c r="B2294" t="s">
        <v>59</v>
      </c>
      <c r="C2294" t="s">
        <v>60</v>
      </c>
      <c r="D2294" t="s">
        <v>61</v>
      </c>
      <c r="E2294" t="s">
        <v>42</v>
      </c>
      <c r="F2294" t="s">
        <v>167</v>
      </c>
      <c r="G2294" t="s">
        <v>57</v>
      </c>
      <c r="H2294" s="1">
        <v>45363</v>
      </c>
      <c r="I2294" t="s">
        <v>64</v>
      </c>
      <c r="J2294" t="s">
        <v>1991</v>
      </c>
      <c r="K2294">
        <v>2</v>
      </c>
      <c r="N2294">
        <v>7137</v>
      </c>
      <c r="O2294">
        <v>10</v>
      </c>
      <c r="P2294" s="1">
        <v>45566</v>
      </c>
      <c r="Q2294" s="1"/>
      <c r="R2294" t="str">
        <f>IF(Table1[[#This Row],[Actual close date]]="","",Table1[[#This Row],[Actual close date]]-Table1[[#This Row],[Expected close date]])</f>
        <v/>
      </c>
    </row>
    <row r="2295" spans="1:18" x14ac:dyDescent="0.25">
      <c r="A2295" t="s">
        <v>2379</v>
      </c>
      <c r="B2295" t="s">
        <v>69</v>
      </c>
      <c r="C2295" t="s">
        <v>70</v>
      </c>
      <c r="D2295" t="s">
        <v>71</v>
      </c>
      <c r="E2295" t="s">
        <v>101</v>
      </c>
      <c r="F2295" t="s">
        <v>167</v>
      </c>
      <c r="G2295" t="s">
        <v>57</v>
      </c>
      <c r="H2295" s="1">
        <v>45404</v>
      </c>
      <c r="I2295" t="s">
        <v>64</v>
      </c>
      <c r="J2295" t="s">
        <v>1991</v>
      </c>
      <c r="K2295">
        <v>2</v>
      </c>
      <c r="N2295">
        <v>4458</v>
      </c>
      <c r="O2295">
        <v>50</v>
      </c>
      <c r="P2295" s="1">
        <v>45550</v>
      </c>
      <c r="Q2295" s="1"/>
      <c r="R2295" t="str">
        <f>IF(Table1[[#This Row],[Actual close date]]="","",Table1[[#This Row],[Actual close date]]-Table1[[#This Row],[Expected close date]])</f>
        <v/>
      </c>
    </row>
    <row r="2296" spans="1:18" x14ac:dyDescent="0.25">
      <c r="A2296" t="s">
        <v>2380</v>
      </c>
      <c r="B2296" t="s">
        <v>69</v>
      </c>
      <c r="C2296" t="s">
        <v>70</v>
      </c>
      <c r="D2296" t="s">
        <v>71</v>
      </c>
      <c r="E2296" t="s">
        <v>45</v>
      </c>
      <c r="F2296" t="s">
        <v>167</v>
      </c>
      <c r="G2296" t="s">
        <v>37</v>
      </c>
      <c r="H2296" s="1">
        <v>45322</v>
      </c>
      <c r="I2296" t="s">
        <v>64</v>
      </c>
      <c r="J2296" t="s">
        <v>1991</v>
      </c>
      <c r="K2296">
        <v>2</v>
      </c>
      <c r="N2296">
        <v>5419</v>
      </c>
      <c r="O2296">
        <v>50</v>
      </c>
      <c r="P2296" s="1">
        <v>45616</v>
      </c>
      <c r="Q2296" s="1"/>
      <c r="R2296" t="str">
        <f>IF(Table1[[#This Row],[Actual close date]]="","",Table1[[#This Row],[Actual close date]]-Table1[[#This Row],[Expected close date]])</f>
        <v/>
      </c>
    </row>
    <row r="2297" spans="1:18" x14ac:dyDescent="0.25">
      <c r="A2297" t="s">
        <v>2381</v>
      </c>
      <c r="B2297" t="s">
        <v>69</v>
      </c>
      <c r="C2297" t="s">
        <v>70</v>
      </c>
      <c r="D2297" t="s">
        <v>71</v>
      </c>
      <c r="E2297" t="s">
        <v>45</v>
      </c>
      <c r="F2297" t="s">
        <v>167</v>
      </c>
      <c r="G2297" t="s">
        <v>31</v>
      </c>
      <c r="H2297" s="1">
        <v>45294</v>
      </c>
      <c r="I2297" t="s">
        <v>64</v>
      </c>
      <c r="J2297" t="s">
        <v>1991</v>
      </c>
      <c r="K2297">
        <v>2</v>
      </c>
      <c r="N2297">
        <v>1938</v>
      </c>
      <c r="O2297">
        <v>40</v>
      </c>
      <c r="P2297" s="1">
        <v>45636</v>
      </c>
      <c r="Q2297" s="1"/>
      <c r="R2297" t="str">
        <f>IF(Table1[[#This Row],[Actual close date]]="","",Table1[[#This Row],[Actual close date]]-Table1[[#This Row],[Expected close date]])</f>
        <v/>
      </c>
    </row>
    <row r="2298" spans="1:18" x14ac:dyDescent="0.25">
      <c r="A2298" t="s">
        <v>2382</v>
      </c>
      <c r="B2298" t="s">
        <v>33</v>
      </c>
      <c r="C2298" t="s">
        <v>34</v>
      </c>
      <c r="D2298" t="s">
        <v>35</v>
      </c>
      <c r="E2298" t="s">
        <v>62</v>
      </c>
      <c r="F2298" t="s">
        <v>167</v>
      </c>
      <c r="G2298" t="s">
        <v>46</v>
      </c>
      <c r="H2298" s="1">
        <v>45322</v>
      </c>
      <c r="I2298" t="s">
        <v>64</v>
      </c>
      <c r="J2298" t="s">
        <v>1991</v>
      </c>
      <c r="K2298">
        <v>2</v>
      </c>
      <c r="N2298">
        <v>3660</v>
      </c>
      <c r="O2298">
        <v>90</v>
      </c>
      <c r="P2298" s="1">
        <v>45639</v>
      </c>
      <c r="Q2298" s="1"/>
      <c r="R2298" t="str">
        <f>IF(Table1[[#This Row],[Actual close date]]="","",Table1[[#This Row],[Actual close date]]-Table1[[#This Row],[Expected close date]])</f>
        <v/>
      </c>
    </row>
    <row r="2299" spans="1:18" x14ac:dyDescent="0.25">
      <c r="A2299" t="s">
        <v>2383</v>
      </c>
      <c r="B2299" t="s">
        <v>39</v>
      </c>
      <c r="C2299" t="s">
        <v>40</v>
      </c>
      <c r="D2299" t="s">
        <v>41</v>
      </c>
      <c r="E2299" t="s">
        <v>52</v>
      </c>
      <c r="F2299" t="s">
        <v>167</v>
      </c>
      <c r="G2299" t="s">
        <v>37</v>
      </c>
      <c r="H2299" s="1">
        <v>45404</v>
      </c>
      <c r="I2299" t="s">
        <v>47</v>
      </c>
      <c r="J2299" t="s">
        <v>1991</v>
      </c>
      <c r="K2299">
        <v>2</v>
      </c>
      <c r="N2299">
        <v>5705</v>
      </c>
      <c r="O2299">
        <v>60</v>
      </c>
      <c r="P2299" s="1">
        <v>45450</v>
      </c>
      <c r="Q2299" s="1"/>
      <c r="R2299" t="str">
        <f>IF(Table1[[#This Row],[Actual close date]]="","",Table1[[#This Row],[Actual close date]]-Table1[[#This Row],[Expected close date]])</f>
        <v/>
      </c>
    </row>
    <row r="2300" spans="1:18" x14ac:dyDescent="0.25">
      <c r="A2300" t="s">
        <v>2384</v>
      </c>
      <c r="B2300" t="s">
        <v>39</v>
      </c>
      <c r="C2300" t="s">
        <v>40</v>
      </c>
      <c r="D2300" t="s">
        <v>41</v>
      </c>
      <c r="E2300" t="s">
        <v>82</v>
      </c>
      <c r="F2300" t="s">
        <v>167</v>
      </c>
      <c r="G2300" t="s">
        <v>37</v>
      </c>
      <c r="H2300" s="1">
        <v>45304</v>
      </c>
      <c r="I2300" t="s">
        <v>64</v>
      </c>
      <c r="J2300" t="s">
        <v>1991</v>
      </c>
      <c r="K2300">
        <v>2</v>
      </c>
      <c r="N2300">
        <v>353</v>
      </c>
      <c r="O2300">
        <v>10</v>
      </c>
      <c r="P2300" s="1">
        <v>45341</v>
      </c>
      <c r="Q2300" s="1"/>
      <c r="R2300" t="str">
        <f>IF(Table1[[#This Row],[Actual close date]]="","",Table1[[#This Row],[Actual close date]]-Table1[[#This Row],[Expected close date]])</f>
        <v/>
      </c>
    </row>
    <row r="2301" spans="1:18" x14ac:dyDescent="0.25">
      <c r="A2301" t="s">
        <v>2385</v>
      </c>
      <c r="B2301" t="s">
        <v>54</v>
      </c>
      <c r="C2301" t="s">
        <v>55</v>
      </c>
      <c r="D2301" t="s">
        <v>56</v>
      </c>
      <c r="E2301" t="s">
        <v>45</v>
      </c>
      <c r="F2301" t="s">
        <v>167</v>
      </c>
      <c r="G2301" t="s">
        <v>85</v>
      </c>
      <c r="H2301" s="1">
        <v>45341</v>
      </c>
      <c r="I2301" t="s">
        <v>47</v>
      </c>
      <c r="J2301" t="s">
        <v>1991</v>
      </c>
      <c r="K2301">
        <v>2</v>
      </c>
      <c r="N2301">
        <v>332</v>
      </c>
      <c r="O2301">
        <v>80</v>
      </c>
      <c r="P2301" s="1">
        <v>45639</v>
      </c>
      <c r="Q2301" s="1"/>
      <c r="R2301" t="str">
        <f>IF(Table1[[#This Row],[Actual close date]]="","",Table1[[#This Row],[Actual close date]]-Table1[[#This Row],[Expected close date]])</f>
        <v/>
      </c>
    </row>
    <row r="2302" spans="1:18" x14ac:dyDescent="0.25">
      <c r="A2302" t="s">
        <v>2386</v>
      </c>
      <c r="B2302" t="s">
        <v>33</v>
      </c>
      <c r="C2302" t="s">
        <v>34</v>
      </c>
      <c r="D2302" t="s">
        <v>35</v>
      </c>
      <c r="E2302" t="s">
        <v>21</v>
      </c>
      <c r="F2302" t="s">
        <v>167</v>
      </c>
      <c r="G2302" t="s">
        <v>57</v>
      </c>
      <c r="H2302" s="1">
        <v>45336</v>
      </c>
      <c r="I2302" t="s">
        <v>64</v>
      </c>
      <c r="J2302" t="s">
        <v>1991</v>
      </c>
      <c r="K2302">
        <v>2</v>
      </c>
      <c r="N2302">
        <v>6283</v>
      </c>
      <c r="O2302">
        <v>40</v>
      </c>
      <c r="P2302" s="1">
        <v>45607</v>
      </c>
      <c r="Q2302" s="1"/>
      <c r="R2302" t="str">
        <f>IF(Table1[[#This Row],[Actual close date]]="","",Table1[[#This Row],[Actual close date]]-Table1[[#This Row],[Expected close date]])</f>
        <v/>
      </c>
    </row>
    <row r="2303" spans="1:18" x14ac:dyDescent="0.25">
      <c r="A2303" t="s">
        <v>2387</v>
      </c>
      <c r="B2303" t="s">
        <v>76</v>
      </c>
      <c r="C2303" t="s">
        <v>77</v>
      </c>
      <c r="D2303" t="s">
        <v>78</v>
      </c>
      <c r="E2303" t="s">
        <v>82</v>
      </c>
      <c r="F2303" t="s">
        <v>167</v>
      </c>
      <c r="G2303" t="s">
        <v>37</v>
      </c>
      <c r="H2303" s="1">
        <v>45392</v>
      </c>
      <c r="I2303" t="s">
        <v>47</v>
      </c>
      <c r="J2303" t="s">
        <v>1991</v>
      </c>
      <c r="K2303">
        <v>2</v>
      </c>
      <c r="N2303">
        <v>6709</v>
      </c>
      <c r="O2303">
        <v>20</v>
      </c>
      <c r="P2303" s="1">
        <v>45675</v>
      </c>
      <c r="Q2303" s="1"/>
      <c r="R2303" t="str">
        <f>IF(Table1[[#This Row],[Actual close date]]="","",Table1[[#This Row],[Actual close date]]-Table1[[#This Row],[Expected close date]])</f>
        <v/>
      </c>
    </row>
    <row r="2304" spans="1:18" x14ac:dyDescent="0.25">
      <c r="A2304" t="s">
        <v>2388</v>
      </c>
      <c r="B2304" t="s">
        <v>54</v>
      </c>
      <c r="C2304" t="s">
        <v>55</v>
      </c>
      <c r="D2304" t="s">
        <v>56</v>
      </c>
      <c r="E2304" t="s">
        <v>21</v>
      </c>
      <c r="F2304" t="s">
        <v>167</v>
      </c>
      <c r="G2304" t="s">
        <v>83</v>
      </c>
      <c r="H2304" s="1">
        <v>45385</v>
      </c>
      <c r="I2304" t="s">
        <v>47</v>
      </c>
      <c r="J2304" t="s">
        <v>1991</v>
      </c>
      <c r="K2304">
        <v>2</v>
      </c>
      <c r="N2304">
        <v>982</v>
      </c>
      <c r="O2304">
        <v>40</v>
      </c>
      <c r="P2304" s="1">
        <v>45680</v>
      </c>
      <c r="Q2304" s="1"/>
      <c r="R2304" t="str">
        <f>IF(Table1[[#This Row],[Actual close date]]="","",Table1[[#This Row],[Actual close date]]-Table1[[#This Row],[Expected close date]])</f>
        <v/>
      </c>
    </row>
    <row r="2305" spans="1:18" x14ac:dyDescent="0.25">
      <c r="A2305" t="s">
        <v>2389</v>
      </c>
      <c r="B2305" t="s">
        <v>76</v>
      </c>
      <c r="C2305" t="s">
        <v>77</v>
      </c>
      <c r="D2305" t="s">
        <v>78</v>
      </c>
      <c r="E2305" t="s">
        <v>52</v>
      </c>
      <c r="F2305" t="s">
        <v>167</v>
      </c>
      <c r="G2305" t="s">
        <v>83</v>
      </c>
      <c r="H2305" s="1">
        <v>45344</v>
      </c>
      <c r="I2305" t="s">
        <v>64</v>
      </c>
      <c r="J2305" t="s">
        <v>1991</v>
      </c>
      <c r="K2305">
        <v>2</v>
      </c>
      <c r="N2305">
        <v>6298</v>
      </c>
      <c r="O2305">
        <v>90</v>
      </c>
      <c r="P2305" s="1">
        <v>45657</v>
      </c>
      <c r="Q2305" s="1"/>
      <c r="R2305" t="str">
        <f>IF(Table1[[#This Row],[Actual close date]]="","",Table1[[#This Row],[Actual close date]]-Table1[[#This Row],[Expected close date]])</f>
        <v/>
      </c>
    </row>
    <row r="2306" spans="1:18" x14ac:dyDescent="0.25">
      <c r="A2306" t="s">
        <v>2390</v>
      </c>
      <c r="B2306" t="s">
        <v>69</v>
      </c>
      <c r="C2306" t="s">
        <v>70</v>
      </c>
      <c r="D2306" t="s">
        <v>71</v>
      </c>
      <c r="E2306" t="s">
        <v>74</v>
      </c>
      <c r="F2306" t="s">
        <v>167</v>
      </c>
      <c r="G2306" t="s">
        <v>46</v>
      </c>
      <c r="H2306" s="1">
        <v>45358</v>
      </c>
      <c r="I2306" t="s">
        <v>24</v>
      </c>
      <c r="J2306" t="s">
        <v>1991</v>
      </c>
      <c r="K2306">
        <v>2</v>
      </c>
      <c r="N2306">
        <v>4983</v>
      </c>
      <c r="O2306">
        <v>10</v>
      </c>
      <c r="P2306" s="1">
        <v>45701</v>
      </c>
      <c r="Q2306" s="1"/>
      <c r="R2306" t="str">
        <f>IF(Table1[[#This Row],[Actual close date]]="","",Table1[[#This Row],[Actual close date]]-Table1[[#This Row],[Expected close date]])</f>
        <v/>
      </c>
    </row>
    <row r="2307" spans="1:18" x14ac:dyDescent="0.25">
      <c r="A2307" t="s">
        <v>2391</v>
      </c>
      <c r="B2307" t="s">
        <v>76</v>
      </c>
      <c r="C2307" t="s">
        <v>77</v>
      </c>
      <c r="D2307" t="s">
        <v>78</v>
      </c>
      <c r="E2307" t="s">
        <v>42</v>
      </c>
      <c r="F2307" t="s">
        <v>167</v>
      </c>
      <c r="G2307" t="s">
        <v>72</v>
      </c>
      <c r="H2307" s="1">
        <v>45300</v>
      </c>
      <c r="I2307" t="s">
        <v>47</v>
      </c>
      <c r="J2307" t="s">
        <v>1991</v>
      </c>
      <c r="K2307">
        <v>2</v>
      </c>
      <c r="N2307">
        <v>4937</v>
      </c>
      <c r="O2307">
        <v>50</v>
      </c>
      <c r="P2307" s="1">
        <v>45530</v>
      </c>
      <c r="Q2307" s="1"/>
      <c r="R2307" t="str">
        <f>IF(Table1[[#This Row],[Actual close date]]="","",Table1[[#This Row],[Actual close date]]-Table1[[#This Row],[Expected close date]])</f>
        <v/>
      </c>
    </row>
    <row r="2308" spans="1:18" x14ac:dyDescent="0.25">
      <c r="A2308" t="s">
        <v>2392</v>
      </c>
      <c r="B2308" t="s">
        <v>39</v>
      </c>
      <c r="C2308" t="s">
        <v>40</v>
      </c>
      <c r="D2308" t="s">
        <v>41</v>
      </c>
      <c r="E2308" t="s">
        <v>30</v>
      </c>
      <c r="F2308" t="s">
        <v>167</v>
      </c>
      <c r="G2308" t="s">
        <v>37</v>
      </c>
      <c r="H2308" s="1">
        <v>45339</v>
      </c>
      <c r="I2308" t="s">
        <v>24</v>
      </c>
      <c r="J2308" t="s">
        <v>1991</v>
      </c>
      <c r="K2308">
        <v>2</v>
      </c>
      <c r="N2308">
        <v>5953</v>
      </c>
      <c r="O2308">
        <v>20</v>
      </c>
      <c r="P2308" s="1">
        <v>45381</v>
      </c>
      <c r="Q2308" s="1"/>
      <c r="R2308" t="str">
        <f>IF(Table1[[#This Row],[Actual close date]]="","",Table1[[#This Row],[Actual close date]]-Table1[[#This Row],[Expected close date]])</f>
        <v/>
      </c>
    </row>
    <row r="2309" spans="1:18" x14ac:dyDescent="0.25">
      <c r="A2309" t="s">
        <v>2393</v>
      </c>
      <c r="B2309" t="s">
        <v>33</v>
      </c>
      <c r="C2309" t="s">
        <v>34</v>
      </c>
      <c r="D2309" t="s">
        <v>35</v>
      </c>
      <c r="E2309" t="s">
        <v>30</v>
      </c>
      <c r="F2309" t="s">
        <v>167</v>
      </c>
      <c r="G2309" t="s">
        <v>46</v>
      </c>
      <c r="H2309" s="1">
        <v>45352</v>
      </c>
      <c r="I2309" t="s">
        <v>64</v>
      </c>
      <c r="J2309" t="s">
        <v>1991</v>
      </c>
      <c r="K2309">
        <v>2</v>
      </c>
      <c r="N2309">
        <v>6065</v>
      </c>
      <c r="O2309">
        <v>30</v>
      </c>
      <c r="P2309" s="1">
        <v>45569</v>
      </c>
      <c r="Q2309" s="1"/>
      <c r="R2309" t="str">
        <f>IF(Table1[[#This Row],[Actual close date]]="","",Table1[[#This Row],[Actual close date]]-Table1[[#This Row],[Expected close date]])</f>
        <v/>
      </c>
    </row>
    <row r="2310" spans="1:18" x14ac:dyDescent="0.25">
      <c r="A2310" t="s">
        <v>2394</v>
      </c>
      <c r="B2310" t="s">
        <v>59</v>
      </c>
      <c r="C2310" t="s">
        <v>60</v>
      </c>
      <c r="D2310" t="s">
        <v>61</v>
      </c>
      <c r="E2310" t="s">
        <v>45</v>
      </c>
      <c r="F2310" t="s">
        <v>167</v>
      </c>
      <c r="G2310" t="s">
        <v>23</v>
      </c>
      <c r="H2310" s="1">
        <v>45433</v>
      </c>
      <c r="I2310" t="s">
        <v>24</v>
      </c>
      <c r="J2310" t="s">
        <v>1991</v>
      </c>
      <c r="K2310">
        <v>2</v>
      </c>
      <c r="N2310">
        <v>1341</v>
      </c>
      <c r="O2310">
        <v>60</v>
      </c>
      <c r="P2310" s="1">
        <v>45543</v>
      </c>
      <c r="Q2310" s="1"/>
      <c r="R2310" t="str">
        <f>IF(Table1[[#This Row],[Actual close date]]="","",Table1[[#This Row],[Actual close date]]-Table1[[#This Row],[Expected close date]])</f>
        <v/>
      </c>
    </row>
    <row r="2311" spans="1:18" x14ac:dyDescent="0.25">
      <c r="A2311" t="s">
        <v>2395</v>
      </c>
      <c r="B2311" t="s">
        <v>69</v>
      </c>
      <c r="C2311" t="s">
        <v>70</v>
      </c>
      <c r="D2311" t="s">
        <v>71</v>
      </c>
      <c r="E2311" t="s">
        <v>122</v>
      </c>
      <c r="F2311" t="s">
        <v>167</v>
      </c>
      <c r="G2311" t="s">
        <v>46</v>
      </c>
      <c r="H2311" s="1">
        <v>45348</v>
      </c>
      <c r="I2311" t="s">
        <v>47</v>
      </c>
      <c r="J2311" t="s">
        <v>1991</v>
      </c>
      <c r="K2311">
        <v>2</v>
      </c>
      <c r="N2311">
        <v>4659</v>
      </c>
      <c r="O2311">
        <v>100</v>
      </c>
      <c r="P2311" s="1">
        <v>45467</v>
      </c>
      <c r="Q2311" s="1"/>
      <c r="R2311" t="str">
        <f>IF(Table1[[#This Row],[Actual close date]]="","",Table1[[#This Row],[Actual close date]]-Table1[[#This Row],[Expected close date]])</f>
        <v/>
      </c>
    </row>
    <row r="2312" spans="1:18" x14ac:dyDescent="0.25">
      <c r="A2312" t="s">
        <v>2396</v>
      </c>
      <c r="B2312" t="s">
        <v>33</v>
      </c>
      <c r="C2312" t="s">
        <v>34</v>
      </c>
      <c r="D2312" t="s">
        <v>35</v>
      </c>
      <c r="E2312" t="s">
        <v>36</v>
      </c>
      <c r="F2312" t="s">
        <v>167</v>
      </c>
      <c r="G2312" t="s">
        <v>83</v>
      </c>
      <c r="H2312" s="1">
        <v>45346</v>
      </c>
      <c r="I2312" t="s">
        <v>64</v>
      </c>
      <c r="J2312" t="s">
        <v>1991</v>
      </c>
      <c r="K2312">
        <v>2</v>
      </c>
      <c r="N2312">
        <v>6927</v>
      </c>
      <c r="O2312">
        <v>40</v>
      </c>
      <c r="P2312" s="1">
        <v>45608</v>
      </c>
      <c r="Q2312" s="1"/>
      <c r="R2312" t="str">
        <f>IF(Table1[[#This Row],[Actual close date]]="","",Table1[[#This Row],[Actual close date]]-Table1[[#This Row],[Expected close date]])</f>
        <v/>
      </c>
    </row>
    <row r="2313" spans="1:18" x14ac:dyDescent="0.25">
      <c r="A2313" t="s">
        <v>2397</v>
      </c>
      <c r="B2313" t="s">
        <v>33</v>
      </c>
      <c r="C2313" t="s">
        <v>34</v>
      </c>
      <c r="D2313" t="s">
        <v>35</v>
      </c>
      <c r="E2313" t="s">
        <v>52</v>
      </c>
      <c r="F2313" t="s">
        <v>167</v>
      </c>
      <c r="G2313" t="s">
        <v>83</v>
      </c>
      <c r="H2313" s="1">
        <v>45436</v>
      </c>
      <c r="I2313" t="s">
        <v>47</v>
      </c>
      <c r="J2313" t="s">
        <v>1991</v>
      </c>
      <c r="K2313">
        <v>2</v>
      </c>
      <c r="N2313">
        <v>4714</v>
      </c>
      <c r="O2313">
        <v>40</v>
      </c>
      <c r="P2313" s="1">
        <v>45591</v>
      </c>
      <c r="Q2313" s="1"/>
      <c r="R2313" t="str">
        <f>IF(Table1[[#This Row],[Actual close date]]="","",Table1[[#This Row],[Actual close date]]-Table1[[#This Row],[Expected close date]])</f>
        <v/>
      </c>
    </row>
    <row r="2314" spans="1:18" x14ac:dyDescent="0.25">
      <c r="A2314" t="s">
        <v>2398</v>
      </c>
      <c r="B2314" t="s">
        <v>27</v>
      </c>
      <c r="C2314" t="s">
        <v>28</v>
      </c>
      <c r="D2314" t="s">
        <v>29</v>
      </c>
      <c r="E2314" t="s">
        <v>45</v>
      </c>
      <c r="F2314" t="s">
        <v>167</v>
      </c>
      <c r="G2314" t="s">
        <v>23</v>
      </c>
      <c r="H2314" s="1">
        <v>45309</v>
      </c>
      <c r="I2314" t="s">
        <v>24</v>
      </c>
      <c r="J2314" t="s">
        <v>1991</v>
      </c>
      <c r="K2314">
        <v>2</v>
      </c>
      <c r="N2314">
        <v>3326</v>
      </c>
      <c r="O2314">
        <v>40</v>
      </c>
      <c r="P2314" s="1">
        <v>45540</v>
      </c>
      <c r="Q2314" s="1"/>
      <c r="R2314" t="str">
        <f>IF(Table1[[#This Row],[Actual close date]]="","",Table1[[#This Row],[Actual close date]]-Table1[[#This Row],[Expected close date]])</f>
        <v/>
      </c>
    </row>
    <row r="2315" spans="1:18" x14ac:dyDescent="0.25">
      <c r="A2315" t="s">
        <v>2399</v>
      </c>
      <c r="B2315" t="s">
        <v>39</v>
      </c>
      <c r="C2315" t="s">
        <v>40</v>
      </c>
      <c r="D2315" t="s">
        <v>41</v>
      </c>
      <c r="E2315" t="s">
        <v>45</v>
      </c>
      <c r="F2315" t="s">
        <v>167</v>
      </c>
      <c r="G2315" t="s">
        <v>23</v>
      </c>
      <c r="H2315" s="1">
        <v>45364</v>
      </c>
      <c r="I2315" t="s">
        <v>64</v>
      </c>
      <c r="J2315" t="s">
        <v>1991</v>
      </c>
      <c r="K2315">
        <v>2</v>
      </c>
      <c r="N2315">
        <v>7823</v>
      </c>
      <c r="O2315">
        <v>30</v>
      </c>
      <c r="P2315" s="1">
        <v>45437</v>
      </c>
      <c r="Q2315" s="1"/>
      <c r="R2315" t="str">
        <f>IF(Table1[[#This Row],[Actual close date]]="","",Table1[[#This Row],[Actual close date]]-Table1[[#This Row],[Expected close date]])</f>
        <v/>
      </c>
    </row>
    <row r="2316" spans="1:18" x14ac:dyDescent="0.25">
      <c r="A2316" t="s">
        <v>2400</v>
      </c>
      <c r="B2316" t="s">
        <v>76</v>
      </c>
      <c r="C2316" t="s">
        <v>77</v>
      </c>
      <c r="D2316" t="s">
        <v>78</v>
      </c>
      <c r="E2316" t="s">
        <v>74</v>
      </c>
      <c r="F2316" t="s">
        <v>167</v>
      </c>
      <c r="G2316" t="s">
        <v>46</v>
      </c>
      <c r="H2316" s="1">
        <v>45315</v>
      </c>
      <c r="I2316" t="s">
        <v>64</v>
      </c>
      <c r="J2316" t="s">
        <v>1991</v>
      </c>
      <c r="K2316">
        <v>2</v>
      </c>
      <c r="N2316">
        <v>5707</v>
      </c>
      <c r="O2316">
        <v>50</v>
      </c>
      <c r="P2316" s="1">
        <v>45385</v>
      </c>
      <c r="Q2316" s="1"/>
      <c r="R2316" t="str">
        <f>IF(Table1[[#This Row],[Actual close date]]="","",Table1[[#This Row],[Actual close date]]-Table1[[#This Row],[Expected close date]])</f>
        <v/>
      </c>
    </row>
    <row r="2317" spans="1:18" x14ac:dyDescent="0.25">
      <c r="A2317" t="s">
        <v>2401</v>
      </c>
      <c r="B2317" t="s">
        <v>33</v>
      </c>
      <c r="C2317" t="s">
        <v>34</v>
      </c>
      <c r="D2317" t="s">
        <v>35</v>
      </c>
      <c r="E2317" t="s">
        <v>66</v>
      </c>
      <c r="F2317" t="s">
        <v>167</v>
      </c>
      <c r="G2317" t="s">
        <v>83</v>
      </c>
      <c r="H2317" s="1">
        <v>45399</v>
      </c>
      <c r="I2317" t="s">
        <v>24</v>
      </c>
      <c r="J2317" t="s">
        <v>1991</v>
      </c>
      <c r="K2317">
        <v>2</v>
      </c>
      <c r="N2317">
        <v>6509</v>
      </c>
      <c r="O2317">
        <v>70</v>
      </c>
      <c r="P2317" s="1">
        <v>45700</v>
      </c>
      <c r="Q2317" s="1"/>
      <c r="R2317" t="str">
        <f>IF(Table1[[#This Row],[Actual close date]]="","",Table1[[#This Row],[Actual close date]]-Table1[[#This Row],[Expected close date]])</f>
        <v/>
      </c>
    </row>
    <row r="2318" spans="1:18" x14ac:dyDescent="0.25">
      <c r="A2318" t="s">
        <v>2402</v>
      </c>
      <c r="B2318" t="s">
        <v>39</v>
      </c>
      <c r="C2318" t="s">
        <v>40</v>
      </c>
      <c r="D2318" t="s">
        <v>41</v>
      </c>
      <c r="E2318" t="s">
        <v>21</v>
      </c>
      <c r="F2318" t="s">
        <v>167</v>
      </c>
      <c r="G2318" t="s">
        <v>72</v>
      </c>
      <c r="H2318" s="1">
        <v>45352</v>
      </c>
      <c r="I2318" t="s">
        <v>47</v>
      </c>
      <c r="J2318" t="s">
        <v>1991</v>
      </c>
      <c r="K2318">
        <v>2</v>
      </c>
      <c r="N2318">
        <v>2420</v>
      </c>
      <c r="O2318">
        <v>50</v>
      </c>
      <c r="P2318" s="1">
        <v>45563</v>
      </c>
      <c r="Q2318" s="1"/>
      <c r="R2318" t="str">
        <f>IF(Table1[[#This Row],[Actual close date]]="","",Table1[[#This Row],[Actual close date]]-Table1[[#This Row],[Expected close date]])</f>
        <v/>
      </c>
    </row>
    <row r="2319" spans="1:18" x14ac:dyDescent="0.25">
      <c r="A2319" t="s">
        <v>2403</v>
      </c>
      <c r="B2319" t="s">
        <v>39</v>
      </c>
      <c r="C2319" t="s">
        <v>40</v>
      </c>
      <c r="D2319" t="s">
        <v>41</v>
      </c>
      <c r="E2319" t="s">
        <v>45</v>
      </c>
      <c r="F2319" t="s">
        <v>167</v>
      </c>
      <c r="G2319" t="s">
        <v>46</v>
      </c>
      <c r="H2319" s="1">
        <v>45338</v>
      </c>
      <c r="I2319" t="s">
        <v>24</v>
      </c>
      <c r="J2319" t="s">
        <v>1991</v>
      </c>
      <c r="K2319">
        <v>2</v>
      </c>
      <c r="N2319">
        <v>7198</v>
      </c>
      <c r="O2319">
        <v>30</v>
      </c>
      <c r="P2319" s="1">
        <v>45574</v>
      </c>
      <c r="Q2319" s="1"/>
      <c r="R2319" t="str">
        <f>IF(Table1[[#This Row],[Actual close date]]="","",Table1[[#This Row],[Actual close date]]-Table1[[#This Row],[Expected close date]])</f>
        <v/>
      </c>
    </row>
    <row r="2320" spans="1:18" x14ac:dyDescent="0.25">
      <c r="A2320" t="s">
        <v>2404</v>
      </c>
      <c r="B2320" t="s">
        <v>27</v>
      </c>
      <c r="C2320" t="s">
        <v>28</v>
      </c>
      <c r="D2320" t="s">
        <v>29</v>
      </c>
      <c r="E2320" t="s">
        <v>21</v>
      </c>
      <c r="F2320" t="s">
        <v>167</v>
      </c>
      <c r="G2320" t="s">
        <v>37</v>
      </c>
      <c r="H2320" s="1">
        <v>45365</v>
      </c>
      <c r="I2320" t="s">
        <v>64</v>
      </c>
      <c r="J2320" t="s">
        <v>1991</v>
      </c>
      <c r="K2320">
        <v>2</v>
      </c>
      <c r="N2320">
        <v>1418</v>
      </c>
      <c r="O2320">
        <v>10</v>
      </c>
      <c r="P2320" s="1">
        <v>45605</v>
      </c>
      <c r="Q2320" s="1"/>
      <c r="R2320" t="str">
        <f>IF(Table1[[#This Row],[Actual close date]]="","",Table1[[#This Row],[Actual close date]]-Table1[[#This Row],[Expected close date]])</f>
        <v/>
      </c>
    </row>
    <row r="2321" spans="1:18" x14ac:dyDescent="0.25">
      <c r="A2321" t="s">
        <v>2405</v>
      </c>
      <c r="B2321" t="s">
        <v>59</v>
      </c>
      <c r="C2321" t="s">
        <v>60</v>
      </c>
      <c r="D2321" t="s">
        <v>61</v>
      </c>
      <c r="E2321" t="s">
        <v>21</v>
      </c>
      <c r="F2321" t="s">
        <v>167</v>
      </c>
      <c r="G2321" t="s">
        <v>85</v>
      </c>
      <c r="H2321" s="1">
        <v>45319</v>
      </c>
      <c r="I2321" t="s">
        <v>64</v>
      </c>
      <c r="J2321" t="s">
        <v>1991</v>
      </c>
      <c r="K2321">
        <v>2</v>
      </c>
      <c r="N2321">
        <v>3488</v>
      </c>
      <c r="O2321">
        <v>40</v>
      </c>
      <c r="P2321" s="1">
        <v>45579</v>
      </c>
      <c r="Q2321" s="1"/>
      <c r="R2321" t="str">
        <f>IF(Table1[[#This Row],[Actual close date]]="","",Table1[[#This Row],[Actual close date]]-Table1[[#This Row],[Expected close date]])</f>
        <v/>
      </c>
    </row>
    <row r="2322" spans="1:18" x14ac:dyDescent="0.25">
      <c r="A2322" t="s">
        <v>2406</v>
      </c>
      <c r="B2322" t="s">
        <v>33</v>
      </c>
      <c r="C2322" t="s">
        <v>34</v>
      </c>
      <c r="D2322" t="s">
        <v>35</v>
      </c>
      <c r="E2322" t="s">
        <v>21</v>
      </c>
      <c r="F2322" t="s">
        <v>167</v>
      </c>
      <c r="G2322" t="s">
        <v>57</v>
      </c>
      <c r="H2322" s="1">
        <v>45393</v>
      </c>
      <c r="I2322" t="s">
        <v>24</v>
      </c>
      <c r="J2322" t="s">
        <v>1991</v>
      </c>
      <c r="K2322">
        <v>2</v>
      </c>
      <c r="N2322">
        <v>6456</v>
      </c>
      <c r="O2322">
        <v>30</v>
      </c>
      <c r="P2322" s="1">
        <v>45513</v>
      </c>
      <c r="Q2322" s="1"/>
      <c r="R2322" t="str">
        <f>IF(Table1[[#This Row],[Actual close date]]="","",Table1[[#This Row],[Actual close date]]-Table1[[#This Row],[Expected close date]])</f>
        <v/>
      </c>
    </row>
    <row r="2323" spans="1:18" x14ac:dyDescent="0.25">
      <c r="A2323" t="s">
        <v>2407</v>
      </c>
      <c r="B2323" t="s">
        <v>18</v>
      </c>
      <c r="C2323" t="s">
        <v>19</v>
      </c>
      <c r="D2323" t="s">
        <v>20</v>
      </c>
      <c r="E2323" t="s">
        <v>118</v>
      </c>
      <c r="F2323" t="s">
        <v>167</v>
      </c>
      <c r="G2323" t="s">
        <v>83</v>
      </c>
      <c r="H2323" s="1">
        <v>45314</v>
      </c>
      <c r="I2323" t="s">
        <v>64</v>
      </c>
      <c r="J2323" t="s">
        <v>1991</v>
      </c>
      <c r="K2323">
        <v>2</v>
      </c>
      <c r="N2323">
        <v>7122</v>
      </c>
      <c r="O2323">
        <v>30</v>
      </c>
      <c r="P2323" s="1">
        <v>45412</v>
      </c>
      <c r="Q2323" s="1"/>
      <c r="R2323" t="str">
        <f>IF(Table1[[#This Row],[Actual close date]]="","",Table1[[#This Row],[Actual close date]]-Table1[[#This Row],[Expected close date]])</f>
        <v/>
      </c>
    </row>
    <row r="2324" spans="1:18" x14ac:dyDescent="0.25">
      <c r="A2324" t="s">
        <v>2408</v>
      </c>
      <c r="B2324" t="s">
        <v>18</v>
      </c>
      <c r="C2324" t="s">
        <v>19</v>
      </c>
      <c r="D2324" t="s">
        <v>20</v>
      </c>
      <c r="E2324" t="s">
        <v>52</v>
      </c>
      <c r="F2324" t="s">
        <v>167</v>
      </c>
      <c r="G2324" t="s">
        <v>57</v>
      </c>
      <c r="H2324" s="1">
        <v>45417</v>
      </c>
      <c r="I2324" t="s">
        <v>64</v>
      </c>
      <c r="J2324" t="s">
        <v>1991</v>
      </c>
      <c r="K2324">
        <v>2</v>
      </c>
      <c r="N2324">
        <v>782</v>
      </c>
      <c r="O2324">
        <v>60</v>
      </c>
      <c r="P2324" s="1">
        <v>45581</v>
      </c>
      <c r="Q2324" s="1"/>
      <c r="R2324" t="str">
        <f>IF(Table1[[#This Row],[Actual close date]]="","",Table1[[#This Row],[Actual close date]]-Table1[[#This Row],[Expected close date]])</f>
        <v/>
      </c>
    </row>
    <row r="2325" spans="1:18" x14ac:dyDescent="0.25">
      <c r="A2325" t="s">
        <v>2409</v>
      </c>
      <c r="B2325" t="s">
        <v>39</v>
      </c>
      <c r="C2325" t="s">
        <v>40</v>
      </c>
      <c r="D2325" t="s">
        <v>41</v>
      </c>
      <c r="E2325" t="s">
        <v>74</v>
      </c>
      <c r="F2325" t="s">
        <v>167</v>
      </c>
      <c r="G2325" t="s">
        <v>46</v>
      </c>
      <c r="H2325" s="1">
        <v>45366</v>
      </c>
      <c r="I2325" t="s">
        <v>64</v>
      </c>
      <c r="J2325" t="s">
        <v>1991</v>
      </c>
      <c r="K2325">
        <v>2</v>
      </c>
      <c r="N2325">
        <v>7885</v>
      </c>
      <c r="O2325">
        <v>10</v>
      </c>
      <c r="P2325" s="1">
        <v>45450</v>
      </c>
      <c r="Q2325" s="1"/>
      <c r="R2325" t="str">
        <f>IF(Table1[[#This Row],[Actual close date]]="","",Table1[[#This Row],[Actual close date]]-Table1[[#This Row],[Expected close date]])</f>
        <v/>
      </c>
    </row>
    <row r="2326" spans="1:18" x14ac:dyDescent="0.25">
      <c r="A2326" t="s">
        <v>2410</v>
      </c>
      <c r="B2326" t="s">
        <v>76</v>
      </c>
      <c r="C2326" t="s">
        <v>77</v>
      </c>
      <c r="D2326" t="s">
        <v>78</v>
      </c>
      <c r="E2326" t="s">
        <v>42</v>
      </c>
      <c r="F2326" t="s">
        <v>167</v>
      </c>
      <c r="G2326" t="s">
        <v>57</v>
      </c>
      <c r="H2326" s="1">
        <v>45378</v>
      </c>
      <c r="I2326" t="s">
        <v>64</v>
      </c>
      <c r="J2326" t="s">
        <v>1991</v>
      </c>
      <c r="K2326">
        <v>2</v>
      </c>
      <c r="N2326">
        <v>2409</v>
      </c>
      <c r="O2326">
        <v>30</v>
      </c>
      <c r="P2326" s="1">
        <v>45715</v>
      </c>
      <c r="Q2326" s="1"/>
      <c r="R2326" t="str">
        <f>IF(Table1[[#This Row],[Actual close date]]="","",Table1[[#This Row],[Actual close date]]-Table1[[#This Row],[Expected close date]])</f>
        <v/>
      </c>
    </row>
    <row r="2327" spans="1:18" x14ac:dyDescent="0.25">
      <c r="A2327" t="s">
        <v>2411</v>
      </c>
      <c r="B2327" t="s">
        <v>33</v>
      </c>
      <c r="C2327" t="s">
        <v>34</v>
      </c>
      <c r="D2327" t="s">
        <v>35</v>
      </c>
      <c r="E2327" t="s">
        <v>42</v>
      </c>
      <c r="F2327" t="s">
        <v>167</v>
      </c>
      <c r="G2327" t="s">
        <v>46</v>
      </c>
      <c r="H2327" s="1">
        <v>45374</v>
      </c>
      <c r="I2327" t="s">
        <v>64</v>
      </c>
      <c r="J2327" t="s">
        <v>1991</v>
      </c>
      <c r="K2327">
        <v>2</v>
      </c>
      <c r="N2327">
        <v>1661</v>
      </c>
      <c r="O2327">
        <v>30</v>
      </c>
      <c r="P2327" s="1">
        <v>45686</v>
      </c>
      <c r="Q2327" s="1"/>
      <c r="R2327" t="str">
        <f>IF(Table1[[#This Row],[Actual close date]]="","",Table1[[#This Row],[Actual close date]]-Table1[[#This Row],[Expected close date]])</f>
        <v/>
      </c>
    </row>
    <row r="2328" spans="1:18" x14ac:dyDescent="0.25">
      <c r="A2328" t="s">
        <v>2412</v>
      </c>
      <c r="B2328" t="s">
        <v>33</v>
      </c>
      <c r="C2328" t="s">
        <v>34</v>
      </c>
      <c r="D2328" t="s">
        <v>35</v>
      </c>
      <c r="E2328" t="s">
        <v>21</v>
      </c>
      <c r="F2328" t="s">
        <v>167</v>
      </c>
      <c r="G2328" t="s">
        <v>37</v>
      </c>
      <c r="H2328" s="1">
        <v>45366</v>
      </c>
      <c r="I2328" t="s">
        <v>24</v>
      </c>
      <c r="J2328" t="s">
        <v>1991</v>
      </c>
      <c r="K2328">
        <v>2</v>
      </c>
      <c r="N2328">
        <v>6285</v>
      </c>
      <c r="O2328">
        <v>50</v>
      </c>
      <c r="P2328" s="1">
        <v>45554</v>
      </c>
      <c r="Q2328" s="1"/>
      <c r="R2328" t="str">
        <f>IF(Table1[[#This Row],[Actual close date]]="","",Table1[[#This Row],[Actual close date]]-Table1[[#This Row],[Expected close date]])</f>
        <v/>
      </c>
    </row>
    <row r="2329" spans="1:18" x14ac:dyDescent="0.25">
      <c r="A2329" t="s">
        <v>2413</v>
      </c>
      <c r="B2329" t="s">
        <v>27</v>
      </c>
      <c r="C2329" t="s">
        <v>28</v>
      </c>
      <c r="D2329" t="s">
        <v>29</v>
      </c>
      <c r="E2329" t="s">
        <v>52</v>
      </c>
      <c r="F2329" t="s">
        <v>167</v>
      </c>
      <c r="G2329" t="s">
        <v>46</v>
      </c>
      <c r="H2329" s="1">
        <v>45306</v>
      </c>
      <c r="I2329" t="s">
        <v>64</v>
      </c>
      <c r="J2329" t="s">
        <v>1991</v>
      </c>
      <c r="K2329">
        <v>2</v>
      </c>
      <c r="N2329">
        <v>7964</v>
      </c>
      <c r="O2329">
        <v>40</v>
      </c>
      <c r="P2329" s="1">
        <v>45353</v>
      </c>
      <c r="Q2329" s="1"/>
      <c r="R2329" t="str">
        <f>IF(Table1[[#This Row],[Actual close date]]="","",Table1[[#This Row],[Actual close date]]-Table1[[#This Row],[Expected close date]])</f>
        <v/>
      </c>
    </row>
    <row r="2330" spans="1:18" x14ac:dyDescent="0.25">
      <c r="A2330" t="s">
        <v>2414</v>
      </c>
      <c r="B2330" t="s">
        <v>54</v>
      </c>
      <c r="C2330" t="s">
        <v>55</v>
      </c>
      <c r="D2330" t="s">
        <v>56</v>
      </c>
      <c r="E2330" t="s">
        <v>101</v>
      </c>
      <c r="F2330" t="s">
        <v>167</v>
      </c>
      <c r="G2330" t="s">
        <v>31</v>
      </c>
      <c r="H2330" s="1">
        <v>45325</v>
      </c>
      <c r="I2330" t="s">
        <v>64</v>
      </c>
      <c r="J2330" t="s">
        <v>1991</v>
      </c>
      <c r="K2330">
        <v>2</v>
      </c>
      <c r="N2330">
        <v>5051</v>
      </c>
      <c r="O2330">
        <v>20</v>
      </c>
      <c r="P2330" s="1">
        <v>45546</v>
      </c>
      <c r="Q2330" s="1"/>
      <c r="R2330" t="str">
        <f>IF(Table1[[#This Row],[Actual close date]]="","",Table1[[#This Row],[Actual close date]]-Table1[[#This Row],[Expected close date]])</f>
        <v/>
      </c>
    </row>
    <row r="2331" spans="1:18" x14ac:dyDescent="0.25">
      <c r="A2331" t="s">
        <v>2415</v>
      </c>
      <c r="B2331" t="s">
        <v>59</v>
      </c>
      <c r="C2331" t="s">
        <v>60</v>
      </c>
      <c r="D2331" t="s">
        <v>61</v>
      </c>
      <c r="E2331" t="s">
        <v>42</v>
      </c>
      <c r="F2331" t="s">
        <v>167</v>
      </c>
      <c r="G2331" t="s">
        <v>23</v>
      </c>
      <c r="H2331" s="1">
        <v>45366</v>
      </c>
      <c r="I2331" t="s">
        <v>24</v>
      </c>
      <c r="J2331" t="s">
        <v>1991</v>
      </c>
      <c r="K2331">
        <v>2</v>
      </c>
      <c r="N2331">
        <v>632</v>
      </c>
      <c r="O2331">
        <v>50</v>
      </c>
      <c r="P2331" s="1">
        <v>45637</v>
      </c>
      <c r="Q2331" s="1"/>
      <c r="R2331" t="str">
        <f>IF(Table1[[#This Row],[Actual close date]]="","",Table1[[#This Row],[Actual close date]]-Table1[[#This Row],[Expected close date]])</f>
        <v/>
      </c>
    </row>
    <row r="2332" spans="1:18" x14ac:dyDescent="0.25">
      <c r="A2332" t="s">
        <v>2416</v>
      </c>
      <c r="B2332" t="s">
        <v>18</v>
      </c>
      <c r="C2332" t="s">
        <v>19</v>
      </c>
      <c r="D2332" t="s">
        <v>20</v>
      </c>
      <c r="E2332" t="s">
        <v>74</v>
      </c>
      <c r="F2332" t="s">
        <v>167</v>
      </c>
      <c r="G2332" t="s">
        <v>57</v>
      </c>
      <c r="H2332" s="1">
        <v>45371</v>
      </c>
      <c r="I2332" t="s">
        <v>64</v>
      </c>
      <c r="J2332" t="s">
        <v>1991</v>
      </c>
      <c r="K2332">
        <v>2</v>
      </c>
      <c r="N2332">
        <v>1725</v>
      </c>
      <c r="O2332">
        <v>30</v>
      </c>
      <c r="P2332" s="1">
        <v>45525</v>
      </c>
      <c r="Q2332" s="1"/>
      <c r="R2332" t="str">
        <f>IF(Table1[[#This Row],[Actual close date]]="","",Table1[[#This Row],[Actual close date]]-Table1[[#This Row],[Expected close date]])</f>
        <v/>
      </c>
    </row>
    <row r="2333" spans="1:18" x14ac:dyDescent="0.25">
      <c r="A2333" t="s">
        <v>2417</v>
      </c>
      <c r="B2333" t="s">
        <v>76</v>
      </c>
      <c r="C2333" t="s">
        <v>77</v>
      </c>
      <c r="D2333" t="s">
        <v>78</v>
      </c>
      <c r="E2333" t="s">
        <v>45</v>
      </c>
      <c r="F2333" t="s">
        <v>167</v>
      </c>
      <c r="G2333" t="s">
        <v>46</v>
      </c>
      <c r="H2333" s="1">
        <v>45425</v>
      </c>
      <c r="I2333" t="s">
        <v>64</v>
      </c>
      <c r="J2333" t="s">
        <v>1991</v>
      </c>
      <c r="K2333">
        <v>2</v>
      </c>
      <c r="N2333">
        <v>5678</v>
      </c>
      <c r="O2333">
        <v>60</v>
      </c>
      <c r="P2333" s="1">
        <v>45763</v>
      </c>
      <c r="Q2333" s="1"/>
      <c r="R2333" t="str">
        <f>IF(Table1[[#This Row],[Actual close date]]="","",Table1[[#This Row],[Actual close date]]-Table1[[#This Row],[Expected close date]])</f>
        <v/>
      </c>
    </row>
    <row r="2334" spans="1:18" x14ac:dyDescent="0.25">
      <c r="A2334" t="s">
        <v>2418</v>
      </c>
      <c r="B2334" t="s">
        <v>59</v>
      </c>
      <c r="C2334" t="s">
        <v>60</v>
      </c>
      <c r="D2334" t="s">
        <v>61</v>
      </c>
      <c r="E2334" t="s">
        <v>118</v>
      </c>
      <c r="F2334" t="s">
        <v>167</v>
      </c>
      <c r="G2334" t="s">
        <v>83</v>
      </c>
      <c r="H2334" s="1">
        <v>45392</v>
      </c>
      <c r="I2334" t="s">
        <v>64</v>
      </c>
      <c r="J2334" t="s">
        <v>1991</v>
      </c>
      <c r="K2334">
        <v>2</v>
      </c>
      <c r="N2334">
        <v>4954</v>
      </c>
      <c r="O2334">
        <v>30</v>
      </c>
      <c r="P2334" s="1">
        <v>45603</v>
      </c>
      <c r="Q2334" s="1"/>
      <c r="R2334" t="str">
        <f>IF(Table1[[#This Row],[Actual close date]]="","",Table1[[#This Row],[Actual close date]]-Table1[[#This Row],[Expected close date]])</f>
        <v/>
      </c>
    </row>
    <row r="2335" spans="1:18" x14ac:dyDescent="0.25">
      <c r="A2335" t="s">
        <v>2419</v>
      </c>
      <c r="B2335" t="s">
        <v>39</v>
      </c>
      <c r="C2335" t="s">
        <v>40</v>
      </c>
      <c r="D2335" t="s">
        <v>41</v>
      </c>
      <c r="E2335" t="s">
        <v>45</v>
      </c>
      <c r="F2335" t="s">
        <v>167</v>
      </c>
      <c r="G2335" t="s">
        <v>72</v>
      </c>
      <c r="H2335" s="1">
        <v>45303</v>
      </c>
      <c r="I2335" t="s">
        <v>64</v>
      </c>
      <c r="J2335" t="s">
        <v>1991</v>
      </c>
      <c r="K2335">
        <v>2</v>
      </c>
      <c r="N2335">
        <v>4879</v>
      </c>
      <c r="O2335">
        <v>20</v>
      </c>
      <c r="P2335" s="1">
        <v>45490</v>
      </c>
      <c r="Q2335" s="1"/>
      <c r="R2335" t="str">
        <f>IF(Table1[[#This Row],[Actual close date]]="","",Table1[[#This Row],[Actual close date]]-Table1[[#This Row],[Expected close date]])</f>
        <v/>
      </c>
    </row>
    <row r="2336" spans="1:18" x14ac:dyDescent="0.25">
      <c r="A2336" t="s">
        <v>2420</v>
      </c>
      <c r="B2336" t="s">
        <v>76</v>
      </c>
      <c r="C2336" t="s">
        <v>77</v>
      </c>
      <c r="D2336" t="s">
        <v>78</v>
      </c>
      <c r="E2336" t="s">
        <v>42</v>
      </c>
      <c r="F2336" t="s">
        <v>167</v>
      </c>
      <c r="G2336" t="s">
        <v>37</v>
      </c>
      <c r="H2336" s="1">
        <v>45382</v>
      </c>
      <c r="I2336" t="s">
        <v>64</v>
      </c>
      <c r="J2336" t="s">
        <v>1991</v>
      </c>
      <c r="K2336">
        <v>2</v>
      </c>
      <c r="N2336">
        <v>1183</v>
      </c>
      <c r="O2336">
        <v>30</v>
      </c>
      <c r="P2336" s="1">
        <v>45620</v>
      </c>
      <c r="Q2336" s="1"/>
      <c r="R2336" t="str">
        <f>IF(Table1[[#This Row],[Actual close date]]="","",Table1[[#This Row],[Actual close date]]-Table1[[#This Row],[Expected close date]])</f>
        <v/>
      </c>
    </row>
    <row r="2337" spans="1:18" x14ac:dyDescent="0.25">
      <c r="A2337" t="s">
        <v>2421</v>
      </c>
      <c r="B2337" t="s">
        <v>59</v>
      </c>
      <c r="C2337" t="s">
        <v>60</v>
      </c>
      <c r="D2337" t="s">
        <v>61</v>
      </c>
      <c r="E2337" t="s">
        <v>52</v>
      </c>
      <c r="F2337" t="s">
        <v>167</v>
      </c>
      <c r="G2337" t="s">
        <v>46</v>
      </c>
      <c r="H2337" s="1">
        <v>45378</v>
      </c>
      <c r="I2337" t="s">
        <v>24</v>
      </c>
      <c r="J2337" t="s">
        <v>1991</v>
      </c>
      <c r="K2337">
        <v>2</v>
      </c>
      <c r="N2337">
        <v>5257</v>
      </c>
      <c r="O2337">
        <v>100</v>
      </c>
      <c r="P2337" s="1">
        <v>45641</v>
      </c>
      <c r="Q2337" s="1"/>
      <c r="R2337" t="str">
        <f>IF(Table1[[#This Row],[Actual close date]]="","",Table1[[#This Row],[Actual close date]]-Table1[[#This Row],[Expected close date]])</f>
        <v/>
      </c>
    </row>
    <row r="2338" spans="1:18" x14ac:dyDescent="0.25">
      <c r="A2338" t="s">
        <v>2422</v>
      </c>
      <c r="B2338" t="s">
        <v>33</v>
      </c>
      <c r="C2338" t="s">
        <v>34</v>
      </c>
      <c r="D2338" t="s">
        <v>35</v>
      </c>
      <c r="E2338" t="s">
        <v>52</v>
      </c>
      <c r="F2338" t="s">
        <v>167</v>
      </c>
      <c r="G2338" t="s">
        <v>46</v>
      </c>
      <c r="H2338" s="1">
        <v>45431</v>
      </c>
      <c r="I2338" t="s">
        <v>24</v>
      </c>
      <c r="J2338" t="s">
        <v>1991</v>
      </c>
      <c r="K2338">
        <v>2</v>
      </c>
      <c r="N2338">
        <v>830</v>
      </c>
      <c r="O2338">
        <v>40</v>
      </c>
      <c r="P2338" s="1">
        <v>45473</v>
      </c>
      <c r="Q2338" s="1"/>
      <c r="R2338" t="str">
        <f>IF(Table1[[#This Row],[Actual close date]]="","",Table1[[#This Row],[Actual close date]]-Table1[[#This Row],[Expected close date]])</f>
        <v/>
      </c>
    </row>
    <row r="2339" spans="1:18" x14ac:dyDescent="0.25">
      <c r="A2339" t="s">
        <v>2423</v>
      </c>
      <c r="B2339" t="s">
        <v>27</v>
      </c>
      <c r="C2339" t="s">
        <v>28</v>
      </c>
      <c r="D2339" t="s">
        <v>29</v>
      </c>
      <c r="E2339" t="s">
        <v>42</v>
      </c>
      <c r="F2339" t="s">
        <v>167</v>
      </c>
      <c r="G2339" t="s">
        <v>83</v>
      </c>
      <c r="H2339" s="1">
        <v>45425</v>
      </c>
      <c r="I2339" t="s">
        <v>64</v>
      </c>
      <c r="J2339" t="s">
        <v>1991</v>
      </c>
      <c r="K2339">
        <v>2</v>
      </c>
      <c r="N2339">
        <v>2420</v>
      </c>
      <c r="O2339">
        <v>60</v>
      </c>
      <c r="P2339" s="1">
        <v>45736</v>
      </c>
      <c r="Q2339" s="1"/>
      <c r="R2339" t="str">
        <f>IF(Table1[[#This Row],[Actual close date]]="","",Table1[[#This Row],[Actual close date]]-Table1[[#This Row],[Expected close date]])</f>
        <v/>
      </c>
    </row>
    <row r="2340" spans="1:18" x14ac:dyDescent="0.25">
      <c r="A2340" t="s">
        <v>2424</v>
      </c>
      <c r="B2340" t="s">
        <v>33</v>
      </c>
      <c r="C2340" t="s">
        <v>34</v>
      </c>
      <c r="D2340" t="s">
        <v>35</v>
      </c>
      <c r="E2340" t="s">
        <v>30</v>
      </c>
      <c r="F2340" t="s">
        <v>167</v>
      </c>
      <c r="G2340" t="s">
        <v>37</v>
      </c>
      <c r="H2340" s="1">
        <v>45347</v>
      </c>
      <c r="I2340" t="s">
        <v>24</v>
      </c>
      <c r="J2340" t="s">
        <v>1991</v>
      </c>
      <c r="K2340">
        <v>2</v>
      </c>
      <c r="N2340">
        <v>2956</v>
      </c>
      <c r="O2340">
        <v>40</v>
      </c>
      <c r="P2340" s="1">
        <v>45712</v>
      </c>
      <c r="Q2340" s="1"/>
      <c r="R2340" t="str">
        <f>IF(Table1[[#This Row],[Actual close date]]="","",Table1[[#This Row],[Actual close date]]-Table1[[#This Row],[Expected close date]])</f>
        <v/>
      </c>
    </row>
    <row r="2341" spans="1:18" x14ac:dyDescent="0.25">
      <c r="A2341" t="s">
        <v>2425</v>
      </c>
      <c r="B2341" t="s">
        <v>27</v>
      </c>
      <c r="C2341" t="s">
        <v>28</v>
      </c>
      <c r="D2341" t="s">
        <v>29</v>
      </c>
      <c r="E2341" t="s">
        <v>42</v>
      </c>
      <c r="F2341" t="s">
        <v>167</v>
      </c>
      <c r="G2341" t="s">
        <v>57</v>
      </c>
      <c r="H2341" s="1">
        <v>45304</v>
      </c>
      <c r="I2341" t="s">
        <v>64</v>
      </c>
      <c r="J2341" t="s">
        <v>1991</v>
      </c>
      <c r="K2341">
        <v>2</v>
      </c>
      <c r="N2341">
        <v>6011</v>
      </c>
      <c r="O2341">
        <v>50</v>
      </c>
      <c r="P2341" s="1">
        <v>45441</v>
      </c>
      <c r="Q2341" s="1"/>
      <c r="R2341" t="str">
        <f>IF(Table1[[#This Row],[Actual close date]]="","",Table1[[#This Row],[Actual close date]]-Table1[[#This Row],[Expected close date]])</f>
        <v/>
      </c>
    </row>
    <row r="2342" spans="1:18" x14ac:dyDescent="0.25">
      <c r="A2342" t="s">
        <v>2426</v>
      </c>
      <c r="B2342" t="s">
        <v>39</v>
      </c>
      <c r="C2342" t="s">
        <v>40</v>
      </c>
      <c r="D2342" t="s">
        <v>41</v>
      </c>
      <c r="E2342" t="s">
        <v>45</v>
      </c>
      <c r="F2342" t="s">
        <v>167</v>
      </c>
      <c r="G2342" t="s">
        <v>72</v>
      </c>
      <c r="H2342" s="1">
        <v>45367</v>
      </c>
      <c r="I2342" t="s">
        <v>24</v>
      </c>
      <c r="J2342" t="s">
        <v>1991</v>
      </c>
      <c r="K2342">
        <v>2</v>
      </c>
      <c r="N2342">
        <v>2199</v>
      </c>
      <c r="O2342">
        <v>20</v>
      </c>
      <c r="P2342" s="1">
        <v>45556</v>
      </c>
      <c r="Q2342" s="1"/>
      <c r="R2342" t="str">
        <f>IF(Table1[[#This Row],[Actual close date]]="","",Table1[[#This Row],[Actual close date]]-Table1[[#This Row],[Expected close date]])</f>
        <v/>
      </c>
    </row>
    <row r="2343" spans="1:18" x14ac:dyDescent="0.25">
      <c r="A2343" t="s">
        <v>2427</v>
      </c>
      <c r="B2343" t="s">
        <v>59</v>
      </c>
      <c r="C2343" t="s">
        <v>60</v>
      </c>
      <c r="D2343" t="s">
        <v>61</v>
      </c>
      <c r="E2343" t="s">
        <v>21</v>
      </c>
      <c r="F2343" t="s">
        <v>167</v>
      </c>
      <c r="G2343" t="s">
        <v>85</v>
      </c>
      <c r="H2343" s="1">
        <v>45397</v>
      </c>
      <c r="I2343" t="s">
        <v>64</v>
      </c>
      <c r="J2343" t="s">
        <v>1991</v>
      </c>
      <c r="K2343">
        <v>2</v>
      </c>
      <c r="N2343">
        <v>3395</v>
      </c>
      <c r="O2343">
        <v>50</v>
      </c>
      <c r="P2343" s="1">
        <v>45441</v>
      </c>
      <c r="Q2343" s="1"/>
      <c r="R2343" t="str">
        <f>IF(Table1[[#This Row],[Actual close date]]="","",Table1[[#This Row],[Actual close date]]-Table1[[#This Row],[Expected close date]])</f>
        <v/>
      </c>
    </row>
    <row r="2344" spans="1:18" x14ac:dyDescent="0.25">
      <c r="A2344" t="s">
        <v>2428</v>
      </c>
      <c r="B2344" t="s">
        <v>59</v>
      </c>
      <c r="C2344" t="s">
        <v>60</v>
      </c>
      <c r="D2344" t="s">
        <v>61</v>
      </c>
      <c r="E2344" t="s">
        <v>36</v>
      </c>
      <c r="F2344" t="s">
        <v>167</v>
      </c>
      <c r="G2344" t="s">
        <v>83</v>
      </c>
      <c r="H2344" s="1">
        <v>45294</v>
      </c>
      <c r="I2344" t="s">
        <v>47</v>
      </c>
      <c r="J2344" t="s">
        <v>1991</v>
      </c>
      <c r="K2344">
        <v>2</v>
      </c>
      <c r="N2344">
        <v>6029</v>
      </c>
      <c r="O2344">
        <v>40</v>
      </c>
      <c r="P2344" s="1">
        <v>45650</v>
      </c>
      <c r="Q2344" s="1"/>
      <c r="R2344" t="str">
        <f>IF(Table1[[#This Row],[Actual close date]]="","",Table1[[#This Row],[Actual close date]]-Table1[[#This Row],[Expected close date]])</f>
        <v/>
      </c>
    </row>
    <row r="2345" spans="1:18" x14ac:dyDescent="0.25">
      <c r="A2345" t="s">
        <v>2429</v>
      </c>
      <c r="B2345" t="s">
        <v>33</v>
      </c>
      <c r="C2345" t="s">
        <v>34</v>
      </c>
      <c r="D2345" t="s">
        <v>35</v>
      </c>
      <c r="E2345" t="s">
        <v>21</v>
      </c>
      <c r="F2345" t="s">
        <v>167</v>
      </c>
      <c r="G2345" t="s">
        <v>31</v>
      </c>
      <c r="H2345" s="1">
        <v>45365</v>
      </c>
      <c r="I2345" t="s">
        <v>64</v>
      </c>
      <c r="J2345" t="s">
        <v>1991</v>
      </c>
      <c r="K2345">
        <v>2</v>
      </c>
      <c r="N2345">
        <v>1413</v>
      </c>
      <c r="O2345">
        <v>70</v>
      </c>
      <c r="P2345" s="1">
        <v>45639</v>
      </c>
      <c r="Q2345" s="1"/>
      <c r="R2345" t="str">
        <f>IF(Table1[[#This Row],[Actual close date]]="","",Table1[[#This Row],[Actual close date]]-Table1[[#This Row],[Expected close date]])</f>
        <v/>
      </c>
    </row>
    <row r="2346" spans="1:18" x14ac:dyDescent="0.25">
      <c r="A2346" t="s">
        <v>2430</v>
      </c>
      <c r="B2346" t="s">
        <v>76</v>
      </c>
      <c r="C2346" t="s">
        <v>77</v>
      </c>
      <c r="D2346" t="s">
        <v>78</v>
      </c>
      <c r="E2346" t="s">
        <v>45</v>
      </c>
      <c r="F2346" t="s">
        <v>167</v>
      </c>
      <c r="G2346" t="s">
        <v>23</v>
      </c>
      <c r="H2346" s="1">
        <v>45376</v>
      </c>
      <c r="I2346" t="s">
        <v>64</v>
      </c>
      <c r="J2346" t="s">
        <v>1991</v>
      </c>
      <c r="K2346">
        <v>2</v>
      </c>
      <c r="N2346">
        <v>6922</v>
      </c>
      <c r="O2346">
        <v>90</v>
      </c>
      <c r="P2346" s="1">
        <v>45660</v>
      </c>
      <c r="Q2346" s="1"/>
      <c r="R2346" t="str">
        <f>IF(Table1[[#This Row],[Actual close date]]="","",Table1[[#This Row],[Actual close date]]-Table1[[#This Row],[Expected close date]])</f>
        <v/>
      </c>
    </row>
    <row r="2347" spans="1:18" x14ac:dyDescent="0.25">
      <c r="A2347" t="s">
        <v>2431</v>
      </c>
      <c r="B2347" t="s">
        <v>54</v>
      </c>
      <c r="C2347" t="s">
        <v>55</v>
      </c>
      <c r="D2347" t="s">
        <v>56</v>
      </c>
      <c r="E2347" t="s">
        <v>45</v>
      </c>
      <c r="F2347" t="s">
        <v>167</v>
      </c>
      <c r="G2347" t="s">
        <v>57</v>
      </c>
      <c r="H2347" s="1">
        <v>45353</v>
      </c>
      <c r="I2347" t="s">
        <v>24</v>
      </c>
      <c r="J2347" t="s">
        <v>1991</v>
      </c>
      <c r="K2347">
        <v>2</v>
      </c>
      <c r="N2347">
        <v>6394</v>
      </c>
      <c r="O2347">
        <v>30</v>
      </c>
      <c r="P2347" s="1">
        <v>45462</v>
      </c>
      <c r="Q2347" s="1"/>
      <c r="R2347" t="str">
        <f>IF(Table1[[#This Row],[Actual close date]]="","",Table1[[#This Row],[Actual close date]]-Table1[[#This Row],[Expected close date]])</f>
        <v/>
      </c>
    </row>
    <row r="2348" spans="1:18" x14ac:dyDescent="0.25">
      <c r="A2348" t="s">
        <v>2432</v>
      </c>
      <c r="B2348" t="s">
        <v>33</v>
      </c>
      <c r="C2348" t="s">
        <v>34</v>
      </c>
      <c r="D2348" t="s">
        <v>35</v>
      </c>
      <c r="E2348" t="s">
        <v>36</v>
      </c>
      <c r="F2348" t="s">
        <v>167</v>
      </c>
      <c r="G2348" t="s">
        <v>57</v>
      </c>
      <c r="H2348" s="1">
        <v>45356</v>
      </c>
      <c r="I2348" t="s">
        <v>64</v>
      </c>
      <c r="J2348" t="s">
        <v>1991</v>
      </c>
      <c r="K2348">
        <v>2</v>
      </c>
      <c r="N2348">
        <v>7411</v>
      </c>
      <c r="O2348">
        <v>20</v>
      </c>
      <c r="P2348" s="1">
        <v>45430</v>
      </c>
      <c r="Q2348" s="1"/>
      <c r="R2348" t="str">
        <f>IF(Table1[[#This Row],[Actual close date]]="","",Table1[[#This Row],[Actual close date]]-Table1[[#This Row],[Expected close date]])</f>
        <v/>
      </c>
    </row>
    <row r="2349" spans="1:18" x14ac:dyDescent="0.25">
      <c r="A2349" t="s">
        <v>2433</v>
      </c>
      <c r="B2349" t="s">
        <v>39</v>
      </c>
      <c r="C2349" t="s">
        <v>40</v>
      </c>
      <c r="D2349" t="s">
        <v>41</v>
      </c>
      <c r="E2349" t="s">
        <v>62</v>
      </c>
      <c r="F2349" t="s">
        <v>167</v>
      </c>
      <c r="G2349" t="s">
        <v>37</v>
      </c>
      <c r="H2349" s="1">
        <v>45321</v>
      </c>
      <c r="I2349" t="s">
        <v>64</v>
      </c>
      <c r="J2349" t="s">
        <v>1991</v>
      </c>
      <c r="K2349">
        <v>2</v>
      </c>
      <c r="N2349">
        <v>1343</v>
      </c>
      <c r="O2349">
        <v>100</v>
      </c>
      <c r="P2349" s="1">
        <v>45609</v>
      </c>
      <c r="Q2349" s="1"/>
      <c r="R2349" t="str">
        <f>IF(Table1[[#This Row],[Actual close date]]="","",Table1[[#This Row],[Actual close date]]-Table1[[#This Row],[Expected close date]])</f>
        <v/>
      </c>
    </row>
    <row r="2350" spans="1:18" x14ac:dyDescent="0.25">
      <c r="A2350" t="s">
        <v>2434</v>
      </c>
      <c r="B2350" t="s">
        <v>39</v>
      </c>
      <c r="C2350" t="s">
        <v>40</v>
      </c>
      <c r="D2350" t="s">
        <v>41</v>
      </c>
      <c r="E2350" t="s">
        <v>45</v>
      </c>
      <c r="F2350" t="s">
        <v>167</v>
      </c>
      <c r="G2350" t="s">
        <v>31</v>
      </c>
      <c r="H2350" s="1">
        <v>45394</v>
      </c>
      <c r="I2350" t="s">
        <v>24</v>
      </c>
      <c r="J2350" t="s">
        <v>1991</v>
      </c>
      <c r="K2350">
        <v>2</v>
      </c>
      <c r="N2350">
        <v>667</v>
      </c>
      <c r="O2350">
        <v>40</v>
      </c>
      <c r="P2350" s="1">
        <v>45575</v>
      </c>
      <c r="Q2350" s="1"/>
      <c r="R2350" t="str">
        <f>IF(Table1[[#This Row],[Actual close date]]="","",Table1[[#This Row],[Actual close date]]-Table1[[#This Row],[Expected close date]])</f>
        <v/>
      </c>
    </row>
    <row r="2351" spans="1:18" x14ac:dyDescent="0.25">
      <c r="A2351" t="s">
        <v>2435</v>
      </c>
      <c r="B2351" t="s">
        <v>59</v>
      </c>
      <c r="C2351" t="s">
        <v>60</v>
      </c>
      <c r="D2351" t="s">
        <v>61</v>
      </c>
      <c r="E2351" t="s">
        <v>30</v>
      </c>
      <c r="F2351" t="s">
        <v>167</v>
      </c>
      <c r="G2351" t="s">
        <v>23</v>
      </c>
      <c r="H2351" s="1">
        <v>45352</v>
      </c>
      <c r="I2351" t="s">
        <v>47</v>
      </c>
      <c r="J2351" t="s">
        <v>1991</v>
      </c>
      <c r="K2351">
        <v>2</v>
      </c>
      <c r="N2351">
        <v>4704</v>
      </c>
      <c r="O2351">
        <v>90</v>
      </c>
      <c r="P2351" s="1">
        <v>45528</v>
      </c>
      <c r="Q2351" s="1"/>
      <c r="R2351" t="str">
        <f>IF(Table1[[#This Row],[Actual close date]]="","",Table1[[#This Row],[Actual close date]]-Table1[[#This Row],[Expected close date]])</f>
        <v/>
      </c>
    </row>
    <row r="2352" spans="1:18" x14ac:dyDescent="0.25">
      <c r="A2352" t="s">
        <v>2436</v>
      </c>
      <c r="B2352" t="s">
        <v>39</v>
      </c>
      <c r="C2352" t="s">
        <v>40</v>
      </c>
      <c r="D2352" t="s">
        <v>41</v>
      </c>
      <c r="E2352" t="s">
        <v>66</v>
      </c>
      <c r="F2352" t="s">
        <v>167</v>
      </c>
      <c r="G2352" t="s">
        <v>31</v>
      </c>
      <c r="H2352" s="1">
        <v>45350</v>
      </c>
      <c r="I2352" t="s">
        <v>64</v>
      </c>
      <c r="J2352" t="s">
        <v>1991</v>
      </c>
      <c r="K2352">
        <v>2</v>
      </c>
      <c r="N2352">
        <v>1937</v>
      </c>
      <c r="O2352">
        <v>70</v>
      </c>
      <c r="P2352" s="1">
        <v>45635</v>
      </c>
      <c r="Q2352" s="1"/>
      <c r="R2352" t="str">
        <f>IF(Table1[[#This Row],[Actual close date]]="","",Table1[[#This Row],[Actual close date]]-Table1[[#This Row],[Expected close date]])</f>
        <v/>
      </c>
    </row>
    <row r="2353" spans="1:18" x14ac:dyDescent="0.25">
      <c r="A2353" t="s">
        <v>2437</v>
      </c>
      <c r="B2353" t="s">
        <v>49</v>
      </c>
      <c r="C2353" t="s">
        <v>50</v>
      </c>
      <c r="D2353" t="s">
        <v>51</v>
      </c>
      <c r="E2353" t="s">
        <v>74</v>
      </c>
      <c r="F2353" t="s">
        <v>167</v>
      </c>
      <c r="G2353" t="s">
        <v>31</v>
      </c>
      <c r="H2353" s="1">
        <v>45436</v>
      </c>
      <c r="I2353" t="s">
        <v>64</v>
      </c>
      <c r="J2353" t="s">
        <v>1991</v>
      </c>
      <c r="K2353">
        <v>2</v>
      </c>
      <c r="N2353">
        <v>3060</v>
      </c>
      <c r="O2353">
        <v>20</v>
      </c>
      <c r="P2353" s="1">
        <v>45485</v>
      </c>
      <c r="Q2353" s="1"/>
      <c r="R2353" t="str">
        <f>IF(Table1[[#This Row],[Actual close date]]="","",Table1[[#This Row],[Actual close date]]-Table1[[#This Row],[Expected close date]])</f>
        <v/>
      </c>
    </row>
    <row r="2354" spans="1:18" x14ac:dyDescent="0.25">
      <c r="A2354" t="s">
        <v>2438</v>
      </c>
      <c r="B2354" t="s">
        <v>39</v>
      </c>
      <c r="C2354" t="s">
        <v>40</v>
      </c>
      <c r="D2354" t="s">
        <v>41</v>
      </c>
      <c r="E2354" t="s">
        <v>45</v>
      </c>
      <c r="F2354" t="s">
        <v>167</v>
      </c>
      <c r="G2354" t="s">
        <v>46</v>
      </c>
      <c r="H2354" s="1">
        <v>45326</v>
      </c>
      <c r="I2354" t="s">
        <v>64</v>
      </c>
      <c r="J2354" t="s">
        <v>1991</v>
      </c>
      <c r="K2354">
        <v>2</v>
      </c>
      <c r="N2354">
        <v>656</v>
      </c>
      <c r="O2354">
        <v>60</v>
      </c>
      <c r="P2354" s="1">
        <v>45513</v>
      </c>
      <c r="Q2354" s="1"/>
      <c r="R2354" t="str">
        <f>IF(Table1[[#This Row],[Actual close date]]="","",Table1[[#This Row],[Actual close date]]-Table1[[#This Row],[Expected close date]])</f>
        <v/>
      </c>
    </row>
    <row r="2355" spans="1:18" x14ac:dyDescent="0.25">
      <c r="A2355" t="s">
        <v>2439</v>
      </c>
      <c r="B2355" t="s">
        <v>39</v>
      </c>
      <c r="C2355" t="s">
        <v>40</v>
      </c>
      <c r="D2355" t="s">
        <v>41</v>
      </c>
      <c r="E2355" t="s">
        <v>74</v>
      </c>
      <c r="F2355" t="s">
        <v>167</v>
      </c>
      <c r="G2355" t="s">
        <v>31</v>
      </c>
      <c r="H2355" s="1">
        <v>45308</v>
      </c>
      <c r="I2355" t="s">
        <v>64</v>
      </c>
      <c r="J2355" t="s">
        <v>1991</v>
      </c>
      <c r="K2355">
        <v>2</v>
      </c>
      <c r="N2355">
        <v>6655</v>
      </c>
      <c r="O2355">
        <v>60</v>
      </c>
      <c r="P2355" s="1">
        <v>45468</v>
      </c>
      <c r="Q2355" s="1"/>
      <c r="R2355" t="str">
        <f>IF(Table1[[#This Row],[Actual close date]]="","",Table1[[#This Row],[Actual close date]]-Table1[[#This Row],[Expected close date]])</f>
        <v/>
      </c>
    </row>
    <row r="2356" spans="1:18" x14ac:dyDescent="0.25">
      <c r="A2356" t="s">
        <v>2440</v>
      </c>
      <c r="B2356" t="s">
        <v>39</v>
      </c>
      <c r="C2356" t="s">
        <v>40</v>
      </c>
      <c r="D2356" t="s">
        <v>41</v>
      </c>
      <c r="E2356" t="s">
        <v>74</v>
      </c>
      <c r="F2356" t="s">
        <v>167</v>
      </c>
      <c r="G2356" t="s">
        <v>72</v>
      </c>
      <c r="H2356" s="1">
        <v>45417</v>
      </c>
      <c r="I2356" t="s">
        <v>64</v>
      </c>
      <c r="J2356" t="s">
        <v>1991</v>
      </c>
      <c r="K2356">
        <v>2</v>
      </c>
      <c r="N2356">
        <v>7229</v>
      </c>
      <c r="O2356">
        <v>70</v>
      </c>
      <c r="P2356" s="1">
        <v>45589</v>
      </c>
      <c r="Q2356" s="1"/>
      <c r="R2356" t="str">
        <f>IF(Table1[[#This Row],[Actual close date]]="","",Table1[[#This Row],[Actual close date]]-Table1[[#This Row],[Expected close date]])</f>
        <v/>
      </c>
    </row>
    <row r="2357" spans="1:18" x14ac:dyDescent="0.25">
      <c r="A2357" t="s">
        <v>2441</v>
      </c>
      <c r="B2357" t="s">
        <v>39</v>
      </c>
      <c r="C2357" t="s">
        <v>40</v>
      </c>
      <c r="D2357" t="s">
        <v>41</v>
      </c>
      <c r="E2357" t="s">
        <v>74</v>
      </c>
      <c r="F2357" t="s">
        <v>167</v>
      </c>
      <c r="G2357" t="s">
        <v>57</v>
      </c>
      <c r="H2357" s="1">
        <v>45393</v>
      </c>
      <c r="I2357" t="s">
        <v>47</v>
      </c>
      <c r="J2357" t="s">
        <v>1991</v>
      </c>
      <c r="K2357">
        <v>2</v>
      </c>
      <c r="N2357">
        <v>549</v>
      </c>
      <c r="O2357">
        <v>60</v>
      </c>
      <c r="P2357" s="1">
        <v>45677</v>
      </c>
      <c r="Q2357" s="1"/>
      <c r="R2357" t="str">
        <f>IF(Table1[[#This Row],[Actual close date]]="","",Table1[[#This Row],[Actual close date]]-Table1[[#This Row],[Expected close date]])</f>
        <v/>
      </c>
    </row>
    <row r="2358" spans="1:18" x14ac:dyDescent="0.25">
      <c r="A2358" t="s">
        <v>2442</v>
      </c>
      <c r="B2358" t="s">
        <v>54</v>
      </c>
      <c r="C2358" t="s">
        <v>55</v>
      </c>
      <c r="D2358" t="s">
        <v>56</v>
      </c>
      <c r="E2358" t="s">
        <v>74</v>
      </c>
      <c r="F2358" t="s">
        <v>167</v>
      </c>
      <c r="G2358" t="s">
        <v>46</v>
      </c>
      <c r="H2358" s="1">
        <v>45409</v>
      </c>
      <c r="I2358" t="s">
        <v>64</v>
      </c>
      <c r="J2358" t="s">
        <v>1991</v>
      </c>
      <c r="K2358">
        <v>2</v>
      </c>
      <c r="N2358">
        <v>5561</v>
      </c>
      <c r="O2358">
        <v>40</v>
      </c>
      <c r="P2358" s="1">
        <v>45755</v>
      </c>
      <c r="Q2358" s="1"/>
      <c r="R2358" t="str">
        <f>IF(Table1[[#This Row],[Actual close date]]="","",Table1[[#This Row],[Actual close date]]-Table1[[#This Row],[Expected close date]])</f>
        <v/>
      </c>
    </row>
    <row r="2359" spans="1:18" x14ac:dyDescent="0.25">
      <c r="A2359" t="s">
        <v>2443</v>
      </c>
      <c r="B2359" t="s">
        <v>27</v>
      </c>
      <c r="C2359" t="s">
        <v>28</v>
      </c>
      <c r="D2359" t="s">
        <v>29</v>
      </c>
      <c r="E2359" t="s">
        <v>52</v>
      </c>
      <c r="F2359" t="s">
        <v>167</v>
      </c>
      <c r="G2359" t="s">
        <v>85</v>
      </c>
      <c r="H2359" s="1">
        <v>45380</v>
      </c>
      <c r="I2359" t="s">
        <v>47</v>
      </c>
      <c r="J2359" t="s">
        <v>1991</v>
      </c>
      <c r="K2359">
        <v>2</v>
      </c>
      <c r="N2359">
        <v>4742</v>
      </c>
      <c r="O2359">
        <v>10</v>
      </c>
      <c r="P2359" s="1">
        <v>45482</v>
      </c>
      <c r="Q2359" s="1"/>
      <c r="R2359" t="str">
        <f>IF(Table1[[#This Row],[Actual close date]]="","",Table1[[#This Row],[Actual close date]]-Table1[[#This Row],[Expected close date]])</f>
        <v/>
      </c>
    </row>
    <row r="2360" spans="1:18" x14ac:dyDescent="0.25">
      <c r="A2360" t="s">
        <v>2444</v>
      </c>
      <c r="B2360" t="s">
        <v>39</v>
      </c>
      <c r="C2360" t="s">
        <v>40</v>
      </c>
      <c r="D2360" t="s">
        <v>41</v>
      </c>
      <c r="E2360" t="s">
        <v>36</v>
      </c>
      <c r="F2360" t="s">
        <v>167</v>
      </c>
      <c r="G2360" t="s">
        <v>83</v>
      </c>
      <c r="H2360" s="1">
        <v>45428</v>
      </c>
      <c r="I2360" t="s">
        <v>47</v>
      </c>
      <c r="J2360" t="s">
        <v>1991</v>
      </c>
      <c r="K2360">
        <v>2</v>
      </c>
      <c r="N2360">
        <v>2684</v>
      </c>
      <c r="O2360">
        <v>50</v>
      </c>
      <c r="P2360" s="1">
        <v>45467</v>
      </c>
      <c r="Q2360" s="1"/>
      <c r="R2360" t="str">
        <f>IF(Table1[[#This Row],[Actual close date]]="","",Table1[[#This Row],[Actual close date]]-Table1[[#This Row],[Expected close date]])</f>
        <v/>
      </c>
    </row>
    <row r="2361" spans="1:18" x14ac:dyDescent="0.25">
      <c r="A2361" t="s">
        <v>2445</v>
      </c>
      <c r="B2361" t="s">
        <v>27</v>
      </c>
      <c r="C2361" t="s">
        <v>28</v>
      </c>
      <c r="D2361" t="s">
        <v>29</v>
      </c>
      <c r="E2361" t="s">
        <v>74</v>
      </c>
      <c r="F2361" t="s">
        <v>167</v>
      </c>
      <c r="G2361" t="s">
        <v>57</v>
      </c>
      <c r="H2361" s="1">
        <v>45313</v>
      </c>
      <c r="I2361" t="s">
        <v>24</v>
      </c>
      <c r="J2361" t="s">
        <v>1991</v>
      </c>
      <c r="K2361">
        <v>2</v>
      </c>
      <c r="N2361">
        <v>3052</v>
      </c>
      <c r="O2361">
        <v>30</v>
      </c>
      <c r="P2361" s="1">
        <v>45400</v>
      </c>
      <c r="Q2361" s="1"/>
      <c r="R2361" t="str">
        <f>IF(Table1[[#This Row],[Actual close date]]="","",Table1[[#This Row],[Actual close date]]-Table1[[#This Row],[Expected close date]])</f>
        <v/>
      </c>
    </row>
    <row r="2362" spans="1:18" x14ac:dyDescent="0.25">
      <c r="A2362" t="s">
        <v>2446</v>
      </c>
      <c r="B2362" t="s">
        <v>33</v>
      </c>
      <c r="C2362" t="s">
        <v>34</v>
      </c>
      <c r="D2362" t="s">
        <v>35</v>
      </c>
      <c r="E2362" t="s">
        <v>118</v>
      </c>
      <c r="F2362" t="s">
        <v>167</v>
      </c>
      <c r="G2362" t="s">
        <v>46</v>
      </c>
      <c r="H2362" s="1">
        <v>45392</v>
      </c>
      <c r="I2362" t="s">
        <v>64</v>
      </c>
      <c r="J2362" t="s">
        <v>1991</v>
      </c>
      <c r="K2362">
        <v>2</v>
      </c>
      <c r="N2362">
        <v>2877</v>
      </c>
      <c r="O2362">
        <v>100</v>
      </c>
      <c r="P2362" s="1">
        <v>45689</v>
      </c>
      <c r="Q2362" s="1"/>
      <c r="R2362" t="str">
        <f>IF(Table1[[#This Row],[Actual close date]]="","",Table1[[#This Row],[Actual close date]]-Table1[[#This Row],[Expected close date]])</f>
        <v/>
      </c>
    </row>
    <row r="2363" spans="1:18" x14ac:dyDescent="0.25">
      <c r="A2363" t="s">
        <v>2447</v>
      </c>
      <c r="B2363" t="s">
        <v>69</v>
      </c>
      <c r="C2363" t="s">
        <v>70</v>
      </c>
      <c r="D2363" t="s">
        <v>71</v>
      </c>
      <c r="E2363" t="s">
        <v>82</v>
      </c>
      <c r="F2363" t="s">
        <v>167</v>
      </c>
      <c r="G2363" t="s">
        <v>83</v>
      </c>
      <c r="H2363" s="1">
        <v>45302</v>
      </c>
      <c r="I2363" t="s">
        <v>64</v>
      </c>
      <c r="J2363" t="s">
        <v>1991</v>
      </c>
      <c r="K2363">
        <v>2</v>
      </c>
      <c r="N2363">
        <v>2716</v>
      </c>
      <c r="O2363">
        <v>30</v>
      </c>
      <c r="P2363" s="1">
        <v>45657</v>
      </c>
      <c r="Q2363" s="1"/>
      <c r="R2363" t="str">
        <f>IF(Table1[[#This Row],[Actual close date]]="","",Table1[[#This Row],[Actual close date]]-Table1[[#This Row],[Expected close date]])</f>
        <v/>
      </c>
    </row>
    <row r="2364" spans="1:18" x14ac:dyDescent="0.25">
      <c r="A2364" t="s">
        <v>2448</v>
      </c>
      <c r="B2364" t="s">
        <v>39</v>
      </c>
      <c r="C2364" t="s">
        <v>40</v>
      </c>
      <c r="D2364" t="s">
        <v>41</v>
      </c>
      <c r="E2364" t="s">
        <v>36</v>
      </c>
      <c r="F2364" t="s">
        <v>167</v>
      </c>
      <c r="G2364" t="s">
        <v>57</v>
      </c>
      <c r="H2364" s="1">
        <v>45345</v>
      </c>
      <c r="I2364" t="s">
        <v>24</v>
      </c>
      <c r="J2364" t="s">
        <v>1991</v>
      </c>
      <c r="K2364">
        <v>2</v>
      </c>
      <c r="N2364">
        <v>4548</v>
      </c>
      <c r="O2364">
        <v>20</v>
      </c>
      <c r="P2364" s="1">
        <v>45507</v>
      </c>
      <c r="Q2364" s="1"/>
      <c r="R2364" t="str">
        <f>IF(Table1[[#This Row],[Actual close date]]="","",Table1[[#This Row],[Actual close date]]-Table1[[#This Row],[Expected close date]])</f>
        <v/>
      </c>
    </row>
    <row r="2365" spans="1:18" x14ac:dyDescent="0.25">
      <c r="A2365" t="s">
        <v>2449</v>
      </c>
      <c r="B2365" t="s">
        <v>33</v>
      </c>
      <c r="C2365" t="s">
        <v>34</v>
      </c>
      <c r="D2365" t="s">
        <v>35</v>
      </c>
      <c r="E2365" t="s">
        <v>52</v>
      </c>
      <c r="F2365" t="s">
        <v>167</v>
      </c>
      <c r="G2365" t="s">
        <v>46</v>
      </c>
      <c r="H2365" s="1">
        <v>45400</v>
      </c>
      <c r="I2365" t="s">
        <v>64</v>
      </c>
      <c r="J2365" t="s">
        <v>1991</v>
      </c>
      <c r="K2365">
        <v>2</v>
      </c>
      <c r="N2365">
        <v>7713</v>
      </c>
      <c r="O2365">
        <v>60</v>
      </c>
      <c r="P2365" s="1">
        <v>45581</v>
      </c>
      <c r="Q2365" s="1"/>
      <c r="R2365" t="str">
        <f>IF(Table1[[#This Row],[Actual close date]]="","",Table1[[#This Row],[Actual close date]]-Table1[[#This Row],[Expected close date]])</f>
        <v/>
      </c>
    </row>
    <row r="2366" spans="1:18" x14ac:dyDescent="0.25">
      <c r="A2366" t="s">
        <v>2450</v>
      </c>
      <c r="B2366" t="s">
        <v>18</v>
      </c>
      <c r="C2366" t="s">
        <v>19</v>
      </c>
      <c r="D2366" t="s">
        <v>20</v>
      </c>
      <c r="E2366" t="s">
        <v>45</v>
      </c>
      <c r="F2366" t="s">
        <v>167</v>
      </c>
      <c r="G2366" t="s">
        <v>72</v>
      </c>
      <c r="H2366" s="1">
        <v>45388</v>
      </c>
      <c r="I2366" t="s">
        <v>24</v>
      </c>
      <c r="J2366" t="s">
        <v>1991</v>
      </c>
      <c r="K2366">
        <v>2</v>
      </c>
      <c r="N2366">
        <v>3681</v>
      </c>
      <c r="O2366">
        <v>40</v>
      </c>
      <c r="P2366" s="1">
        <v>45472</v>
      </c>
      <c r="Q2366" s="1"/>
      <c r="R2366" t="str">
        <f>IF(Table1[[#This Row],[Actual close date]]="","",Table1[[#This Row],[Actual close date]]-Table1[[#This Row],[Expected close date]])</f>
        <v/>
      </c>
    </row>
    <row r="2367" spans="1:18" x14ac:dyDescent="0.25">
      <c r="A2367" t="s">
        <v>2451</v>
      </c>
      <c r="B2367" t="s">
        <v>18</v>
      </c>
      <c r="C2367" t="s">
        <v>19</v>
      </c>
      <c r="D2367" t="s">
        <v>20</v>
      </c>
      <c r="E2367" t="s">
        <v>98</v>
      </c>
      <c r="F2367" t="s">
        <v>167</v>
      </c>
      <c r="G2367" t="s">
        <v>23</v>
      </c>
      <c r="H2367" s="1">
        <v>45403</v>
      </c>
      <c r="I2367" t="s">
        <v>24</v>
      </c>
      <c r="J2367" t="s">
        <v>1991</v>
      </c>
      <c r="K2367">
        <v>2</v>
      </c>
      <c r="N2367">
        <v>4976</v>
      </c>
      <c r="O2367">
        <v>20</v>
      </c>
      <c r="P2367" s="1">
        <v>45598</v>
      </c>
      <c r="Q2367" s="1"/>
      <c r="R2367" t="str">
        <f>IF(Table1[[#This Row],[Actual close date]]="","",Table1[[#This Row],[Actual close date]]-Table1[[#This Row],[Expected close date]])</f>
        <v/>
      </c>
    </row>
    <row r="2368" spans="1:18" x14ac:dyDescent="0.25">
      <c r="A2368" t="s">
        <v>2452</v>
      </c>
      <c r="B2368" t="s">
        <v>59</v>
      </c>
      <c r="C2368" t="s">
        <v>60</v>
      </c>
      <c r="D2368" t="s">
        <v>61</v>
      </c>
      <c r="E2368" t="s">
        <v>45</v>
      </c>
      <c r="F2368" t="s">
        <v>167</v>
      </c>
      <c r="G2368" t="s">
        <v>57</v>
      </c>
      <c r="H2368" s="1">
        <v>45307</v>
      </c>
      <c r="I2368" t="s">
        <v>64</v>
      </c>
      <c r="J2368" t="s">
        <v>1991</v>
      </c>
      <c r="K2368">
        <v>2</v>
      </c>
      <c r="N2368">
        <v>4089</v>
      </c>
      <c r="O2368">
        <v>40</v>
      </c>
      <c r="P2368" s="1">
        <v>45545</v>
      </c>
      <c r="Q2368" s="1"/>
      <c r="R2368" t="str">
        <f>IF(Table1[[#This Row],[Actual close date]]="","",Table1[[#This Row],[Actual close date]]-Table1[[#This Row],[Expected close date]])</f>
        <v/>
      </c>
    </row>
    <row r="2369" spans="1:18" x14ac:dyDescent="0.25">
      <c r="A2369" t="s">
        <v>2453</v>
      </c>
      <c r="B2369" t="s">
        <v>49</v>
      </c>
      <c r="C2369" t="s">
        <v>50</v>
      </c>
      <c r="D2369" t="s">
        <v>51</v>
      </c>
      <c r="E2369" t="s">
        <v>66</v>
      </c>
      <c r="F2369" t="s">
        <v>167</v>
      </c>
      <c r="G2369" t="s">
        <v>72</v>
      </c>
      <c r="H2369" s="1">
        <v>45338</v>
      </c>
      <c r="I2369" t="s">
        <v>24</v>
      </c>
      <c r="J2369" t="s">
        <v>1991</v>
      </c>
      <c r="K2369">
        <v>2</v>
      </c>
      <c r="N2369">
        <v>2882</v>
      </c>
      <c r="O2369">
        <v>20</v>
      </c>
      <c r="P2369" s="1">
        <v>45363</v>
      </c>
      <c r="Q2369" s="1"/>
      <c r="R2369" t="str">
        <f>IF(Table1[[#This Row],[Actual close date]]="","",Table1[[#This Row],[Actual close date]]-Table1[[#This Row],[Expected close date]])</f>
        <v/>
      </c>
    </row>
    <row r="2370" spans="1:18" x14ac:dyDescent="0.25">
      <c r="A2370" t="s">
        <v>2454</v>
      </c>
      <c r="B2370" t="s">
        <v>33</v>
      </c>
      <c r="C2370" t="s">
        <v>34</v>
      </c>
      <c r="D2370" t="s">
        <v>35</v>
      </c>
      <c r="E2370" t="s">
        <v>118</v>
      </c>
      <c r="F2370" t="s">
        <v>167</v>
      </c>
      <c r="G2370" t="s">
        <v>72</v>
      </c>
      <c r="H2370" s="1">
        <v>45294</v>
      </c>
      <c r="I2370" t="s">
        <v>47</v>
      </c>
      <c r="J2370" t="s">
        <v>1991</v>
      </c>
      <c r="K2370">
        <v>2</v>
      </c>
      <c r="N2370">
        <v>6936</v>
      </c>
      <c r="O2370">
        <v>40</v>
      </c>
      <c r="P2370" s="1">
        <v>45360</v>
      </c>
      <c r="Q2370" s="1"/>
      <c r="R2370" t="str">
        <f>IF(Table1[[#This Row],[Actual close date]]="","",Table1[[#This Row],[Actual close date]]-Table1[[#This Row],[Expected close date]])</f>
        <v/>
      </c>
    </row>
    <row r="2371" spans="1:18" x14ac:dyDescent="0.25">
      <c r="A2371" t="s">
        <v>2455</v>
      </c>
      <c r="B2371" t="s">
        <v>59</v>
      </c>
      <c r="C2371" t="s">
        <v>60</v>
      </c>
      <c r="D2371" t="s">
        <v>61</v>
      </c>
      <c r="E2371" t="s">
        <v>45</v>
      </c>
      <c r="F2371" t="s">
        <v>167</v>
      </c>
      <c r="G2371" t="s">
        <v>37</v>
      </c>
      <c r="H2371" s="1">
        <v>45320</v>
      </c>
      <c r="I2371" t="s">
        <v>24</v>
      </c>
      <c r="J2371" t="s">
        <v>1991</v>
      </c>
      <c r="K2371">
        <v>2</v>
      </c>
      <c r="N2371">
        <v>7679</v>
      </c>
      <c r="O2371">
        <v>20</v>
      </c>
      <c r="P2371" s="1">
        <v>45385</v>
      </c>
      <c r="Q2371" s="1"/>
      <c r="R2371" t="str">
        <f>IF(Table1[[#This Row],[Actual close date]]="","",Table1[[#This Row],[Actual close date]]-Table1[[#This Row],[Expected close date]])</f>
        <v/>
      </c>
    </row>
    <row r="2372" spans="1:18" x14ac:dyDescent="0.25">
      <c r="A2372" t="s">
        <v>2456</v>
      </c>
      <c r="B2372" t="s">
        <v>33</v>
      </c>
      <c r="C2372" t="s">
        <v>34</v>
      </c>
      <c r="D2372" t="s">
        <v>35</v>
      </c>
      <c r="E2372" t="s">
        <v>52</v>
      </c>
      <c r="F2372" t="s">
        <v>167</v>
      </c>
      <c r="G2372" t="s">
        <v>57</v>
      </c>
      <c r="H2372" s="1">
        <v>45300</v>
      </c>
      <c r="I2372" t="s">
        <v>64</v>
      </c>
      <c r="J2372" t="s">
        <v>1991</v>
      </c>
      <c r="K2372">
        <v>2</v>
      </c>
      <c r="N2372">
        <v>3169</v>
      </c>
      <c r="O2372">
        <v>50</v>
      </c>
      <c r="P2372" s="1">
        <v>45617</v>
      </c>
      <c r="Q2372" s="1"/>
      <c r="R2372" t="str">
        <f>IF(Table1[[#This Row],[Actual close date]]="","",Table1[[#This Row],[Actual close date]]-Table1[[#This Row],[Expected close date]])</f>
        <v/>
      </c>
    </row>
    <row r="2373" spans="1:18" x14ac:dyDescent="0.25">
      <c r="A2373" t="s">
        <v>2457</v>
      </c>
      <c r="B2373" t="s">
        <v>39</v>
      </c>
      <c r="C2373" t="s">
        <v>40</v>
      </c>
      <c r="D2373" t="s">
        <v>41</v>
      </c>
      <c r="E2373" t="s">
        <v>74</v>
      </c>
      <c r="F2373" t="s">
        <v>167</v>
      </c>
      <c r="G2373" t="s">
        <v>31</v>
      </c>
      <c r="H2373" s="1">
        <v>45328</v>
      </c>
      <c r="I2373" t="s">
        <v>47</v>
      </c>
      <c r="J2373" t="s">
        <v>1991</v>
      </c>
      <c r="K2373">
        <v>2</v>
      </c>
      <c r="N2373">
        <v>1182</v>
      </c>
      <c r="O2373">
        <v>10</v>
      </c>
      <c r="P2373" s="1">
        <v>45429</v>
      </c>
      <c r="Q2373" s="1"/>
      <c r="R2373" t="str">
        <f>IF(Table1[[#This Row],[Actual close date]]="","",Table1[[#This Row],[Actual close date]]-Table1[[#This Row],[Expected close date]])</f>
        <v/>
      </c>
    </row>
    <row r="2374" spans="1:18" x14ac:dyDescent="0.25">
      <c r="A2374" t="s">
        <v>2458</v>
      </c>
      <c r="B2374" t="s">
        <v>54</v>
      </c>
      <c r="C2374" t="s">
        <v>55</v>
      </c>
      <c r="D2374" t="s">
        <v>56</v>
      </c>
      <c r="E2374" t="s">
        <v>52</v>
      </c>
      <c r="F2374" t="s">
        <v>167</v>
      </c>
      <c r="G2374" t="s">
        <v>83</v>
      </c>
      <c r="H2374" s="1">
        <v>45328</v>
      </c>
      <c r="I2374" t="s">
        <v>64</v>
      </c>
      <c r="J2374" t="s">
        <v>1991</v>
      </c>
      <c r="K2374">
        <v>2</v>
      </c>
      <c r="N2374">
        <v>3183</v>
      </c>
      <c r="O2374">
        <v>50</v>
      </c>
      <c r="P2374" s="1">
        <v>45479</v>
      </c>
      <c r="Q2374" s="1"/>
      <c r="R2374" t="str">
        <f>IF(Table1[[#This Row],[Actual close date]]="","",Table1[[#This Row],[Actual close date]]-Table1[[#This Row],[Expected close date]])</f>
        <v/>
      </c>
    </row>
    <row r="2375" spans="1:18" x14ac:dyDescent="0.25">
      <c r="A2375" t="s">
        <v>2459</v>
      </c>
      <c r="B2375" t="s">
        <v>49</v>
      </c>
      <c r="C2375" t="s">
        <v>50</v>
      </c>
      <c r="D2375" t="s">
        <v>51</v>
      </c>
      <c r="E2375" t="s">
        <v>52</v>
      </c>
      <c r="F2375" t="s">
        <v>167</v>
      </c>
      <c r="G2375" t="s">
        <v>83</v>
      </c>
      <c r="H2375" s="1">
        <v>45413</v>
      </c>
      <c r="I2375" t="s">
        <v>64</v>
      </c>
      <c r="J2375" t="s">
        <v>1991</v>
      </c>
      <c r="K2375">
        <v>2</v>
      </c>
      <c r="N2375">
        <v>4996</v>
      </c>
      <c r="O2375">
        <v>40</v>
      </c>
      <c r="P2375" s="1">
        <v>45660</v>
      </c>
      <c r="Q2375" s="1"/>
      <c r="R2375" t="str">
        <f>IF(Table1[[#This Row],[Actual close date]]="","",Table1[[#This Row],[Actual close date]]-Table1[[#This Row],[Expected close date]])</f>
        <v/>
      </c>
    </row>
    <row r="2376" spans="1:18" x14ac:dyDescent="0.25">
      <c r="A2376" t="s">
        <v>2460</v>
      </c>
      <c r="B2376" t="s">
        <v>59</v>
      </c>
      <c r="C2376" t="s">
        <v>60</v>
      </c>
      <c r="D2376" t="s">
        <v>61</v>
      </c>
      <c r="E2376" t="s">
        <v>74</v>
      </c>
      <c r="F2376" t="s">
        <v>167</v>
      </c>
      <c r="G2376" t="s">
        <v>37</v>
      </c>
      <c r="H2376" s="1">
        <v>45349</v>
      </c>
      <c r="I2376" t="s">
        <v>47</v>
      </c>
      <c r="J2376" t="s">
        <v>1991</v>
      </c>
      <c r="K2376">
        <v>2</v>
      </c>
      <c r="N2376">
        <v>7982</v>
      </c>
      <c r="O2376">
        <v>20</v>
      </c>
      <c r="P2376" s="1">
        <v>45487</v>
      </c>
      <c r="Q2376" s="1"/>
      <c r="R2376" t="str">
        <f>IF(Table1[[#This Row],[Actual close date]]="","",Table1[[#This Row],[Actual close date]]-Table1[[#This Row],[Expected close date]])</f>
        <v/>
      </c>
    </row>
    <row r="2377" spans="1:18" x14ac:dyDescent="0.25">
      <c r="A2377" t="s">
        <v>2461</v>
      </c>
      <c r="B2377" t="s">
        <v>18</v>
      </c>
      <c r="C2377" t="s">
        <v>19</v>
      </c>
      <c r="D2377" t="s">
        <v>20</v>
      </c>
      <c r="E2377" t="s">
        <v>45</v>
      </c>
      <c r="F2377" t="s">
        <v>167</v>
      </c>
      <c r="G2377" t="s">
        <v>46</v>
      </c>
      <c r="H2377" s="1">
        <v>45327</v>
      </c>
      <c r="I2377" t="s">
        <v>47</v>
      </c>
      <c r="J2377" t="s">
        <v>1991</v>
      </c>
      <c r="K2377">
        <v>2</v>
      </c>
      <c r="N2377">
        <v>2860</v>
      </c>
      <c r="O2377">
        <v>40</v>
      </c>
      <c r="P2377" s="1">
        <v>45583</v>
      </c>
      <c r="Q2377" s="1"/>
      <c r="R2377" t="str">
        <f>IF(Table1[[#This Row],[Actual close date]]="","",Table1[[#This Row],[Actual close date]]-Table1[[#This Row],[Expected close date]])</f>
        <v/>
      </c>
    </row>
    <row r="2378" spans="1:18" x14ac:dyDescent="0.25">
      <c r="A2378" t="s">
        <v>2462</v>
      </c>
      <c r="B2378" t="s">
        <v>33</v>
      </c>
      <c r="C2378" t="s">
        <v>34</v>
      </c>
      <c r="D2378" t="s">
        <v>35</v>
      </c>
      <c r="E2378" t="s">
        <v>101</v>
      </c>
      <c r="F2378" t="s">
        <v>167</v>
      </c>
      <c r="G2378" t="s">
        <v>46</v>
      </c>
      <c r="H2378" s="1">
        <v>45383</v>
      </c>
      <c r="I2378" t="s">
        <v>24</v>
      </c>
      <c r="J2378" t="s">
        <v>1991</v>
      </c>
      <c r="K2378">
        <v>2</v>
      </c>
      <c r="N2378">
        <v>2517</v>
      </c>
      <c r="O2378">
        <v>20</v>
      </c>
      <c r="P2378" s="1">
        <v>45628</v>
      </c>
      <c r="Q2378" s="1"/>
      <c r="R2378" t="str">
        <f>IF(Table1[[#This Row],[Actual close date]]="","",Table1[[#This Row],[Actual close date]]-Table1[[#This Row],[Expected close date]])</f>
        <v/>
      </c>
    </row>
    <row r="2379" spans="1:18" x14ac:dyDescent="0.25">
      <c r="A2379" t="s">
        <v>2463</v>
      </c>
      <c r="B2379" t="s">
        <v>33</v>
      </c>
      <c r="C2379" t="s">
        <v>34</v>
      </c>
      <c r="D2379" t="s">
        <v>35</v>
      </c>
      <c r="E2379" t="s">
        <v>74</v>
      </c>
      <c r="F2379" t="s">
        <v>167</v>
      </c>
      <c r="G2379" t="s">
        <v>85</v>
      </c>
      <c r="H2379" s="1">
        <v>45347</v>
      </c>
      <c r="I2379" t="s">
        <v>24</v>
      </c>
      <c r="J2379" t="s">
        <v>1991</v>
      </c>
      <c r="K2379">
        <v>2</v>
      </c>
      <c r="N2379">
        <v>7513</v>
      </c>
      <c r="O2379">
        <v>40</v>
      </c>
      <c r="P2379" s="1">
        <v>45631</v>
      </c>
      <c r="Q2379" s="1"/>
      <c r="R2379" t="str">
        <f>IF(Table1[[#This Row],[Actual close date]]="","",Table1[[#This Row],[Actual close date]]-Table1[[#This Row],[Expected close date]])</f>
        <v/>
      </c>
    </row>
    <row r="2380" spans="1:18" x14ac:dyDescent="0.25">
      <c r="A2380" t="s">
        <v>2464</v>
      </c>
      <c r="B2380" t="s">
        <v>33</v>
      </c>
      <c r="C2380" t="s">
        <v>34</v>
      </c>
      <c r="D2380" t="s">
        <v>35</v>
      </c>
      <c r="E2380" t="s">
        <v>36</v>
      </c>
      <c r="F2380" t="s">
        <v>167</v>
      </c>
      <c r="G2380" t="s">
        <v>57</v>
      </c>
      <c r="H2380" s="1">
        <v>45397</v>
      </c>
      <c r="I2380" t="s">
        <v>24</v>
      </c>
      <c r="J2380" t="s">
        <v>1991</v>
      </c>
      <c r="K2380">
        <v>2</v>
      </c>
      <c r="N2380">
        <v>1920</v>
      </c>
      <c r="O2380">
        <v>40</v>
      </c>
      <c r="P2380" s="1">
        <v>45579</v>
      </c>
      <c r="Q2380" s="1"/>
      <c r="R2380" t="str">
        <f>IF(Table1[[#This Row],[Actual close date]]="","",Table1[[#This Row],[Actual close date]]-Table1[[#This Row],[Expected close date]])</f>
        <v/>
      </c>
    </row>
    <row r="2381" spans="1:18" x14ac:dyDescent="0.25">
      <c r="A2381" t="s">
        <v>2465</v>
      </c>
      <c r="B2381" t="s">
        <v>27</v>
      </c>
      <c r="C2381" t="s">
        <v>28</v>
      </c>
      <c r="D2381" t="s">
        <v>29</v>
      </c>
      <c r="E2381" t="s">
        <v>21</v>
      </c>
      <c r="F2381" t="s">
        <v>167</v>
      </c>
      <c r="G2381" t="s">
        <v>46</v>
      </c>
      <c r="H2381" s="1">
        <v>45293</v>
      </c>
      <c r="I2381" t="s">
        <v>47</v>
      </c>
      <c r="J2381" t="s">
        <v>1991</v>
      </c>
      <c r="K2381">
        <v>2</v>
      </c>
      <c r="N2381">
        <v>7974</v>
      </c>
      <c r="O2381">
        <v>60</v>
      </c>
      <c r="P2381" s="1">
        <v>45574</v>
      </c>
      <c r="Q2381" s="1"/>
      <c r="R2381" t="str">
        <f>IF(Table1[[#This Row],[Actual close date]]="","",Table1[[#This Row],[Actual close date]]-Table1[[#This Row],[Expected close date]])</f>
        <v/>
      </c>
    </row>
    <row r="2382" spans="1:18" x14ac:dyDescent="0.25">
      <c r="A2382" t="s">
        <v>2466</v>
      </c>
      <c r="B2382" t="s">
        <v>59</v>
      </c>
      <c r="C2382" t="s">
        <v>60</v>
      </c>
      <c r="D2382" t="s">
        <v>61</v>
      </c>
      <c r="E2382" t="s">
        <v>21</v>
      </c>
      <c r="F2382" t="s">
        <v>167</v>
      </c>
      <c r="G2382" t="s">
        <v>46</v>
      </c>
      <c r="H2382" s="1">
        <v>45413</v>
      </c>
      <c r="I2382" t="s">
        <v>24</v>
      </c>
      <c r="J2382" t="s">
        <v>1991</v>
      </c>
      <c r="K2382">
        <v>2</v>
      </c>
      <c r="N2382">
        <v>7600</v>
      </c>
      <c r="O2382">
        <v>40</v>
      </c>
      <c r="P2382" s="1">
        <v>45479</v>
      </c>
      <c r="Q2382" s="1"/>
      <c r="R2382" t="str">
        <f>IF(Table1[[#This Row],[Actual close date]]="","",Table1[[#This Row],[Actual close date]]-Table1[[#This Row],[Expected close date]])</f>
        <v/>
      </c>
    </row>
    <row r="2383" spans="1:18" x14ac:dyDescent="0.25">
      <c r="A2383" t="s">
        <v>2467</v>
      </c>
      <c r="B2383" t="s">
        <v>27</v>
      </c>
      <c r="C2383" t="s">
        <v>28</v>
      </c>
      <c r="D2383" t="s">
        <v>29</v>
      </c>
      <c r="E2383" t="s">
        <v>74</v>
      </c>
      <c r="F2383" t="s">
        <v>167</v>
      </c>
      <c r="G2383" t="s">
        <v>46</v>
      </c>
      <c r="H2383" s="1">
        <v>45328</v>
      </c>
      <c r="I2383" t="s">
        <v>24</v>
      </c>
      <c r="J2383" t="s">
        <v>1991</v>
      </c>
      <c r="K2383">
        <v>2</v>
      </c>
      <c r="N2383">
        <v>294</v>
      </c>
      <c r="O2383">
        <v>40</v>
      </c>
      <c r="P2383" s="1">
        <v>45647</v>
      </c>
      <c r="Q2383" s="1"/>
      <c r="R2383" t="str">
        <f>IF(Table1[[#This Row],[Actual close date]]="","",Table1[[#This Row],[Actual close date]]-Table1[[#This Row],[Expected close date]])</f>
        <v/>
      </c>
    </row>
    <row r="2384" spans="1:18" x14ac:dyDescent="0.25">
      <c r="A2384" t="s">
        <v>2468</v>
      </c>
      <c r="B2384" t="s">
        <v>49</v>
      </c>
      <c r="C2384" t="s">
        <v>50</v>
      </c>
      <c r="D2384" t="s">
        <v>51</v>
      </c>
      <c r="E2384" t="s">
        <v>62</v>
      </c>
      <c r="F2384" t="s">
        <v>167</v>
      </c>
      <c r="G2384" t="s">
        <v>37</v>
      </c>
      <c r="H2384" s="1">
        <v>45348</v>
      </c>
      <c r="I2384" t="s">
        <v>64</v>
      </c>
      <c r="J2384" t="s">
        <v>1991</v>
      </c>
      <c r="K2384">
        <v>2</v>
      </c>
      <c r="N2384">
        <v>6756</v>
      </c>
      <c r="O2384">
        <v>60</v>
      </c>
      <c r="P2384" s="1">
        <v>45372</v>
      </c>
      <c r="Q2384" s="1"/>
      <c r="R2384" t="str">
        <f>IF(Table1[[#This Row],[Actual close date]]="","",Table1[[#This Row],[Actual close date]]-Table1[[#This Row],[Expected close date]])</f>
        <v/>
      </c>
    </row>
    <row r="2385" spans="1:18" x14ac:dyDescent="0.25">
      <c r="A2385" t="s">
        <v>2469</v>
      </c>
      <c r="B2385" t="s">
        <v>33</v>
      </c>
      <c r="C2385" t="s">
        <v>34</v>
      </c>
      <c r="D2385" t="s">
        <v>35</v>
      </c>
      <c r="E2385" t="s">
        <v>45</v>
      </c>
      <c r="F2385" t="s">
        <v>167</v>
      </c>
      <c r="G2385" t="s">
        <v>57</v>
      </c>
      <c r="H2385" s="1">
        <v>45401</v>
      </c>
      <c r="I2385" t="s">
        <v>47</v>
      </c>
      <c r="J2385" t="s">
        <v>1991</v>
      </c>
      <c r="K2385">
        <v>2</v>
      </c>
      <c r="N2385">
        <v>6193</v>
      </c>
      <c r="O2385">
        <v>40</v>
      </c>
      <c r="P2385" s="1">
        <v>45465</v>
      </c>
      <c r="Q2385" s="1"/>
      <c r="R2385" t="str">
        <f>IF(Table1[[#This Row],[Actual close date]]="","",Table1[[#This Row],[Actual close date]]-Table1[[#This Row],[Expected close date]])</f>
        <v/>
      </c>
    </row>
    <row r="2386" spans="1:18" x14ac:dyDescent="0.25">
      <c r="A2386" t="s">
        <v>2470</v>
      </c>
      <c r="B2386" t="s">
        <v>54</v>
      </c>
      <c r="C2386" t="s">
        <v>55</v>
      </c>
      <c r="D2386" t="s">
        <v>56</v>
      </c>
      <c r="E2386" t="s">
        <v>118</v>
      </c>
      <c r="F2386" t="s">
        <v>167</v>
      </c>
      <c r="G2386" t="s">
        <v>72</v>
      </c>
      <c r="H2386" s="1">
        <v>45327</v>
      </c>
      <c r="I2386" t="s">
        <v>47</v>
      </c>
      <c r="J2386" t="s">
        <v>1991</v>
      </c>
      <c r="K2386">
        <v>2</v>
      </c>
      <c r="N2386">
        <v>497</v>
      </c>
      <c r="O2386">
        <v>100</v>
      </c>
      <c r="P2386" s="1">
        <v>45411</v>
      </c>
      <c r="Q2386" s="1"/>
      <c r="R2386" t="str">
        <f>IF(Table1[[#This Row],[Actual close date]]="","",Table1[[#This Row],[Actual close date]]-Table1[[#This Row],[Expected close date]])</f>
        <v/>
      </c>
    </row>
    <row r="2387" spans="1:18" x14ac:dyDescent="0.25">
      <c r="A2387" t="s">
        <v>2471</v>
      </c>
      <c r="B2387" t="s">
        <v>59</v>
      </c>
      <c r="C2387" t="s">
        <v>60</v>
      </c>
      <c r="D2387" t="s">
        <v>61</v>
      </c>
      <c r="E2387" t="s">
        <v>62</v>
      </c>
      <c r="F2387" t="s">
        <v>167</v>
      </c>
      <c r="G2387" t="s">
        <v>85</v>
      </c>
      <c r="H2387" s="1">
        <v>45350</v>
      </c>
      <c r="I2387" t="s">
        <v>24</v>
      </c>
      <c r="J2387" t="s">
        <v>1991</v>
      </c>
      <c r="K2387">
        <v>2</v>
      </c>
      <c r="N2387">
        <v>1304</v>
      </c>
      <c r="O2387">
        <v>20</v>
      </c>
      <c r="P2387" s="1">
        <v>45573</v>
      </c>
      <c r="Q2387" s="1"/>
      <c r="R2387" t="str">
        <f>IF(Table1[[#This Row],[Actual close date]]="","",Table1[[#This Row],[Actual close date]]-Table1[[#This Row],[Expected close date]])</f>
        <v/>
      </c>
    </row>
    <row r="2388" spans="1:18" x14ac:dyDescent="0.25">
      <c r="A2388" t="s">
        <v>2472</v>
      </c>
      <c r="B2388" t="s">
        <v>33</v>
      </c>
      <c r="C2388" t="s">
        <v>34</v>
      </c>
      <c r="D2388" t="s">
        <v>35</v>
      </c>
      <c r="E2388" t="s">
        <v>98</v>
      </c>
      <c r="F2388" t="s">
        <v>167</v>
      </c>
      <c r="G2388" t="s">
        <v>72</v>
      </c>
      <c r="H2388" s="1">
        <v>45359</v>
      </c>
      <c r="I2388" t="s">
        <v>64</v>
      </c>
      <c r="J2388" t="s">
        <v>1991</v>
      </c>
      <c r="K2388">
        <v>2</v>
      </c>
      <c r="N2388">
        <v>3809</v>
      </c>
      <c r="O2388">
        <v>90</v>
      </c>
      <c r="P2388" s="1">
        <v>45408</v>
      </c>
      <c r="Q2388" s="1"/>
      <c r="R2388" t="str">
        <f>IF(Table1[[#This Row],[Actual close date]]="","",Table1[[#This Row],[Actual close date]]-Table1[[#This Row],[Expected close date]])</f>
        <v/>
      </c>
    </row>
    <row r="2389" spans="1:18" x14ac:dyDescent="0.25">
      <c r="A2389" t="s">
        <v>2473</v>
      </c>
      <c r="B2389" t="s">
        <v>69</v>
      </c>
      <c r="C2389" t="s">
        <v>70</v>
      </c>
      <c r="D2389" t="s">
        <v>71</v>
      </c>
      <c r="E2389" t="s">
        <v>21</v>
      </c>
      <c r="F2389" t="s">
        <v>167</v>
      </c>
      <c r="G2389" t="s">
        <v>37</v>
      </c>
      <c r="H2389" s="1">
        <v>45321</v>
      </c>
      <c r="I2389" t="s">
        <v>64</v>
      </c>
      <c r="J2389" t="s">
        <v>1991</v>
      </c>
      <c r="K2389">
        <v>2</v>
      </c>
      <c r="N2389">
        <v>310</v>
      </c>
      <c r="O2389">
        <v>40</v>
      </c>
      <c r="P2389" s="1">
        <v>45369</v>
      </c>
      <c r="Q2389" s="1"/>
      <c r="R2389" t="str">
        <f>IF(Table1[[#This Row],[Actual close date]]="","",Table1[[#This Row],[Actual close date]]-Table1[[#This Row],[Expected close date]])</f>
        <v/>
      </c>
    </row>
    <row r="2390" spans="1:18" x14ac:dyDescent="0.25">
      <c r="A2390" t="s">
        <v>2474</v>
      </c>
      <c r="B2390" t="s">
        <v>33</v>
      </c>
      <c r="C2390" t="s">
        <v>34</v>
      </c>
      <c r="D2390" t="s">
        <v>35</v>
      </c>
      <c r="E2390" t="s">
        <v>45</v>
      </c>
      <c r="F2390" t="s">
        <v>167</v>
      </c>
      <c r="G2390" t="s">
        <v>37</v>
      </c>
      <c r="H2390" s="1">
        <v>45336</v>
      </c>
      <c r="I2390" t="s">
        <v>64</v>
      </c>
      <c r="J2390" t="s">
        <v>1991</v>
      </c>
      <c r="K2390">
        <v>2</v>
      </c>
      <c r="N2390">
        <v>1032</v>
      </c>
      <c r="O2390">
        <v>60</v>
      </c>
      <c r="P2390" s="1">
        <v>45532</v>
      </c>
      <c r="Q2390" s="1"/>
      <c r="R2390" t="str">
        <f>IF(Table1[[#This Row],[Actual close date]]="","",Table1[[#This Row],[Actual close date]]-Table1[[#This Row],[Expected close date]])</f>
        <v/>
      </c>
    </row>
    <row r="2391" spans="1:18" x14ac:dyDescent="0.25">
      <c r="A2391" t="s">
        <v>2475</v>
      </c>
      <c r="B2391" t="s">
        <v>33</v>
      </c>
      <c r="C2391" t="s">
        <v>34</v>
      </c>
      <c r="D2391" t="s">
        <v>35</v>
      </c>
      <c r="E2391" t="s">
        <v>45</v>
      </c>
      <c r="F2391" t="s">
        <v>167</v>
      </c>
      <c r="G2391" t="s">
        <v>85</v>
      </c>
      <c r="H2391" s="1">
        <v>45436</v>
      </c>
      <c r="I2391" t="s">
        <v>24</v>
      </c>
      <c r="J2391" t="s">
        <v>1991</v>
      </c>
      <c r="K2391">
        <v>2</v>
      </c>
      <c r="N2391">
        <v>6064</v>
      </c>
      <c r="O2391">
        <v>60</v>
      </c>
      <c r="P2391" s="1">
        <v>45723</v>
      </c>
      <c r="Q2391" s="1"/>
      <c r="R2391" t="str">
        <f>IF(Table1[[#This Row],[Actual close date]]="","",Table1[[#This Row],[Actual close date]]-Table1[[#This Row],[Expected close date]])</f>
        <v/>
      </c>
    </row>
    <row r="2392" spans="1:18" x14ac:dyDescent="0.25">
      <c r="A2392" t="s">
        <v>2476</v>
      </c>
      <c r="B2392" t="s">
        <v>33</v>
      </c>
      <c r="C2392" t="s">
        <v>34</v>
      </c>
      <c r="D2392" t="s">
        <v>35</v>
      </c>
      <c r="E2392" t="s">
        <v>30</v>
      </c>
      <c r="F2392" t="s">
        <v>167</v>
      </c>
      <c r="G2392" t="s">
        <v>57</v>
      </c>
      <c r="H2392" s="1">
        <v>45374</v>
      </c>
      <c r="I2392" t="s">
        <v>64</v>
      </c>
      <c r="J2392" t="s">
        <v>1991</v>
      </c>
      <c r="K2392">
        <v>2</v>
      </c>
      <c r="N2392">
        <v>6973</v>
      </c>
      <c r="O2392">
        <v>30</v>
      </c>
      <c r="P2392" s="1">
        <v>45484</v>
      </c>
      <c r="Q2392" s="1"/>
      <c r="R2392" t="str">
        <f>IF(Table1[[#This Row],[Actual close date]]="","",Table1[[#This Row],[Actual close date]]-Table1[[#This Row],[Expected close date]])</f>
        <v/>
      </c>
    </row>
    <row r="2393" spans="1:18" x14ac:dyDescent="0.25">
      <c r="A2393" t="s">
        <v>2477</v>
      </c>
      <c r="B2393" t="s">
        <v>69</v>
      </c>
      <c r="C2393" t="s">
        <v>70</v>
      </c>
      <c r="D2393" t="s">
        <v>71</v>
      </c>
      <c r="E2393" t="s">
        <v>21</v>
      </c>
      <c r="F2393" t="s">
        <v>167</v>
      </c>
      <c r="G2393" t="s">
        <v>37</v>
      </c>
      <c r="H2393" s="1">
        <v>45319</v>
      </c>
      <c r="I2393" t="s">
        <v>24</v>
      </c>
      <c r="J2393" t="s">
        <v>1991</v>
      </c>
      <c r="K2393">
        <v>2</v>
      </c>
      <c r="N2393">
        <v>2036</v>
      </c>
      <c r="O2393">
        <v>60</v>
      </c>
      <c r="P2393" s="1">
        <v>45526</v>
      </c>
      <c r="Q2393" s="1"/>
      <c r="R2393" t="str">
        <f>IF(Table1[[#This Row],[Actual close date]]="","",Table1[[#This Row],[Actual close date]]-Table1[[#This Row],[Expected close date]])</f>
        <v/>
      </c>
    </row>
    <row r="2394" spans="1:18" x14ac:dyDescent="0.25">
      <c r="A2394" t="s">
        <v>2478</v>
      </c>
      <c r="B2394" t="s">
        <v>27</v>
      </c>
      <c r="C2394" t="s">
        <v>28</v>
      </c>
      <c r="D2394" t="s">
        <v>29</v>
      </c>
      <c r="E2394" t="s">
        <v>52</v>
      </c>
      <c r="F2394" t="s">
        <v>167</v>
      </c>
      <c r="G2394" t="s">
        <v>46</v>
      </c>
      <c r="H2394" s="1">
        <v>45312</v>
      </c>
      <c r="I2394" t="s">
        <v>64</v>
      </c>
      <c r="J2394" t="s">
        <v>1991</v>
      </c>
      <c r="K2394">
        <v>2</v>
      </c>
      <c r="N2394">
        <v>6005</v>
      </c>
      <c r="O2394">
        <v>100</v>
      </c>
      <c r="P2394" s="1">
        <v>45564</v>
      </c>
      <c r="Q2394" s="1"/>
      <c r="R2394" t="str">
        <f>IF(Table1[[#This Row],[Actual close date]]="","",Table1[[#This Row],[Actual close date]]-Table1[[#This Row],[Expected close date]])</f>
        <v/>
      </c>
    </row>
    <row r="2395" spans="1:18" x14ac:dyDescent="0.25">
      <c r="A2395" t="s">
        <v>2479</v>
      </c>
      <c r="B2395" t="s">
        <v>39</v>
      </c>
      <c r="C2395" t="s">
        <v>40</v>
      </c>
      <c r="D2395" t="s">
        <v>41</v>
      </c>
      <c r="E2395" t="s">
        <v>45</v>
      </c>
      <c r="F2395" t="s">
        <v>167</v>
      </c>
      <c r="G2395" t="s">
        <v>85</v>
      </c>
      <c r="H2395" s="1">
        <v>45306</v>
      </c>
      <c r="I2395" t="s">
        <v>24</v>
      </c>
      <c r="J2395" t="s">
        <v>1991</v>
      </c>
      <c r="K2395">
        <v>2</v>
      </c>
      <c r="N2395">
        <v>5627</v>
      </c>
      <c r="O2395">
        <v>20</v>
      </c>
      <c r="P2395" s="1">
        <v>45366</v>
      </c>
      <c r="Q2395" s="1"/>
      <c r="R2395" t="str">
        <f>IF(Table1[[#This Row],[Actual close date]]="","",Table1[[#This Row],[Actual close date]]-Table1[[#This Row],[Expected close date]])</f>
        <v/>
      </c>
    </row>
    <row r="2396" spans="1:18" x14ac:dyDescent="0.25">
      <c r="A2396" t="s">
        <v>2480</v>
      </c>
      <c r="B2396" t="s">
        <v>33</v>
      </c>
      <c r="C2396" t="s">
        <v>34</v>
      </c>
      <c r="D2396" t="s">
        <v>35</v>
      </c>
      <c r="E2396" t="s">
        <v>101</v>
      </c>
      <c r="F2396" t="s">
        <v>167</v>
      </c>
      <c r="G2396" t="s">
        <v>37</v>
      </c>
      <c r="H2396" s="1">
        <v>45300</v>
      </c>
      <c r="I2396" t="s">
        <v>47</v>
      </c>
      <c r="J2396" t="s">
        <v>1991</v>
      </c>
      <c r="K2396">
        <v>2</v>
      </c>
      <c r="N2396">
        <v>6932</v>
      </c>
      <c r="O2396">
        <v>100</v>
      </c>
      <c r="P2396" s="1">
        <v>45446</v>
      </c>
      <c r="Q2396" s="1"/>
      <c r="R2396" t="str">
        <f>IF(Table1[[#This Row],[Actual close date]]="","",Table1[[#This Row],[Actual close date]]-Table1[[#This Row],[Expected close date]])</f>
        <v/>
      </c>
    </row>
    <row r="2397" spans="1:18" x14ac:dyDescent="0.25">
      <c r="A2397" t="s">
        <v>2481</v>
      </c>
      <c r="B2397" t="s">
        <v>33</v>
      </c>
      <c r="C2397" t="s">
        <v>34</v>
      </c>
      <c r="D2397" t="s">
        <v>35</v>
      </c>
      <c r="E2397" t="s">
        <v>21</v>
      </c>
      <c r="F2397" t="s">
        <v>167</v>
      </c>
      <c r="G2397" t="s">
        <v>85</v>
      </c>
      <c r="H2397" s="1">
        <v>45312</v>
      </c>
      <c r="I2397" t="s">
        <v>64</v>
      </c>
      <c r="J2397" t="s">
        <v>1991</v>
      </c>
      <c r="K2397">
        <v>2</v>
      </c>
      <c r="N2397">
        <v>6150</v>
      </c>
      <c r="O2397">
        <v>50</v>
      </c>
      <c r="P2397" s="1">
        <v>45605</v>
      </c>
      <c r="Q2397" s="1"/>
      <c r="R2397" t="str">
        <f>IF(Table1[[#This Row],[Actual close date]]="","",Table1[[#This Row],[Actual close date]]-Table1[[#This Row],[Expected close date]])</f>
        <v/>
      </c>
    </row>
    <row r="2398" spans="1:18" x14ac:dyDescent="0.25">
      <c r="A2398" t="s">
        <v>2482</v>
      </c>
      <c r="B2398" t="s">
        <v>59</v>
      </c>
      <c r="C2398" t="s">
        <v>60</v>
      </c>
      <c r="D2398" t="s">
        <v>61</v>
      </c>
      <c r="E2398" t="s">
        <v>52</v>
      </c>
      <c r="F2398" t="s">
        <v>167</v>
      </c>
      <c r="G2398" t="s">
        <v>46</v>
      </c>
      <c r="H2398" s="1">
        <v>45367</v>
      </c>
      <c r="I2398" t="s">
        <v>24</v>
      </c>
      <c r="J2398" t="s">
        <v>1991</v>
      </c>
      <c r="K2398">
        <v>2</v>
      </c>
      <c r="N2398">
        <v>1581</v>
      </c>
      <c r="O2398">
        <v>30</v>
      </c>
      <c r="P2398" s="1">
        <v>45603</v>
      </c>
      <c r="Q2398" s="1"/>
      <c r="R2398" t="str">
        <f>IF(Table1[[#This Row],[Actual close date]]="","",Table1[[#This Row],[Actual close date]]-Table1[[#This Row],[Expected close date]])</f>
        <v/>
      </c>
    </row>
    <row r="2399" spans="1:18" x14ac:dyDescent="0.25">
      <c r="A2399" t="s">
        <v>2483</v>
      </c>
      <c r="B2399" t="s">
        <v>59</v>
      </c>
      <c r="C2399" t="s">
        <v>60</v>
      </c>
      <c r="D2399" t="s">
        <v>61</v>
      </c>
      <c r="E2399" t="s">
        <v>74</v>
      </c>
      <c r="F2399" t="s">
        <v>167</v>
      </c>
      <c r="G2399" t="s">
        <v>83</v>
      </c>
      <c r="H2399" s="1">
        <v>45375</v>
      </c>
      <c r="I2399" t="s">
        <v>64</v>
      </c>
      <c r="J2399" t="s">
        <v>1991</v>
      </c>
      <c r="K2399">
        <v>2</v>
      </c>
      <c r="N2399">
        <v>471</v>
      </c>
      <c r="O2399">
        <v>50</v>
      </c>
      <c r="P2399" s="1">
        <v>45445</v>
      </c>
      <c r="Q2399" s="1"/>
      <c r="R2399" t="str">
        <f>IF(Table1[[#This Row],[Actual close date]]="","",Table1[[#This Row],[Actual close date]]-Table1[[#This Row],[Expected close date]])</f>
        <v/>
      </c>
    </row>
    <row r="2400" spans="1:18" x14ac:dyDescent="0.25">
      <c r="A2400" t="s">
        <v>2484</v>
      </c>
      <c r="B2400" t="s">
        <v>39</v>
      </c>
      <c r="C2400" t="s">
        <v>40</v>
      </c>
      <c r="D2400" t="s">
        <v>41</v>
      </c>
      <c r="E2400" t="s">
        <v>101</v>
      </c>
      <c r="F2400" t="s">
        <v>167</v>
      </c>
      <c r="G2400" t="s">
        <v>46</v>
      </c>
      <c r="H2400" s="1">
        <v>45313</v>
      </c>
      <c r="I2400" t="s">
        <v>24</v>
      </c>
      <c r="J2400" t="s">
        <v>1991</v>
      </c>
      <c r="K2400">
        <v>2</v>
      </c>
      <c r="N2400">
        <v>1243</v>
      </c>
      <c r="O2400">
        <v>40</v>
      </c>
      <c r="P2400" s="1">
        <v>45559</v>
      </c>
      <c r="Q2400" s="1"/>
      <c r="R2400" t="str">
        <f>IF(Table1[[#This Row],[Actual close date]]="","",Table1[[#This Row],[Actual close date]]-Table1[[#This Row],[Expected close date]])</f>
        <v/>
      </c>
    </row>
    <row r="2401" spans="1:18" x14ac:dyDescent="0.25">
      <c r="A2401" t="s">
        <v>2485</v>
      </c>
      <c r="B2401" t="s">
        <v>76</v>
      </c>
      <c r="C2401" t="s">
        <v>77</v>
      </c>
      <c r="D2401" t="s">
        <v>78</v>
      </c>
      <c r="E2401" t="s">
        <v>42</v>
      </c>
      <c r="F2401" t="s">
        <v>167</v>
      </c>
      <c r="G2401" t="s">
        <v>37</v>
      </c>
      <c r="H2401" s="1">
        <v>45361</v>
      </c>
      <c r="I2401" t="s">
        <v>64</v>
      </c>
      <c r="J2401" t="s">
        <v>1991</v>
      </c>
      <c r="K2401">
        <v>2</v>
      </c>
      <c r="N2401">
        <v>580</v>
      </c>
      <c r="O2401">
        <v>40</v>
      </c>
      <c r="P2401" s="1">
        <v>45579</v>
      </c>
      <c r="Q2401" s="1"/>
      <c r="R2401" t="str">
        <f>IF(Table1[[#This Row],[Actual close date]]="","",Table1[[#This Row],[Actual close date]]-Table1[[#This Row],[Expected close date]])</f>
        <v/>
      </c>
    </row>
    <row r="2402" spans="1:18" x14ac:dyDescent="0.25">
      <c r="A2402" t="s">
        <v>2486</v>
      </c>
      <c r="B2402" t="s">
        <v>39</v>
      </c>
      <c r="C2402" t="s">
        <v>40</v>
      </c>
      <c r="D2402" t="s">
        <v>41</v>
      </c>
      <c r="E2402" t="s">
        <v>42</v>
      </c>
      <c r="F2402" t="s">
        <v>167</v>
      </c>
      <c r="G2402" t="s">
        <v>46</v>
      </c>
      <c r="H2402" s="1">
        <v>45326</v>
      </c>
      <c r="I2402" t="s">
        <v>64</v>
      </c>
      <c r="J2402" t="s">
        <v>1991</v>
      </c>
      <c r="K2402">
        <v>2</v>
      </c>
      <c r="N2402">
        <v>4648</v>
      </c>
      <c r="O2402">
        <v>70</v>
      </c>
      <c r="P2402" s="1">
        <v>45537</v>
      </c>
      <c r="Q2402" s="1"/>
      <c r="R2402" t="str">
        <f>IF(Table1[[#This Row],[Actual close date]]="","",Table1[[#This Row],[Actual close date]]-Table1[[#This Row],[Expected close date]])</f>
        <v/>
      </c>
    </row>
    <row r="2403" spans="1:18" x14ac:dyDescent="0.25">
      <c r="A2403" t="s">
        <v>2487</v>
      </c>
      <c r="B2403" t="s">
        <v>33</v>
      </c>
      <c r="C2403" t="s">
        <v>34</v>
      </c>
      <c r="D2403" t="s">
        <v>35</v>
      </c>
      <c r="E2403" t="s">
        <v>52</v>
      </c>
      <c r="F2403" t="s">
        <v>167</v>
      </c>
      <c r="G2403" t="s">
        <v>46</v>
      </c>
      <c r="H2403" s="1">
        <v>45414</v>
      </c>
      <c r="I2403" t="s">
        <v>24</v>
      </c>
      <c r="J2403" t="s">
        <v>1991</v>
      </c>
      <c r="K2403">
        <v>2</v>
      </c>
      <c r="N2403">
        <v>1296</v>
      </c>
      <c r="O2403">
        <v>60</v>
      </c>
      <c r="P2403" s="1">
        <v>45712</v>
      </c>
      <c r="Q2403" s="1"/>
      <c r="R2403" t="str">
        <f>IF(Table1[[#This Row],[Actual close date]]="","",Table1[[#This Row],[Actual close date]]-Table1[[#This Row],[Expected close date]])</f>
        <v/>
      </c>
    </row>
    <row r="2404" spans="1:18" x14ac:dyDescent="0.25">
      <c r="A2404" t="s">
        <v>2488</v>
      </c>
      <c r="B2404" t="s">
        <v>39</v>
      </c>
      <c r="C2404" t="s">
        <v>40</v>
      </c>
      <c r="D2404" t="s">
        <v>41</v>
      </c>
      <c r="E2404" t="s">
        <v>45</v>
      </c>
      <c r="F2404" t="s">
        <v>167</v>
      </c>
      <c r="G2404" t="s">
        <v>46</v>
      </c>
      <c r="H2404" s="1">
        <v>45359</v>
      </c>
      <c r="I2404" t="s">
        <v>64</v>
      </c>
      <c r="J2404" t="s">
        <v>1991</v>
      </c>
      <c r="K2404">
        <v>2</v>
      </c>
      <c r="N2404">
        <v>4501</v>
      </c>
      <c r="O2404">
        <v>30</v>
      </c>
      <c r="P2404" s="1">
        <v>45439</v>
      </c>
      <c r="Q2404" s="1"/>
      <c r="R2404" t="str">
        <f>IF(Table1[[#This Row],[Actual close date]]="","",Table1[[#This Row],[Actual close date]]-Table1[[#This Row],[Expected close date]])</f>
        <v/>
      </c>
    </row>
    <row r="2405" spans="1:18" x14ac:dyDescent="0.25">
      <c r="A2405" t="s">
        <v>2489</v>
      </c>
      <c r="B2405" t="s">
        <v>59</v>
      </c>
      <c r="C2405" t="s">
        <v>60</v>
      </c>
      <c r="D2405" t="s">
        <v>61</v>
      </c>
      <c r="E2405" t="s">
        <v>21</v>
      </c>
      <c r="F2405" t="s">
        <v>167</v>
      </c>
      <c r="G2405" t="s">
        <v>72</v>
      </c>
      <c r="H2405" s="1">
        <v>45337</v>
      </c>
      <c r="I2405" t="s">
        <v>64</v>
      </c>
      <c r="J2405" t="s">
        <v>1991</v>
      </c>
      <c r="K2405">
        <v>2</v>
      </c>
      <c r="N2405">
        <v>374</v>
      </c>
      <c r="O2405">
        <v>20</v>
      </c>
      <c r="P2405" s="1">
        <v>45531</v>
      </c>
      <c r="Q2405" s="1"/>
      <c r="R2405" t="str">
        <f>IF(Table1[[#This Row],[Actual close date]]="","",Table1[[#This Row],[Actual close date]]-Table1[[#This Row],[Expected close date]])</f>
        <v/>
      </c>
    </row>
    <row r="2406" spans="1:18" x14ac:dyDescent="0.25">
      <c r="A2406" t="s">
        <v>2490</v>
      </c>
      <c r="B2406" t="s">
        <v>33</v>
      </c>
      <c r="C2406" t="s">
        <v>34</v>
      </c>
      <c r="D2406" t="s">
        <v>35</v>
      </c>
      <c r="E2406" t="s">
        <v>101</v>
      </c>
      <c r="F2406" t="s">
        <v>167</v>
      </c>
      <c r="G2406" t="s">
        <v>37</v>
      </c>
      <c r="H2406" s="1">
        <v>45361</v>
      </c>
      <c r="I2406" t="s">
        <v>64</v>
      </c>
      <c r="J2406" t="s">
        <v>1991</v>
      </c>
      <c r="K2406">
        <v>2</v>
      </c>
      <c r="N2406">
        <v>1614</v>
      </c>
      <c r="O2406">
        <v>50</v>
      </c>
      <c r="P2406" s="1">
        <v>45588</v>
      </c>
      <c r="Q2406" s="1"/>
      <c r="R2406" t="str">
        <f>IF(Table1[[#This Row],[Actual close date]]="","",Table1[[#This Row],[Actual close date]]-Table1[[#This Row],[Expected close date]])</f>
        <v/>
      </c>
    </row>
    <row r="2407" spans="1:18" x14ac:dyDescent="0.25">
      <c r="A2407" t="s">
        <v>2491</v>
      </c>
      <c r="B2407" t="s">
        <v>39</v>
      </c>
      <c r="C2407" t="s">
        <v>40</v>
      </c>
      <c r="D2407" t="s">
        <v>41</v>
      </c>
      <c r="E2407" t="s">
        <v>45</v>
      </c>
      <c r="F2407" t="s">
        <v>167</v>
      </c>
      <c r="G2407" t="s">
        <v>37</v>
      </c>
      <c r="H2407" s="1">
        <v>45336</v>
      </c>
      <c r="I2407" t="s">
        <v>24</v>
      </c>
      <c r="J2407" t="s">
        <v>1991</v>
      </c>
      <c r="K2407">
        <v>2</v>
      </c>
      <c r="N2407">
        <v>5847</v>
      </c>
      <c r="O2407">
        <v>60</v>
      </c>
      <c r="P2407" s="1">
        <v>45648</v>
      </c>
      <c r="Q2407" s="1"/>
      <c r="R2407" t="str">
        <f>IF(Table1[[#This Row],[Actual close date]]="","",Table1[[#This Row],[Actual close date]]-Table1[[#This Row],[Expected close date]])</f>
        <v/>
      </c>
    </row>
    <row r="2408" spans="1:18" x14ac:dyDescent="0.25">
      <c r="A2408" t="s">
        <v>2492</v>
      </c>
      <c r="B2408" t="s">
        <v>33</v>
      </c>
      <c r="C2408" t="s">
        <v>34</v>
      </c>
      <c r="D2408" t="s">
        <v>35</v>
      </c>
      <c r="E2408" t="s">
        <v>52</v>
      </c>
      <c r="F2408" t="s">
        <v>167</v>
      </c>
      <c r="G2408" t="s">
        <v>37</v>
      </c>
      <c r="H2408" s="1">
        <v>45389</v>
      </c>
      <c r="I2408" t="s">
        <v>64</v>
      </c>
      <c r="J2408" t="s">
        <v>1991</v>
      </c>
      <c r="K2408">
        <v>2</v>
      </c>
      <c r="N2408">
        <v>1232</v>
      </c>
      <c r="O2408">
        <v>20</v>
      </c>
      <c r="P2408" s="1">
        <v>45625</v>
      </c>
      <c r="Q2408" s="1"/>
      <c r="R2408" t="str">
        <f>IF(Table1[[#This Row],[Actual close date]]="","",Table1[[#This Row],[Actual close date]]-Table1[[#This Row],[Expected close date]])</f>
        <v/>
      </c>
    </row>
    <row r="2409" spans="1:18" x14ac:dyDescent="0.25">
      <c r="A2409" t="s">
        <v>2493</v>
      </c>
      <c r="B2409" t="s">
        <v>59</v>
      </c>
      <c r="C2409" t="s">
        <v>60</v>
      </c>
      <c r="D2409" t="s">
        <v>61</v>
      </c>
      <c r="E2409" t="s">
        <v>45</v>
      </c>
      <c r="F2409" t="s">
        <v>167</v>
      </c>
      <c r="G2409" t="s">
        <v>37</v>
      </c>
      <c r="H2409" s="1">
        <v>45371</v>
      </c>
      <c r="I2409" t="s">
        <v>64</v>
      </c>
      <c r="J2409" t="s">
        <v>1991</v>
      </c>
      <c r="K2409">
        <v>2</v>
      </c>
      <c r="N2409">
        <v>6728</v>
      </c>
      <c r="O2409">
        <v>40</v>
      </c>
      <c r="P2409" s="1">
        <v>45396</v>
      </c>
      <c r="Q2409" s="1"/>
      <c r="R2409" t="str">
        <f>IF(Table1[[#This Row],[Actual close date]]="","",Table1[[#This Row],[Actual close date]]-Table1[[#This Row],[Expected close date]])</f>
        <v/>
      </c>
    </row>
    <row r="2410" spans="1:18" x14ac:dyDescent="0.25">
      <c r="A2410" t="s">
        <v>2494</v>
      </c>
      <c r="B2410" t="s">
        <v>59</v>
      </c>
      <c r="C2410" t="s">
        <v>60</v>
      </c>
      <c r="D2410" t="s">
        <v>61</v>
      </c>
      <c r="E2410" t="s">
        <v>52</v>
      </c>
      <c r="F2410" t="s">
        <v>167</v>
      </c>
      <c r="G2410" t="s">
        <v>37</v>
      </c>
      <c r="H2410" s="1">
        <v>45360</v>
      </c>
      <c r="I2410" t="s">
        <v>64</v>
      </c>
      <c r="J2410" t="s">
        <v>1991</v>
      </c>
      <c r="K2410">
        <v>2</v>
      </c>
      <c r="N2410">
        <v>5807</v>
      </c>
      <c r="O2410">
        <v>40</v>
      </c>
      <c r="P2410" s="1">
        <v>45714</v>
      </c>
      <c r="Q2410" s="1"/>
      <c r="R2410" t="str">
        <f>IF(Table1[[#This Row],[Actual close date]]="","",Table1[[#This Row],[Actual close date]]-Table1[[#This Row],[Expected close date]])</f>
        <v/>
      </c>
    </row>
    <row r="2411" spans="1:18" x14ac:dyDescent="0.25">
      <c r="A2411" t="s">
        <v>2495</v>
      </c>
      <c r="B2411" t="s">
        <v>69</v>
      </c>
      <c r="C2411" t="s">
        <v>70</v>
      </c>
      <c r="D2411" t="s">
        <v>71</v>
      </c>
      <c r="E2411" t="s">
        <v>21</v>
      </c>
      <c r="F2411" t="s">
        <v>167</v>
      </c>
      <c r="G2411" t="s">
        <v>57</v>
      </c>
      <c r="H2411" s="1">
        <v>45376</v>
      </c>
      <c r="I2411" t="s">
        <v>24</v>
      </c>
      <c r="J2411" t="s">
        <v>1991</v>
      </c>
      <c r="K2411">
        <v>2</v>
      </c>
      <c r="N2411">
        <v>5401</v>
      </c>
      <c r="O2411">
        <v>40</v>
      </c>
      <c r="P2411" s="1">
        <v>45407</v>
      </c>
      <c r="Q2411" s="1"/>
      <c r="R2411" t="str">
        <f>IF(Table1[[#This Row],[Actual close date]]="","",Table1[[#This Row],[Actual close date]]-Table1[[#This Row],[Expected close date]])</f>
        <v/>
      </c>
    </row>
    <row r="2412" spans="1:18" x14ac:dyDescent="0.25">
      <c r="A2412" t="s">
        <v>2496</v>
      </c>
      <c r="B2412" t="s">
        <v>27</v>
      </c>
      <c r="C2412" t="s">
        <v>28</v>
      </c>
      <c r="D2412" t="s">
        <v>29</v>
      </c>
      <c r="E2412" t="s">
        <v>98</v>
      </c>
      <c r="F2412" t="s">
        <v>167</v>
      </c>
      <c r="G2412" t="s">
        <v>37</v>
      </c>
      <c r="H2412" s="1">
        <v>45306</v>
      </c>
      <c r="I2412" t="s">
        <v>64</v>
      </c>
      <c r="J2412" t="s">
        <v>1991</v>
      </c>
      <c r="K2412">
        <v>2</v>
      </c>
      <c r="N2412">
        <v>1613</v>
      </c>
      <c r="O2412">
        <v>30</v>
      </c>
      <c r="P2412" s="1">
        <v>45464</v>
      </c>
      <c r="Q2412" s="1"/>
      <c r="R2412" t="str">
        <f>IF(Table1[[#This Row],[Actual close date]]="","",Table1[[#This Row],[Actual close date]]-Table1[[#This Row],[Expected close date]])</f>
        <v/>
      </c>
    </row>
    <row r="2413" spans="1:18" x14ac:dyDescent="0.25">
      <c r="A2413" t="s">
        <v>2497</v>
      </c>
      <c r="B2413" t="s">
        <v>69</v>
      </c>
      <c r="C2413" t="s">
        <v>70</v>
      </c>
      <c r="D2413" t="s">
        <v>71</v>
      </c>
      <c r="E2413" t="s">
        <v>52</v>
      </c>
      <c r="F2413" t="s">
        <v>167</v>
      </c>
      <c r="G2413" t="s">
        <v>72</v>
      </c>
      <c r="H2413" s="1">
        <v>45421</v>
      </c>
      <c r="I2413" t="s">
        <v>64</v>
      </c>
      <c r="J2413" t="s">
        <v>1991</v>
      </c>
      <c r="K2413">
        <v>2</v>
      </c>
      <c r="N2413">
        <v>7169</v>
      </c>
      <c r="O2413">
        <v>50</v>
      </c>
      <c r="P2413" s="1">
        <v>45724</v>
      </c>
      <c r="Q2413" s="1"/>
      <c r="R2413" t="str">
        <f>IF(Table1[[#This Row],[Actual close date]]="","",Table1[[#This Row],[Actual close date]]-Table1[[#This Row],[Expected close date]])</f>
        <v/>
      </c>
    </row>
    <row r="2414" spans="1:18" x14ac:dyDescent="0.25">
      <c r="A2414" t="s">
        <v>2498</v>
      </c>
      <c r="B2414" t="s">
        <v>39</v>
      </c>
      <c r="C2414" t="s">
        <v>40</v>
      </c>
      <c r="D2414" t="s">
        <v>41</v>
      </c>
      <c r="E2414" t="s">
        <v>42</v>
      </c>
      <c r="F2414" t="s">
        <v>167</v>
      </c>
      <c r="G2414" t="s">
        <v>46</v>
      </c>
      <c r="H2414" s="1">
        <v>45318</v>
      </c>
      <c r="I2414" t="s">
        <v>47</v>
      </c>
      <c r="J2414" t="s">
        <v>1991</v>
      </c>
      <c r="K2414">
        <v>2</v>
      </c>
      <c r="N2414">
        <v>1803</v>
      </c>
      <c r="O2414">
        <v>20</v>
      </c>
      <c r="P2414" s="1">
        <v>45650</v>
      </c>
      <c r="Q2414" s="1"/>
      <c r="R2414" t="str">
        <f>IF(Table1[[#This Row],[Actual close date]]="","",Table1[[#This Row],[Actual close date]]-Table1[[#This Row],[Expected close date]])</f>
        <v/>
      </c>
    </row>
    <row r="2415" spans="1:18" x14ac:dyDescent="0.25">
      <c r="A2415" t="s">
        <v>2499</v>
      </c>
      <c r="B2415" t="s">
        <v>39</v>
      </c>
      <c r="C2415" t="s">
        <v>40</v>
      </c>
      <c r="D2415" t="s">
        <v>41</v>
      </c>
      <c r="E2415" t="s">
        <v>74</v>
      </c>
      <c r="F2415" t="s">
        <v>167</v>
      </c>
      <c r="G2415" t="s">
        <v>37</v>
      </c>
      <c r="H2415" s="1">
        <v>45331</v>
      </c>
      <c r="I2415" t="s">
        <v>24</v>
      </c>
      <c r="J2415" t="s">
        <v>1991</v>
      </c>
      <c r="K2415">
        <v>2</v>
      </c>
      <c r="N2415">
        <v>663</v>
      </c>
      <c r="O2415">
        <v>10</v>
      </c>
      <c r="P2415" s="1">
        <v>45440</v>
      </c>
      <c r="Q2415" s="1"/>
      <c r="R2415" t="str">
        <f>IF(Table1[[#This Row],[Actual close date]]="","",Table1[[#This Row],[Actual close date]]-Table1[[#This Row],[Expected close date]])</f>
        <v/>
      </c>
    </row>
    <row r="2416" spans="1:18" x14ac:dyDescent="0.25">
      <c r="A2416" t="s">
        <v>2500</v>
      </c>
      <c r="B2416" t="s">
        <v>54</v>
      </c>
      <c r="C2416" t="s">
        <v>55</v>
      </c>
      <c r="D2416" t="s">
        <v>56</v>
      </c>
      <c r="E2416" t="s">
        <v>21</v>
      </c>
      <c r="F2416" t="s">
        <v>167</v>
      </c>
      <c r="G2416" t="s">
        <v>46</v>
      </c>
      <c r="H2416" s="1">
        <v>45431</v>
      </c>
      <c r="I2416" t="s">
        <v>64</v>
      </c>
      <c r="J2416" t="s">
        <v>1991</v>
      </c>
      <c r="K2416">
        <v>2</v>
      </c>
      <c r="N2416">
        <v>885</v>
      </c>
      <c r="O2416">
        <v>70</v>
      </c>
      <c r="P2416" s="1">
        <v>45686</v>
      </c>
      <c r="Q2416" s="1"/>
      <c r="R2416" t="str">
        <f>IF(Table1[[#This Row],[Actual close date]]="","",Table1[[#This Row],[Actual close date]]-Table1[[#This Row],[Expected close date]])</f>
        <v/>
      </c>
    </row>
    <row r="2417" spans="1:18" x14ac:dyDescent="0.25">
      <c r="A2417" t="s">
        <v>2501</v>
      </c>
      <c r="B2417" t="s">
        <v>76</v>
      </c>
      <c r="C2417" t="s">
        <v>77</v>
      </c>
      <c r="D2417" t="s">
        <v>78</v>
      </c>
      <c r="E2417" t="s">
        <v>74</v>
      </c>
      <c r="F2417" t="s">
        <v>167</v>
      </c>
      <c r="G2417" t="s">
        <v>46</v>
      </c>
      <c r="H2417" s="1">
        <v>45318</v>
      </c>
      <c r="I2417" t="s">
        <v>64</v>
      </c>
      <c r="J2417" t="s">
        <v>1991</v>
      </c>
      <c r="K2417">
        <v>2</v>
      </c>
      <c r="N2417">
        <v>7571</v>
      </c>
      <c r="O2417">
        <v>40</v>
      </c>
      <c r="P2417" s="1">
        <v>45437</v>
      </c>
      <c r="Q2417" s="1"/>
      <c r="R2417" t="str">
        <f>IF(Table1[[#This Row],[Actual close date]]="","",Table1[[#This Row],[Actual close date]]-Table1[[#This Row],[Expected close date]])</f>
        <v/>
      </c>
    </row>
    <row r="2418" spans="1:18" x14ac:dyDescent="0.25">
      <c r="A2418" t="s">
        <v>2502</v>
      </c>
      <c r="B2418" t="s">
        <v>33</v>
      </c>
      <c r="C2418" t="s">
        <v>34</v>
      </c>
      <c r="D2418" t="s">
        <v>35</v>
      </c>
      <c r="E2418" t="s">
        <v>66</v>
      </c>
      <c r="F2418" t="s">
        <v>167</v>
      </c>
      <c r="G2418" t="s">
        <v>23</v>
      </c>
      <c r="H2418" s="1">
        <v>45409</v>
      </c>
      <c r="I2418" t="s">
        <v>64</v>
      </c>
      <c r="J2418" t="s">
        <v>1991</v>
      </c>
      <c r="K2418">
        <v>2</v>
      </c>
      <c r="N2418">
        <v>5058</v>
      </c>
      <c r="O2418">
        <v>30</v>
      </c>
      <c r="P2418" s="1">
        <v>45769</v>
      </c>
      <c r="Q2418" s="1"/>
      <c r="R2418" t="str">
        <f>IF(Table1[[#This Row],[Actual close date]]="","",Table1[[#This Row],[Actual close date]]-Table1[[#This Row],[Expected close date]])</f>
        <v/>
      </c>
    </row>
    <row r="2419" spans="1:18" x14ac:dyDescent="0.25">
      <c r="A2419" t="s">
        <v>2503</v>
      </c>
      <c r="B2419" t="s">
        <v>33</v>
      </c>
      <c r="C2419" t="s">
        <v>34</v>
      </c>
      <c r="D2419" t="s">
        <v>35</v>
      </c>
      <c r="E2419" t="s">
        <v>21</v>
      </c>
      <c r="F2419" t="s">
        <v>167</v>
      </c>
      <c r="G2419" t="s">
        <v>46</v>
      </c>
      <c r="H2419" s="1">
        <v>45306</v>
      </c>
      <c r="I2419" t="s">
        <v>24</v>
      </c>
      <c r="J2419" t="s">
        <v>1991</v>
      </c>
      <c r="K2419">
        <v>2</v>
      </c>
      <c r="N2419">
        <v>4828</v>
      </c>
      <c r="O2419">
        <v>60</v>
      </c>
      <c r="P2419" s="1">
        <v>45489</v>
      </c>
      <c r="Q2419" s="1"/>
      <c r="R2419" t="str">
        <f>IF(Table1[[#This Row],[Actual close date]]="","",Table1[[#This Row],[Actual close date]]-Table1[[#This Row],[Expected close date]])</f>
        <v/>
      </c>
    </row>
    <row r="2420" spans="1:18" x14ac:dyDescent="0.25">
      <c r="A2420" t="s">
        <v>2504</v>
      </c>
      <c r="B2420" t="s">
        <v>54</v>
      </c>
      <c r="C2420" t="s">
        <v>55</v>
      </c>
      <c r="D2420" t="s">
        <v>56</v>
      </c>
      <c r="E2420" t="s">
        <v>21</v>
      </c>
      <c r="F2420" t="s">
        <v>167</v>
      </c>
      <c r="G2420" t="s">
        <v>57</v>
      </c>
      <c r="H2420" s="1">
        <v>45428</v>
      </c>
      <c r="I2420" t="s">
        <v>64</v>
      </c>
      <c r="J2420" t="s">
        <v>1991</v>
      </c>
      <c r="K2420">
        <v>2</v>
      </c>
      <c r="N2420">
        <v>5923</v>
      </c>
      <c r="O2420">
        <v>80</v>
      </c>
      <c r="P2420" s="1">
        <v>45746</v>
      </c>
      <c r="Q2420" s="1"/>
      <c r="R2420" t="str">
        <f>IF(Table1[[#This Row],[Actual close date]]="","",Table1[[#This Row],[Actual close date]]-Table1[[#This Row],[Expected close date]])</f>
        <v/>
      </c>
    </row>
    <row r="2421" spans="1:18" x14ac:dyDescent="0.25">
      <c r="A2421" t="s">
        <v>2505</v>
      </c>
      <c r="B2421" t="s">
        <v>59</v>
      </c>
      <c r="C2421" t="s">
        <v>60</v>
      </c>
      <c r="D2421" t="s">
        <v>61</v>
      </c>
      <c r="E2421" t="s">
        <v>101</v>
      </c>
      <c r="F2421" t="s">
        <v>167</v>
      </c>
      <c r="G2421" t="s">
        <v>31</v>
      </c>
      <c r="H2421" s="1">
        <v>45426</v>
      </c>
      <c r="I2421" t="s">
        <v>64</v>
      </c>
      <c r="J2421" t="s">
        <v>1991</v>
      </c>
      <c r="K2421">
        <v>2</v>
      </c>
      <c r="N2421">
        <v>2433</v>
      </c>
      <c r="O2421">
        <v>30</v>
      </c>
      <c r="P2421" s="1">
        <v>45531</v>
      </c>
      <c r="Q2421" s="1"/>
      <c r="R2421" t="str">
        <f>IF(Table1[[#This Row],[Actual close date]]="","",Table1[[#This Row],[Actual close date]]-Table1[[#This Row],[Expected close date]])</f>
        <v/>
      </c>
    </row>
    <row r="2422" spans="1:18" x14ac:dyDescent="0.25">
      <c r="A2422" t="s">
        <v>2506</v>
      </c>
      <c r="B2422" t="s">
        <v>18</v>
      </c>
      <c r="C2422" t="s">
        <v>19</v>
      </c>
      <c r="D2422" t="s">
        <v>20</v>
      </c>
      <c r="E2422" t="s">
        <v>30</v>
      </c>
      <c r="F2422" t="s">
        <v>167</v>
      </c>
      <c r="G2422" t="s">
        <v>46</v>
      </c>
      <c r="H2422" s="1">
        <v>45304</v>
      </c>
      <c r="I2422" t="s">
        <v>24</v>
      </c>
      <c r="J2422" t="s">
        <v>1991</v>
      </c>
      <c r="K2422">
        <v>2</v>
      </c>
      <c r="N2422">
        <v>7461</v>
      </c>
      <c r="O2422">
        <v>40</v>
      </c>
      <c r="P2422" s="1">
        <v>45658</v>
      </c>
      <c r="Q2422" s="1"/>
      <c r="R2422" t="str">
        <f>IF(Table1[[#This Row],[Actual close date]]="","",Table1[[#This Row],[Actual close date]]-Table1[[#This Row],[Expected close date]])</f>
        <v/>
      </c>
    </row>
    <row r="2423" spans="1:18" x14ac:dyDescent="0.25">
      <c r="A2423" t="s">
        <v>2507</v>
      </c>
      <c r="B2423" t="s">
        <v>59</v>
      </c>
      <c r="C2423" t="s">
        <v>60</v>
      </c>
      <c r="D2423" t="s">
        <v>61</v>
      </c>
      <c r="E2423" t="s">
        <v>42</v>
      </c>
      <c r="F2423" t="s">
        <v>167</v>
      </c>
      <c r="G2423" t="s">
        <v>46</v>
      </c>
      <c r="H2423" s="1">
        <v>45377</v>
      </c>
      <c r="I2423" t="s">
        <v>24</v>
      </c>
      <c r="J2423" t="s">
        <v>1991</v>
      </c>
      <c r="K2423">
        <v>2</v>
      </c>
      <c r="N2423">
        <v>3504</v>
      </c>
      <c r="O2423">
        <v>70</v>
      </c>
      <c r="P2423" s="1">
        <v>45724</v>
      </c>
      <c r="Q2423" s="1"/>
      <c r="R2423" t="str">
        <f>IF(Table1[[#This Row],[Actual close date]]="","",Table1[[#This Row],[Actual close date]]-Table1[[#This Row],[Expected close date]])</f>
        <v/>
      </c>
    </row>
    <row r="2424" spans="1:18" x14ac:dyDescent="0.25">
      <c r="A2424" t="s">
        <v>2508</v>
      </c>
      <c r="B2424" t="s">
        <v>54</v>
      </c>
      <c r="C2424" t="s">
        <v>55</v>
      </c>
      <c r="D2424" t="s">
        <v>56</v>
      </c>
      <c r="E2424" t="s">
        <v>52</v>
      </c>
      <c r="F2424" t="s">
        <v>167</v>
      </c>
      <c r="G2424" t="s">
        <v>46</v>
      </c>
      <c r="H2424" s="1">
        <v>45376</v>
      </c>
      <c r="I2424" t="s">
        <v>24</v>
      </c>
      <c r="J2424" t="s">
        <v>1991</v>
      </c>
      <c r="K2424">
        <v>2</v>
      </c>
      <c r="N2424">
        <v>7764</v>
      </c>
      <c r="O2424">
        <v>40</v>
      </c>
      <c r="P2424" s="1">
        <v>45551</v>
      </c>
      <c r="Q2424" s="1"/>
      <c r="R2424" t="str">
        <f>IF(Table1[[#This Row],[Actual close date]]="","",Table1[[#This Row],[Actual close date]]-Table1[[#This Row],[Expected close date]])</f>
        <v/>
      </c>
    </row>
    <row r="2425" spans="1:18" x14ac:dyDescent="0.25">
      <c r="A2425" t="s">
        <v>2509</v>
      </c>
      <c r="B2425" t="s">
        <v>27</v>
      </c>
      <c r="C2425" t="s">
        <v>28</v>
      </c>
      <c r="D2425" t="s">
        <v>29</v>
      </c>
      <c r="E2425" t="s">
        <v>101</v>
      </c>
      <c r="F2425" t="s">
        <v>167</v>
      </c>
      <c r="G2425" t="s">
        <v>37</v>
      </c>
      <c r="H2425" s="1">
        <v>45314</v>
      </c>
      <c r="I2425" t="s">
        <v>64</v>
      </c>
      <c r="J2425" t="s">
        <v>1991</v>
      </c>
      <c r="K2425">
        <v>2</v>
      </c>
      <c r="N2425">
        <v>2029</v>
      </c>
      <c r="O2425">
        <v>40</v>
      </c>
      <c r="P2425" s="1">
        <v>45642</v>
      </c>
      <c r="Q2425" s="1"/>
      <c r="R2425" t="str">
        <f>IF(Table1[[#This Row],[Actual close date]]="","",Table1[[#This Row],[Actual close date]]-Table1[[#This Row],[Expected close date]])</f>
        <v/>
      </c>
    </row>
    <row r="2426" spans="1:18" x14ac:dyDescent="0.25">
      <c r="A2426" t="s">
        <v>2510</v>
      </c>
      <c r="B2426" t="s">
        <v>59</v>
      </c>
      <c r="C2426" t="s">
        <v>60</v>
      </c>
      <c r="D2426" t="s">
        <v>61</v>
      </c>
      <c r="E2426" t="s">
        <v>82</v>
      </c>
      <c r="F2426" t="s">
        <v>167</v>
      </c>
      <c r="G2426" t="s">
        <v>31</v>
      </c>
      <c r="H2426" s="1">
        <v>45319</v>
      </c>
      <c r="I2426" t="s">
        <v>47</v>
      </c>
      <c r="J2426" t="s">
        <v>1991</v>
      </c>
      <c r="K2426">
        <v>2</v>
      </c>
      <c r="N2426">
        <v>3810</v>
      </c>
      <c r="O2426">
        <v>40</v>
      </c>
      <c r="P2426" s="1">
        <v>45654</v>
      </c>
      <c r="Q2426" s="1"/>
      <c r="R2426" t="str">
        <f>IF(Table1[[#This Row],[Actual close date]]="","",Table1[[#This Row],[Actual close date]]-Table1[[#This Row],[Expected close date]])</f>
        <v/>
      </c>
    </row>
    <row r="2427" spans="1:18" x14ac:dyDescent="0.25">
      <c r="A2427" t="s">
        <v>2511</v>
      </c>
      <c r="B2427" t="s">
        <v>27</v>
      </c>
      <c r="C2427" t="s">
        <v>28</v>
      </c>
      <c r="D2427" t="s">
        <v>29</v>
      </c>
      <c r="E2427" t="s">
        <v>74</v>
      </c>
      <c r="F2427" t="s">
        <v>167</v>
      </c>
      <c r="G2427" t="s">
        <v>57</v>
      </c>
      <c r="H2427" s="1">
        <v>45359</v>
      </c>
      <c r="I2427" t="s">
        <v>64</v>
      </c>
      <c r="J2427" t="s">
        <v>1991</v>
      </c>
      <c r="K2427">
        <v>2</v>
      </c>
      <c r="N2427">
        <v>6263</v>
      </c>
      <c r="O2427">
        <v>40</v>
      </c>
      <c r="P2427" s="1">
        <v>45691</v>
      </c>
      <c r="Q2427" s="1"/>
      <c r="R2427" t="str">
        <f>IF(Table1[[#This Row],[Actual close date]]="","",Table1[[#This Row],[Actual close date]]-Table1[[#This Row],[Expected close date]])</f>
        <v/>
      </c>
    </row>
    <row r="2428" spans="1:18" x14ac:dyDescent="0.25">
      <c r="A2428" t="s">
        <v>2512</v>
      </c>
      <c r="B2428" t="s">
        <v>27</v>
      </c>
      <c r="C2428" t="s">
        <v>28</v>
      </c>
      <c r="D2428" t="s">
        <v>29</v>
      </c>
      <c r="E2428" t="s">
        <v>45</v>
      </c>
      <c r="F2428" t="s">
        <v>167</v>
      </c>
      <c r="G2428" t="s">
        <v>37</v>
      </c>
      <c r="H2428" s="1">
        <v>45376</v>
      </c>
      <c r="I2428" t="s">
        <v>24</v>
      </c>
      <c r="J2428" t="s">
        <v>1991</v>
      </c>
      <c r="K2428">
        <v>2</v>
      </c>
      <c r="N2428">
        <v>5414</v>
      </c>
      <c r="O2428">
        <v>50</v>
      </c>
      <c r="P2428" s="1">
        <v>45568</v>
      </c>
      <c r="Q2428" s="1"/>
      <c r="R2428" t="str">
        <f>IF(Table1[[#This Row],[Actual close date]]="","",Table1[[#This Row],[Actual close date]]-Table1[[#This Row],[Expected close date]])</f>
        <v/>
      </c>
    </row>
    <row r="2429" spans="1:18" x14ac:dyDescent="0.25">
      <c r="A2429" t="s">
        <v>2513</v>
      </c>
      <c r="B2429" t="s">
        <v>39</v>
      </c>
      <c r="C2429" t="s">
        <v>40</v>
      </c>
      <c r="D2429" t="s">
        <v>41</v>
      </c>
      <c r="E2429" t="s">
        <v>21</v>
      </c>
      <c r="F2429" t="s">
        <v>167</v>
      </c>
      <c r="G2429" t="s">
        <v>23</v>
      </c>
      <c r="H2429" s="1">
        <v>45397</v>
      </c>
      <c r="I2429" t="s">
        <v>64</v>
      </c>
      <c r="J2429" t="s">
        <v>1991</v>
      </c>
      <c r="K2429">
        <v>2</v>
      </c>
      <c r="N2429">
        <v>2200</v>
      </c>
      <c r="O2429">
        <v>50</v>
      </c>
      <c r="P2429" s="1">
        <v>45746</v>
      </c>
      <c r="Q2429" s="1"/>
      <c r="R2429" t="str">
        <f>IF(Table1[[#This Row],[Actual close date]]="","",Table1[[#This Row],[Actual close date]]-Table1[[#This Row],[Expected close date]])</f>
        <v/>
      </c>
    </row>
    <row r="2430" spans="1:18" x14ac:dyDescent="0.25">
      <c r="A2430" t="s">
        <v>2514</v>
      </c>
      <c r="B2430" t="s">
        <v>59</v>
      </c>
      <c r="C2430" t="s">
        <v>60</v>
      </c>
      <c r="D2430" t="s">
        <v>61</v>
      </c>
      <c r="E2430" t="s">
        <v>118</v>
      </c>
      <c r="F2430" t="s">
        <v>167</v>
      </c>
      <c r="G2430" t="s">
        <v>37</v>
      </c>
      <c r="H2430" s="1">
        <v>45336</v>
      </c>
      <c r="I2430" t="s">
        <v>24</v>
      </c>
      <c r="J2430" t="s">
        <v>1991</v>
      </c>
      <c r="K2430">
        <v>2</v>
      </c>
      <c r="N2430">
        <v>3651</v>
      </c>
      <c r="O2430">
        <v>70</v>
      </c>
      <c r="P2430" s="1">
        <v>45565</v>
      </c>
      <c r="Q2430" s="1"/>
      <c r="R2430" t="str">
        <f>IF(Table1[[#This Row],[Actual close date]]="","",Table1[[#This Row],[Actual close date]]-Table1[[#This Row],[Expected close date]])</f>
        <v/>
      </c>
    </row>
    <row r="2431" spans="1:18" x14ac:dyDescent="0.25">
      <c r="A2431" t="s">
        <v>2515</v>
      </c>
      <c r="B2431" t="s">
        <v>33</v>
      </c>
      <c r="C2431" t="s">
        <v>34</v>
      </c>
      <c r="D2431" t="s">
        <v>35</v>
      </c>
      <c r="E2431" t="s">
        <v>21</v>
      </c>
      <c r="F2431" t="s">
        <v>167</v>
      </c>
      <c r="G2431" t="s">
        <v>85</v>
      </c>
      <c r="H2431" s="1">
        <v>45310</v>
      </c>
      <c r="I2431" t="s">
        <v>64</v>
      </c>
      <c r="J2431" t="s">
        <v>1991</v>
      </c>
      <c r="K2431">
        <v>2</v>
      </c>
      <c r="N2431">
        <v>7926</v>
      </c>
      <c r="O2431">
        <v>70</v>
      </c>
      <c r="P2431" s="1">
        <v>45424</v>
      </c>
      <c r="Q2431" s="1"/>
      <c r="R2431" t="str">
        <f>IF(Table1[[#This Row],[Actual close date]]="","",Table1[[#This Row],[Actual close date]]-Table1[[#This Row],[Expected close date]])</f>
        <v/>
      </c>
    </row>
    <row r="2432" spans="1:18" x14ac:dyDescent="0.25">
      <c r="A2432" t="s">
        <v>2516</v>
      </c>
      <c r="B2432" t="s">
        <v>33</v>
      </c>
      <c r="C2432" t="s">
        <v>34</v>
      </c>
      <c r="D2432" t="s">
        <v>35</v>
      </c>
      <c r="E2432" t="s">
        <v>101</v>
      </c>
      <c r="F2432" t="s">
        <v>167</v>
      </c>
      <c r="G2432" t="s">
        <v>46</v>
      </c>
      <c r="H2432" s="1">
        <v>45431</v>
      </c>
      <c r="I2432" t="s">
        <v>24</v>
      </c>
      <c r="J2432" t="s">
        <v>1991</v>
      </c>
      <c r="K2432">
        <v>2</v>
      </c>
      <c r="N2432">
        <v>4444</v>
      </c>
      <c r="O2432">
        <v>100</v>
      </c>
      <c r="P2432" s="1">
        <v>45497</v>
      </c>
      <c r="Q2432" s="1"/>
      <c r="R2432" t="str">
        <f>IF(Table1[[#This Row],[Actual close date]]="","",Table1[[#This Row],[Actual close date]]-Table1[[#This Row],[Expected close date]])</f>
        <v/>
      </c>
    </row>
    <row r="2433" spans="1:18" x14ac:dyDescent="0.25">
      <c r="A2433" t="s">
        <v>2517</v>
      </c>
      <c r="B2433" t="s">
        <v>49</v>
      </c>
      <c r="C2433" t="s">
        <v>50</v>
      </c>
      <c r="D2433" t="s">
        <v>51</v>
      </c>
      <c r="E2433" t="s">
        <v>21</v>
      </c>
      <c r="F2433" t="s">
        <v>167</v>
      </c>
      <c r="G2433" t="s">
        <v>57</v>
      </c>
      <c r="H2433" s="1">
        <v>45388</v>
      </c>
      <c r="I2433" t="s">
        <v>47</v>
      </c>
      <c r="J2433" t="s">
        <v>1991</v>
      </c>
      <c r="K2433">
        <v>2</v>
      </c>
      <c r="N2433">
        <v>7369</v>
      </c>
      <c r="O2433">
        <v>50</v>
      </c>
      <c r="P2433" s="1">
        <v>45749</v>
      </c>
      <c r="Q2433" s="1"/>
      <c r="R2433" t="str">
        <f>IF(Table1[[#This Row],[Actual close date]]="","",Table1[[#This Row],[Actual close date]]-Table1[[#This Row],[Expected close date]])</f>
        <v/>
      </c>
    </row>
    <row r="2434" spans="1:18" x14ac:dyDescent="0.25">
      <c r="A2434" t="s">
        <v>2518</v>
      </c>
      <c r="B2434" t="s">
        <v>39</v>
      </c>
      <c r="C2434" t="s">
        <v>40</v>
      </c>
      <c r="D2434" t="s">
        <v>41</v>
      </c>
      <c r="E2434" t="s">
        <v>45</v>
      </c>
      <c r="F2434" t="s">
        <v>167</v>
      </c>
      <c r="G2434" t="s">
        <v>57</v>
      </c>
      <c r="H2434" s="1">
        <v>45320</v>
      </c>
      <c r="I2434" t="s">
        <v>64</v>
      </c>
      <c r="J2434" t="s">
        <v>1991</v>
      </c>
      <c r="K2434">
        <v>2</v>
      </c>
      <c r="N2434">
        <v>3710</v>
      </c>
      <c r="O2434">
        <v>50</v>
      </c>
      <c r="P2434" s="1">
        <v>45674</v>
      </c>
      <c r="Q2434" s="1"/>
      <c r="R2434" t="str">
        <f>IF(Table1[[#This Row],[Actual close date]]="","",Table1[[#This Row],[Actual close date]]-Table1[[#This Row],[Expected close date]])</f>
        <v/>
      </c>
    </row>
    <row r="2435" spans="1:18" x14ac:dyDescent="0.25">
      <c r="A2435" t="s">
        <v>2519</v>
      </c>
      <c r="B2435" t="s">
        <v>69</v>
      </c>
      <c r="C2435" t="s">
        <v>70</v>
      </c>
      <c r="D2435" t="s">
        <v>71</v>
      </c>
      <c r="E2435" t="s">
        <v>52</v>
      </c>
      <c r="F2435" t="s">
        <v>167</v>
      </c>
      <c r="G2435" t="s">
        <v>57</v>
      </c>
      <c r="H2435" s="1">
        <v>45313</v>
      </c>
      <c r="I2435" t="s">
        <v>24</v>
      </c>
      <c r="J2435" t="s">
        <v>1991</v>
      </c>
      <c r="K2435">
        <v>2</v>
      </c>
      <c r="N2435">
        <v>7763</v>
      </c>
      <c r="O2435">
        <v>30</v>
      </c>
      <c r="P2435" s="1">
        <v>45611</v>
      </c>
      <c r="Q2435" s="1"/>
      <c r="R2435" t="str">
        <f>IF(Table1[[#This Row],[Actual close date]]="","",Table1[[#This Row],[Actual close date]]-Table1[[#This Row],[Expected close date]])</f>
        <v/>
      </c>
    </row>
    <row r="2436" spans="1:18" x14ac:dyDescent="0.25">
      <c r="A2436" t="s">
        <v>2520</v>
      </c>
      <c r="B2436" t="s">
        <v>33</v>
      </c>
      <c r="C2436" t="s">
        <v>34</v>
      </c>
      <c r="D2436" t="s">
        <v>35</v>
      </c>
      <c r="E2436" t="s">
        <v>45</v>
      </c>
      <c r="F2436" t="s">
        <v>167</v>
      </c>
      <c r="G2436" t="s">
        <v>37</v>
      </c>
      <c r="H2436" s="1">
        <v>45405</v>
      </c>
      <c r="I2436" t="s">
        <v>64</v>
      </c>
      <c r="J2436" t="s">
        <v>1991</v>
      </c>
      <c r="K2436">
        <v>2</v>
      </c>
      <c r="N2436">
        <v>6622</v>
      </c>
      <c r="O2436">
        <v>50</v>
      </c>
      <c r="P2436" s="1">
        <v>45643</v>
      </c>
      <c r="Q2436" s="1"/>
      <c r="R2436" t="str">
        <f>IF(Table1[[#This Row],[Actual close date]]="","",Table1[[#This Row],[Actual close date]]-Table1[[#This Row],[Expected close date]])</f>
        <v/>
      </c>
    </row>
    <row r="2437" spans="1:18" x14ac:dyDescent="0.25">
      <c r="A2437" t="s">
        <v>2521</v>
      </c>
      <c r="B2437" t="s">
        <v>59</v>
      </c>
      <c r="C2437" t="s">
        <v>60</v>
      </c>
      <c r="D2437" t="s">
        <v>61</v>
      </c>
      <c r="E2437" t="s">
        <v>45</v>
      </c>
      <c r="F2437" t="s">
        <v>167</v>
      </c>
      <c r="G2437" t="s">
        <v>46</v>
      </c>
      <c r="H2437" s="1">
        <v>45400</v>
      </c>
      <c r="I2437" t="s">
        <v>47</v>
      </c>
      <c r="J2437" t="s">
        <v>1991</v>
      </c>
      <c r="K2437">
        <v>2</v>
      </c>
      <c r="N2437">
        <v>2546</v>
      </c>
      <c r="O2437">
        <v>20</v>
      </c>
      <c r="P2437" s="1">
        <v>45514</v>
      </c>
      <c r="Q2437" s="1"/>
      <c r="R2437" t="str">
        <f>IF(Table1[[#This Row],[Actual close date]]="","",Table1[[#This Row],[Actual close date]]-Table1[[#This Row],[Expected close date]])</f>
        <v/>
      </c>
    </row>
    <row r="2438" spans="1:18" x14ac:dyDescent="0.25">
      <c r="A2438" t="s">
        <v>2522</v>
      </c>
      <c r="B2438" t="s">
        <v>33</v>
      </c>
      <c r="C2438" t="s">
        <v>34</v>
      </c>
      <c r="D2438" t="s">
        <v>35</v>
      </c>
      <c r="E2438" t="s">
        <v>74</v>
      </c>
      <c r="F2438" t="s">
        <v>167</v>
      </c>
      <c r="G2438" t="s">
        <v>31</v>
      </c>
      <c r="H2438" s="1">
        <v>45297</v>
      </c>
      <c r="I2438" t="s">
        <v>24</v>
      </c>
      <c r="J2438" t="s">
        <v>1991</v>
      </c>
      <c r="K2438">
        <v>2</v>
      </c>
      <c r="N2438">
        <v>2304</v>
      </c>
      <c r="O2438">
        <v>20</v>
      </c>
      <c r="P2438" s="1">
        <v>45317</v>
      </c>
      <c r="Q2438" s="1"/>
      <c r="R2438" t="str">
        <f>IF(Table1[[#This Row],[Actual close date]]="","",Table1[[#This Row],[Actual close date]]-Table1[[#This Row],[Expected close date]])</f>
        <v/>
      </c>
    </row>
    <row r="2439" spans="1:18" x14ac:dyDescent="0.25">
      <c r="A2439" t="s">
        <v>2523</v>
      </c>
      <c r="B2439" t="s">
        <v>76</v>
      </c>
      <c r="C2439" t="s">
        <v>77</v>
      </c>
      <c r="D2439" t="s">
        <v>78</v>
      </c>
      <c r="E2439" t="s">
        <v>45</v>
      </c>
      <c r="F2439" t="s">
        <v>167</v>
      </c>
      <c r="G2439" t="s">
        <v>31</v>
      </c>
      <c r="H2439" s="1">
        <v>45349</v>
      </c>
      <c r="I2439" t="s">
        <v>24</v>
      </c>
      <c r="J2439" t="s">
        <v>1991</v>
      </c>
      <c r="K2439">
        <v>2</v>
      </c>
      <c r="N2439">
        <v>7126</v>
      </c>
      <c r="O2439">
        <v>80</v>
      </c>
      <c r="P2439" s="1">
        <v>45692</v>
      </c>
      <c r="Q2439" s="1"/>
      <c r="R2439" t="str">
        <f>IF(Table1[[#This Row],[Actual close date]]="","",Table1[[#This Row],[Actual close date]]-Table1[[#This Row],[Expected close date]])</f>
        <v/>
      </c>
    </row>
    <row r="2440" spans="1:18" x14ac:dyDescent="0.25">
      <c r="A2440" t="s">
        <v>2524</v>
      </c>
      <c r="B2440" t="s">
        <v>33</v>
      </c>
      <c r="C2440" t="s">
        <v>34</v>
      </c>
      <c r="D2440" t="s">
        <v>35</v>
      </c>
      <c r="E2440" t="s">
        <v>42</v>
      </c>
      <c r="F2440" t="s">
        <v>167</v>
      </c>
      <c r="G2440" t="s">
        <v>46</v>
      </c>
      <c r="H2440" s="1">
        <v>45387</v>
      </c>
      <c r="I2440" t="s">
        <v>24</v>
      </c>
      <c r="J2440" t="s">
        <v>1991</v>
      </c>
      <c r="K2440">
        <v>2</v>
      </c>
      <c r="N2440">
        <v>1460</v>
      </c>
      <c r="O2440">
        <v>20</v>
      </c>
      <c r="P2440" s="1">
        <v>45578</v>
      </c>
      <c r="Q2440" s="1"/>
      <c r="R2440" t="str">
        <f>IF(Table1[[#This Row],[Actual close date]]="","",Table1[[#This Row],[Actual close date]]-Table1[[#This Row],[Expected close date]])</f>
        <v/>
      </c>
    </row>
    <row r="2441" spans="1:18" x14ac:dyDescent="0.25">
      <c r="A2441" t="s">
        <v>2525</v>
      </c>
      <c r="B2441" t="s">
        <v>54</v>
      </c>
      <c r="C2441" t="s">
        <v>55</v>
      </c>
      <c r="D2441" t="s">
        <v>56</v>
      </c>
      <c r="E2441" t="s">
        <v>74</v>
      </c>
      <c r="F2441" t="s">
        <v>167</v>
      </c>
      <c r="G2441" t="s">
        <v>31</v>
      </c>
      <c r="H2441" s="1">
        <v>45418</v>
      </c>
      <c r="I2441" t="s">
        <v>24</v>
      </c>
      <c r="J2441" t="s">
        <v>1991</v>
      </c>
      <c r="K2441">
        <v>2</v>
      </c>
      <c r="N2441">
        <v>4046</v>
      </c>
      <c r="O2441">
        <v>20</v>
      </c>
      <c r="P2441" s="1">
        <v>45691</v>
      </c>
      <c r="Q2441" s="1"/>
      <c r="R2441" t="str">
        <f>IF(Table1[[#This Row],[Actual close date]]="","",Table1[[#This Row],[Actual close date]]-Table1[[#This Row],[Expected close date]])</f>
        <v/>
      </c>
    </row>
    <row r="2442" spans="1:18" x14ac:dyDescent="0.25">
      <c r="A2442" t="s">
        <v>2526</v>
      </c>
      <c r="B2442" t="s">
        <v>59</v>
      </c>
      <c r="C2442" t="s">
        <v>60</v>
      </c>
      <c r="D2442" t="s">
        <v>61</v>
      </c>
      <c r="E2442" t="s">
        <v>45</v>
      </c>
      <c r="F2442" t="s">
        <v>167</v>
      </c>
      <c r="G2442" t="s">
        <v>72</v>
      </c>
      <c r="H2442" s="1">
        <v>45405</v>
      </c>
      <c r="I2442" t="s">
        <v>24</v>
      </c>
      <c r="J2442" t="s">
        <v>1991</v>
      </c>
      <c r="K2442">
        <v>2</v>
      </c>
      <c r="N2442">
        <v>4782</v>
      </c>
      <c r="O2442">
        <v>50</v>
      </c>
      <c r="P2442" s="1">
        <v>45663</v>
      </c>
      <c r="Q2442" s="1"/>
      <c r="R2442" t="str">
        <f>IF(Table1[[#This Row],[Actual close date]]="","",Table1[[#This Row],[Actual close date]]-Table1[[#This Row],[Expected close date]])</f>
        <v/>
      </c>
    </row>
    <row r="2443" spans="1:18" x14ac:dyDescent="0.25">
      <c r="A2443" t="s">
        <v>2527</v>
      </c>
      <c r="B2443" t="s">
        <v>49</v>
      </c>
      <c r="C2443" t="s">
        <v>50</v>
      </c>
      <c r="D2443" t="s">
        <v>51</v>
      </c>
      <c r="E2443" t="s">
        <v>45</v>
      </c>
      <c r="F2443" t="s">
        <v>167</v>
      </c>
      <c r="G2443" t="s">
        <v>72</v>
      </c>
      <c r="H2443" s="1">
        <v>45441</v>
      </c>
      <c r="I2443" t="s">
        <v>47</v>
      </c>
      <c r="J2443" t="s">
        <v>1991</v>
      </c>
      <c r="K2443">
        <v>2</v>
      </c>
      <c r="N2443">
        <v>3974</v>
      </c>
      <c r="O2443">
        <v>50</v>
      </c>
      <c r="P2443" s="1">
        <v>45718</v>
      </c>
      <c r="Q2443" s="1"/>
      <c r="R2443" t="str">
        <f>IF(Table1[[#This Row],[Actual close date]]="","",Table1[[#This Row],[Actual close date]]-Table1[[#This Row],[Expected close date]])</f>
        <v/>
      </c>
    </row>
    <row r="2444" spans="1:18" x14ac:dyDescent="0.25">
      <c r="A2444" t="s">
        <v>2528</v>
      </c>
      <c r="B2444" t="s">
        <v>33</v>
      </c>
      <c r="C2444" t="s">
        <v>34</v>
      </c>
      <c r="D2444" t="s">
        <v>35</v>
      </c>
      <c r="E2444" t="s">
        <v>52</v>
      </c>
      <c r="F2444" t="s">
        <v>167</v>
      </c>
      <c r="G2444" t="s">
        <v>37</v>
      </c>
      <c r="H2444" s="1">
        <v>45416</v>
      </c>
      <c r="I2444" t="s">
        <v>24</v>
      </c>
      <c r="J2444" t="s">
        <v>1991</v>
      </c>
      <c r="K2444">
        <v>2</v>
      </c>
      <c r="N2444">
        <v>6936</v>
      </c>
      <c r="O2444">
        <v>30</v>
      </c>
      <c r="P2444" s="1">
        <v>45552</v>
      </c>
      <c r="Q2444" s="1"/>
      <c r="R2444" t="str">
        <f>IF(Table1[[#This Row],[Actual close date]]="","",Table1[[#This Row],[Actual close date]]-Table1[[#This Row],[Expected close date]])</f>
        <v/>
      </c>
    </row>
    <row r="2445" spans="1:18" x14ac:dyDescent="0.25">
      <c r="A2445" t="s">
        <v>2529</v>
      </c>
      <c r="B2445" t="s">
        <v>59</v>
      </c>
      <c r="C2445" t="s">
        <v>60</v>
      </c>
      <c r="D2445" t="s">
        <v>61</v>
      </c>
      <c r="E2445" t="s">
        <v>52</v>
      </c>
      <c r="F2445" t="s">
        <v>167</v>
      </c>
      <c r="G2445" t="s">
        <v>46</v>
      </c>
      <c r="H2445" s="1">
        <v>45414</v>
      </c>
      <c r="I2445" t="s">
        <v>47</v>
      </c>
      <c r="J2445" t="s">
        <v>1991</v>
      </c>
      <c r="K2445">
        <v>2</v>
      </c>
      <c r="N2445">
        <v>7662</v>
      </c>
      <c r="O2445">
        <v>50</v>
      </c>
      <c r="P2445" s="1">
        <v>45508</v>
      </c>
      <c r="Q2445" s="1"/>
      <c r="R2445" t="str">
        <f>IF(Table1[[#This Row],[Actual close date]]="","",Table1[[#This Row],[Actual close date]]-Table1[[#This Row],[Expected close date]])</f>
        <v/>
      </c>
    </row>
    <row r="2446" spans="1:18" x14ac:dyDescent="0.25">
      <c r="A2446" t="s">
        <v>2530</v>
      </c>
      <c r="B2446" t="s">
        <v>76</v>
      </c>
      <c r="C2446" t="s">
        <v>77</v>
      </c>
      <c r="D2446" t="s">
        <v>78</v>
      </c>
      <c r="E2446" t="s">
        <v>52</v>
      </c>
      <c r="F2446" t="s">
        <v>167</v>
      </c>
      <c r="G2446" t="s">
        <v>37</v>
      </c>
      <c r="H2446" s="1">
        <v>45346</v>
      </c>
      <c r="I2446" t="s">
        <v>24</v>
      </c>
      <c r="J2446" t="s">
        <v>1991</v>
      </c>
      <c r="K2446">
        <v>2</v>
      </c>
      <c r="N2446">
        <v>7867</v>
      </c>
      <c r="O2446">
        <v>10</v>
      </c>
      <c r="P2446" s="1">
        <v>45676</v>
      </c>
      <c r="Q2446" s="1"/>
      <c r="R2446" t="str">
        <f>IF(Table1[[#This Row],[Actual close date]]="","",Table1[[#This Row],[Actual close date]]-Table1[[#This Row],[Expected close date]])</f>
        <v/>
      </c>
    </row>
    <row r="2447" spans="1:18" x14ac:dyDescent="0.25">
      <c r="A2447" t="s">
        <v>2531</v>
      </c>
      <c r="B2447" t="s">
        <v>39</v>
      </c>
      <c r="C2447" t="s">
        <v>40</v>
      </c>
      <c r="D2447" t="s">
        <v>41</v>
      </c>
      <c r="E2447" t="s">
        <v>118</v>
      </c>
      <c r="F2447" t="s">
        <v>167</v>
      </c>
      <c r="G2447" t="s">
        <v>37</v>
      </c>
      <c r="H2447" s="1">
        <v>45362</v>
      </c>
      <c r="I2447" t="s">
        <v>24</v>
      </c>
      <c r="J2447" t="s">
        <v>1991</v>
      </c>
      <c r="K2447">
        <v>2</v>
      </c>
      <c r="N2447">
        <v>7425</v>
      </c>
      <c r="O2447">
        <v>30</v>
      </c>
      <c r="P2447" s="1">
        <v>45578</v>
      </c>
      <c r="Q2447" s="1"/>
      <c r="R2447" t="str">
        <f>IF(Table1[[#This Row],[Actual close date]]="","",Table1[[#This Row],[Actual close date]]-Table1[[#This Row],[Expected close date]])</f>
        <v/>
      </c>
    </row>
    <row r="2448" spans="1:18" x14ac:dyDescent="0.25">
      <c r="A2448" t="s">
        <v>2532</v>
      </c>
      <c r="B2448" t="s">
        <v>59</v>
      </c>
      <c r="C2448" t="s">
        <v>60</v>
      </c>
      <c r="D2448" t="s">
        <v>61</v>
      </c>
      <c r="E2448" t="s">
        <v>45</v>
      </c>
      <c r="F2448" t="s">
        <v>167</v>
      </c>
      <c r="G2448" t="s">
        <v>57</v>
      </c>
      <c r="H2448" s="1">
        <v>45335</v>
      </c>
      <c r="I2448" t="s">
        <v>47</v>
      </c>
      <c r="J2448" t="s">
        <v>1991</v>
      </c>
      <c r="K2448">
        <v>2</v>
      </c>
      <c r="N2448">
        <v>6734</v>
      </c>
      <c r="O2448">
        <v>30</v>
      </c>
      <c r="P2448" s="1">
        <v>45637</v>
      </c>
      <c r="Q2448" s="1"/>
      <c r="R2448" t="str">
        <f>IF(Table1[[#This Row],[Actual close date]]="","",Table1[[#This Row],[Actual close date]]-Table1[[#This Row],[Expected close date]])</f>
        <v/>
      </c>
    </row>
    <row r="2449" spans="1:18" x14ac:dyDescent="0.25">
      <c r="A2449" t="s">
        <v>2533</v>
      </c>
      <c r="B2449" t="s">
        <v>39</v>
      </c>
      <c r="C2449" t="s">
        <v>40</v>
      </c>
      <c r="D2449" t="s">
        <v>41</v>
      </c>
      <c r="E2449" t="s">
        <v>52</v>
      </c>
      <c r="F2449" t="s">
        <v>167</v>
      </c>
      <c r="G2449" t="s">
        <v>57</v>
      </c>
      <c r="H2449" s="1">
        <v>45314</v>
      </c>
      <c r="I2449" t="s">
        <v>47</v>
      </c>
      <c r="J2449" t="s">
        <v>1991</v>
      </c>
      <c r="K2449">
        <v>2</v>
      </c>
      <c r="N2449">
        <v>1252</v>
      </c>
      <c r="O2449">
        <v>90</v>
      </c>
      <c r="P2449" s="1">
        <v>45676</v>
      </c>
      <c r="Q2449" s="1"/>
      <c r="R2449" t="str">
        <f>IF(Table1[[#This Row],[Actual close date]]="","",Table1[[#This Row],[Actual close date]]-Table1[[#This Row],[Expected close date]])</f>
        <v/>
      </c>
    </row>
    <row r="2450" spans="1:18" x14ac:dyDescent="0.25">
      <c r="A2450" t="s">
        <v>2534</v>
      </c>
      <c r="B2450" t="s">
        <v>33</v>
      </c>
      <c r="C2450" t="s">
        <v>34</v>
      </c>
      <c r="D2450" t="s">
        <v>35</v>
      </c>
      <c r="E2450" t="s">
        <v>101</v>
      </c>
      <c r="F2450" t="s">
        <v>167</v>
      </c>
      <c r="G2450" t="s">
        <v>37</v>
      </c>
      <c r="H2450" s="1">
        <v>45402</v>
      </c>
      <c r="I2450" t="s">
        <v>47</v>
      </c>
      <c r="J2450" t="s">
        <v>1991</v>
      </c>
      <c r="K2450">
        <v>2</v>
      </c>
      <c r="N2450">
        <v>3722</v>
      </c>
      <c r="O2450">
        <v>20</v>
      </c>
      <c r="P2450" s="1">
        <v>45436</v>
      </c>
      <c r="Q2450" s="1"/>
      <c r="R2450" t="str">
        <f>IF(Table1[[#This Row],[Actual close date]]="","",Table1[[#This Row],[Actual close date]]-Table1[[#This Row],[Expected close date]])</f>
        <v/>
      </c>
    </row>
    <row r="2451" spans="1:18" x14ac:dyDescent="0.25">
      <c r="A2451" t="s">
        <v>2535</v>
      </c>
      <c r="B2451" t="s">
        <v>33</v>
      </c>
      <c r="C2451" t="s">
        <v>34</v>
      </c>
      <c r="D2451" t="s">
        <v>35</v>
      </c>
      <c r="E2451" t="s">
        <v>52</v>
      </c>
      <c r="F2451" t="s">
        <v>167</v>
      </c>
      <c r="G2451" t="s">
        <v>85</v>
      </c>
      <c r="H2451" s="1">
        <v>45357</v>
      </c>
      <c r="I2451" t="s">
        <v>64</v>
      </c>
      <c r="J2451" t="s">
        <v>1991</v>
      </c>
      <c r="K2451">
        <v>2</v>
      </c>
      <c r="N2451">
        <v>4195</v>
      </c>
      <c r="O2451">
        <v>100</v>
      </c>
      <c r="P2451" s="1">
        <v>45463</v>
      </c>
      <c r="Q2451" s="1"/>
      <c r="R2451" t="str">
        <f>IF(Table1[[#This Row],[Actual close date]]="","",Table1[[#This Row],[Actual close date]]-Table1[[#This Row],[Expected close date]])</f>
        <v/>
      </c>
    </row>
    <row r="2452" spans="1:18" x14ac:dyDescent="0.25">
      <c r="A2452" t="s">
        <v>2536</v>
      </c>
      <c r="B2452" t="s">
        <v>33</v>
      </c>
      <c r="C2452" t="s">
        <v>34</v>
      </c>
      <c r="D2452" t="s">
        <v>35</v>
      </c>
      <c r="E2452" t="s">
        <v>52</v>
      </c>
      <c r="F2452" t="s">
        <v>167</v>
      </c>
      <c r="G2452" t="s">
        <v>46</v>
      </c>
      <c r="H2452" s="1">
        <v>45369</v>
      </c>
      <c r="I2452" t="s">
        <v>64</v>
      </c>
      <c r="J2452" t="s">
        <v>1991</v>
      </c>
      <c r="K2452">
        <v>2</v>
      </c>
      <c r="N2452">
        <v>471</v>
      </c>
      <c r="O2452">
        <v>10</v>
      </c>
      <c r="P2452" s="1">
        <v>45654</v>
      </c>
      <c r="Q2452" s="1"/>
      <c r="R2452" t="str">
        <f>IF(Table1[[#This Row],[Actual close date]]="","",Table1[[#This Row],[Actual close date]]-Table1[[#This Row],[Expected close date]])</f>
        <v/>
      </c>
    </row>
    <row r="2453" spans="1:18" x14ac:dyDescent="0.25">
      <c r="A2453" t="s">
        <v>2537</v>
      </c>
      <c r="B2453" t="s">
        <v>49</v>
      </c>
      <c r="C2453" t="s">
        <v>50</v>
      </c>
      <c r="D2453" t="s">
        <v>51</v>
      </c>
      <c r="E2453" t="s">
        <v>82</v>
      </c>
      <c r="F2453" t="s">
        <v>239</v>
      </c>
      <c r="G2453" t="s">
        <v>57</v>
      </c>
      <c r="H2453" s="1">
        <v>45405</v>
      </c>
      <c r="I2453" t="s">
        <v>47</v>
      </c>
      <c r="J2453" t="s">
        <v>1991</v>
      </c>
      <c r="K2453">
        <v>2</v>
      </c>
      <c r="N2453">
        <v>6401</v>
      </c>
      <c r="O2453">
        <v>30</v>
      </c>
      <c r="P2453" s="1">
        <v>45610</v>
      </c>
      <c r="Q2453" s="1"/>
      <c r="R2453" t="str">
        <f>IF(Table1[[#This Row],[Actual close date]]="","",Table1[[#This Row],[Actual close date]]-Table1[[#This Row],[Expected close date]])</f>
        <v/>
      </c>
    </row>
    <row r="2454" spans="1:18" x14ac:dyDescent="0.25">
      <c r="A2454" t="s">
        <v>2538</v>
      </c>
      <c r="B2454" t="s">
        <v>59</v>
      </c>
      <c r="C2454" t="s">
        <v>60</v>
      </c>
      <c r="D2454" t="s">
        <v>61</v>
      </c>
      <c r="E2454" t="s">
        <v>62</v>
      </c>
      <c r="F2454" t="s">
        <v>239</v>
      </c>
      <c r="G2454" t="s">
        <v>46</v>
      </c>
      <c r="H2454" s="1">
        <v>45337</v>
      </c>
      <c r="I2454" t="s">
        <v>47</v>
      </c>
      <c r="J2454" t="s">
        <v>1991</v>
      </c>
      <c r="K2454">
        <v>2</v>
      </c>
      <c r="N2454">
        <v>3509</v>
      </c>
      <c r="O2454">
        <v>50</v>
      </c>
      <c r="P2454" s="1">
        <v>45660</v>
      </c>
      <c r="Q2454" s="1"/>
      <c r="R2454" t="str">
        <f>IF(Table1[[#This Row],[Actual close date]]="","",Table1[[#This Row],[Actual close date]]-Table1[[#This Row],[Expected close date]])</f>
        <v/>
      </c>
    </row>
    <row r="2455" spans="1:18" x14ac:dyDescent="0.25">
      <c r="A2455" t="s">
        <v>2539</v>
      </c>
      <c r="B2455" t="s">
        <v>18</v>
      </c>
      <c r="C2455" t="s">
        <v>19</v>
      </c>
      <c r="D2455" t="s">
        <v>20</v>
      </c>
      <c r="E2455" t="s">
        <v>82</v>
      </c>
      <c r="F2455" t="s">
        <v>239</v>
      </c>
      <c r="G2455" t="s">
        <v>23</v>
      </c>
      <c r="H2455" s="1">
        <v>45398</v>
      </c>
      <c r="I2455" t="s">
        <v>64</v>
      </c>
      <c r="J2455" t="s">
        <v>1991</v>
      </c>
      <c r="K2455">
        <v>2</v>
      </c>
      <c r="N2455">
        <v>15613</v>
      </c>
      <c r="O2455">
        <v>20</v>
      </c>
      <c r="P2455" s="1">
        <v>45733</v>
      </c>
      <c r="Q2455" s="1"/>
      <c r="R2455" t="str">
        <f>IF(Table1[[#This Row],[Actual close date]]="","",Table1[[#This Row],[Actual close date]]-Table1[[#This Row],[Expected close date]])</f>
        <v/>
      </c>
    </row>
    <row r="2456" spans="1:18" x14ac:dyDescent="0.25">
      <c r="A2456" t="s">
        <v>2540</v>
      </c>
      <c r="B2456" t="s">
        <v>76</v>
      </c>
      <c r="C2456" t="s">
        <v>77</v>
      </c>
      <c r="D2456" t="s">
        <v>78</v>
      </c>
      <c r="E2456" t="s">
        <v>74</v>
      </c>
      <c r="F2456" t="s">
        <v>239</v>
      </c>
      <c r="G2456" t="s">
        <v>31</v>
      </c>
      <c r="H2456" s="1">
        <v>45360</v>
      </c>
      <c r="I2456" t="s">
        <v>24</v>
      </c>
      <c r="J2456" t="s">
        <v>1991</v>
      </c>
      <c r="K2456">
        <v>2</v>
      </c>
      <c r="N2456">
        <v>17391</v>
      </c>
      <c r="O2456">
        <v>50</v>
      </c>
      <c r="P2456" s="1">
        <v>45408</v>
      </c>
      <c r="Q2456" s="1"/>
      <c r="R2456" t="str">
        <f>IF(Table1[[#This Row],[Actual close date]]="","",Table1[[#This Row],[Actual close date]]-Table1[[#This Row],[Expected close date]])</f>
        <v/>
      </c>
    </row>
    <row r="2457" spans="1:18" x14ac:dyDescent="0.25">
      <c r="A2457" t="s">
        <v>2541</v>
      </c>
      <c r="B2457" t="s">
        <v>59</v>
      </c>
      <c r="C2457" t="s">
        <v>60</v>
      </c>
      <c r="D2457" t="s">
        <v>61</v>
      </c>
      <c r="E2457" t="s">
        <v>52</v>
      </c>
      <c r="F2457" t="s">
        <v>239</v>
      </c>
      <c r="G2457" t="s">
        <v>37</v>
      </c>
      <c r="H2457" s="1">
        <v>45382</v>
      </c>
      <c r="I2457" t="s">
        <v>47</v>
      </c>
      <c r="J2457" t="s">
        <v>1991</v>
      </c>
      <c r="K2457">
        <v>2</v>
      </c>
      <c r="N2457">
        <v>8728</v>
      </c>
      <c r="O2457">
        <v>50</v>
      </c>
      <c r="P2457" s="1">
        <v>45632</v>
      </c>
      <c r="Q2457" s="1"/>
      <c r="R2457" t="str">
        <f>IF(Table1[[#This Row],[Actual close date]]="","",Table1[[#This Row],[Actual close date]]-Table1[[#This Row],[Expected close date]])</f>
        <v/>
      </c>
    </row>
    <row r="2458" spans="1:18" x14ac:dyDescent="0.25">
      <c r="A2458" t="s">
        <v>2542</v>
      </c>
      <c r="B2458" t="s">
        <v>27</v>
      </c>
      <c r="C2458" t="s">
        <v>28</v>
      </c>
      <c r="D2458" t="s">
        <v>29</v>
      </c>
      <c r="E2458" t="s">
        <v>45</v>
      </c>
      <c r="F2458" t="s">
        <v>239</v>
      </c>
      <c r="G2458" t="s">
        <v>46</v>
      </c>
      <c r="H2458" s="1">
        <v>45361</v>
      </c>
      <c r="I2458" t="s">
        <v>24</v>
      </c>
      <c r="J2458" t="s">
        <v>1991</v>
      </c>
      <c r="K2458">
        <v>2</v>
      </c>
      <c r="N2458">
        <v>19944</v>
      </c>
      <c r="O2458">
        <v>30</v>
      </c>
      <c r="P2458" s="1">
        <v>45594</v>
      </c>
      <c r="Q2458" s="1"/>
      <c r="R2458" t="str">
        <f>IF(Table1[[#This Row],[Actual close date]]="","",Table1[[#This Row],[Actual close date]]-Table1[[#This Row],[Expected close date]])</f>
        <v/>
      </c>
    </row>
    <row r="2459" spans="1:18" x14ac:dyDescent="0.25">
      <c r="A2459" t="s">
        <v>2543</v>
      </c>
      <c r="B2459" t="s">
        <v>39</v>
      </c>
      <c r="C2459" t="s">
        <v>40</v>
      </c>
      <c r="D2459" t="s">
        <v>41</v>
      </c>
      <c r="E2459" t="s">
        <v>45</v>
      </c>
      <c r="F2459" t="s">
        <v>239</v>
      </c>
      <c r="G2459" t="s">
        <v>23</v>
      </c>
      <c r="H2459" s="1">
        <v>45296</v>
      </c>
      <c r="I2459" t="s">
        <v>64</v>
      </c>
      <c r="J2459" t="s">
        <v>1991</v>
      </c>
      <c r="K2459">
        <v>2</v>
      </c>
      <c r="N2459">
        <v>16407</v>
      </c>
      <c r="O2459">
        <v>20</v>
      </c>
      <c r="P2459" s="1">
        <v>45511</v>
      </c>
      <c r="Q2459" s="1"/>
      <c r="R2459" t="str">
        <f>IF(Table1[[#This Row],[Actual close date]]="","",Table1[[#This Row],[Actual close date]]-Table1[[#This Row],[Expected close date]])</f>
        <v/>
      </c>
    </row>
    <row r="2460" spans="1:18" x14ac:dyDescent="0.25">
      <c r="A2460" t="s">
        <v>2544</v>
      </c>
      <c r="B2460" t="s">
        <v>33</v>
      </c>
      <c r="C2460" t="s">
        <v>34</v>
      </c>
      <c r="D2460" t="s">
        <v>35</v>
      </c>
      <c r="E2460" t="s">
        <v>21</v>
      </c>
      <c r="F2460" t="s">
        <v>239</v>
      </c>
      <c r="G2460" t="s">
        <v>46</v>
      </c>
      <c r="H2460" s="1">
        <v>45396</v>
      </c>
      <c r="I2460" t="s">
        <v>47</v>
      </c>
      <c r="J2460" t="s">
        <v>1991</v>
      </c>
      <c r="K2460">
        <v>2</v>
      </c>
      <c r="N2460">
        <v>9178</v>
      </c>
      <c r="O2460">
        <v>30</v>
      </c>
      <c r="P2460" s="1">
        <v>45581</v>
      </c>
      <c r="Q2460" s="1"/>
      <c r="R2460" t="str">
        <f>IF(Table1[[#This Row],[Actual close date]]="","",Table1[[#This Row],[Actual close date]]-Table1[[#This Row],[Expected close date]])</f>
        <v/>
      </c>
    </row>
    <row r="2461" spans="1:18" x14ac:dyDescent="0.25">
      <c r="A2461" t="s">
        <v>2545</v>
      </c>
      <c r="B2461" t="s">
        <v>39</v>
      </c>
      <c r="C2461" t="s">
        <v>40</v>
      </c>
      <c r="D2461" t="s">
        <v>41</v>
      </c>
      <c r="E2461" t="s">
        <v>45</v>
      </c>
      <c r="F2461" t="s">
        <v>239</v>
      </c>
      <c r="G2461" t="s">
        <v>37</v>
      </c>
      <c r="H2461" s="1">
        <v>45424</v>
      </c>
      <c r="I2461" t="s">
        <v>47</v>
      </c>
      <c r="J2461" t="s">
        <v>1991</v>
      </c>
      <c r="K2461">
        <v>2</v>
      </c>
      <c r="N2461">
        <v>18690</v>
      </c>
      <c r="O2461">
        <v>20</v>
      </c>
      <c r="P2461" s="1">
        <v>45617</v>
      </c>
      <c r="Q2461" s="1"/>
      <c r="R2461" t="str">
        <f>IF(Table1[[#This Row],[Actual close date]]="","",Table1[[#This Row],[Actual close date]]-Table1[[#This Row],[Expected close date]])</f>
        <v/>
      </c>
    </row>
    <row r="2462" spans="1:18" x14ac:dyDescent="0.25">
      <c r="A2462" t="s">
        <v>2546</v>
      </c>
      <c r="B2462" t="s">
        <v>59</v>
      </c>
      <c r="C2462" t="s">
        <v>60</v>
      </c>
      <c r="D2462" t="s">
        <v>61</v>
      </c>
      <c r="E2462" t="s">
        <v>122</v>
      </c>
      <c r="F2462" t="s">
        <v>239</v>
      </c>
      <c r="G2462" t="s">
        <v>57</v>
      </c>
      <c r="H2462" s="1">
        <v>45438</v>
      </c>
      <c r="I2462" t="s">
        <v>24</v>
      </c>
      <c r="J2462" t="s">
        <v>1991</v>
      </c>
      <c r="K2462">
        <v>2</v>
      </c>
      <c r="N2462">
        <v>11651</v>
      </c>
      <c r="O2462">
        <v>10</v>
      </c>
      <c r="P2462" s="1">
        <v>45740</v>
      </c>
      <c r="Q2462" s="1"/>
      <c r="R2462" t="str">
        <f>IF(Table1[[#This Row],[Actual close date]]="","",Table1[[#This Row],[Actual close date]]-Table1[[#This Row],[Expected close date]])</f>
        <v/>
      </c>
    </row>
    <row r="2463" spans="1:18" x14ac:dyDescent="0.25">
      <c r="A2463" t="s">
        <v>2547</v>
      </c>
      <c r="B2463" t="s">
        <v>39</v>
      </c>
      <c r="C2463" t="s">
        <v>40</v>
      </c>
      <c r="D2463" t="s">
        <v>41</v>
      </c>
      <c r="E2463" t="s">
        <v>21</v>
      </c>
      <c r="F2463" t="s">
        <v>246</v>
      </c>
      <c r="G2463" t="s">
        <v>72</v>
      </c>
      <c r="H2463" s="1">
        <v>45355</v>
      </c>
      <c r="I2463" t="s">
        <v>24</v>
      </c>
      <c r="J2463" t="s">
        <v>1991</v>
      </c>
      <c r="K2463">
        <v>2</v>
      </c>
      <c r="N2463">
        <v>18590</v>
      </c>
      <c r="O2463">
        <v>100</v>
      </c>
      <c r="P2463" s="1">
        <v>45448</v>
      </c>
      <c r="Q2463" s="1"/>
      <c r="R2463" t="str">
        <f>IF(Table1[[#This Row],[Actual close date]]="","",Table1[[#This Row],[Actual close date]]-Table1[[#This Row],[Expected close date]])</f>
        <v/>
      </c>
    </row>
    <row r="2464" spans="1:18" x14ac:dyDescent="0.25">
      <c r="A2464" t="s">
        <v>2548</v>
      </c>
      <c r="B2464" t="s">
        <v>39</v>
      </c>
      <c r="C2464" t="s">
        <v>40</v>
      </c>
      <c r="D2464" t="s">
        <v>41</v>
      </c>
      <c r="E2464" t="s">
        <v>118</v>
      </c>
      <c r="F2464" t="s">
        <v>246</v>
      </c>
      <c r="G2464" t="s">
        <v>23</v>
      </c>
      <c r="H2464" s="1">
        <v>45311</v>
      </c>
      <c r="I2464" t="s">
        <v>24</v>
      </c>
      <c r="J2464" t="s">
        <v>1991</v>
      </c>
      <c r="K2464">
        <v>2</v>
      </c>
      <c r="N2464">
        <v>3572</v>
      </c>
      <c r="O2464">
        <v>20</v>
      </c>
      <c r="P2464" s="1">
        <v>45573</v>
      </c>
      <c r="Q2464" s="1"/>
      <c r="R2464" t="str">
        <f>IF(Table1[[#This Row],[Actual close date]]="","",Table1[[#This Row],[Actual close date]]-Table1[[#This Row],[Expected close date]])</f>
        <v/>
      </c>
    </row>
    <row r="2465" spans="1:18" x14ac:dyDescent="0.25">
      <c r="A2465" t="s">
        <v>2549</v>
      </c>
      <c r="B2465" t="s">
        <v>49</v>
      </c>
      <c r="C2465" t="s">
        <v>50</v>
      </c>
      <c r="D2465" t="s">
        <v>51</v>
      </c>
      <c r="E2465" t="s">
        <v>45</v>
      </c>
      <c r="F2465" t="s">
        <v>246</v>
      </c>
      <c r="G2465" t="s">
        <v>31</v>
      </c>
      <c r="H2465" s="1">
        <v>45436</v>
      </c>
      <c r="I2465" t="s">
        <v>64</v>
      </c>
      <c r="J2465" t="s">
        <v>1991</v>
      </c>
      <c r="K2465">
        <v>2</v>
      </c>
      <c r="N2465">
        <v>18831</v>
      </c>
      <c r="O2465">
        <v>30</v>
      </c>
      <c r="P2465" s="1">
        <v>45587</v>
      </c>
      <c r="Q2465" s="1"/>
      <c r="R2465" t="str">
        <f>IF(Table1[[#This Row],[Actual close date]]="","",Table1[[#This Row],[Actual close date]]-Table1[[#This Row],[Expected close date]])</f>
        <v/>
      </c>
    </row>
    <row r="2466" spans="1:18" x14ac:dyDescent="0.25">
      <c r="A2466" t="s">
        <v>2550</v>
      </c>
      <c r="B2466" t="s">
        <v>49</v>
      </c>
      <c r="C2466" t="s">
        <v>50</v>
      </c>
      <c r="D2466" t="s">
        <v>51</v>
      </c>
      <c r="E2466" t="s">
        <v>101</v>
      </c>
      <c r="F2466" t="s">
        <v>246</v>
      </c>
      <c r="G2466" t="s">
        <v>57</v>
      </c>
      <c r="H2466" s="1">
        <v>45309</v>
      </c>
      <c r="I2466" t="s">
        <v>64</v>
      </c>
      <c r="J2466" t="s">
        <v>1991</v>
      </c>
      <c r="K2466">
        <v>2</v>
      </c>
      <c r="N2466">
        <v>11323</v>
      </c>
      <c r="O2466">
        <v>60</v>
      </c>
      <c r="P2466" s="1">
        <v>45430</v>
      </c>
      <c r="Q2466" s="1"/>
      <c r="R2466" t="str">
        <f>IF(Table1[[#This Row],[Actual close date]]="","",Table1[[#This Row],[Actual close date]]-Table1[[#This Row],[Expected close date]])</f>
        <v/>
      </c>
    </row>
    <row r="2467" spans="1:18" x14ac:dyDescent="0.25">
      <c r="A2467" t="s">
        <v>2551</v>
      </c>
      <c r="B2467" t="s">
        <v>27</v>
      </c>
      <c r="C2467" t="s">
        <v>28</v>
      </c>
      <c r="D2467" t="s">
        <v>29</v>
      </c>
      <c r="E2467" t="s">
        <v>45</v>
      </c>
      <c r="F2467" t="s">
        <v>246</v>
      </c>
      <c r="G2467" t="s">
        <v>57</v>
      </c>
      <c r="H2467" s="1">
        <v>45435</v>
      </c>
      <c r="I2467" t="s">
        <v>64</v>
      </c>
      <c r="J2467" t="s">
        <v>1991</v>
      </c>
      <c r="K2467">
        <v>2</v>
      </c>
      <c r="N2467">
        <v>6239</v>
      </c>
      <c r="O2467">
        <v>100</v>
      </c>
      <c r="P2467" s="1">
        <v>45774</v>
      </c>
      <c r="Q2467" s="1"/>
      <c r="R2467" t="str">
        <f>IF(Table1[[#This Row],[Actual close date]]="","",Table1[[#This Row],[Actual close date]]-Table1[[#This Row],[Expected close date]])</f>
        <v/>
      </c>
    </row>
    <row r="2468" spans="1:18" x14ac:dyDescent="0.25">
      <c r="A2468" t="s">
        <v>2552</v>
      </c>
      <c r="B2468" t="s">
        <v>76</v>
      </c>
      <c r="C2468" t="s">
        <v>77</v>
      </c>
      <c r="D2468" t="s">
        <v>78</v>
      </c>
      <c r="E2468" t="s">
        <v>36</v>
      </c>
      <c r="F2468" t="s">
        <v>246</v>
      </c>
      <c r="G2468" t="s">
        <v>31</v>
      </c>
      <c r="H2468" s="1">
        <v>45374</v>
      </c>
      <c r="I2468" t="s">
        <v>47</v>
      </c>
      <c r="J2468" t="s">
        <v>1991</v>
      </c>
      <c r="K2468">
        <v>2</v>
      </c>
      <c r="N2468">
        <v>4196</v>
      </c>
      <c r="O2468">
        <v>10</v>
      </c>
      <c r="P2468" s="1">
        <v>45679</v>
      </c>
      <c r="Q2468" s="1"/>
      <c r="R2468" t="str">
        <f>IF(Table1[[#This Row],[Actual close date]]="","",Table1[[#This Row],[Actual close date]]-Table1[[#This Row],[Expected close date]])</f>
        <v/>
      </c>
    </row>
    <row r="2469" spans="1:18" x14ac:dyDescent="0.25">
      <c r="A2469" t="s">
        <v>2553</v>
      </c>
      <c r="B2469" t="s">
        <v>18</v>
      </c>
      <c r="C2469" t="s">
        <v>19</v>
      </c>
      <c r="D2469" t="s">
        <v>20</v>
      </c>
      <c r="E2469" t="s">
        <v>101</v>
      </c>
      <c r="F2469" t="s">
        <v>246</v>
      </c>
      <c r="G2469" t="s">
        <v>57</v>
      </c>
      <c r="H2469" s="1">
        <v>45418</v>
      </c>
      <c r="I2469" t="s">
        <v>47</v>
      </c>
      <c r="J2469" t="s">
        <v>1991</v>
      </c>
      <c r="K2469">
        <v>2</v>
      </c>
      <c r="N2469">
        <v>4265</v>
      </c>
      <c r="O2469">
        <v>40</v>
      </c>
      <c r="P2469" s="1">
        <v>45740</v>
      </c>
      <c r="Q2469" s="1"/>
      <c r="R2469" t="str">
        <f>IF(Table1[[#This Row],[Actual close date]]="","",Table1[[#This Row],[Actual close date]]-Table1[[#This Row],[Expected close date]])</f>
        <v/>
      </c>
    </row>
    <row r="2470" spans="1:18" x14ac:dyDescent="0.25">
      <c r="A2470" t="s">
        <v>2554</v>
      </c>
      <c r="B2470" t="s">
        <v>18</v>
      </c>
      <c r="C2470" t="s">
        <v>19</v>
      </c>
      <c r="D2470" t="s">
        <v>20</v>
      </c>
      <c r="E2470" t="s">
        <v>101</v>
      </c>
      <c r="F2470" t="s">
        <v>246</v>
      </c>
      <c r="G2470" t="s">
        <v>31</v>
      </c>
      <c r="H2470" s="1">
        <v>45330</v>
      </c>
      <c r="I2470" t="s">
        <v>47</v>
      </c>
      <c r="J2470" t="s">
        <v>1991</v>
      </c>
      <c r="K2470">
        <v>2</v>
      </c>
      <c r="N2470">
        <v>19873</v>
      </c>
      <c r="O2470">
        <v>30</v>
      </c>
      <c r="P2470" s="1">
        <v>45657</v>
      </c>
      <c r="Q2470" s="1"/>
      <c r="R2470" t="str">
        <f>IF(Table1[[#This Row],[Actual close date]]="","",Table1[[#This Row],[Actual close date]]-Table1[[#This Row],[Expected close date]])</f>
        <v/>
      </c>
    </row>
    <row r="2471" spans="1:18" x14ac:dyDescent="0.25">
      <c r="A2471" t="s">
        <v>2555</v>
      </c>
      <c r="B2471" t="s">
        <v>33</v>
      </c>
      <c r="C2471" t="s">
        <v>34</v>
      </c>
      <c r="D2471" t="s">
        <v>35</v>
      </c>
      <c r="E2471" t="s">
        <v>101</v>
      </c>
      <c r="F2471" t="s">
        <v>246</v>
      </c>
      <c r="G2471" t="s">
        <v>57</v>
      </c>
      <c r="H2471" s="1">
        <v>45360</v>
      </c>
      <c r="I2471" t="s">
        <v>64</v>
      </c>
      <c r="J2471" t="s">
        <v>1991</v>
      </c>
      <c r="K2471">
        <v>2</v>
      </c>
      <c r="N2471">
        <v>13179</v>
      </c>
      <c r="O2471">
        <v>90</v>
      </c>
      <c r="P2471" s="1">
        <v>45478</v>
      </c>
      <c r="Q2471" s="1"/>
      <c r="R2471" t="str">
        <f>IF(Table1[[#This Row],[Actual close date]]="","",Table1[[#This Row],[Actual close date]]-Table1[[#This Row],[Expected close date]])</f>
        <v/>
      </c>
    </row>
    <row r="2472" spans="1:18" x14ac:dyDescent="0.25">
      <c r="A2472" t="s">
        <v>2556</v>
      </c>
      <c r="B2472" t="s">
        <v>54</v>
      </c>
      <c r="C2472" t="s">
        <v>55</v>
      </c>
      <c r="D2472" t="s">
        <v>56</v>
      </c>
      <c r="E2472" t="s">
        <v>74</v>
      </c>
      <c r="F2472" t="s">
        <v>246</v>
      </c>
      <c r="G2472" t="s">
        <v>37</v>
      </c>
      <c r="H2472" s="1">
        <v>45369</v>
      </c>
      <c r="I2472" t="s">
        <v>47</v>
      </c>
      <c r="J2472" t="s">
        <v>1991</v>
      </c>
      <c r="K2472">
        <v>2</v>
      </c>
      <c r="N2472">
        <v>19826</v>
      </c>
      <c r="O2472">
        <v>30</v>
      </c>
      <c r="P2472" s="1">
        <v>45659</v>
      </c>
      <c r="Q2472" s="1"/>
      <c r="R2472" t="str">
        <f>IF(Table1[[#This Row],[Actual close date]]="","",Table1[[#This Row],[Actual close date]]-Table1[[#This Row],[Expected close date]])</f>
        <v/>
      </c>
    </row>
    <row r="2473" spans="1:18" x14ac:dyDescent="0.25">
      <c r="A2473" t="s">
        <v>2557</v>
      </c>
      <c r="B2473" t="s">
        <v>33</v>
      </c>
      <c r="C2473" t="s">
        <v>34</v>
      </c>
      <c r="D2473" t="s">
        <v>35</v>
      </c>
      <c r="E2473" t="s">
        <v>42</v>
      </c>
      <c r="F2473" t="s">
        <v>246</v>
      </c>
      <c r="G2473" t="s">
        <v>23</v>
      </c>
      <c r="H2473" s="1">
        <v>45298</v>
      </c>
      <c r="I2473" t="s">
        <v>47</v>
      </c>
      <c r="J2473" t="s">
        <v>1991</v>
      </c>
      <c r="K2473">
        <v>2</v>
      </c>
      <c r="N2473">
        <v>13457</v>
      </c>
      <c r="O2473">
        <v>20</v>
      </c>
      <c r="P2473" s="1">
        <v>45468</v>
      </c>
      <c r="Q2473" s="1"/>
      <c r="R2473" t="str">
        <f>IF(Table1[[#This Row],[Actual close date]]="","",Table1[[#This Row],[Actual close date]]-Table1[[#This Row],[Expected close date]])</f>
        <v/>
      </c>
    </row>
    <row r="2474" spans="1:18" x14ac:dyDescent="0.25">
      <c r="A2474" t="s">
        <v>2558</v>
      </c>
      <c r="B2474" t="s">
        <v>49</v>
      </c>
      <c r="C2474" t="s">
        <v>50</v>
      </c>
      <c r="D2474" t="s">
        <v>51</v>
      </c>
      <c r="E2474" t="s">
        <v>82</v>
      </c>
      <c r="F2474" t="s">
        <v>22</v>
      </c>
      <c r="G2474" t="s">
        <v>57</v>
      </c>
      <c r="H2474" s="1">
        <v>45433</v>
      </c>
      <c r="I2474" t="s">
        <v>24</v>
      </c>
      <c r="J2474" t="s">
        <v>2559</v>
      </c>
      <c r="K2474">
        <v>4</v>
      </c>
      <c r="N2474">
        <v>388</v>
      </c>
      <c r="O2474">
        <v>20</v>
      </c>
      <c r="P2474" s="1">
        <v>45764</v>
      </c>
      <c r="Q2474" s="1"/>
      <c r="R2474" t="str">
        <f>IF(Table1[[#This Row],[Actual close date]]="","",Table1[[#This Row],[Actual close date]]-Table1[[#This Row],[Expected close date]])</f>
        <v/>
      </c>
    </row>
    <row r="2475" spans="1:18" x14ac:dyDescent="0.25">
      <c r="A2475" t="s">
        <v>2560</v>
      </c>
      <c r="B2475" t="s">
        <v>59</v>
      </c>
      <c r="C2475" t="s">
        <v>60</v>
      </c>
      <c r="D2475" t="s">
        <v>61</v>
      </c>
      <c r="E2475" t="s">
        <v>45</v>
      </c>
      <c r="F2475" t="s">
        <v>22</v>
      </c>
      <c r="G2475" t="s">
        <v>46</v>
      </c>
      <c r="H2475" s="1">
        <v>45363</v>
      </c>
      <c r="I2475" t="s">
        <v>24</v>
      </c>
      <c r="J2475" t="s">
        <v>2559</v>
      </c>
      <c r="K2475">
        <v>4</v>
      </c>
      <c r="N2475">
        <v>826</v>
      </c>
      <c r="O2475">
        <v>50</v>
      </c>
      <c r="P2475" s="1">
        <v>45547</v>
      </c>
      <c r="Q2475" s="1"/>
      <c r="R2475" t="str">
        <f>IF(Table1[[#This Row],[Actual close date]]="","",Table1[[#This Row],[Actual close date]]-Table1[[#This Row],[Expected close date]])</f>
        <v/>
      </c>
    </row>
    <row r="2476" spans="1:18" x14ac:dyDescent="0.25">
      <c r="A2476" t="s">
        <v>2561</v>
      </c>
      <c r="B2476" t="s">
        <v>39</v>
      </c>
      <c r="C2476" t="s">
        <v>40</v>
      </c>
      <c r="D2476" t="s">
        <v>41</v>
      </c>
      <c r="E2476" t="s">
        <v>21</v>
      </c>
      <c r="F2476" t="s">
        <v>22</v>
      </c>
      <c r="G2476" t="s">
        <v>37</v>
      </c>
      <c r="H2476" s="1">
        <v>45427</v>
      </c>
      <c r="I2476" t="s">
        <v>24</v>
      </c>
      <c r="J2476" t="s">
        <v>2559</v>
      </c>
      <c r="K2476">
        <v>4</v>
      </c>
      <c r="N2476">
        <v>465</v>
      </c>
      <c r="O2476">
        <v>100</v>
      </c>
      <c r="P2476" s="1">
        <v>45603</v>
      </c>
      <c r="Q2476" s="1"/>
      <c r="R2476" t="str">
        <f>IF(Table1[[#This Row],[Actual close date]]="","",Table1[[#This Row],[Actual close date]]-Table1[[#This Row],[Expected close date]])</f>
        <v/>
      </c>
    </row>
    <row r="2477" spans="1:18" x14ac:dyDescent="0.25">
      <c r="A2477" t="s">
        <v>2562</v>
      </c>
      <c r="B2477" t="s">
        <v>54</v>
      </c>
      <c r="C2477" t="s">
        <v>55</v>
      </c>
      <c r="D2477" t="s">
        <v>56</v>
      </c>
      <c r="E2477" t="s">
        <v>45</v>
      </c>
      <c r="F2477" t="s">
        <v>22</v>
      </c>
      <c r="G2477" t="s">
        <v>85</v>
      </c>
      <c r="H2477" s="1">
        <v>45341</v>
      </c>
      <c r="I2477" t="s">
        <v>24</v>
      </c>
      <c r="J2477" t="s">
        <v>2559</v>
      </c>
      <c r="K2477">
        <v>4</v>
      </c>
      <c r="N2477">
        <v>1869</v>
      </c>
      <c r="O2477">
        <v>30</v>
      </c>
      <c r="P2477" s="1">
        <v>45617</v>
      </c>
      <c r="Q2477" s="1"/>
      <c r="R2477" t="str">
        <f>IF(Table1[[#This Row],[Actual close date]]="","",Table1[[#This Row],[Actual close date]]-Table1[[#This Row],[Expected close date]])</f>
        <v/>
      </c>
    </row>
    <row r="2478" spans="1:18" x14ac:dyDescent="0.25">
      <c r="A2478" t="s">
        <v>2563</v>
      </c>
      <c r="B2478" t="s">
        <v>69</v>
      </c>
      <c r="C2478" t="s">
        <v>70</v>
      </c>
      <c r="D2478" t="s">
        <v>71</v>
      </c>
      <c r="E2478" t="s">
        <v>66</v>
      </c>
      <c r="F2478" t="s">
        <v>22</v>
      </c>
      <c r="G2478" t="s">
        <v>46</v>
      </c>
      <c r="H2478" s="1">
        <v>45299</v>
      </c>
      <c r="I2478" t="s">
        <v>64</v>
      </c>
      <c r="J2478" t="s">
        <v>2559</v>
      </c>
      <c r="K2478">
        <v>4</v>
      </c>
      <c r="N2478">
        <v>1673</v>
      </c>
      <c r="O2478">
        <v>40</v>
      </c>
      <c r="P2478" s="1">
        <v>45463</v>
      </c>
      <c r="Q2478" s="1"/>
      <c r="R2478" t="str">
        <f>IF(Table1[[#This Row],[Actual close date]]="","",Table1[[#This Row],[Actual close date]]-Table1[[#This Row],[Expected close date]])</f>
        <v/>
      </c>
    </row>
    <row r="2479" spans="1:18" x14ac:dyDescent="0.25">
      <c r="A2479" t="s">
        <v>2564</v>
      </c>
      <c r="B2479" t="s">
        <v>33</v>
      </c>
      <c r="C2479" t="s">
        <v>34</v>
      </c>
      <c r="D2479" t="s">
        <v>35</v>
      </c>
      <c r="E2479" t="s">
        <v>42</v>
      </c>
      <c r="F2479" t="s">
        <v>22</v>
      </c>
      <c r="G2479" t="s">
        <v>37</v>
      </c>
      <c r="H2479" s="1">
        <v>45321</v>
      </c>
      <c r="I2479" t="s">
        <v>64</v>
      </c>
      <c r="J2479" t="s">
        <v>2559</v>
      </c>
      <c r="K2479">
        <v>4</v>
      </c>
      <c r="N2479">
        <v>1064</v>
      </c>
      <c r="O2479">
        <v>90</v>
      </c>
      <c r="P2479" s="1">
        <v>45342</v>
      </c>
      <c r="Q2479" s="1"/>
      <c r="R2479" t="str">
        <f>IF(Table1[[#This Row],[Actual close date]]="","",Table1[[#This Row],[Actual close date]]-Table1[[#This Row],[Expected close date]])</f>
        <v/>
      </c>
    </row>
    <row r="2480" spans="1:18" x14ac:dyDescent="0.25">
      <c r="A2480" t="s">
        <v>2565</v>
      </c>
      <c r="B2480" t="s">
        <v>54</v>
      </c>
      <c r="C2480" t="s">
        <v>55</v>
      </c>
      <c r="D2480" t="s">
        <v>56</v>
      </c>
      <c r="E2480" t="s">
        <v>30</v>
      </c>
      <c r="F2480" t="s">
        <v>22</v>
      </c>
      <c r="G2480" t="s">
        <v>46</v>
      </c>
      <c r="H2480" s="1">
        <v>45414</v>
      </c>
      <c r="I2480" t="s">
        <v>24</v>
      </c>
      <c r="J2480" t="s">
        <v>2559</v>
      </c>
      <c r="K2480">
        <v>4</v>
      </c>
      <c r="N2480">
        <v>697</v>
      </c>
      <c r="O2480">
        <v>30</v>
      </c>
      <c r="P2480" s="1">
        <v>45580</v>
      </c>
      <c r="Q2480" s="1"/>
      <c r="R2480" t="str">
        <f>IF(Table1[[#This Row],[Actual close date]]="","",Table1[[#This Row],[Actual close date]]-Table1[[#This Row],[Expected close date]])</f>
        <v/>
      </c>
    </row>
    <row r="2481" spans="1:18" x14ac:dyDescent="0.25">
      <c r="A2481" t="s">
        <v>2566</v>
      </c>
      <c r="B2481" t="s">
        <v>27</v>
      </c>
      <c r="C2481" t="s">
        <v>28</v>
      </c>
      <c r="D2481" t="s">
        <v>29</v>
      </c>
      <c r="E2481" t="s">
        <v>21</v>
      </c>
      <c r="F2481" t="s">
        <v>22</v>
      </c>
      <c r="G2481" t="s">
        <v>57</v>
      </c>
      <c r="H2481" s="1">
        <v>45300</v>
      </c>
      <c r="I2481" t="s">
        <v>24</v>
      </c>
      <c r="J2481" t="s">
        <v>2559</v>
      </c>
      <c r="K2481">
        <v>4</v>
      </c>
      <c r="N2481">
        <v>1099</v>
      </c>
      <c r="O2481">
        <v>50</v>
      </c>
      <c r="P2481" s="1">
        <v>45321</v>
      </c>
      <c r="Q2481" s="1"/>
      <c r="R2481" t="str">
        <f>IF(Table1[[#This Row],[Actual close date]]="","",Table1[[#This Row],[Actual close date]]-Table1[[#This Row],[Expected close date]])</f>
        <v/>
      </c>
    </row>
    <row r="2482" spans="1:18" x14ac:dyDescent="0.25">
      <c r="A2482" t="s">
        <v>2567</v>
      </c>
      <c r="B2482" t="s">
        <v>54</v>
      </c>
      <c r="C2482" t="s">
        <v>55</v>
      </c>
      <c r="D2482" t="s">
        <v>56</v>
      </c>
      <c r="E2482" t="s">
        <v>101</v>
      </c>
      <c r="F2482" t="s">
        <v>22</v>
      </c>
      <c r="G2482" t="s">
        <v>85</v>
      </c>
      <c r="H2482" s="1">
        <v>45334</v>
      </c>
      <c r="I2482" t="s">
        <v>47</v>
      </c>
      <c r="J2482" t="s">
        <v>2559</v>
      </c>
      <c r="K2482">
        <v>4</v>
      </c>
      <c r="N2482">
        <v>1422</v>
      </c>
      <c r="O2482">
        <v>30</v>
      </c>
      <c r="P2482" s="1">
        <v>45673</v>
      </c>
      <c r="Q2482" s="1"/>
      <c r="R2482" t="str">
        <f>IF(Table1[[#This Row],[Actual close date]]="","",Table1[[#This Row],[Actual close date]]-Table1[[#This Row],[Expected close date]])</f>
        <v/>
      </c>
    </row>
    <row r="2483" spans="1:18" x14ac:dyDescent="0.25">
      <c r="A2483" t="s">
        <v>2568</v>
      </c>
      <c r="B2483" t="s">
        <v>27</v>
      </c>
      <c r="C2483" t="s">
        <v>28</v>
      </c>
      <c r="D2483" t="s">
        <v>29</v>
      </c>
      <c r="E2483" t="s">
        <v>36</v>
      </c>
      <c r="F2483" t="s">
        <v>22</v>
      </c>
      <c r="G2483" t="s">
        <v>23</v>
      </c>
      <c r="H2483" s="1">
        <v>45421</v>
      </c>
      <c r="I2483" t="s">
        <v>47</v>
      </c>
      <c r="J2483" t="s">
        <v>2559</v>
      </c>
      <c r="K2483">
        <v>4</v>
      </c>
      <c r="N2483">
        <v>840</v>
      </c>
      <c r="O2483">
        <v>50</v>
      </c>
      <c r="P2483" s="1">
        <v>45520</v>
      </c>
      <c r="Q2483" s="1"/>
      <c r="R2483" t="str">
        <f>IF(Table1[[#This Row],[Actual close date]]="","",Table1[[#This Row],[Actual close date]]-Table1[[#This Row],[Expected close date]])</f>
        <v/>
      </c>
    </row>
    <row r="2484" spans="1:18" x14ac:dyDescent="0.25">
      <c r="A2484" t="s">
        <v>2569</v>
      </c>
      <c r="B2484" t="s">
        <v>33</v>
      </c>
      <c r="C2484" t="s">
        <v>34</v>
      </c>
      <c r="D2484" t="s">
        <v>35</v>
      </c>
      <c r="E2484" t="s">
        <v>36</v>
      </c>
      <c r="F2484" t="s">
        <v>22</v>
      </c>
      <c r="G2484" t="s">
        <v>46</v>
      </c>
      <c r="H2484" s="1">
        <v>45372</v>
      </c>
      <c r="I2484" t="s">
        <v>64</v>
      </c>
      <c r="J2484" t="s">
        <v>2559</v>
      </c>
      <c r="K2484">
        <v>4</v>
      </c>
      <c r="N2484">
        <v>1058</v>
      </c>
      <c r="O2484">
        <v>40</v>
      </c>
      <c r="P2484" s="1">
        <v>45470</v>
      </c>
      <c r="Q2484" s="1"/>
      <c r="R2484" t="str">
        <f>IF(Table1[[#This Row],[Actual close date]]="","",Table1[[#This Row],[Actual close date]]-Table1[[#This Row],[Expected close date]])</f>
        <v/>
      </c>
    </row>
    <row r="2485" spans="1:18" x14ac:dyDescent="0.25">
      <c r="A2485" t="s">
        <v>2570</v>
      </c>
      <c r="B2485" t="s">
        <v>49</v>
      </c>
      <c r="C2485" t="s">
        <v>50</v>
      </c>
      <c r="D2485" t="s">
        <v>51</v>
      </c>
      <c r="E2485" t="s">
        <v>66</v>
      </c>
      <c r="F2485" t="s">
        <v>22</v>
      </c>
      <c r="G2485" t="s">
        <v>72</v>
      </c>
      <c r="H2485" s="1">
        <v>45297</v>
      </c>
      <c r="I2485" t="s">
        <v>64</v>
      </c>
      <c r="J2485" t="s">
        <v>2559</v>
      </c>
      <c r="K2485">
        <v>4</v>
      </c>
      <c r="N2485">
        <v>1598</v>
      </c>
      <c r="O2485">
        <v>30</v>
      </c>
      <c r="P2485" s="1">
        <v>45368</v>
      </c>
      <c r="Q2485" s="1"/>
      <c r="R2485" t="str">
        <f>IF(Table1[[#This Row],[Actual close date]]="","",Table1[[#This Row],[Actual close date]]-Table1[[#This Row],[Expected close date]])</f>
        <v/>
      </c>
    </row>
    <row r="2486" spans="1:18" x14ac:dyDescent="0.25">
      <c r="A2486" t="s">
        <v>2571</v>
      </c>
      <c r="B2486" t="s">
        <v>76</v>
      </c>
      <c r="C2486" t="s">
        <v>77</v>
      </c>
      <c r="D2486" t="s">
        <v>78</v>
      </c>
      <c r="E2486" t="s">
        <v>42</v>
      </c>
      <c r="F2486" t="s">
        <v>22</v>
      </c>
      <c r="G2486" t="s">
        <v>57</v>
      </c>
      <c r="H2486" s="1">
        <v>45338</v>
      </c>
      <c r="I2486" t="s">
        <v>24</v>
      </c>
      <c r="J2486" t="s">
        <v>2559</v>
      </c>
      <c r="K2486">
        <v>4</v>
      </c>
      <c r="N2486">
        <v>669</v>
      </c>
      <c r="O2486">
        <v>20</v>
      </c>
      <c r="P2486" s="1">
        <v>45491</v>
      </c>
      <c r="Q2486" s="1"/>
      <c r="R2486" t="str">
        <f>IF(Table1[[#This Row],[Actual close date]]="","",Table1[[#This Row],[Actual close date]]-Table1[[#This Row],[Expected close date]])</f>
        <v/>
      </c>
    </row>
    <row r="2487" spans="1:18" x14ac:dyDescent="0.25">
      <c r="A2487" t="s">
        <v>2572</v>
      </c>
      <c r="B2487" t="s">
        <v>39</v>
      </c>
      <c r="C2487" t="s">
        <v>40</v>
      </c>
      <c r="D2487" t="s">
        <v>41</v>
      </c>
      <c r="E2487" t="s">
        <v>122</v>
      </c>
      <c r="F2487" t="s">
        <v>22</v>
      </c>
      <c r="G2487" t="s">
        <v>72</v>
      </c>
      <c r="H2487" s="1">
        <v>45337</v>
      </c>
      <c r="I2487" t="s">
        <v>64</v>
      </c>
      <c r="J2487" t="s">
        <v>2559</v>
      </c>
      <c r="K2487">
        <v>4</v>
      </c>
      <c r="N2487">
        <v>1790</v>
      </c>
      <c r="O2487">
        <v>20</v>
      </c>
      <c r="P2487" s="1">
        <v>45372</v>
      </c>
      <c r="Q2487" s="1"/>
      <c r="R2487" t="str">
        <f>IF(Table1[[#This Row],[Actual close date]]="","",Table1[[#This Row],[Actual close date]]-Table1[[#This Row],[Expected close date]])</f>
        <v/>
      </c>
    </row>
    <row r="2488" spans="1:18" x14ac:dyDescent="0.25">
      <c r="A2488" t="s">
        <v>2573</v>
      </c>
      <c r="B2488" t="s">
        <v>76</v>
      </c>
      <c r="C2488" t="s">
        <v>77</v>
      </c>
      <c r="D2488" t="s">
        <v>78</v>
      </c>
      <c r="E2488" t="s">
        <v>98</v>
      </c>
      <c r="F2488" t="s">
        <v>22</v>
      </c>
      <c r="G2488" t="s">
        <v>37</v>
      </c>
      <c r="H2488" s="1">
        <v>45344</v>
      </c>
      <c r="I2488" t="s">
        <v>24</v>
      </c>
      <c r="J2488" t="s">
        <v>2559</v>
      </c>
      <c r="K2488">
        <v>4</v>
      </c>
      <c r="N2488">
        <v>1472</v>
      </c>
      <c r="O2488">
        <v>30</v>
      </c>
      <c r="P2488" s="1">
        <v>45585</v>
      </c>
      <c r="Q2488" s="1"/>
      <c r="R2488" t="str">
        <f>IF(Table1[[#This Row],[Actual close date]]="","",Table1[[#This Row],[Actual close date]]-Table1[[#This Row],[Expected close date]])</f>
        <v/>
      </c>
    </row>
    <row r="2489" spans="1:18" x14ac:dyDescent="0.25">
      <c r="A2489" t="s">
        <v>2574</v>
      </c>
      <c r="B2489" t="s">
        <v>54</v>
      </c>
      <c r="C2489" t="s">
        <v>55</v>
      </c>
      <c r="D2489" t="s">
        <v>56</v>
      </c>
      <c r="E2489" t="s">
        <v>21</v>
      </c>
      <c r="F2489" t="s">
        <v>22</v>
      </c>
      <c r="G2489" t="s">
        <v>57</v>
      </c>
      <c r="H2489" s="1">
        <v>45303</v>
      </c>
      <c r="I2489" t="s">
        <v>24</v>
      </c>
      <c r="J2489" t="s">
        <v>2559</v>
      </c>
      <c r="K2489">
        <v>4</v>
      </c>
      <c r="N2489">
        <v>931</v>
      </c>
      <c r="O2489">
        <v>50</v>
      </c>
      <c r="P2489" s="1">
        <v>45514</v>
      </c>
      <c r="Q2489" s="1"/>
      <c r="R2489" t="str">
        <f>IF(Table1[[#This Row],[Actual close date]]="","",Table1[[#This Row],[Actual close date]]-Table1[[#This Row],[Expected close date]])</f>
        <v/>
      </c>
    </row>
    <row r="2490" spans="1:18" x14ac:dyDescent="0.25">
      <c r="A2490" t="s">
        <v>2575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t="s">
        <v>57</v>
      </c>
      <c r="H2490" s="1">
        <v>45401</v>
      </c>
      <c r="I2490" t="s">
        <v>64</v>
      </c>
      <c r="J2490" t="s">
        <v>2559</v>
      </c>
      <c r="K2490">
        <v>4</v>
      </c>
      <c r="N2490">
        <v>1715</v>
      </c>
      <c r="O2490">
        <v>80</v>
      </c>
      <c r="P2490" s="1">
        <v>45440</v>
      </c>
      <c r="Q2490" s="1"/>
      <c r="R2490" t="str">
        <f>IF(Table1[[#This Row],[Actual close date]]="","",Table1[[#This Row],[Actual close date]]-Table1[[#This Row],[Expected close date]])</f>
        <v/>
      </c>
    </row>
    <row r="2491" spans="1:18" x14ac:dyDescent="0.25">
      <c r="A2491" t="s">
        <v>2576</v>
      </c>
      <c r="B2491" t="s">
        <v>69</v>
      </c>
      <c r="C2491" t="s">
        <v>70</v>
      </c>
      <c r="D2491" t="s">
        <v>71</v>
      </c>
      <c r="E2491" t="s">
        <v>74</v>
      </c>
      <c r="F2491" t="s">
        <v>22</v>
      </c>
      <c r="G2491" t="s">
        <v>37</v>
      </c>
      <c r="H2491" s="1">
        <v>45394</v>
      </c>
      <c r="I2491" t="s">
        <v>47</v>
      </c>
      <c r="J2491" t="s">
        <v>2559</v>
      </c>
      <c r="K2491">
        <v>4</v>
      </c>
      <c r="N2491">
        <v>593</v>
      </c>
      <c r="O2491">
        <v>40</v>
      </c>
      <c r="P2491" s="1">
        <v>45462</v>
      </c>
      <c r="Q2491" s="1"/>
      <c r="R2491" t="str">
        <f>IF(Table1[[#This Row],[Actual close date]]="","",Table1[[#This Row],[Actual close date]]-Table1[[#This Row],[Expected close date]])</f>
        <v/>
      </c>
    </row>
    <row r="2492" spans="1:18" x14ac:dyDescent="0.25">
      <c r="A2492" t="s">
        <v>2577</v>
      </c>
      <c r="B2492" t="s">
        <v>54</v>
      </c>
      <c r="C2492" t="s">
        <v>55</v>
      </c>
      <c r="D2492" t="s">
        <v>56</v>
      </c>
      <c r="E2492" t="s">
        <v>74</v>
      </c>
      <c r="F2492" t="s">
        <v>22</v>
      </c>
      <c r="G2492" t="s">
        <v>57</v>
      </c>
      <c r="H2492" s="1">
        <v>45314</v>
      </c>
      <c r="I2492" t="s">
        <v>64</v>
      </c>
      <c r="J2492" t="s">
        <v>2559</v>
      </c>
      <c r="K2492">
        <v>4</v>
      </c>
      <c r="N2492">
        <v>1956</v>
      </c>
      <c r="O2492">
        <v>40</v>
      </c>
      <c r="P2492" s="1">
        <v>45648</v>
      </c>
      <c r="Q2492" s="1"/>
      <c r="R2492" t="str">
        <f>IF(Table1[[#This Row],[Actual close date]]="","",Table1[[#This Row],[Actual close date]]-Table1[[#This Row],[Expected close date]])</f>
        <v/>
      </c>
    </row>
    <row r="2493" spans="1:18" x14ac:dyDescent="0.25">
      <c r="A2493" t="s">
        <v>2578</v>
      </c>
      <c r="B2493" t="s">
        <v>33</v>
      </c>
      <c r="C2493" t="s">
        <v>34</v>
      </c>
      <c r="D2493" t="s">
        <v>35</v>
      </c>
      <c r="E2493" t="s">
        <v>82</v>
      </c>
      <c r="F2493" t="s">
        <v>22</v>
      </c>
      <c r="G2493" t="s">
        <v>46</v>
      </c>
      <c r="H2493" s="1">
        <v>45438</v>
      </c>
      <c r="I2493" t="s">
        <v>47</v>
      </c>
      <c r="J2493" t="s">
        <v>2559</v>
      </c>
      <c r="K2493">
        <v>4</v>
      </c>
      <c r="N2493">
        <v>896</v>
      </c>
      <c r="O2493">
        <v>100</v>
      </c>
      <c r="P2493" s="1">
        <v>45731</v>
      </c>
      <c r="Q2493" s="1"/>
      <c r="R2493" t="str">
        <f>IF(Table1[[#This Row],[Actual close date]]="","",Table1[[#This Row],[Actual close date]]-Table1[[#This Row],[Expected close date]])</f>
        <v/>
      </c>
    </row>
    <row r="2494" spans="1:18" x14ac:dyDescent="0.25">
      <c r="A2494" t="s">
        <v>2579</v>
      </c>
      <c r="B2494" t="s">
        <v>59</v>
      </c>
      <c r="C2494" t="s">
        <v>60</v>
      </c>
      <c r="D2494" t="s">
        <v>61</v>
      </c>
      <c r="E2494" t="s">
        <v>52</v>
      </c>
      <c r="F2494" t="s">
        <v>22</v>
      </c>
      <c r="G2494" t="s">
        <v>31</v>
      </c>
      <c r="H2494" s="1">
        <v>45373</v>
      </c>
      <c r="I2494" t="s">
        <v>47</v>
      </c>
      <c r="J2494" t="s">
        <v>2559</v>
      </c>
      <c r="K2494">
        <v>4</v>
      </c>
      <c r="N2494">
        <v>1108</v>
      </c>
      <c r="O2494">
        <v>20</v>
      </c>
      <c r="P2494" s="1">
        <v>45665</v>
      </c>
      <c r="Q2494" s="1"/>
      <c r="R2494" t="str">
        <f>IF(Table1[[#This Row],[Actual close date]]="","",Table1[[#This Row],[Actual close date]]-Table1[[#This Row],[Expected close date]])</f>
        <v/>
      </c>
    </row>
    <row r="2495" spans="1:18" x14ac:dyDescent="0.25">
      <c r="A2495" t="s">
        <v>2580</v>
      </c>
      <c r="B2495" t="s">
        <v>49</v>
      </c>
      <c r="C2495" t="s">
        <v>50</v>
      </c>
      <c r="D2495" t="s">
        <v>51</v>
      </c>
      <c r="E2495" t="s">
        <v>45</v>
      </c>
      <c r="F2495" t="s">
        <v>22</v>
      </c>
      <c r="G2495" t="s">
        <v>46</v>
      </c>
      <c r="H2495" s="1">
        <v>45393</v>
      </c>
      <c r="I2495" t="s">
        <v>24</v>
      </c>
      <c r="J2495" t="s">
        <v>2559</v>
      </c>
      <c r="K2495">
        <v>4</v>
      </c>
      <c r="N2495">
        <v>304</v>
      </c>
      <c r="O2495">
        <v>30</v>
      </c>
      <c r="P2495" s="1">
        <v>45445</v>
      </c>
      <c r="Q2495" s="1"/>
      <c r="R2495" t="str">
        <f>IF(Table1[[#This Row],[Actual close date]]="","",Table1[[#This Row],[Actual close date]]-Table1[[#This Row],[Expected close date]])</f>
        <v/>
      </c>
    </row>
    <row r="2496" spans="1:18" x14ac:dyDescent="0.25">
      <c r="A2496" t="s">
        <v>2581</v>
      </c>
      <c r="B2496" t="s">
        <v>54</v>
      </c>
      <c r="C2496" t="s">
        <v>55</v>
      </c>
      <c r="D2496" t="s">
        <v>56</v>
      </c>
      <c r="E2496" t="s">
        <v>36</v>
      </c>
      <c r="F2496" t="s">
        <v>22</v>
      </c>
      <c r="G2496" t="s">
        <v>23</v>
      </c>
      <c r="H2496" s="1">
        <v>45399</v>
      </c>
      <c r="I2496" t="s">
        <v>47</v>
      </c>
      <c r="J2496" t="s">
        <v>2559</v>
      </c>
      <c r="K2496">
        <v>4</v>
      </c>
      <c r="N2496">
        <v>971</v>
      </c>
      <c r="O2496">
        <v>40</v>
      </c>
      <c r="P2496" s="1">
        <v>45625</v>
      </c>
      <c r="Q2496" s="1"/>
      <c r="R2496" t="str">
        <f>IF(Table1[[#This Row],[Actual close date]]="","",Table1[[#This Row],[Actual close date]]-Table1[[#This Row],[Expected close date]])</f>
        <v/>
      </c>
    </row>
    <row r="2497" spans="1:18" x14ac:dyDescent="0.25">
      <c r="A2497" t="s">
        <v>2582</v>
      </c>
      <c r="B2497" t="s">
        <v>76</v>
      </c>
      <c r="C2497" t="s">
        <v>77</v>
      </c>
      <c r="D2497" t="s">
        <v>78</v>
      </c>
      <c r="E2497" t="s">
        <v>62</v>
      </c>
      <c r="F2497" t="s">
        <v>22</v>
      </c>
      <c r="G2497" t="s">
        <v>46</v>
      </c>
      <c r="H2497" s="1">
        <v>45315</v>
      </c>
      <c r="I2497" t="s">
        <v>24</v>
      </c>
      <c r="J2497" t="s">
        <v>2559</v>
      </c>
      <c r="K2497">
        <v>4</v>
      </c>
      <c r="N2497">
        <v>1554</v>
      </c>
      <c r="O2497">
        <v>40</v>
      </c>
      <c r="P2497" s="1">
        <v>45371</v>
      </c>
      <c r="Q2497" s="1"/>
      <c r="R2497" t="str">
        <f>IF(Table1[[#This Row],[Actual close date]]="","",Table1[[#This Row],[Actual close date]]-Table1[[#This Row],[Expected close date]])</f>
        <v/>
      </c>
    </row>
    <row r="2498" spans="1:18" x14ac:dyDescent="0.25">
      <c r="A2498" t="s">
        <v>2583</v>
      </c>
      <c r="B2498" t="s">
        <v>76</v>
      </c>
      <c r="C2498" t="s">
        <v>77</v>
      </c>
      <c r="D2498" t="s">
        <v>78</v>
      </c>
      <c r="E2498" t="s">
        <v>21</v>
      </c>
      <c r="F2498" t="s">
        <v>22</v>
      </c>
      <c r="G2498" t="s">
        <v>85</v>
      </c>
      <c r="H2498" s="1">
        <v>45309</v>
      </c>
      <c r="I2498" t="s">
        <v>64</v>
      </c>
      <c r="J2498" t="s">
        <v>2559</v>
      </c>
      <c r="K2498">
        <v>4</v>
      </c>
      <c r="N2498">
        <v>1938</v>
      </c>
      <c r="O2498">
        <v>30</v>
      </c>
      <c r="P2498" s="1">
        <v>45376</v>
      </c>
      <c r="Q2498" s="1"/>
      <c r="R2498" t="str">
        <f>IF(Table1[[#This Row],[Actual close date]]="","",Table1[[#This Row],[Actual close date]]-Table1[[#This Row],[Expected close date]])</f>
        <v/>
      </c>
    </row>
    <row r="2499" spans="1:18" x14ac:dyDescent="0.25">
      <c r="A2499" t="s">
        <v>2584</v>
      </c>
      <c r="B2499" t="s">
        <v>59</v>
      </c>
      <c r="C2499" t="s">
        <v>60</v>
      </c>
      <c r="D2499" t="s">
        <v>61</v>
      </c>
      <c r="E2499" t="s">
        <v>98</v>
      </c>
      <c r="F2499" t="s">
        <v>22</v>
      </c>
      <c r="G2499" t="s">
        <v>31</v>
      </c>
      <c r="H2499" s="1">
        <v>45314</v>
      </c>
      <c r="I2499" t="s">
        <v>64</v>
      </c>
      <c r="J2499" t="s">
        <v>2559</v>
      </c>
      <c r="K2499">
        <v>4</v>
      </c>
      <c r="N2499">
        <v>1746</v>
      </c>
      <c r="O2499">
        <v>40</v>
      </c>
      <c r="P2499" s="1">
        <v>45559</v>
      </c>
      <c r="Q2499" s="1"/>
      <c r="R2499" t="str">
        <f>IF(Table1[[#This Row],[Actual close date]]="","",Table1[[#This Row],[Actual close date]]-Table1[[#This Row],[Expected close date]])</f>
        <v/>
      </c>
    </row>
    <row r="2500" spans="1:18" x14ac:dyDescent="0.25">
      <c r="A2500" t="s">
        <v>2585</v>
      </c>
      <c r="B2500" t="s">
        <v>49</v>
      </c>
      <c r="C2500" t="s">
        <v>50</v>
      </c>
      <c r="D2500" t="s">
        <v>51</v>
      </c>
      <c r="E2500" t="s">
        <v>36</v>
      </c>
      <c r="F2500" t="s">
        <v>22</v>
      </c>
      <c r="G2500" t="s">
        <v>83</v>
      </c>
      <c r="H2500" s="1">
        <v>45404</v>
      </c>
      <c r="I2500" t="s">
        <v>64</v>
      </c>
      <c r="J2500" t="s">
        <v>2559</v>
      </c>
      <c r="K2500">
        <v>4</v>
      </c>
      <c r="N2500">
        <v>1417</v>
      </c>
      <c r="O2500">
        <v>60</v>
      </c>
      <c r="P2500" s="1">
        <v>45616</v>
      </c>
      <c r="Q2500" s="1"/>
      <c r="R2500" t="str">
        <f>IF(Table1[[#This Row],[Actual close date]]="","",Table1[[#This Row],[Actual close date]]-Table1[[#This Row],[Expected close date]])</f>
        <v/>
      </c>
    </row>
    <row r="2501" spans="1:18" x14ac:dyDescent="0.25">
      <c r="A2501" t="s">
        <v>2586</v>
      </c>
      <c r="B2501" t="s">
        <v>33</v>
      </c>
      <c r="C2501" t="s">
        <v>34</v>
      </c>
      <c r="D2501" t="s">
        <v>35</v>
      </c>
      <c r="E2501" t="s">
        <v>62</v>
      </c>
      <c r="F2501" t="s">
        <v>22</v>
      </c>
      <c r="G2501" t="s">
        <v>37</v>
      </c>
      <c r="H2501" s="1">
        <v>45310</v>
      </c>
      <c r="I2501" t="s">
        <v>24</v>
      </c>
      <c r="J2501" t="s">
        <v>2559</v>
      </c>
      <c r="K2501">
        <v>4</v>
      </c>
      <c r="N2501">
        <v>869</v>
      </c>
      <c r="O2501">
        <v>70</v>
      </c>
      <c r="P2501" s="1">
        <v>45537</v>
      </c>
      <c r="Q2501" s="1"/>
      <c r="R2501" t="str">
        <f>IF(Table1[[#This Row],[Actual close date]]="","",Table1[[#This Row],[Actual close date]]-Table1[[#This Row],[Expected close date]])</f>
        <v/>
      </c>
    </row>
    <row r="2502" spans="1:18" x14ac:dyDescent="0.25">
      <c r="A2502" t="s">
        <v>2587</v>
      </c>
      <c r="B2502" t="s">
        <v>49</v>
      </c>
      <c r="C2502" t="s">
        <v>50</v>
      </c>
      <c r="D2502" t="s">
        <v>51</v>
      </c>
      <c r="E2502" t="s">
        <v>52</v>
      </c>
      <c r="F2502" t="s">
        <v>22</v>
      </c>
      <c r="G2502" t="s">
        <v>83</v>
      </c>
      <c r="H2502" s="1">
        <v>45356</v>
      </c>
      <c r="I2502" t="s">
        <v>24</v>
      </c>
      <c r="J2502" t="s">
        <v>2559</v>
      </c>
      <c r="K2502">
        <v>4</v>
      </c>
      <c r="N2502">
        <v>1077</v>
      </c>
      <c r="O2502">
        <v>40</v>
      </c>
      <c r="P2502" s="1">
        <v>45451</v>
      </c>
      <c r="Q2502" s="1"/>
      <c r="R2502" t="str">
        <f>IF(Table1[[#This Row],[Actual close date]]="","",Table1[[#This Row],[Actual close date]]-Table1[[#This Row],[Expected close date]])</f>
        <v/>
      </c>
    </row>
    <row r="2503" spans="1:18" x14ac:dyDescent="0.25">
      <c r="A2503" t="s">
        <v>2588</v>
      </c>
      <c r="B2503" t="s">
        <v>69</v>
      </c>
      <c r="C2503" t="s">
        <v>70</v>
      </c>
      <c r="D2503" t="s">
        <v>71</v>
      </c>
      <c r="E2503" t="s">
        <v>21</v>
      </c>
      <c r="F2503" t="s">
        <v>22</v>
      </c>
      <c r="G2503" t="s">
        <v>83</v>
      </c>
      <c r="H2503" s="1">
        <v>45335</v>
      </c>
      <c r="I2503" t="s">
        <v>24</v>
      </c>
      <c r="J2503" t="s">
        <v>2559</v>
      </c>
      <c r="K2503">
        <v>4</v>
      </c>
      <c r="N2503">
        <v>1382</v>
      </c>
      <c r="O2503">
        <v>100</v>
      </c>
      <c r="P2503" s="1">
        <v>45406</v>
      </c>
      <c r="Q2503" s="1"/>
      <c r="R2503" t="str">
        <f>IF(Table1[[#This Row],[Actual close date]]="","",Table1[[#This Row],[Actual close date]]-Table1[[#This Row],[Expected close date]])</f>
        <v/>
      </c>
    </row>
    <row r="2504" spans="1:18" x14ac:dyDescent="0.25">
      <c r="A2504" t="s">
        <v>2589</v>
      </c>
      <c r="B2504" t="s">
        <v>39</v>
      </c>
      <c r="C2504" t="s">
        <v>40</v>
      </c>
      <c r="D2504" t="s">
        <v>41</v>
      </c>
      <c r="E2504" t="s">
        <v>45</v>
      </c>
      <c r="F2504" t="s">
        <v>22</v>
      </c>
      <c r="G2504" t="s">
        <v>85</v>
      </c>
      <c r="H2504" s="1">
        <v>45426</v>
      </c>
      <c r="I2504" t="s">
        <v>64</v>
      </c>
      <c r="J2504" t="s">
        <v>2559</v>
      </c>
      <c r="K2504">
        <v>4</v>
      </c>
      <c r="N2504">
        <v>356</v>
      </c>
      <c r="O2504">
        <v>10</v>
      </c>
      <c r="P2504" s="1">
        <v>45563</v>
      </c>
      <c r="Q2504" s="1"/>
      <c r="R2504" t="str">
        <f>IF(Table1[[#This Row],[Actual close date]]="","",Table1[[#This Row],[Actual close date]]-Table1[[#This Row],[Expected close date]])</f>
        <v/>
      </c>
    </row>
    <row r="2505" spans="1:18" x14ac:dyDescent="0.25">
      <c r="A2505" t="s">
        <v>2590</v>
      </c>
      <c r="B2505" t="s">
        <v>27</v>
      </c>
      <c r="C2505" t="s">
        <v>28</v>
      </c>
      <c r="D2505" t="s">
        <v>29</v>
      </c>
      <c r="E2505" t="s">
        <v>42</v>
      </c>
      <c r="F2505" t="s">
        <v>22</v>
      </c>
      <c r="G2505" t="s">
        <v>57</v>
      </c>
      <c r="H2505" s="1">
        <v>45443</v>
      </c>
      <c r="I2505" t="s">
        <v>64</v>
      </c>
      <c r="J2505" t="s">
        <v>2559</v>
      </c>
      <c r="K2505">
        <v>4</v>
      </c>
      <c r="N2505">
        <v>1933</v>
      </c>
      <c r="O2505">
        <v>20</v>
      </c>
      <c r="P2505" s="1">
        <v>45560</v>
      </c>
      <c r="Q2505" s="1"/>
      <c r="R2505" t="str">
        <f>IF(Table1[[#This Row],[Actual close date]]="","",Table1[[#This Row],[Actual close date]]-Table1[[#This Row],[Expected close date]])</f>
        <v/>
      </c>
    </row>
    <row r="2506" spans="1:18" x14ac:dyDescent="0.25">
      <c r="A2506" t="s">
        <v>2591</v>
      </c>
      <c r="B2506" t="s">
        <v>76</v>
      </c>
      <c r="C2506" t="s">
        <v>77</v>
      </c>
      <c r="D2506" t="s">
        <v>78</v>
      </c>
      <c r="E2506" t="s">
        <v>21</v>
      </c>
      <c r="F2506" t="s">
        <v>22</v>
      </c>
      <c r="G2506" t="s">
        <v>57</v>
      </c>
      <c r="H2506" s="1">
        <v>45337</v>
      </c>
      <c r="I2506" t="s">
        <v>64</v>
      </c>
      <c r="J2506" t="s">
        <v>2559</v>
      </c>
      <c r="K2506">
        <v>4</v>
      </c>
      <c r="N2506">
        <v>551</v>
      </c>
      <c r="O2506">
        <v>20</v>
      </c>
      <c r="P2506" s="1">
        <v>45398</v>
      </c>
      <c r="Q2506" s="1"/>
      <c r="R2506" t="str">
        <f>IF(Table1[[#This Row],[Actual close date]]="","",Table1[[#This Row],[Actual close date]]-Table1[[#This Row],[Expected close date]])</f>
        <v/>
      </c>
    </row>
    <row r="2507" spans="1:18" x14ac:dyDescent="0.25">
      <c r="A2507" t="s">
        <v>2592</v>
      </c>
      <c r="B2507" t="s">
        <v>33</v>
      </c>
      <c r="C2507" t="s">
        <v>34</v>
      </c>
      <c r="D2507" t="s">
        <v>35</v>
      </c>
      <c r="E2507" t="s">
        <v>74</v>
      </c>
      <c r="F2507" t="s">
        <v>22</v>
      </c>
      <c r="G2507" t="s">
        <v>57</v>
      </c>
      <c r="H2507" s="1">
        <v>45294</v>
      </c>
      <c r="I2507" t="s">
        <v>24</v>
      </c>
      <c r="J2507" t="s">
        <v>2559</v>
      </c>
      <c r="K2507">
        <v>4</v>
      </c>
      <c r="N2507">
        <v>1998</v>
      </c>
      <c r="O2507">
        <v>70</v>
      </c>
      <c r="P2507" s="1">
        <v>45443</v>
      </c>
      <c r="Q2507" s="1"/>
      <c r="R2507" t="str">
        <f>IF(Table1[[#This Row],[Actual close date]]="","",Table1[[#This Row],[Actual close date]]-Table1[[#This Row],[Expected close date]])</f>
        <v/>
      </c>
    </row>
    <row r="2508" spans="1:18" x14ac:dyDescent="0.25">
      <c r="A2508" t="s">
        <v>2593</v>
      </c>
      <c r="B2508" t="s">
        <v>18</v>
      </c>
      <c r="C2508" t="s">
        <v>19</v>
      </c>
      <c r="D2508" t="s">
        <v>20</v>
      </c>
      <c r="E2508" t="s">
        <v>62</v>
      </c>
      <c r="F2508" t="s">
        <v>22</v>
      </c>
      <c r="G2508" t="s">
        <v>46</v>
      </c>
      <c r="H2508" s="1">
        <v>45372</v>
      </c>
      <c r="I2508" t="s">
        <v>64</v>
      </c>
      <c r="J2508" t="s">
        <v>2559</v>
      </c>
      <c r="K2508">
        <v>4</v>
      </c>
      <c r="N2508">
        <v>1250</v>
      </c>
      <c r="O2508">
        <v>10</v>
      </c>
      <c r="P2508" s="1">
        <v>45525</v>
      </c>
      <c r="Q2508" s="1"/>
      <c r="R2508" t="str">
        <f>IF(Table1[[#This Row],[Actual close date]]="","",Table1[[#This Row],[Actual close date]]-Table1[[#This Row],[Expected close date]])</f>
        <v/>
      </c>
    </row>
    <row r="2509" spans="1:18" x14ac:dyDescent="0.25">
      <c r="A2509" t="s">
        <v>2594</v>
      </c>
      <c r="B2509" t="s">
        <v>27</v>
      </c>
      <c r="C2509" t="s">
        <v>28</v>
      </c>
      <c r="D2509" t="s">
        <v>29</v>
      </c>
      <c r="E2509" t="s">
        <v>21</v>
      </c>
      <c r="F2509" t="s">
        <v>22</v>
      </c>
      <c r="G2509" t="s">
        <v>46</v>
      </c>
      <c r="H2509" s="1">
        <v>45428</v>
      </c>
      <c r="I2509" t="s">
        <v>47</v>
      </c>
      <c r="J2509" t="s">
        <v>2559</v>
      </c>
      <c r="K2509">
        <v>4</v>
      </c>
      <c r="N2509">
        <v>1722</v>
      </c>
      <c r="O2509">
        <v>90</v>
      </c>
      <c r="P2509" s="1">
        <v>45580</v>
      </c>
      <c r="Q2509" s="1"/>
      <c r="R2509" t="str">
        <f>IF(Table1[[#This Row],[Actual close date]]="","",Table1[[#This Row],[Actual close date]]-Table1[[#This Row],[Expected close date]])</f>
        <v/>
      </c>
    </row>
    <row r="2510" spans="1:18" x14ac:dyDescent="0.25">
      <c r="A2510" t="s">
        <v>2595</v>
      </c>
      <c r="B2510" t="s">
        <v>39</v>
      </c>
      <c r="C2510" t="s">
        <v>40</v>
      </c>
      <c r="D2510" t="s">
        <v>41</v>
      </c>
      <c r="E2510" t="s">
        <v>101</v>
      </c>
      <c r="F2510" t="s">
        <v>22</v>
      </c>
      <c r="G2510" t="s">
        <v>83</v>
      </c>
      <c r="H2510" s="1">
        <v>45380</v>
      </c>
      <c r="I2510" t="s">
        <v>64</v>
      </c>
      <c r="J2510" t="s">
        <v>2559</v>
      </c>
      <c r="K2510">
        <v>4</v>
      </c>
      <c r="N2510">
        <v>1479</v>
      </c>
      <c r="O2510">
        <v>50</v>
      </c>
      <c r="P2510" s="1">
        <v>45539</v>
      </c>
      <c r="Q2510" s="1"/>
      <c r="R2510" t="str">
        <f>IF(Table1[[#This Row],[Actual close date]]="","",Table1[[#This Row],[Actual close date]]-Table1[[#This Row],[Expected close date]])</f>
        <v/>
      </c>
    </row>
    <row r="2511" spans="1:18" x14ac:dyDescent="0.25">
      <c r="A2511" t="s">
        <v>2596</v>
      </c>
      <c r="B2511" t="s">
        <v>18</v>
      </c>
      <c r="C2511" t="s">
        <v>19</v>
      </c>
      <c r="D2511" t="s">
        <v>20</v>
      </c>
      <c r="E2511" t="s">
        <v>45</v>
      </c>
      <c r="F2511" t="s">
        <v>22</v>
      </c>
      <c r="G2511" t="s">
        <v>57</v>
      </c>
      <c r="H2511" s="1">
        <v>45419</v>
      </c>
      <c r="I2511" t="s">
        <v>64</v>
      </c>
      <c r="J2511" t="s">
        <v>2559</v>
      </c>
      <c r="K2511">
        <v>4</v>
      </c>
      <c r="N2511">
        <v>1335</v>
      </c>
      <c r="O2511">
        <v>30</v>
      </c>
      <c r="P2511" s="1">
        <v>45514</v>
      </c>
      <c r="Q2511" s="1"/>
      <c r="R2511" t="str">
        <f>IF(Table1[[#This Row],[Actual close date]]="","",Table1[[#This Row],[Actual close date]]-Table1[[#This Row],[Expected close date]])</f>
        <v/>
      </c>
    </row>
    <row r="2512" spans="1:18" x14ac:dyDescent="0.25">
      <c r="A2512" t="s">
        <v>2597</v>
      </c>
      <c r="B2512" t="s">
        <v>33</v>
      </c>
      <c r="C2512" t="s">
        <v>34</v>
      </c>
      <c r="D2512" t="s">
        <v>35</v>
      </c>
      <c r="E2512" t="s">
        <v>42</v>
      </c>
      <c r="F2512" t="s">
        <v>22</v>
      </c>
      <c r="G2512" t="s">
        <v>37</v>
      </c>
      <c r="H2512" s="1">
        <v>45442</v>
      </c>
      <c r="I2512" t="s">
        <v>64</v>
      </c>
      <c r="J2512" t="s">
        <v>2559</v>
      </c>
      <c r="K2512">
        <v>4</v>
      </c>
      <c r="N2512">
        <v>943</v>
      </c>
      <c r="O2512">
        <v>40</v>
      </c>
      <c r="P2512" s="1">
        <v>45763</v>
      </c>
      <c r="Q2512" s="1"/>
      <c r="R2512" t="str">
        <f>IF(Table1[[#This Row],[Actual close date]]="","",Table1[[#This Row],[Actual close date]]-Table1[[#This Row],[Expected close date]])</f>
        <v/>
      </c>
    </row>
    <row r="2513" spans="1:18" x14ac:dyDescent="0.25">
      <c r="A2513" t="s">
        <v>2598</v>
      </c>
      <c r="B2513" t="s">
        <v>76</v>
      </c>
      <c r="C2513" t="s">
        <v>77</v>
      </c>
      <c r="D2513" t="s">
        <v>78</v>
      </c>
      <c r="E2513" t="s">
        <v>82</v>
      </c>
      <c r="F2513" t="s">
        <v>22</v>
      </c>
      <c r="G2513" t="s">
        <v>46</v>
      </c>
      <c r="H2513" s="1">
        <v>45393</v>
      </c>
      <c r="I2513" t="s">
        <v>64</v>
      </c>
      <c r="J2513" t="s">
        <v>2559</v>
      </c>
      <c r="K2513">
        <v>4</v>
      </c>
      <c r="N2513">
        <v>1243</v>
      </c>
      <c r="O2513">
        <v>60</v>
      </c>
      <c r="P2513" s="1">
        <v>45550</v>
      </c>
      <c r="Q2513" s="1"/>
      <c r="R2513" t="str">
        <f>IF(Table1[[#This Row],[Actual close date]]="","",Table1[[#This Row],[Actual close date]]-Table1[[#This Row],[Expected close date]])</f>
        <v/>
      </c>
    </row>
    <row r="2514" spans="1:18" x14ac:dyDescent="0.25">
      <c r="A2514" t="s">
        <v>2599</v>
      </c>
      <c r="B2514" t="s">
        <v>49</v>
      </c>
      <c r="C2514" t="s">
        <v>50</v>
      </c>
      <c r="D2514" t="s">
        <v>51</v>
      </c>
      <c r="E2514" t="s">
        <v>42</v>
      </c>
      <c r="F2514" t="s">
        <v>22</v>
      </c>
      <c r="G2514" t="s">
        <v>37</v>
      </c>
      <c r="H2514" s="1">
        <v>45363</v>
      </c>
      <c r="I2514" t="s">
        <v>64</v>
      </c>
      <c r="J2514" t="s">
        <v>2559</v>
      </c>
      <c r="K2514">
        <v>4</v>
      </c>
      <c r="N2514">
        <v>862</v>
      </c>
      <c r="O2514">
        <v>30</v>
      </c>
      <c r="P2514" s="1">
        <v>45438</v>
      </c>
      <c r="Q2514" s="1"/>
      <c r="R2514" t="str">
        <f>IF(Table1[[#This Row],[Actual close date]]="","",Table1[[#This Row],[Actual close date]]-Table1[[#This Row],[Expected close date]])</f>
        <v/>
      </c>
    </row>
    <row r="2515" spans="1:18" x14ac:dyDescent="0.25">
      <c r="A2515" t="s">
        <v>2600</v>
      </c>
      <c r="B2515" t="s">
        <v>69</v>
      </c>
      <c r="C2515" t="s">
        <v>70</v>
      </c>
      <c r="D2515" t="s">
        <v>71</v>
      </c>
      <c r="E2515" t="s">
        <v>30</v>
      </c>
      <c r="F2515" t="s">
        <v>22</v>
      </c>
      <c r="G2515" t="s">
        <v>72</v>
      </c>
      <c r="H2515" s="1">
        <v>45337</v>
      </c>
      <c r="I2515" t="s">
        <v>24</v>
      </c>
      <c r="J2515" t="s">
        <v>2559</v>
      </c>
      <c r="K2515">
        <v>4</v>
      </c>
      <c r="N2515">
        <v>730</v>
      </c>
      <c r="O2515">
        <v>40</v>
      </c>
      <c r="P2515" s="1">
        <v>45514</v>
      </c>
      <c r="Q2515" s="1"/>
      <c r="R2515" t="str">
        <f>IF(Table1[[#This Row],[Actual close date]]="","",Table1[[#This Row],[Actual close date]]-Table1[[#This Row],[Expected close date]])</f>
        <v/>
      </c>
    </row>
    <row r="2516" spans="1:18" x14ac:dyDescent="0.25">
      <c r="A2516" t="s">
        <v>2601</v>
      </c>
      <c r="B2516" t="s">
        <v>49</v>
      </c>
      <c r="C2516" t="s">
        <v>50</v>
      </c>
      <c r="D2516" t="s">
        <v>51</v>
      </c>
      <c r="E2516" t="s">
        <v>82</v>
      </c>
      <c r="F2516" t="s">
        <v>22</v>
      </c>
      <c r="G2516" t="s">
        <v>46</v>
      </c>
      <c r="H2516" s="1">
        <v>45356</v>
      </c>
      <c r="I2516" t="s">
        <v>64</v>
      </c>
      <c r="J2516" t="s">
        <v>2559</v>
      </c>
      <c r="K2516">
        <v>4</v>
      </c>
      <c r="N2516">
        <v>757</v>
      </c>
      <c r="O2516">
        <v>60</v>
      </c>
      <c r="P2516" s="1">
        <v>45591</v>
      </c>
      <c r="Q2516" s="1"/>
      <c r="R2516" t="str">
        <f>IF(Table1[[#This Row],[Actual close date]]="","",Table1[[#This Row],[Actual close date]]-Table1[[#This Row],[Expected close date]])</f>
        <v/>
      </c>
    </row>
    <row r="2517" spans="1:18" x14ac:dyDescent="0.25">
      <c r="A2517" t="s">
        <v>2602</v>
      </c>
      <c r="B2517" t="s">
        <v>54</v>
      </c>
      <c r="C2517" t="s">
        <v>55</v>
      </c>
      <c r="D2517" t="s">
        <v>56</v>
      </c>
      <c r="E2517" t="s">
        <v>30</v>
      </c>
      <c r="F2517" t="s">
        <v>22</v>
      </c>
      <c r="G2517" t="s">
        <v>46</v>
      </c>
      <c r="H2517" s="1">
        <v>45419</v>
      </c>
      <c r="I2517" t="s">
        <v>24</v>
      </c>
      <c r="J2517" t="s">
        <v>2559</v>
      </c>
      <c r="K2517">
        <v>4</v>
      </c>
      <c r="N2517">
        <v>1295</v>
      </c>
      <c r="O2517">
        <v>30</v>
      </c>
      <c r="P2517" s="1">
        <v>45507</v>
      </c>
      <c r="Q2517" s="1"/>
      <c r="R2517" t="str">
        <f>IF(Table1[[#This Row],[Actual close date]]="","",Table1[[#This Row],[Actual close date]]-Table1[[#This Row],[Expected close date]])</f>
        <v/>
      </c>
    </row>
    <row r="2518" spans="1:18" x14ac:dyDescent="0.25">
      <c r="A2518" t="s">
        <v>2603</v>
      </c>
      <c r="B2518" t="s">
        <v>33</v>
      </c>
      <c r="C2518" t="s">
        <v>34</v>
      </c>
      <c r="D2518" t="s">
        <v>35</v>
      </c>
      <c r="E2518" t="s">
        <v>21</v>
      </c>
      <c r="F2518" t="s">
        <v>22</v>
      </c>
      <c r="G2518" t="s">
        <v>85</v>
      </c>
      <c r="H2518" s="1">
        <v>45354</v>
      </c>
      <c r="I2518" t="s">
        <v>47</v>
      </c>
      <c r="J2518" t="s">
        <v>2559</v>
      </c>
      <c r="K2518">
        <v>4</v>
      </c>
      <c r="N2518">
        <v>619</v>
      </c>
      <c r="O2518">
        <v>20</v>
      </c>
      <c r="P2518" s="1">
        <v>45649</v>
      </c>
      <c r="Q2518" s="1"/>
      <c r="R2518" t="str">
        <f>IF(Table1[[#This Row],[Actual close date]]="","",Table1[[#This Row],[Actual close date]]-Table1[[#This Row],[Expected close date]])</f>
        <v/>
      </c>
    </row>
    <row r="2519" spans="1:18" x14ac:dyDescent="0.25">
      <c r="A2519" t="s">
        <v>2604</v>
      </c>
      <c r="B2519" t="s">
        <v>54</v>
      </c>
      <c r="C2519" t="s">
        <v>55</v>
      </c>
      <c r="D2519" t="s">
        <v>56</v>
      </c>
      <c r="E2519" t="s">
        <v>101</v>
      </c>
      <c r="F2519" t="s">
        <v>22</v>
      </c>
      <c r="G2519" t="s">
        <v>46</v>
      </c>
      <c r="H2519" s="1">
        <v>45399</v>
      </c>
      <c r="I2519" t="s">
        <v>47</v>
      </c>
      <c r="J2519" t="s">
        <v>2559</v>
      </c>
      <c r="K2519">
        <v>4</v>
      </c>
      <c r="N2519">
        <v>544</v>
      </c>
      <c r="O2519">
        <v>60</v>
      </c>
      <c r="P2519" s="1">
        <v>45741</v>
      </c>
      <c r="Q2519" s="1"/>
      <c r="R2519" t="str">
        <f>IF(Table1[[#This Row],[Actual close date]]="","",Table1[[#This Row],[Actual close date]]-Table1[[#This Row],[Expected close date]])</f>
        <v/>
      </c>
    </row>
    <row r="2520" spans="1:18" x14ac:dyDescent="0.25">
      <c r="A2520" t="s">
        <v>2605</v>
      </c>
      <c r="B2520" t="s">
        <v>59</v>
      </c>
      <c r="C2520" t="s">
        <v>60</v>
      </c>
      <c r="D2520" t="s">
        <v>61</v>
      </c>
      <c r="E2520" t="s">
        <v>45</v>
      </c>
      <c r="F2520" t="s">
        <v>22</v>
      </c>
      <c r="G2520" t="s">
        <v>23</v>
      </c>
      <c r="H2520" s="1">
        <v>45392</v>
      </c>
      <c r="I2520" t="s">
        <v>24</v>
      </c>
      <c r="J2520" t="s">
        <v>2559</v>
      </c>
      <c r="K2520">
        <v>4</v>
      </c>
      <c r="N2520">
        <v>1978</v>
      </c>
      <c r="O2520">
        <v>10</v>
      </c>
      <c r="P2520" s="1">
        <v>45594</v>
      </c>
      <c r="Q2520" s="1"/>
      <c r="R2520" t="str">
        <f>IF(Table1[[#This Row],[Actual close date]]="","",Table1[[#This Row],[Actual close date]]-Table1[[#This Row],[Expected close date]])</f>
        <v/>
      </c>
    </row>
    <row r="2521" spans="1:18" x14ac:dyDescent="0.25">
      <c r="A2521" t="s">
        <v>2606</v>
      </c>
      <c r="B2521" t="s">
        <v>59</v>
      </c>
      <c r="C2521" t="s">
        <v>60</v>
      </c>
      <c r="D2521" t="s">
        <v>61</v>
      </c>
      <c r="E2521" t="s">
        <v>45</v>
      </c>
      <c r="F2521" t="s">
        <v>22</v>
      </c>
      <c r="G2521" t="s">
        <v>57</v>
      </c>
      <c r="H2521" s="1">
        <v>45421</v>
      </c>
      <c r="I2521" t="s">
        <v>64</v>
      </c>
      <c r="J2521" t="s">
        <v>2559</v>
      </c>
      <c r="K2521">
        <v>4</v>
      </c>
      <c r="N2521">
        <v>260</v>
      </c>
      <c r="O2521">
        <v>30</v>
      </c>
      <c r="P2521" s="1">
        <v>45531</v>
      </c>
      <c r="Q2521" s="1"/>
      <c r="R2521" t="str">
        <f>IF(Table1[[#This Row],[Actual close date]]="","",Table1[[#This Row],[Actual close date]]-Table1[[#This Row],[Expected close date]])</f>
        <v/>
      </c>
    </row>
    <row r="2522" spans="1:18" x14ac:dyDescent="0.25">
      <c r="A2522" t="s">
        <v>2607</v>
      </c>
      <c r="B2522" t="s">
        <v>76</v>
      </c>
      <c r="C2522" t="s">
        <v>77</v>
      </c>
      <c r="D2522" t="s">
        <v>78</v>
      </c>
      <c r="E2522" t="s">
        <v>74</v>
      </c>
      <c r="F2522" t="s">
        <v>22</v>
      </c>
      <c r="G2522" t="s">
        <v>57</v>
      </c>
      <c r="H2522" s="1">
        <v>45406</v>
      </c>
      <c r="I2522" t="s">
        <v>64</v>
      </c>
      <c r="J2522" t="s">
        <v>2559</v>
      </c>
      <c r="K2522">
        <v>4</v>
      </c>
      <c r="N2522">
        <v>1236</v>
      </c>
      <c r="O2522">
        <v>60</v>
      </c>
      <c r="P2522" s="1">
        <v>45514</v>
      </c>
      <c r="Q2522" s="1"/>
      <c r="R2522" t="str">
        <f>IF(Table1[[#This Row],[Actual close date]]="","",Table1[[#This Row],[Actual close date]]-Table1[[#This Row],[Expected close date]])</f>
        <v/>
      </c>
    </row>
    <row r="2523" spans="1:18" x14ac:dyDescent="0.25">
      <c r="A2523" t="s">
        <v>2608</v>
      </c>
      <c r="B2523" t="s">
        <v>27</v>
      </c>
      <c r="C2523" t="s">
        <v>28</v>
      </c>
      <c r="D2523" t="s">
        <v>29</v>
      </c>
      <c r="E2523" t="s">
        <v>66</v>
      </c>
      <c r="F2523" t="s">
        <v>22</v>
      </c>
      <c r="G2523" t="s">
        <v>85</v>
      </c>
      <c r="H2523" s="1">
        <v>45423</v>
      </c>
      <c r="I2523" t="s">
        <v>64</v>
      </c>
      <c r="J2523" t="s">
        <v>2559</v>
      </c>
      <c r="K2523">
        <v>4</v>
      </c>
      <c r="N2523">
        <v>586</v>
      </c>
      <c r="O2523">
        <v>10</v>
      </c>
      <c r="P2523" s="1">
        <v>45721</v>
      </c>
      <c r="Q2523" s="1"/>
      <c r="R2523" t="str">
        <f>IF(Table1[[#This Row],[Actual close date]]="","",Table1[[#This Row],[Actual close date]]-Table1[[#This Row],[Expected close date]])</f>
        <v/>
      </c>
    </row>
    <row r="2524" spans="1:18" x14ac:dyDescent="0.25">
      <c r="A2524" t="s">
        <v>2609</v>
      </c>
      <c r="B2524" t="s">
        <v>33</v>
      </c>
      <c r="C2524" t="s">
        <v>34</v>
      </c>
      <c r="D2524" t="s">
        <v>35</v>
      </c>
      <c r="E2524" t="s">
        <v>82</v>
      </c>
      <c r="F2524" t="s">
        <v>22</v>
      </c>
      <c r="G2524" t="s">
        <v>83</v>
      </c>
      <c r="H2524" s="1">
        <v>45324</v>
      </c>
      <c r="I2524" t="s">
        <v>24</v>
      </c>
      <c r="J2524" t="s">
        <v>2559</v>
      </c>
      <c r="K2524">
        <v>4</v>
      </c>
      <c r="N2524">
        <v>1023</v>
      </c>
      <c r="O2524">
        <v>30</v>
      </c>
      <c r="P2524" s="1">
        <v>45569</v>
      </c>
      <c r="Q2524" s="1"/>
      <c r="R2524" t="str">
        <f>IF(Table1[[#This Row],[Actual close date]]="","",Table1[[#This Row],[Actual close date]]-Table1[[#This Row],[Expected close date]])</f>
        <v/>
      </c>
    </row>
    <row r="2525" spans="1:18" x14ac:dyDescent="0.25">
      <c r="A2525" t="s">
        <v>2610</v>
      </c>
      <c r="B2525" t="s">
        <v>33</v>
      </c>
      <c r="C2525" t="s">
        <v>34</v>
      </c>
      <c r="D2525" t="s">
        <v>35</v>
      </c>
      <c r="E2525" t="s">
        <v>101</v>
      </c>
      <c r="F2525" t="s">
        <v>22</v>
      </c>
      <c r="G2525" t="s">
        <v>57</v>
      </c>
      <c r="H2525" s="1">
        <v>45303</v>
      </c>
      <c r="I2525" t="s">
        <v>24</v>
      </c>
      <c r="J2525" t="s">
        <v>2559</v>
      </c>
      <c r="K2525">
        <v>4</v>
      </c>
      <c r="N2525">
        <v>684</v>
      </c>
      <c r="O2525">
        <v>30</v>
      </c>
      <c r="P2525" s="1">
        <v>45573</v>
      </c>
      <c r="Q2525" s="1"/>
      <c r="R2525" t="str">
        <f>IF(Table1[[#This Row],[Actual close date]]="","",Table1[[#This Row],[Actual close date]]-Table1[[#This Row],[Expected close date]])</f>
        <v/>
      </c>
    </row>
    <row r="2526" spans="1:18" x14ac:dyDescent="0.25">
      <c r="A2526" t="s">
        <v>2611</v>
      </c>
      <c r="B2526" t="s">
        <v>76</v>
      </c>
      <c r="C2526" t="s">
        <v>77</v>
      </c>
      <c r="D2526" t="s">
        <v>78</v>
      </c>
      <c r="E2526" t="s">
        <v>45</v>
      </c>
      <c r="F2526" t="s">
        <v>22</v>
      </c>
      <c r="G2526" t="s">
        <v>37</v>
      </c>
      <c r="H2526" s="1">
        <v>45367</v>
      </c>
      <c r="I2526" t="s">
        <v>47</v>
      </c>
      <c r="J2526" t="s">
        <v>2559</v>
      </c>
      <c r="K2526">
        <v>4</v>
      </c>
      <c r="N2526">
        <v>848</v>
      </c>
      <c r="O2526">
        <v>40</v>
      </c>
      <c r="P2526" s="1">
        <v>45685</v>
      </c>
      <c r="Q2526" s="1"/>
      <c r="R2526" t="str">
        <f>IF(Table1[[#This Row],[Actual close date]]="","",Table1[[#This Row],[Actual close date]]-Table1[[#This Row],[Expected close date]])</f>
        <v/>
      </c>
    </row>
    <row r="2527" spans="1:18" x14ac:dyDescent="0.25">
      <c r="A2527" t="s">
        <v>2612</v>
      </c>
      <c r="B2527" t="s">
        <v>39</v>
      </c>
      <c r="C2527" t="s">
        <v>40</v>
      </c>
      <c r="D2527" t="s">
        <v>41</v>
      </c>
      <c r="E2527" t="s">
        <v>74</v>
      </c>
      <c r="F2527" t="s">
        <v>22</v>
      </c>
      <c r="G2527" t="s">
        <v>57</v>
      </c>
      <c r="H2527" s="1">
        <v>45424</v>
      </c>
      <c r="I2527" t="s">
        <v>24</v>
      </c>
      <c r="J2527" t="s">
        <v>2559</v>
      </c>
      <c r="K2527">
        <v>4</v>
      </c>
      <c r="N2527">
        <v>330</v>
      </c>
      <c r="O2527">
        <v>10</v>
      </c>
      <c r="P2527" s="1">
        <v>45745</v>
      </c>
      <c r="Q2527" s="1"/>
      <c r="R2527" t="str">
        <f>IF(Table1[[#This Row],[Actual close date]]="","",Table1[[#This Row],[Actual close date]]-Table1[[#This Row],[Expected close date]])</f>
        <v/>
      </c>
    </row>
    <row r="2528" spans="1:18" x14ac:dyDescent="0.25">
      <c r="A2528" t="s">
        <v>2613</v>
      </c>
      <c r="B2528" t="s">
        <v>33</v>
      </c>
      <c r="C2528" t="s">
        <v>34</v>
      </c>
      <c r="D2528" t="s">
        <v>35</v>
      </c>
      <c r="E2528" t="s">
        <v>30</v>
      </c>
      <c r="F2528" t="s">
        <v>22</v>
      </c>
      <c r="G2528" t="s">
        <v>46</v>
      </c>
      <c r="H2528" s="1">
        <v>45337</v>
      </c>
      <c r="I2528" t="s">
        <v>24</v>
      </c>
      <c r="J2528" t="s">
        <v>2559</v>
      </c>
      <c r="K2528">
        <v>4</v>
      </c>
      <c r="N2528">
        <v>922</v>
      </c>
      <c r="O2528">
        <v>50</v>
      </c>
      <c r="P2528" s="1">
        <v>45402</v>
      </c>
      <c r="Q2528" s="1"/>
      <c r="R2528" t="str">
        <f>IF(Table1[[#This Row],[Actual close date]]="","",Table1[[#This Row],[Actual close date]]-Table1[[#This Row],[Expected close date]])</f>
        <v/>
      </c>
    </row>
    <row r="2529" spans="1:18" x14ac:dyDescent="0.25">
      <c r="A2529" t="s">
        <v>2614</v>
      </c>
      <c r="B2529" t="s">
        <v>27</v>
      </c>
      <c r="C2529" t="s">
        <v>28</v>
      </c>
      <c r="D2529" t="s">
        <v>29</v>
      </c>
      <c r="E2529" t="s">
        <v>36</v>
      </c>
      <c r="F2529" t="s">
        <v>22</v>
      </c>
      <c r="G2529" t="s">
        <v>83</v>
      </c>
      <c r="H2529" s="1">
        <v>45398</v>
      </c>
      <c r="I2529" t="s">
        <v>64</v>
      </c>
      <c r="J2529" t="s">
        <v>2559</v>
      </c>
      <c r="K2529">
        <v>4</v>
      </c>
      <c r="N2529">
        <v>359</v>
      </c>
      <c r="O2529">
        <v>100</v>
      </c>
      <c r="P2529" s="1">
        <v>45646</v>
      </c>
      <c r="Q2529" s="1"/>
      <c r="R2529" t="str">
        <f>IF(Table1[[#This Row],[Actual close date]]="","",Table1[[#This Row],[Actual close date]]-Table1[[#This Row],[Expected close date]])</f>
        <v/>
      </c>
    </row>
    <row r="2530" spans="1:18" x14ac:dyDescent="0.25">
      <c r="A2530" t="s">
        <v>2615</v>
      </c>
      <c r="B2530" t="s">
        <v>69</v>
      </c>
      <c r="C2530" t="s">
        <v>70</v>
      </c>
      <c r="D2530" t="s">
        <v>71</v>
      </c>
      <c r="E2530" t="s">
        <v>74</v>
      </c>
      <c r="F2530" t="s">
        <v>22</v>
      </c>
      <c r="G2530" t="s">
        <v>57</v>
      </c>
      <c r="H2530" s="1">
        <v>45307</v>
      </c>
      <c r="I2530" t="s">
        <v>24</v>
      </c>
      <c r="J2530" t="s">
        <v>2559</v>
      </c>
      <c r="K2530">
        <v>4</v>
      </c>
      <c r="N2530">
        <v>1991</v>
      </c>
      <c r="O2530">
        <v>30</v>
      </c>
      <c r="P2530" s="1">
        <v>45645</v>
      </c>
      <c r="Q2530" s="1"/>
      <c r="R2530" t="str">
        <f>IF(Table1[[#This Row],[Actual close date]]="","",Table1[[#This Row],[Actual close date]]-Table1[[#This Row],[Expected close date]])</f>
        <v/>
      </c>
    </row>
    <row r="2531" spans="1:18" x14ac:dyDescent="0.25">
      <c r="A2531" t="s">
        <v>2616</v>
      </c>
      <c r="B2531" t="s">
        <v>33</v>
      </c>
      <c r="C2531" t="s">
        <v>34</v>
      </c>
      <c r="D2531" t="s">
        <v>35</v>
      </c>
      <c r="E2531" t="s">
        <v>21</v>
      </c>
      <c r="F2531" t="s">
        <v>22</v>
      </c>
      <c r="G2531" t="s">
        <v>57</v>
      </c>
      <c r="H2531" s="1">
        <v>45375</v>
      </c>
      <c r="I2531" t="s">
        <v>64</v>
      </c>
      <c r="J2531" t="s">
        <v>2559</v>
      </c>
      <c r="K2531">
        <v>4</v>
      </c>
      <c r="N2531">
        <v>1851</v>
      </c>
      <c r="O2531">
        <v>20</v>
      </c>
      <c r="P2531" s="1">
        <v>45490</v>
      </c>
      <c r="Q2531" s="1"/>
      <c r="R2531" t="str">
        <f>IF(Table1[[#This Row],[Actual close date]]="","",Table1[[#This Row],[Actual close date]]-Table1[[#This Row],[Expected close date]])</f>
        <v/>
      </c>
    </row>
    <row r="2532" spans="1:18" x14ac:dyDescent="0.25">
      <c r="A2532" t="s">
        <v>2617</v>
      </c>
      <c r="B2532" t="s">
        <v>18</v>
      </c>
      <c r="C2532" t="s">
        <v>19</v>
      </c>
      <c r="D2532" t="s">
        <v>20</v>
      </c>
      <c r="E2532" t="s">
        <v>42</v>
      </c>
      <c r="F2532" t="s">
        <v>22</v>
      </c>
      <c r="G2532" t="s">
        <v>31</v>
      </c>
      <c r="H2532" s="1">
        <v>45419</v>
      </c>
      <c r="I2532" t="s">
        <v>24</v>
      </c>
      <c r="J2532" t="s">
        <v>2559</v>
      </c>
      <c r="K2532">
        <v>4</v>
      </c>
      <c r="N2532">
        <v>1313</v>
      </c>
      <c r="O2532">
        <v>10</v>
      </c>
      <c r="P2532" s="1">
        <v>45585</v>
      </c>
      <c r="Q2532" s="1"/>
      <c r="R2532" t="str">
        <f>IF(Table1[[#This Row],[Actual close date]]="","",Table1[[#This Row],[Actual close date]]-Table1[[#This Row],[Expected close date]])</f>
        <v/>
      </c>
    </row>
    <row r="2533" spans="1:18" x14ac:dyDescent="0.25">
      <c r="A2533" t="s">
        <v>2618</v>
      </c>
      <c r="B2533" t="s">
        <v>54</v>
      </c>
      <c r="C2533" t="s">
        <v>55</v>
      </c>
      <c r="D2533" t="s">
        <v>56</v>
      </c>
      <c r="E2533" t="s">
        <v>52</v>
      </c>
      <c r="F2533" t="s">
        <v>22</v>
      </c>
      <c r="G2533" t="s">
        <v>72</v>
      </c>
      <c r="H2533" s="1">
        <v>45371</v>
      </c>
      <c r="I2533" t="s">
        <v>64</v>
      </c>
      <c r="J2533" t="s">
        <v>2559</v>
      </c>
      <c r="K2533">
        <v>4</v>
      </c>
      <c r="N2533">
        <v>1229</v>
      </c>
      <c r="O2533">
        <v>20</v>
      </c>
      <c r="P2533" s="1">
        <v>45534</v>
      </c>
      <c r="Q2533" s="1"/>
      <c r="R2533" t="str">
        <f>IF(Table1[[#This Row],[Actual close date]]="","",Table1[[#This Row],[Actual close date]]-Table1[[#This Row],[Expected close date]])</f>
        <v/>
      </c>
    </row>
    <row r="2534" spans="1:18" x14ac:dyDescent="0.25">
      <c r="A2534" t="s">
        <v>2619</v>
      </c>
      <c r="B2534" t="s">
        <v>76</v>
      </c>
      <c r="C2534" t="s">
        <v>77</v>
      </c>
      <c r="D2534" t="s">
        <v>78</v>
      </c>
      <c r="E2534" t="s">
        <v>42</v>
      </c>
      <c r="F2534" t="s">
        <v>22</v>
      </c>
      <c r="G2534" t="s">
        <v>57</v>
      </c>
      <c r="H2534" s="1">
        <v>45419</v>
      </c>
      <c r="I2534" t="s">
        <v>24</v>
      </c>
      <c r="J2534" t="s">
        <v>2559</v>
      </c>
      <c r="K2534">
        <v>4</v>
      </c>
      <c r="N2534">
        <v>204</v>
      </c>
      <c r="O2534">
        <v>20</v>
      </c>
      <c r="P2534" s="1">
        <v>45719</v>
      </c>
      <c r="Q2534" s="1"/>
      <c r="R2534" t="str">
        <f>IF(Table1[[#This Row],[Actual close date]]="","",Table1[[#This Row],[Actual close date]]-Table1[[#This Row],[Expected close date]])</f>
        <v/>
      </c>
    </row>
    <row r="2535" spans="1:18" x14ac:dyDescent="0.25">
      <c r="A2535" t="s">
        <v>2620</v>
      </c>
      <c r="B2535" t="s">
        <v>18</v>
      </c>
      <c r="C2535" t="s">
        <v>19</v>
      </c>
      <c r="D2535" t="s">
        <v>20</v>
      </c>
      <c r="E2535" t="s">
        <v>42</v>
      </c>
      <c r="F2535" t="s">
        <v>22</v>
      </c>
      <c r="G2535" t="s">
        <v>31</v>
      </c>
      <c r="H2535" s="1">
        <v>45408</v>
      </c>
      <c r="I2535" t="s">
        <v>24</v>
      </c>
      <c r="J2535" t="s">
        <v>2559</v>
      </c>
      <c r="K2535">
        <v>4</v>
      </c>
      <c r="N2535">
        <v>871</v>
      </c>
      <c r="O2535">
        <v>50</v>
      </c>
      <c r="P2535" s="1">
        <v>45759</v>
      </c>
      <c r="Q2535" s="1"/>
      <c r="R2535" t="str">
        <f>IF(Table1[[#This Row],[Actual close date]]="","",Table1[[#This Row],[Actual close date]]-Table1[[#This Row],[Expected close date]])</f>
        <v/>
      </c>
    </row>
    <row r="2536" spans="1:18" x14ac:dyDescent="0.25">
      <c r="A2536" t="s">
        <v>2621</v>
      </c>
      <c r="B2536" t="s">
        <v>59</v>
      </c>
      <c r="C2536" t="s">
        <v>60</v>
      </c>
      <c r="D2536" t="s">
        <v>61</v>
      </c>
      <c r="E2536" t="s">
        <v>118</v>
      </c>
      <c r="F2536" t="s">
        <v>22</v>
      </c>
      <c r="G2536" t="s">
        <v>31</v>
      </c>
      <c r="H2536" s="1">
        <v>45402</v>
      </c>
      <c r="I2536" t="s">
        <v>64</v>
      </c>
      <c r="J2536" t="s">
        <v>2559</v>
      </c>
      <c r="K2536">
        <v>4</v>
      </c>
      <c r="N2536">
        <v>664</v>
      </c>
      <c r="O2536">
        <v>30</v>
      </c>
      <c r="P2536" s="1">
        <v>45561</v>
      </c>
      <c r="Q2536" s="1"/>
      <c r="R2536" t="str">
        <f>IF(Table1[[#This Row],[Actual close date]]="","",Table1[[#This Row],[Actual close date]]-Table1[[#This Row],[Expected close date]])</f>
        <v/>
      </c>
    </row>
    <row r="2537" spans="1:18" x14ac:dyDescent="0.25">
      <c r="A2537" t="s">
        <v>2622</v>
      </c>
      <c r="B2537" t="s">
        <v>54</v>
      </c>
      <c r="C2537" t="s">
        <v>55</v>
      </c>
      <c r="D2537" t="s">
        <v>56</v>
      </c>
      <c r="E2537" t="s">
        <v>74</v>
      </c>
      <c r="F2537" t="s">
        <v>22</v>
      </c>
      <c r="G2537" t="s">
        <v>46</v>
      </c>
      <c r="H2537" s="1">
        <v>45357</v>
      </c>
      <c r="I2537" t="s">
        <v>24</v>
      </c>
      <c r="J2537" t="s">
        <v>2559</v>
      </c>
      <c r="K2537">
        <v>4</v>
      </c>
      <c r="N2537">
        <v>1416</v>
      </c>
      <c r="O2537">
        <v>60</v>
      </c>
      <c r="P2537" s="1">
        <v>45411</v>
      </c>
      <c r="Q2537" s="1"/>
      <c r="R2537" t="str">
        <f>IF(Table1[[#This Row],[Actual close date]]="","",Table1[[#This Row],[Actual close date]]-Table1[[#This Row],[Expected close date]])</f>
        <v/>
      </c>
    </row>
    <row r="2538" spans="1:18" x14ac:dyDescent="0.25">
      <c r="A2538" t="s">
        <v>2623</v>
      </c>
      <c r="B2538" t="s">
        <v>39</v>
      </c>
      <c r="C2538" t="s">
        <v>40</v>
      </c>
      <c r="D2538" t="s">
        <v>41</v>
      </c>
      <c r="E2538" t="s">
        <v>45</v>
      </c>
      <c r="F2538" t="s">
        <v>22</v>
      </c>
      <c r="G2538" t="s">
        <v>46</v>
      </c>
      <c r="H2538" s="1">
        <v>45380</v>
      </c>
      <c r="I2538" t="s">
        <v>24</v>
      </c>
      <c r="J2538" t="s">
        <v>2559</v>
      </c>
      <c r="K2538">
        <v>4</v>
      </c>
      <c r="N2538">
        <v>1478</v>
      </c>
      <c r="O2538">
        <v>50</v>
      </c>
      <c r="P2538" s="1">
        <v>45444</v>
      </c>
      <c r="Q2538" s="1"/>
      <c r="R2538" t="str">
        <f>IF(Table1[[#This Row],[Actual close date]]="","",Table1[[#This Row],[Actual close date]]-Table1[[#This Row],[Expected close date]])</f>
        <v/>
      </c>
    </row>
    <row r="2539" spans="1:18" x14ac:dyDescent="0.25">
      <c r="A2539" t="s">
        <v>2624</v>
      </c>
      <c r="B2539" t="s">
        <v>33</v>
      </c>
      <c r="C2539" t="s">
        <v>34</v>
      </c>
      <c r="D2539" t="s">
        <v>35</v>
      </c>
      <c r="E2539" t="s">
        <v>66</v>
      </c>
      <c r="F2539" t="s">
        <v>22</v>
      </c>
      <c r="G2539" t="s">
        <v>85</v>
      </c>
      <c r="H2539" s="1">
        <v>45430</v>
      </c>
      <c r="I2539" t="s">
        <v>64</v>
      </c>
      <c r="J2539" t="s">
        <v>2559</v>
      </c>
      <c r="K2539">
        <v>4</v>
      </c>
      <c r="N2539">
        <v>1099</v>
      </c>
      <c r="O2539">
        <v>50</v>
      </c>
      <c r="P2539" s="1">
        <v>45491</v>
      </c>
      <c r="Q2539" s="1"/>
      <c r="R2539" t="str">
        <f>IF(Table1[[#This Row],[Actual close date]]="","",Table1[[#This Row],[Actual close date]]-Table1[[#This Row],[Expected close date]])</f>
        <v/>
      </c>
    </row>
    <row r="2540" spans="1:18" x14ac:dyDescent="0.25">
      <c r="A2540" t="s">
        <v>2625</v>
      </c>
      <c r="B2540" t="s">
        <v>59</v>
      </c>
      <c r="C2540" t="s">
        <v>60</v>
      </c>
      <c r="D2540" t="s">
        <v>61</v>
      </c>
      <c r="E2540" t="s">
        <v>98</v>
      </c>
      <c r="F2540" t="s">
        <v>22</v>
      </c>
      <c r="G2540" t="s">
        <v>31</v>
      </c>
      <c r="H2540" s="1">
        <v>45350</v>
      </c>
      <c r="I2540" t="s">
        <v>24</v>
      </c>
      <c r="J2540" t="s">
        <v>2559</v>
      </c>
      <c r="K2540">
        <v>4</v>
      </c>
      <c r="N2540">
        <v>633</v>
      </c>
      <c r="O2540">
        <v>30</v>
      </c>
      <c r="P2540" s="1">
        <v>45707</v>
      </c>
      <c r="Q2540" s="1"/>
      <c r="R2540" t="str">
        <f>IF(Table1[[#This Row],[Actual close date]]="","",Table1[[#This Row],[Actual close date]]-Table1[[#This Row],[Expected close date]])</f>
        <v/>
      </c>
    </row>
    <row r="2541" spans="1:18" x14ac:dyDescent="0.25">
      <c r="A2541" t="s">
        <v>2626</v>
      </c>
      <c r="B2541" t="s">
        <v>54</v>
      </c>
      <c r="C2541" t="s">
        <v>55</v>
      </c>
      <c r="D2541" t="s">
        <v>56</v>
      </c>
      <c r="E2541" t="s">
        <v>62</v>
      </c>
      <c r="F2541" t="s">
        <v>22</v>
      </c>
      <c r="G2541" t="s">
        <v>46</v>
      </c>
      <c r="H2541" s="1">
        <v>45363</v>
      </c>
      <c r="I2541" t="s">
        <v>47</v>
      </c>
      <c r="J2541" t="s">
        <v>2559</v>
      </c>
      <c r="K2541">
        <v>4</v>
      </c>
      <c r="N2541">
        <v>502</v>
      </c>
      <c r="O2541">
        <v>30</v>
      </c>
      <c r="P2541" s="1">
        <v>45628</v>
      </c>
      <c r="Q2541" s="1"/>
      <c r="R2541" t="str">
        <f>IF(Table1[[#This Row],[Actual close date]]="","",Table1[[#This Row],[Actual close date]]-Table1[[#This Row],[Expected close date]])</f>
        <v/>
      </c>
    </row>
    <row r="2542" spans="1:18" x14ac:dyDescent="0.25">
      <c r="A2542" t="s">
        <v>2627</v>
      </c>
      <c r="B2542" t="s">
        <v>76</v>
      </c>
      <c r="C2542" t="s">
        <v>77</v>
      </c>
      <c r="D2542" t="s">
        <v>78</v>
      </c>
      <c r="E2542" t="s">
        <v>62</v>
      </c>
      <c r="F2542" t="s">
        <v>22</v>
      </c>
      <c r="G2542" t="s">
        <v>46</v>
      </c>
      <c r="H2542" s="1">
        <v>45382</v>
      </c>
      <c r="I2542" t="s">
        <v>64</v>
      </c>
      <c r="J2542" t="s">
        <v>2559</v>
      </c>
      <c r="K2542">
        <v>4</v>
      </c>
      <c r="N2542">
        <v>759</v>
      </c>
      <c r="O2542">
        <v>100</v>
      </c>
      <c r="P2542" s="1">
        <v>45640</v>
      </c>
      <c r="Q2542" s="1"/>
      <c r="R2542" t="str">
        <f>IF(Table1[[#This Row],[Actual close date]]="","",Table1[[#This Row],[Actual close date]]-Table1[[#This Row],[Expected close date]])</f>
        <v/>
      </c>
    </row>
    <row r="2543" spans="1:18" x14ac:dyDescent="0.25">
      <c r="A2543" t="s">
        <v>2628</v>
      </c>
      <c r="B2543" t="s">
        <v>49</v>
      </c>
      <c r="C2543" t="s">
        <v>50</v>
      </c>
      <c r="D2543" t="s">
        <v>51</v>
      </c>
      <c r="E2543" t="s">
        <v>52</v>
      </c>
      <c r="F2543" t="s">
        <v>22</v>
      </c>
      <c r="G2543" t="s">
        <v>46</v>
      </c>
      <c r="H2543" s="1">
        <v>45377</v>
      </c>
      <c r="I2543" t="s">
        <v>24</v>
      </c>
      <c r="J2543" t="s">
        <v>2559</v>
      </c>
      <c r="K2543">
        <v>4</v>
      </c>
      <c r="N2543">
        <v>1430</v>
      </c>
      <c r="O2543">
        <v>20</v>
      </c>
      <c r="P2543" s="1">
        <v>45635</v>
      </c>
      <c r="Q2543" s="1"/>
      <c r="R2543" t="str">
        <f>IF(Table1[[#This Row],[Actual close date]]="","",Table1[[#This Row],[Actual close date]]-Table1[[#This Row],[Expected close date]])</f>
        <v/>
      </c>
    </row>
    <row r="2544" spans="1:18" x14ac:dyDescent="0.25">
      <c r="A2544" t="s">
        <v>2629</v>
      </c>
      <c r="B2544" t="s">
        <v>54</v>
      </c>
      <c r="C2544" t="s">
        <v>55</v>
      </c>
      <c r="D2544" t="s">
        <v>56</v>
      </c>
      <c r="E2544" t="s">
        <v>21</v>
      </c>
      <c r="F2544" t="s">
        <v>22</v>
      </c>
      <c r="G2544" t="s">
        <v>23</v>
      </c>
      <c r="H2544" s="1">
        <v>45428</v>
      </c>
      <c r="I2544" t="s">
        <v>64</v>
      </c>
      <c r="J2544" t="s">
        <v>2559</v>
      </c>
      <c r="K2544">
        <v>4</v>
      </c>
      <c r="N2544">
        <v>607</v>
      </c>
      <c r="O2544">
        <v>30</v>
      </c>
      <c r="P2544" s="1">
        <v>45760</v>
      </c>
      <c r="Q2544" s="1"/>
      <c r="R2544" t="str">
        <f>IF(Table1[[#This Row],[Actual close date]]="","",Table1[[#This Row],[Actual close date]]-Table1[[#This Row],[Expected close date]])</f>
        <v/>
      </c>
    </row>
    <row r="2545" spans="1:18" x14ac:dyDescent="0.25">
      <c r="A2545" t="s">
        <v>2630</v>
      </c>
      <c r="B2545" t="s">
        <v>33</v>
      </c>
      <c r="C2545" t="s">
        <v>34</v>
      </c>
      <c r="D2545" t="s">
        <v>35</v>
      </c>
      <c r="E2545" t="s">
        <v>42</v>
      </c>
      <c r="F2545" t="s">
        <v>22</v>
      </c>
      <c r="G2545" t="s">
        <v>72</v>
      </c>
      <c r="H2545" s="1">
        <v>45393</v>
      </c>
      <c r="I2545" t="s">
        <v>24</v>
      </c>
      <c r="J2545" t="s">
        <v>2559</v>
      </c>
      <c r="K2545">
        <v>4</v>
      </c>
      <c r="N2545">
        <v>271</v>
      </c>
      <c r="O2545">
        <v>40</v>
      </c>
      <c r="P2545" s="1">
        <v>45557</v>
      </c>
      <c r="Q2545" s="1"/>
      <c r="R2545" t="str">
        <f>IF(Table1[[#This Row],[Actual close date]]="","",Table1[[#This Row],[Actual close date]]-Table1[[#This Row],[Expected close date]])</f>
        <v/>
      </c>
    </row>
    <row r="2546" spans="1:18" x14ac:dyDescent="0.25">
      <c r="A2546" t="s">
        <v>2631</v>
      </c>
      <c r="B2546" t="s">
        <v>39</v>
      </c>
      <c r="C2546" t="s">
        <v>40</v>
      </c>
      <c r="D2546" t="s">
        <v>41</v>
      </c>
      <c r="E2546" t="s">
        <v>21</v>
      </c>
      <c r="F2546" t="s">
        <v>22</v>
      </c>
      <c r="G2546" t="s">
        <v>23</v>
      </c>
      <c r="H2546" s="1">
        <v>45340</v>
      </c>
      <c r="I2546" t="s">
        <v>64</v>
      </c>
      <c r="J2546" t="s">
        <v>2559</v>
      </c>
      <c r="K2546">
        <v>4</v>
      </c>
      <c r="N2546">
        <v>935</v>
      </c>
      <c r="O2546">
        <v>30</v>
      </c>
      <c r="P2546" s="1">
        <v>45693</v>
      </c>
      <c r="Q2546" s="1"/>
      <c r="R2546" t="str">
        <f>IF(Table1[[#This Row],[Actual close date]]="","",Table1[[#This Row],[Actual close date]]-Table1[[#This Row],[Expected close date]])</f>
        <v/>
      </c>
    </row>
    <row r="2547" spans="1:18" x14ac:dyDescent="0.25">
      <c r="A2547" t="s">
        <v>2632</v>
      </c>
      <c r="B2547" t="s">
        <v>54</v>
      </c>
      <c r="C2547" t="s">
        <v>55</v>
      </c>
      <c r="D2547" t="s">
        <v>56</v>
      </c>
      <c r="E2547" t="s">
        <v>36</v>
      </c>
      <c r="F2547" t="s">
        <v>22</v>
      </c>
      <c r="G2547" t="s">
        <v>85</v>
      </c>
      <c r="H2547" s="1">
        <v>45442</v>
      </c>
      <c r="I2547" t="s">
        <v>64</v>
      </c>
      <c r="J2547" t="s">
        <v>2559</v>
      </c>
      <c r="K2547">
        <v>4</v>
      </c>
      <c r="N2547">
        <v>1979</v>
      </c>
      <c r="O2547">
        <v>70</v>
      </c>
      <c r="P2547" s="1">
        <v>45610</v>
      </c>
      <c r="Q2547" s="1"/>
      <c r="R2547" t="str">
        <f>IF(Table1[[#This Row],[Actual close date]]="","",Table1[[#This Row],[Actual close date]]-Table1[[#This Row],[Expected close date]])</f>
        <v/>
      </c>
    </row>
    <row r="2548" spans="1:18" x14ac:dyDescent="0.25">
      <c r="A2548" t="s">
        <v>2633</v>
      </c>
      <c r="B2548" t="s">
        <v>33</v>
      </c>
      <c r="C2548" t="s">
        <v>34</v>
      </c>
      <c r="D2548" t="s">
        <v>35</v>
      </c>
      <c r="E2548" t="s">
        <v>45</v>
      </c>
      <c r="F2548" t="s">
        <v>22</v>
      </c>
      <c r="G2548" t="s">
        <v>46</v>
      </c>
      <c r="H2548" s="1">
        <v>45337</v>
      </c>
      <c r="I2548" t="s">
        <v>24</v>
      </c>
      <c r="J2548" t="s">
        <v>2559</v>
      </c>
      <c r="K2548">
        <v>4</v>
      </c>
      <c r="N2548">
        <v>1235</v>
      </c>
      <c r="O2548">
        <v>30</v>
      </c>
      <c r="P2548" s="1">
        <v>45364</v>
      </c>
      <c r="Q2548" s="1"/>
      <c r="R2548" t="str">
        <f>IF(Table1[[#This Row],[Actual close date]]="","",Table1[[#This Row],[Actual close date]]-Table1[[#This Row],[Expected close date]])</f>
        <v/>
      </c>
    </row>
    <row r="2549" spans="1:18" x14ac:dyDescent="0.25">
      <c r="A2549" t="s">
        <v>2634</v>
      </c>
      <c r="B2549" t="s">
        <v>59</v>
      </c>
      <c r="C2549" t="s">
        <v>60</v>
      </c>
      <c r="D2549" t="s">
        <v>61</v>
      </c>
      <c r="E2549" t="s">
        <v>122</v>
      </c>
      <c r="F2549" t="s">
        <v>22</v>
      </c>
      <c r="G2549" t="s">
        <v>31</v>
      </c>
      <c r="H2549" s="1">
        <v>45393</v>
      </c>
      <c r="I2549" t="s">
        <v>24</v>
      </c>
      <c r="J2549" t="s">
        <v>2559</v>
      </c>
      <c r="K2549">
        <v>4</v>
      </c>
      <c r="N2549">
        <v>563</v>
      </c>
      <c r="O2549">
        <v>30</v>
      </c>
      <c r="P2549" s="1">
        <v>45698</v>
      </c>
      <c r="Q2549" s="1"/>
      <c r="R2549" t="str">
        <f>IF(Table1[[#This Row],[Actual close date]]="","",Table1[[#This Row],[Actual close date]]-Table1[[#This Row],[Expected close date]])</f>
        <v/>
      </c>
    </row>
    <row r="2550" spans="1:18" x14ac:dyDescent="0.25">
      <c r="A2550" t="s">
        <v>2635</v>
      </c>
      <c r="B2550" t="s">
        <v>18</v>
      </c>
      <c r="C2550" t="s">
        <v>19</v>
      </c>
      <c r="D2550" t="s">
        <v>20</v>
      </c>
      <c r="E2550" t="s">
        <v>42</v>
      </c>
      <c r="F2550" t="s">
        <v>22</v>
      </c>
      <c r="G2550" t="s">
        <v>72</v>
      </c>
      <c r="H2550" s="1">
        <v>45389</v>
      </c>
      <c r="I2550" t="s">
        <v>24</v>
      </c>
      <c r="J2550" t="s">
        <v>2559</v>
      </c>
      <c r="K2550">
        <v>4</v>
      </c>
      <c r="N2550">
        <v>1178</v>
      </c>
      <c r="O2550">
        <v>30</v>
      </c>
      <c r="P2550" s="1">
        <v>45510</v>
      </c>
      <c r="Q2550" s="1"/>
      <c r="R2550" t="str">
        <f>IF(Table1[[#This Row],[Actual close date]]="","",Table1[[#This Row],[Actual close date]]-Table1[[#This Row],[Expected close date]])</f>
        <v/>
      </c>
    </row>
    <row r="2551" spans="1:18" x14ac:dyDescent="0.25">
      <c r="A2551" t="s">
        <v>2636</v>
      </c>
      <c r="B2551" t="s">
        <v>33</v>
      </c>
      <c r="C2551" t="s">
        <v>34</v>
      </c>
      <c r="D2551" t="s">
        <v>35</v>
      </c>
      <c r="E2551" t="s">
        <v>52</v>
      </c>
      <c r="F2551" t="s">
        <v>22</v>
      </c>
      <c r="G2551" t="s">
        <v>46</v>
      </c>
      <c r="H2551" s="1">
        <v>45318</v>
      </c>
      <c r="I2551" t="s">
        <v>24</v>
      </c>
      <c r="J2551" t="s">
        <v>2559</v>
      </c>
      <c r="K2551">
        <v>4</v>
      </c>
      <c r="N2551">
        <v>1462</v>
      </c>
      <c r="O2551">
        <v>20</v>
      </c>
      <c r="P2551" s="1">
        <v>45614</v>
      </c>
      <c r="Q2551" s="1"/>
      <c r="R2551" t="str">
        <f>IF(Table1[[#This Row],[Actual close date]]="","",Table1[[#This Row],[Actual close date]]-Table1[[#This Row],[Expected close date]])</f>
        <v/>
      </c>
    </row>
    <row r="2552" spans="1:18" x14ac:dyDescent="0.25">
      <c r="A2552" t="s">
        <v>2637</v>
      </c>
      <c r="B2552" t="s">
        <v>76</v>
      </c>
      <c r="C2552" t="s">
        <v>77</v>
      </c>
      <c r="D2552" t="s">
        <v>78</v>
      </c>
      <c r="E2552" t="s">
        <v>122</v>
      </c>
      <c r="F2552" t="s">
        <v>22</v>
      </c>
      <c r="G2552" t="s">
        <v>83</v>
      </c>
      <c r="H2552" s="1">
        <v>45409</v>
      </c>
      <c r="I2552" t="s">
        <v>24</v>
      </c>
      <c r="J2552" t="s">
        <v>2559</v>
      </c>
      <c r="K2552">
        <v>4</v>
      </c>
      <c r="N2552">
        <v>210</v>
      </c>
      <c r="O2552">
        <v>40</v>
      </c>
      <c r="P2552" s="1">
        <v>45464</v>
      </c>
      <c r="Q2552" s="1"/>
      <c r="R2552" t="str">
        <f>IF(Table1[[#This Row],[Actual close date]]="","",Table1[[#This Row],[Actual close date]]-Table1[[#This Row],[Expected close date]])</f>
        <v/>
      </c>
    </row>
    <row r="2553" spans="1:18" x14ac:dyDescent="0.25">
      <c r="A2553" t="s">
        <v>2638</v>
      </c>
      <c r="B2553" t="s">
        <v>33</v>
      </c>
      <c r="C2553" t="s">
        <v>34</v>
      </c>
      <c r="D2553" t="s">
        <v>35</v>
      </c>
      <c r="E2553" t="s">
        <v>122</v>
      </c>
      <c r="F2553" t="s">
        <v>22</v>
      </c>
      <c r="G2553" t="s">
        <v>57</v>
      </c>
      <c r="H2553" s="1">
        <v>45309</v>
      </c>
      <c r="I2553" t="s">
        <v>24</v>
      </c>
      <c r="J2553" t="s">
        <v>2559</v>
      </c>
      <c r="K2553">
        <v>4</v>
      </c>
      <c r="N2553">
        <v>1139</v>
      </c>
      <c r="O2553">
        <v>20</v>
      </c>
      <c r="P2553" s="1">
        <v>45390</v>
      </c>
      <c r="Q2553" s="1"/>
      <c r="R2553" t="str">
        <f>IF(Table1[[#This Row],[Actual close date]]="","",Table1[[#This Row],[Actual close date]]-Table1[[#This Row],[Expected close date]])</f>
        <v/>
      </c>
    </row>
    <row r="2554" spans="1:18" x14ac:dyDescent="0.25">
      <c r="A2554" t="s">
        <v>2639</v>
      </c>
      <c r="B2554" t="s">
        <v>27</v>
      </c>
      <c r="C2554" t="s">
        <v>28</v>
      </c>
      <c r="D2554" t="s">
        <v>29</v>
      </c>
      <c r="E2554" t="s">
        <v>66</v>
      </c>
      <c r="F2554" t="s">
        <v>22</v>
      </c>
      <c r="G2554" t="s">
        <v>85</v>
      </c>
      <c r="H2554" s="1">
        <v>45390</v>
      </c>
      <c r="I2554" t="s">
        <v>47</v>
      </c>
      <c r="J2554" t="s">
        <v>2559</v>
      </c>
      <c r="K2554">
        <v>4</v>
      </c>
      <c r="N2554">
        <v>1800</v>
      </c>
      <c r="O2554">
        <v>90</v>
      </c>
      <c r="P2554" s="1">
        <v>45526</v>
      </c>
      <c r="Q2554" s="1"/>
      <c r="R2554" t="str">
        <f>IF(Table1[[#This Row],[Actual close date]]="","",Table1[[#This Row],[Actual close date]]-Table1[[#This Row],[Expected close date]])</f>
        <v/>
      </c>
    </row>
    <row r="2555" spans="1:18" x14ac:dyDescent="0.25">
      <c r="A2555" t="s">
        <v>2640</v>
      </c>
      <c r="B2555" t="s">
        <v>76</v>
      </c>
      <c r="C2555" t="s">
        <v>77</v>
      </c>
      <c r="D2555" t="s">
        <v>78</v>
      </c>
      <c r="E2555" t="s">
        <v>36</v>
      </c>
      <c r="F2555" t="s">
        <v>22</v>
      </c>
      <c r="G2555" t="s">
        <v>37</v>
      </c>
      <c r="H2555" s="1">
        <v>45437</v>
      </c>
      <c r="I2555" t="s">
        <v>64</v>
      </c>
      <c r="J2555" t="s">
        <v>2559</v>
      </c>
      <c r="K2555">
        <v>4</v>
      </c>
      <c r="N2555">
        <v>468</v>
      </c>
      <c r="O2555">
        <v>50</v>
      </c>
      <c r="P2555" s="1">
        <v>45726</v>
      </c>
      <c r="Q2555" s="1"/>
      <c r="R2555" t="str">
        <f>IF(Table1[[#This Row],[Actual close date]]="","",Table1[[#This Row],[Actual close date]]-Table1[[#This Row],[Expected close date]])</f>
        <v/>
      </c>
    </row>
    <row r="2556" spans="1:18" x14ac:dyDescent="0.25">
      <c r="A2556" t="s">
        <v>2641</v>
      </c>
      <c r="B2556" t="s">
        <v>33</v>
      </c>
      <c r="C2556" t="s">
        <v>34</v>
      </c>
      <c r="D2556" t="s">
        <v>35</v>
      </c>
      <c r="E2556" t="s">
        <v>45</v>
      </c>
      <c r="F2556" t="s">
        <v>22</v>
      </c>
      <c r="G2556" t="s">
        <v>83</v>
      </c>
      <c r="H2556" s="1">
        <v>45398</v>
      </c>
      <c r="I2556" t="s">
        <v>64</v>
      </c>
      <c r="J2556" t="s">
        <v>2559</v>
      </c>
      <c r="K2556">
        <v>4</v>
      </c>
      <c r="N2556">
        <v>642</v>
      </c>
      <c r="O2556">
        <v>50</v>
      </c>
      <c r="P2556" s="1">
        <v>45691</v>
      </c>
      <c r="Q2556" s="1"/>
      <c r="R2556" t="str">
        <f>IF(Table1[[#This Row],[Actual close date]]="","",Table1[[#This Row],[Actual close date]]-Table1[[#This Row],[Expected close date]])</f>
        <v/>
      </c>
    </row>
    <row r="2557" spans="1:18" x14ac:dyDescent="0.25">
      <c r="A2557" t="s">
        <v>2642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t="s">
        <v>72</v>
      </c>
      <c r="H2557" s="1">
        <v>45346</v>
      </c>
      <c r="I2557" t="s">
        <v>24</v>
      </c>
      <c r="J2557" t="s">
        <v>2559</v>
      </c>
      <c r="K2557">
        <v>4</v>
      </c>
      <c r="N2557">
        <v>1798</v>
      </c>
      <c r="O2557">
        <v>30</v>
      </c>
      <c r="P2557" s="1">
        <v>45711</v>
      </c>
      <c r="Q2557" s="1"/>
      <c r="R2557" t="str">
        <f>IF(Table1[[#This Row],[Actual close date]]="","",Table1[[#This Row],[Actual close date]]-Table1[[#This Row],[Expected close date]])</f>
        <v/>
      </c>
    </row>
    <row r="2558" spans="1:18" x14ac:dyDescent="0.25">
      <c r="A2558" t="s">
        <v>2643</v>
      </c>
      <c r="B2558" t="s">
        <v>69</v>
      </c>
      <c r="C2558" t="s">
        <v>70</v>
      </c>
      <c r="D2558" t="s">
        <v>71</v>
      </c>
      <c r="E2558" t="s">
        <v>30</v>
      </c>
      <c r="F2558" t="s">
        <v>22</v>
      </c>
      <c r="G2558" t="s">
        <v>46</v>
      </c>
      <c r="H2558" s="1">
        <v>45346</v>
      </c>
      <c r="I2558" t="s">
        <v>24</v>
      </c>
      <c r="J2558" t="s">
        <v>2559</v>
      </c>
      <c r="K2558">
        <v>4</v>
      </c>
      <c r="N2558">
        <v>1720</v>
      </c>
      <c r="O2558">
        <v>20</v>
      </c>
      <c r="P2558" s="1">
        <v>45606</v>
      </c>
      <c r="Q2558" s="1"/>
      <c r="R2558" t="str">
        <f>IF(Table1[[#This Row],[Actual close date]]="","",Table1[[#This Row],[Actual close date]]-Table1[[#This Row],[Expected close date]])</f>
        <v/>
      </c>
    </row>
    <row r="2559" spans="1:18" x14ac:dyDescent="0.25">
      <c r="A2559" t="s">
        <v>2644</v>
      </c>
      <c r="B2559" t="s">
        <v>59</v>
      </c>
      <c r="C2559" t="s">
        <v>60</v>
      </c>
      <c r="D2559" t="s">
        <v>61</v>
      </c>
      <c r="E2559" t="s">
        <v>98</v>
      </c>
      <c r="F2559" t="s">
        <v>22</v>
      </c>
      <c r="G2559" t="s">
        <v>57</v>
      </c>
      <c r="H2559" s="1">
        <v>45293</v>
      </c>
      <c r="I2559" t="s">
        <v>47</v>
      </c>
      <c r="J2559" t="s">
        <v>2559</v>
      </c>
      <c r="K2559">
        <v>4</v>
      </c>
      <c r="N2559">
        <v>1336</v>
      </c>
      <c r="O2559">
        <v>30</v>
      </c>
      <c r="P2559" s="1">
        <v>45612</v>
      </c>
      <c r="Q2559" s="1"/>
      <c r="R2559" t="str">
        <f>IF(Table1[[#This Row],[Actual close date]]="","",Table1[[#This Row],[Actual close date]]-Table1[[#This Row],[Expected close date]])</f>
        <v/>
      </c>
    </row>
    <row r="2560" spans="1:18" x14ac:dyDescent="0.25">
      <c r="A2560" t="s">
        <v>2645</v>
      </c>
      <c r="B2560" t="s">
        <v>54</v>
      </c>
      <c r="C2560" t="s">
        <v>55</v>
      </c>
      <c r="D2560" t="s">
        <v>56</v>
      </c>
      <c r="E2560" t="s">
        <v>118</v>
      </c>
      <c r="F2560" t="s">
        <v>22</v>
      </c>
      <c r="G2560" t="s">
        <v>85</v>
      </c>
      <c r="H2560" s="1">
        <v>45409</v>
      </c>
      <c r="I2560" t="s">
        <v>24</v>
      </c>
      <c r="J2560" t="s">
        <v>2559</v>
      </c>
      <c r="K2560">
        <v>4</v>
      </c>
      <c r="N2560">
        <v>1544</v>
      </c>
      <c r="O2560">
        <v>20</v>
      </c>
      <c r="P2560" s="1">
        <v>45491</v>
      </c>
      <c r="Q2560" s="1"/>
      <c r="R2560" t="str">
        <f>IF(Table1[[#This Row],[Actual close date]]="","",Table1[[#This Row],[Actual close date]]-Table1[[#This Row],[Expected close date]])</f>
        <v/>
      </c>
    </row>
    <row r="2561" spans="1:18" x14ac:dyDescent="0.25">
      <c r="A2561" t="s">
        <v>2646</v>
      </c>
      <c r="B2561" t="s">
        <v>59</v>
      </c>
      <c r="C2561" t="s">
        <v>60</v>
      </c>
      <c r="D2561" t="s">
        <v>61</v>
      </c>
      <c r="E2561" t="s">
        <v>52</v>
      </c>
      <c r="F2561" t="s">
        <v>22</v>
      </c>
      <c r="G2561" t="s">
        <v>72</v>
      </c>
      <c r="H2561" s="1">
        <v>45308</v>
      </c>
      <c r="I2561" t="s">
        <v>64</v>
      </c>
      <c r="J2561" t="s">
        <v>2559</v>
      </c>
      <c r="K2561">
        <v>4</v>
      </c>
      <c r="N2561">
        <v>828</v>
      </c>
      <c r="O2561">
        <v>50</v>
      </c>
      <c r="P2561" s="1">
        <v>45362</v>
      </c>
      <c r="Q2561" s="1"/>
      <c r="R2561" t="str">
        <f>IF(Table1[[#This Row],[Actual close date]]="","",Table1[[#This Row],[Actual close date]]-Table1[[#This Row],[Expected close date]])</f>
        <v/>
      </c>
    </row>
    <row r="2562" spans="1:18" x14ac:dyDescent="0.25">
      <c r="A2562" t="s">
        <v>2647</v>
      </c>
      <c r="B2562" t="s">
        <v>49</v>
      </c>
      <c r="C2562" t="s">
        <v>50</v>
      </c>
      <c r="D2562" t="s">
        <v>51</v>
      </c>
      <c r="E2562" t="s">
        <v>82</v>
      </c>
      <c r="F2562" t="s">
        <v>22</v>
      </c>
      <c r="G2562" t="s">
        <v>46</v>
      </c>
      <c r="H2562" s="1">
        <v>45356</v>
      </c>
      <c r="I2562" t="s">
        <v>64</v>
      </c>
      <c r="J2562" t="s">
        <v>2559</v>
      </c>
      <c r="K2562">
        <v>4</v>
      </c>
      <c r="N2562">
        <v>1570</v>
      </c>
      <c r="O2562">
        <v>40</v>
      </c>
      <c r="P2562" s="1">
        <v>45651</v>
      </c>
      <c r="Q2562" s="1"/>
      <c r="R2562" t="str">
        <f>IF(Table1[[#This Row],[Actual close date]]="","",Table1[[#This Row],[Actual close date]]-Table1[[#This Row],[Expected close date]])</f>
        <v/>
      </c>
    </row>
    <row r="2563" spans="1:18" x14ac:dyDescent="0.25">
      <c r="A2563" t="s">
        <v>2648</v>
      </c>
      <c r="B2563" t="s">
        <v>59</v>
      </c>
      <c r="C2563" t="s">
        <v>60</v>
      </c>
      <c r="D2563" t="s">
        <v>61</v>
      </c>
      <c r="E2563" t="s">
        <v>45</v>
      </c>
      <c r="F2563" t="s">
        <v>22</v>
      </c>
      <c r="G2563" t="s">
        <v>57</v>
      </c>
      <c r="H2563" s="1">
        <v>45412</v>
      </c>
      <c r="I2563" t="s">
        <v>24</v>
      </c>
      <c r="J2563" t="s">
        <v>2559</v>
      </c>
      <c r="K2563">
        <v>4</v>
      </c>
      <c r="N2563">
        <v>1831</v>
      </c>
      <c r="O2563">
        <v>20</v>
      </c>
      <c r="P2563" s="1">
        <v>45556</v>
      </c>
      <c r="Q2563" s="1"/>
      <c r="R2563" t="str">
        <f>IF(Table1[[#This Row],[Actual close date]]="","",Table1[[#This Row],[Actual close date]]-Table1[[#This Row],[Expected close date]])</f>
        <v/>
      </c>
    </row>
    <row r="2564" spans="1:18" x14ac:dyDescent="0.25">
      <c r="A2564" t="s">
        <v>2649</v>
      </c>
      <c r="B2564" t="s">
        <v>18</v>
      </c>
      <c r="C2564" t="s">
        <v>19</v>
      </c>
      <c r="D2564" t="s">
        <v>20</v>
      </c>
      <c r="E2564" t="s">
        <v>45</v>
      </c>
      <c r="F2564" t="s">
        <v>22</v>
      </c>
      <c r="G2564" t="s">
        <v>37</v>
      </c>
      <c r="H2564" s="1">
        <v>45376</v>
      </c>
      <c r="I2564" t="s">
        <v>24</v>
      </c>
      <c r="J2564" t="s">
        <v>2559</v>
      </c>
      <c r="K2564">
        <v>4</v>
      </c>
      <c r="N2564">
        <v>1616</v>
      </c>
      <c r="O2564">
        <v>20</v>
      </c>
      <c r="P2564" s="1">
        <v>45633</v>
      </c>
      <c r="Q2564" s="1"/>
      <c r="R2564" t="str">
        <f>IF(Table1[[#This Row],[Actual close date]]="","",Table1[[#This Row],[Actual close date]]-Table1[[#This Row],[Expected close date]])</f>
        <v/>
      </c>
    </row>
    <row r="2565" spans="1:18" x14ac:dyDescent="0.25">
      <c r="A2565" t="s">
        <v>2650</v>
      </c>
      <c r="B2565" t="s">
        <v>59</v>
      </c>
      <c r="C2565" t="s">
        <v>60</v>
      </c>
      <c r="D2565" t="s">
        <v>61</v>
      </c>
      <c r="E2565" t="s">
        <v>21</v>
      </c>
      <c r="F2565" t="s">
        <v>22</v>
      </c>
      <c r="G2565" t="s">
        <v>57</v>
      </c>
      <c r="H2565" s="1">
        <v>45381</v>
      </c>
      <c r="I2565" t="s">
        <v>64</v>
      </c>
      <c r="J2565" t="s">
        <v>2559</v>
      </c>
      <c r="K2565">
        <v>4</v>
      </c>
      <c r="N2565">
        <v>1210</v>
      </c>
      <c r="O2565">
        <v>40</v>
      </c>
      <c r="P2565" s="1">
        <v>45484</v>
      </c>
      <c r="Q2565" s="1"/>
      <c r="R2565" t="str">
        <f>IF(Table1[[#This Row],[Actual close date]]="","",Table1[[#This Row],[Actual close date]]-Table1[[#This Row],[Expected close date]])</f>
        <v/>
      </c>
    </row>
    <row r="2566" spans="1:18" x14ac:dyDescent="0.25">
      <c r="A2566" t="s">
        <v>2651</v>
      </c>
      <c r="B2566" t="s">
        <v>33</v>
      </c>
      <c r="C2566" t="s">
        <v>34</v>
      </c>
      <c r="D2566" t="s">
        <v>35</v>
      </c>
      <c r="E2566" t="s">
        <v>62</v>
      </c>
      <c r="F2566" t="s">
        <v>22</v>
      </c>
      <c r="G2566" t="s">
        <v>31</v>
      </c>
      <c r="H2566" s="1">
        <v>45360</v>
      </c>
      <c r="I2566" t="s">
        <v>24</v>
      </c>
      <c r="J2566" t="s">
        <v>2559</v>
      </c>
      <c r="K2566">
        <v>4</v>
      </c>
      <c r="N2566">
        <v>1493</v>
      </c>
      <c r="O2566">
        <v>50</v>
      </c>
      <c r="P2566" s="1">
        <v>45688</v>
      </c>
      <c r="Q2566" s="1"/>
      <c r="R2566" t="str">
        <f>IF(Table1[[#This Row],[Actual close date]]="","",Table1[[#This Row],[Actual close date]]-Table1[[#This Row],[Expected close date]])</f>
        <v/>
      </c>
    </row>
    <row r="2567" spans="1:18" x14ac:dyDescent="0.25">
      <c r="A2567" t="s">
        <v>2652</v>
      </c>
      <c r="B2567" t="s">
        <v>39</v>
      </c>
      <c r="C2567" t="s">
        <v>40</v>
      </c>
      <c r="D2567" t="s">
        <v>41</v>
      </c>
      <c r="E2567" t="s">
        <v>45</v>
      </c>
      <c r="F2567" t="s">
        <v>22</v>
      </c>
      <c r="G2567" t="s">
        <v>37</v>
      </c>
      <c r="H2567" s="1">
        <v>45324</v>
      </c>
      <c r="I2567" t="s">
        <v>64</v>
      </c>
      <c r="J2567" t="s">
        <v>2559</v>
      </c>
      <c r="K2567">
        <v>4</v>
      </c>
      <c r="N2567">
        <v>365</v>
      </c>
      <c r="O2567">
        <v>30</v>
      </c>
      <c r="P2567" s="1">
        <v>45529</v>
      </c>
      <c r="Q2567" s="1"/>
      <c r="R2567" t="str">
        <f>IF(Table1[[#This Row],[Actual close date]]="","",Table1[[#This Row],[Actual close date]]-Table1[[#This Row],[Expected close date]])</f>
        <v/>
      </c>
    </row>
    <row r="2568" spans="1:18" x14ac:dyDescent="0.25">
      <c r="A2568" t="s">
        <v>2653</v>
      </c>
      <c r="B2568" t="s">
        <v>54</v>
      </c>
      <c r="C2568" t="s">
        <v>55</v>
      </c>
      <c r="D2568" t="s">
        <v>56</v>
      </c>
      <c r="E2568" t="s">
        <v>74</v>
      </c>
      <c r="F2568" t="s">
        <v>22</v>
      </c>
      <c r="G2568" t="s">
        <v>46</v>
      </c>
      <c r="H2568" s="1">
        <v>45432</v>
      </c>
      <c r="I2568" t="s">
        <v>24</v>
      </c>
      <c r="J2568" t="s">
        <v>2559</v>
      </c>
      <c r="K2568">
        <v>4</v>
      </c>
      <c r="N2568">
        <v>550</v>
      </c>
      <c r="O2568">
        <v>60</v>
      </c>
      <c r="P2568" s="1">
        <v>45658</v>
      </c>
      <c r="Q2568" s="1"/>
      <c r="R2568" t="str">
        <f>IF(Table1[[#This Row],[Actual close date]]="","",Table1[[#This Row],[Actual close date]]-Table1[[#This Row],[Expected close date]])</f>
        <v/>
      </c>
    </row>
    <row r="2569" spans="1:18" x14ac:dyDescent="0.25">
      <c r="A2569" t="s">
        <v>2654</v>
      </c>
      <c r="B2569" t="s">
        <v>18</v>
      </c>
      <c r="C2569" t="s">
        <v>19</v>
      </c>
      <c r="D2569" t="s">
        <v>20</v>
      </c>
      <c r="E2569" t="s">
        <v>74</v>
      </c>
      <c r="F2569" t="s">
        <v>22</v>
      </c>
      <c r="G2569" t="s">
        <v>85</v>
      </c>
      <c r="H2569" s="1">
        <v>45407</v>
      </c>
      <c r="I2569" t="s">
        <v>47</v>
      </c>
      <c r="J2569" t="s">
        <v>2559</v>
      </c>
      <c r="K2569">
        <v>4</v>
      </c>
      <c r="N2569">
        <v>931</v>
      </c>
      <c r="O2569">
        <v>20</v>
      </c>
      <c r="P2569" s="1">
        <v>45760</v>
      </c>
      <c r="Q2569" s="1"/>
      <c r="R2569" t="str">
        <f>IF(Table1[[#This Row],[Actual close date]]="","",Table1[[#This Row],[Actual close date]]-Table1[[#This Row],[Expected close date]])</f>
        <v/>
      </c>
    </row>
    <row r="2570" spans="1:18" x14ac:dyDescent="0.25">
      <c r="A2570" t="s">
        <v>2655</v>
      </c>
      <c r="B2570" t="s">
        <v>49</v>
      </c>
      <c r="C2570" t="s">
        <v>50</v>
      </c>
      <c r="D2570" t="s">
        <v>51</v>
      </c>
      <c r="E2570" t="s">
        <v>42</v>
      </c>
      <c r="F2570" t="s">
        <v>22</v>
      </c>
      <c r="G2570" t="s">
        <v>83</v>
      </c>
      <c r="H2570" s="1">
        <v>45329</v>
      </c>
      <c r="I2570" t="s">
        <v>47</v>
      </c>
      <c r="J2570" t="s">
        <v>2559</v>
      </c>
      <c r="K2570">
        <v>4</v>
      </c>
      <c r="N2570">
        <v>1626</v>
      </c>
      <c r="O2570">
        <v>30</v>
      </c>
      <c r="P2570" s="1">
        <v>45518</v>
      </c>
      <c r="Q2570" s="1"/>
      <c r="R2570" t="str">
        <f>IF(Table1[[#This Row],[Actual close date]]="","",Table1[[#This Row],[Actual close date]]-Table1[[#This Row],[Expected close date]])</f>
        <v/>
      </c>
    </row>
    <row r="2571" spans="1:18" x14ac:dyDescent="0.25">
      <c r="A2571" t="s">
        <v>2656</v>
      </c>
      <c r="B2571" t="s">
        <v>39</v>
      </c>
      <c r="C2571" t="s">
        <v>40</v>
      </c>
      <c r="D2571" t="s">
        <v>41</v>
      </c>
      <c r="E2571" t="s">
        <v>45</v>
      </c>
      <c r="F2571" t="s">
        <v>22</v>
      </c>
      <c r="G2571" t="s">
        <v>72</v>
      </c>
      <c r="H2571" s="1">
        <v>45338</v>
      </c>
      <c r="I2571" t="s">
        <v>64</v>
      </c>
      <c r="J2571" t="s">
        <v>2559</v>
      </c>
      <c r="K2571">
        <v>4</v>
      </c>
      <c r="N2571">
        <v>1206</v>
      </c>
      <c r="O2571">
        <v>30</v>
      </c>
      <c r="P2571" s="1">
        <v>45617</v>
      </c>
      <c r="Q2571" s="1"/>
      <c r="R2571" t="str">
        <f>IF(Table1[[#This Row],[Actual close date]]="","",Table1[[#This Row],[Actual close date]]-Table1[[#This Row],[Expected close date]])</f>
        <v/>
      </c>
    </row>
    <row r="2572" spans="1:18" x14ac:dyDescent="0.25">
      <c r="A2572" t="s">
        <v>2657</v>
      </c>
      <c r="B2572" t="s">
        <v>76</v>
      </c>
      <c r="C2572" t="s">
        <v>77</v>
      </c>
      <c r="D2572" t="s">
        <v>78</v>
      </c>
      <c r="E2572" t="s">
        <v>45</v>
      </c>
      <c r="F2572" t="s">
        <v>22</v>
      </c>
      <c r="G2572" t="s">
        <v>46</v>
      </c>
      <c r="H2572" s="1">
        <v>45361</v>
      </c>
      <c r="I2572" t="s">
        <v>64</v>
      </c>
      <c r="J2572" t="s">
        <v>2559</v>
      </c>
      <c r="K2572">
        <v>4</v>
      </c>
      <c r="N2572">
        <v>885</v>
      </c>
      <c r="O2572">
        <v>20</v>
      </c>
      <c r="P2572" s="1">
        <v>45598</v>
      </c>
      <c r="Q2572" s="1"/>
      <c r="R2572" t="str">
        <f>IF(Table1[[#This Row],[Actual close date]]="","",Table1[[#This Row],[Actual close date]]-Table1[[#This Row],[Expected close date]])</f>
        <v/>
      </c>
    </row>
    <row r="2573" spans="1:18" x14ac:dyDescent="0.25">
      <c r="A2573" t="s">
        <v>2658</v>
      </c>
      <c r="B2573" t="s">
        <v>27</v>
      </c>
      <c r="C2573" t="s">
        <v>28</v>
      </c>
      <c r="D2573" t="s">
        <v>29</v>
      </c>
      <c r="E2573" t="s">
        <v>42</v>
      </c>
      <c r="F2573" t="s">
        <v>22</v>
      </c>
      <c r="G2573" t="s">
        <v>57</v>
      </c>
      <c r="H2573" s="1">
        <v>45325</v>
      </c>
      <c r="I2573" t="s">
        <v>24</v>
      </c>
      <c r="J2573" t="s">
        <v>2559</v>
      </c>
      <c r="K2573">
        <v>4</v>
      </c>
      <c r="N2573">
        <v>1709</v>
      </c>
      <c r="O2573">
        <v>20</v>
      </c>
      <c r="P2573" s="1">
        <v>45428</v>
      </c>
      <c r="Q2573" s="1"/>
      <c r="R2573" t="str">
        <f>IF(Table1[[#This Row],[Actual close date]]="","",Table1[[#This Row],[Actual close date]]-Table1[[#This Row],[Expected close date]])</f>
        <v/>
      </c>
    </row>
    <row r="2574" spans="1:18" x14ac:dyDescent="0.25">
      <c r="A2574" t="s">
        <v>2659</v>
      </c>
      <c r="B2574" t="s">
        <v>33</v>
      </c>
      <c r="C2574" t="s">
        <v>34</v>
      </c>
      <c r="D2574" t="s">
        <v>35</v>
      </c>
      <c r="E2574" t="s">
        <v>42</v>
      </c>
      <c r="F2574" t="s">
        <v>22</v>
      </c>
      <c r="G2574" t="s">
        <v>37</v>
      </c>
      <c r="H2574" s="1">
        <v>45373</v>
      </c>
      <c r="I2574" t="s">
        <v>24</v>
      </c>
      <c r="J2574" t="s">
        <v>2559</v>
      </c>
      <c r="K2574">
        <v>4</v>
      </c>
      <c r="N2574">
        <v>642</v>
      </c>
      <c r="O2574">
        <v>30</v>
      </c>
      <c r="P2574" s="1">
        <v>45548</v>
      </c>
      <c r="Q2574" s="1"/>
      <c r="R2574" t="str">
        <f>IF(Table1[[#This Row],[Actual close date]]="","",Table1[[#This Row],[Actual close date]]-Table1[[#This Row],[Expected close date]])</f>
        <v/>
      </c>
    </row>
    <row r="2575" spans="1:18" x14ac:dyDescent="0.25">
      <c r="A2575" t="s">
        <v>2660</v>
      </c>
      <c r="B2575" t="s">
        <v>27</v>
      </c>
      <c r="C2575" t="s">
        <v>28</v>
      </c>
      <c r="D2575" t="s">
        <v>29</v>
      </c>
      <c r="E2575" t="s">
        <v>118</v>
      </c>
      <c r="F2575" t="s">
        <v>22</v>
      </c>
      <c r="G2575" t="s">
        <v>31</v>
      </c>
      <c r="H2575" s="1">
        <v>45418</v>
      </c>
      <c r="I2575" t="s">
        <v>64</v>
      </c>
      <c r="J2575" t="s">
        <v>2559</v>
      </c>
      <c r="K2575">
        <v>4</v>
      </c>
      <c r="N2575">
        <v>1124</v>
      </c>
      <c r="O2575">
        <v>40</v>
      </c>
      <c r="P2575" s="1">
        <v>45612</v>
      </c>
      <c r="Q2575" s="1"/>
      <c r="R2575" t="str">
        <f>IF(Table1[[#This Row],[Actual close date]]="","",Table1[[#This Row],[Actual close date]]-Table1[[#This Row],[Expected close date]])</f>
        <v/>
      </c>
    </row>
    <row r="2576" spans="1:18" x14ac:dyDescent="0.25">
      <c r="A2576" t="s">
        <v>2661</v>
      </c>
      <c r="B2576" t="s">
        <v>33</v>
      </c>
      <c r="C2576" t="s">
        <v>34</v>
      </c>
      <c r="D2576" t="s">
        <v>35</v>
      </c>
      <c r="E2576" t="s">
        <v>42</v>
      </c>
      <c r="F2576" t="s">
        <v>22</v>
      </c>
      <c r="G2576" t="s">
        <v>37</v>
      </c>
      <c r="H2576" s="1">
        <v>45441</v>
      </c>
      <c r="I2576" t="s">
        <v>24</v>
      </c>
      <c r="J2576" t="s">
        <v>2559</v>
      </c>
      <c r="K2576">
        <v>4</v>
      </c>
      <c r="N2576">
        <v>1397</v>
      </c>
      <c r="O2576">
        <v>80</v>
      </c>
      <c r="P2576" s="1">
        <v>45509</v>
      </c>
      <c r="Q2576" s="1"/>
      <c r="R2576" t="str">
        <f>IF(Table1[[#This Row],[Actual close date]]="","",Table1[[#This Row],[Actual close date]]-Table1[[#This Row],[Expected close date]])</f>
        <v/>
      </c>
    </row>
    <row r="2577" spans="1:18" x14ac:dyDescent="0.25">
      <c r="A2577" t="s">
        <v>2662</v>
      </c>
      <c r="B2577" t="s">
        <v>76</v>
      </c>
      <c r="C2577" t="s">
        <v>77</v>
      </c>
      <c r="D2577" t="s">
        <v>78</v>
      </c>
      <c r="E2577" t="s">
        <v>30</v>
      </c>
      <c r="F2577" t="s">
        <v>22</v>
      </c>
      <c r="G2577" t="s">
        <v>46</v>
      </c>
      <c r="H2577" s="1">
        <v>45300</v>
      </c>
      <c r="I2577" t="s">
        <v>24</v>
      </c>
      <c r="J2577" t="s">
        <v>2559</v>
      </c>
      <c r="K2577">
        <v>4</v>
      </c>
      <c r="N2577">
        <v>1935</v>
      </c>
      <c r="O2577">
        <v>30</v>
      </c>
      <c r="P2577" s="1">
        <v>45396</v>
      </c>
      <c r="Q2577" s="1"/>
      <c r="R2577" t="str">
        <f>IF(Table1[[#This Row],[Actual close date]]="","",Table1[[#This Row],[Actual close date]]-Table1[[#This Row],[Expected close date]])</f>
        <v/>
      </c>
    </row>
    <row r="2578" spans="1:18" x14ac:dyDescent="0.25">
      <c r="A2578" t="s">
        <v>2663</v>
      </c>
      <c r="B2578" t="s">
        <v>33</v>
      </c>
      <c r="C2578" t="s">
        <v>34</v>
      </c>
      <c r="D2578" t="s">
        <v>35</v>
      </c>
      <c r="E2578" t="s">
        <v>21</v>
      </c>
      <c r="F2578" t="s">
        <v>22</v>
      </c>
      <c r="G2578" t="s">
        <v>72</v>
      </c>
      <c r="H2578" s="1">
        <v>45402</v>
      </c>
      <c r="I2578" t="s">
        <v>64</v>
      </c>
      <c r="J2578" t="s">
        <v>2559</v>
      </c>
      <c r="K2578">
        <v>4</v>
      </c>
      <c r="N2578">
        <v>1661</v>
      </c>
      <c r="O2578">
        <v>20</v>
      </c>
      <c r="P2578" s="1">
        <v>45737</v>
      </c>
      <c r="Q2578" s="1"/>
      <c r="R2578" t="str">
        <f>IF(Table1[[#This Row],[Actual close date]]="","",Table1[[#This Row],[Actual close date]]-Table1[[#This Row],[Expected close date]])</f>
        <v/>
      </c>
    </row>
    <row r="2579" spans="1:18" x14ac:dyDescent="0.25">
      <c r="A2579" t="s">
        <v>2664</v>
      </c>
      <c r="B2579" t="s">
        <v>59</v>
      </c>
      <c r="C2579" t="s">
        <v>60</v>
      </c>
      <c r="D2579" t="s">
        <v>61</v>
      </c>
      <c r="E2579" t="s">
        <v>74</v>
      </c>
      <c r="F2579" t="s">
        <v>22</v>
      </c>
      <c r="G2579" t="s">
        <v>85</v>
      </c>
      <c r="H2579" s="1">
        <v>45412</v>
      </c>
      <c r="I2579" t="s">
        <v>24</v>
      </c>
      <c r="J2579" t="s">
        <v>2559</v>
      </c>
      <c r="K2579">
        <v>4</v>
      </c>
      <c r="N2579">
        <v>1163</v>
      </c>
      <c r="O2579">
        <v>90</v>
      </c>
      <c r="P2579" s="1">
        <v>45743</v>
      </c>
      <c r="Q2579" s="1"/>
      <c r="R2579" t="str">
        <f>IF(Table1[[#This Row],[Actual close date]]="","",Table1[[#This Row],[Actual close date]]-Table1[[#This Row],[Expected close date]])</f>
        <v/>
      </c>
    </row>
    <row r="2580" spans="1:18" x14ac:dyDescent="0.25">
      <c r="A2580" t="s">
        <v>2665</v>
      </c>
      <c r="B2580" t="s">
        <v>33</v>
      </c>
      <c r="C2580" t="s">
        <v>34</v>
      </c>
      <c r="D2580" t="s">
        <v>35</v>
      </c>
      <c r="E2580" t="s">
        <v>101</v>
      </c>
      <c r="F2580" t="s">
        <v>22</v>
      </c>
      <c r="G2580" t="s">
        <v>57</v>
      </c>
      <c r="H2580" s="1">
        <v>45344</v>
      </c>
      <c r="I2580" t="s">
        <v>24</v>
      </c>
      <c r="J2580" t="s">
        <v>2559</v>
      </c>
      <c r="K2580">
        <v>4</v>
      </c>
      <c r="N2580">
        <v>373</v>
      </c>
      <c r="O2580">
        <v>50</v>
      </c>
      <c r="P2580" s="1">
        <v>45417</v>
      </c>
      <c r="Q2580" s="1"/>
      <c r="R2580" t="str">
        <f>IF(Table1[[#This Row],[Actual close date]]="","",Table1[[#This Row],[Actual close date]]-Table1[[#This Row],[Expected close date]])</f>
        <v/>
      </c>
    </row>
    <row r="2581" spans="1:18" x14ac:dyDescent="0.25">
      <c r="A2581" t="s">
        <v>2666</v>
      </c>
      <c r="B2581" t="s">
        <v>59</v>
      </c>
      <c r="C2581" t="s">
        <v>60</v>
      </c>
      <c r="D2581" t="s">
        <v>61</v>
      </c>
      <c r="E2581" t="s">
        <v>82</v>
      </c>
      <c r="F2581" t="s">
        <v>22</v>
      </c>
      <c r="G2581" t="s">
        <v>37</v>
      </c>
      <c r="H2581" s="1">
        <v>45300</v>
      </c>
      <c r="I2581" t="s">
        <v>24</v>
      </c>
      <c r="J2581" t="s">
        <v>2559</v>
      </c>
      <c r="K2581">
        <v>4</v>
      </c>
      <c r="N2581">
        <v>388</v>
      </c>
      <c r="O2581">
        <v>40</v>
      </c>
      <c r="P2581" s="1">
        <v>45363</v>
      </c>
      <c r="Q2581" s="1"/>
      <c r="R2581" t="str">
        <f>IF(Table1[[#This Row],[Actual close date]]="","",Table1[[#This Row],[Actual close date]]-Table1[[#This Row],[Expected close date]])</f>
        <v/>
      </c>
    </row>
    <row r="2582" spans="1:18" x14ac:dyDescent="0.25">
      <c r="A2582" t="s">
        <v>2667</v>
      </c>
      <c r="B2582" t="s">
        <v>54</v>
      </c>
      <c r="C2582" t="s">
        <v>55</v>
      </c>
      <c r="D2582" t="s">
        <v>56</v>
      </c>
      <c r="E2582" t="s">
        <v>52</v>
      </c>
      <c r="F2582" t="s">
        <v>22</v>
      </c>
      <c r="G2582" t="s">
        <v>46</v>
      </c>
      <c r="H2582" s="1">
        <v>45374</v>
      </c>
      <c r="I2582" t="s">
        <v>24</v>
      </c>
      <c r="J2582" t="s">
        <v>2559</v>
      </c>
      <c r="K2582">
        <v>4</v>
      </c>
      <c r="N2582">
        <v>871</v>
      </c>
      <c r="O2582">
        <v>50</v>
      </c>
      <c r="P2582" s="1">
        <v>45624</v>
      </c>
      <c r="Q2582" s="1"/>
      <c r="R2582" t="str">
        <f>IF(Table1[[#This Row],[Actual close date]]="","",Table1[[#This Row],[Actual close date]]-Table1[[#This Row],[Expected close date]])</f>
        <v/>
      </c>
    </row>
    <row r="2583" spans="1:18" x14ac:dyDescent="0.25">
      <c r="A2583" t="s">
        <v>2668</v>
      </c>
      <c r="B2583" t="s">
        <v>54</v>
      </c>
      <c r="C2583" t="s">
        <v>55</v>
      </c>
      <c r="D2583" t="s">
        <v>56</v>
      </c>
      <c r="E2583" t="s">
        <v>45</v>
      </c>
      <c r="F2583" t="s">
        <v>22</v>
      </c>
      <c r="G2583" t="s">
        <v>23</v>
      </c>
      <c r="H2583" s="1">
        <v>45337</v>
      </c>
      <c r="I2583" t="s">
        <v>24</v>
      </c>
      <c r="J2583" t="s">
        <v>2559</v>
      </c>
      <c r="K2583">
        <v>4</v>
      </c>
      <c r="N2583">
        <v>1917</v>
      </c>
      <c r="O2583">
        <v>30</v>
      </c>
      <c r="P2583" s="1">
        <v>45541</v>
      </c>
      <c r="Q2583" s="1"/>
      <c r="R2583" t="str">
        <f>IF(Table1[[#This Row],[Actual close date]]="","",Table1[[#This Row],[Actual close date]]-Table1[[#This Row],[Expected close date]])</f>
        <v/>
      </c>
    </row>
    <row r="2584" spans="1:18" x14ac:dyDescent="0.25">
      <c r="A2584" t="s">
        <v>2669</v>
      </c>
      <c r="B2584" t="s">
        <v>39</v>
      </c>
      <c r="C2584" t="s">
        <v>40</v>
      </c>
      <c r="D2584" t="s">
        <v>41</v>
      </c>
      <c r="E2584" t="s">
        <v>45</v>
      </c>
      <c r="F2584" t="s">
        <v>22</v>
      </c>
      <c r="G2584" t="s">
        <v>46</v>
      </c>
      <c r="H2584" s="1">
        <v>45327</v>
      </c>
      <c r="I2584" t="s">
        <v>64</v>
      </c>
      <c r="J2584" t="s">
        <v>2559</v>
      </c>
      <c r="K2584">
        <v>4</v>
      </c>
      <c r="N2584">
        <v>1362</v>
      </c>
      <c r="O2584">
        <v>40</v>
      </c>
      <c r="P2584" s="1">
        <v>45352</v>
      </c>
      <c r="Q2584" s="1"/>
      <c r="R2584" t="str">
        <f>IF(Table1[[#This Row],[Actual close date]]="","",Table1[[#This Row],[Actual close date]]-Table1[[#This Row],[Expected close date]])</f>
        <v/>
      </c>
    </row>
    <row r="2585" spans="1:18" x14ac:dyDescent="0.25">
      <c r="A2585" t="s">
        <v>2670</v>
      </c>
      <c r="B2585" t="s">
        <v>33</v>
      </c>
      <c r="C2585" t="s">
        <v>34</v>
      </c>
      <c r="D2585" t="s">
        <v>35</v>
      </c>
      <c r="E2585" t="s">
        <v>30</v>
      </c>
      <c r="F2585" t="s">
        <v>22</v>
      </c>
      <c r="G2585" t="s">
        <v>23</v>
      </c>
      <c r="H2585" s="1">
        <v>45327</v>
      </c>
      <c r="I2585" t="s">
        <v>64</v>
      </c>
      <c r="J2585" t="s">
        <v>2559</v>
      </c>
      <c r="K2585">
        <v>4</v>
      </c>
      <c r="N2585">
        <v>834</v>
      </c>
      <c r="O2585">
        <v>20</v>
      </c>
      <c r="P2585" s="1">
        <v>45671</v>
      </c>
      <c r="Q2585" s="1"/>
      <c r="R2585" t="str">
        <f>IF(Table1[[#This Row],[Actual close date]]="","",Table1[[#This Row],[Actual close date]]-Table1[[#This Row],[Expected close date]])</f>
        <v/>
      </c>
    </row>
    <row r="2586" spans="1:18" x14ac:dyDescent="0.25">
      <c r="A2586" t="s">
        <v>2671</v>
      </c>
      <c r="B2586" t="s">
        <v>33</v>
      </c>
      <c r="C2586" t="s">
        <v>34</v>
      </c>
      <c r="D2586" t="s">
        <v>35</v>
      </c>
      <c r="E2586" t="s">
        <v>42</v>
      </c>
      <c r="F2586" t="s">
        <v>22</v>
      </c>
      <c r="G2586" t="s">
        <v>23</v>
      </c>
      <c r="H2586" s="1">
        <v>45405</v>
      </c>
      <c r="I2586" t="s">
        <v>24</v>
      </c>
      <c r="J2586" t="s">
        <v>2559</v>
      </c>
      <c r="K2586">
        <v>4</v>
      </c>
      <c r="N2586">
        <v>1846</v>
      </c>
      <c r="O2586">
        <v>80</v>
      </c>
      <c r="P2586" s="1">
        <v>45508</v>
      </c>
      <c r="Q2586" s="1"/>
      <c r="R2586" t="str">
        <f>IF(Table1[[#This Row],[Actual close date]]="","",Table1[[#This Row],[Actual close date]]-Table1[[#This Row],[Expected close date]])</f>
        <v/>
      </c>
    </row>
    <row r="2587" spans="1:18" x14ac:dyDescent="0.25">
      <c r="A2587" t="s">
        <v>2672</v>
      </c>
      <c r="B2587" t="s">
        <v>76</v>
      </c>
      <c r="C2587" t="s">
        <v>77</v>
      </c>
      <c r="D2587" t="s">
        <v>78</v>
      </c>
      <c r="E2587" t="s">
        <v>66</v>
      </c>
      <c r="F2587" t="s">
        <v>22</v>
      </c>
      <c r="G2587" t="s">
        <v>46</v>
      </c>
      <c r="H2587" s="1">
        <v>45401</v>
      </c>
      <c r="I2587" t="s">
        <v>24</v>
      </c>
      <c r="J2587" t="s">
        <v>2559</v>
      </c>
      <c r="K2587">
        <v>4</v>
      </c>
      <c r="N2587">
        <v>1583</v>
      </c>
      <c r="O2587">
        <v>40</v>
      </c>
      <c r="P2587" s="1">
        <v>45450</v>
      </c>
      <c r="Q2587" s="1"/>
      <c r="R2587" t="str">
        <f>IF(Table1[[#This Row],[Actual close date]]="","",Table1[[#This Row],[Actual close date]]-Table1[[#This Row],[Expected close date]])</f>
        <v/>
      </c>
    </row>
    <row r="2588" spans="1:18" x14ac:dyDescent="0.25">
      <c r="A2588" t="s">
        <v>2673</v>
      </c>
      <c r="B2588" t="s">
        <v>54</v>
      </c>
      <c r="C2588" t="s">
        <v>55</v>
      </c>
      <c r="D2588" t="s">
        <v>56</v>
      </c>
      <c r="E2588" t="s">
        <v>45</v>
      </c>
      <c r="F2588" t="s">
        <v>22</v>
      </c>
      <c r="G2588" t="s">
        <v>85</v>
      </c>
      <c r="H2588" s="1">
        <v>45412</v>
      </c>
      <c r="I2588" t="s">
        <v>24</v>
      </c>
      <c r="J2588" t="s">
        <v>2559</v>
      </c>
      <c r="K2588">
        <v>4</v>
      </c>
      <c r="N2588">
        <v>799</v>
      </c>
      <c r="O2588">
        <v>20</v>
      </c>
      <c r="P2588" s="1">
        <v>45491</v>
      </c>
      <c r="Q2588" s="1"/>
      <c r="R2588" t="str">
        <f>IF(Table1[[#This Row],[Actual close date]]="","",Table1[[#This Row],[Actual close date]]-Table1[[#This Row],[Expected close date]])</f>
        <v/>
      </c>
    </row>
    <row r="2589" spans="1:18" x14ac:dyDescent="0.25">
      <c r="A2589" t="s">
        <v>2674</v>
      </c>
      <c r="B2589" t="s">
        <v>59</v>
      </c>
      <c r="C2589" t="s">
        <v>60</v>
      </c>
      <c r="D2589" t="s">
        <v>61</v>
      </c>
      <c r="E2589" t="s">
        <v>21</v>
      </c>
      <c r="F2589" t="s">
        <v>22</v>
      </c>
      <c r="G2589" t="s">
        <v>31</v>
      </c>
      <c r="H2589" s="1">
        <v>45369</v>
      </c>
      <c r="I2589" t="s">
        <v>24</v>
      </c>
      <c r="J2589" t="s">
        <v>2559</v>
      </c>
      <c r="K2589">
        <v>4</v>
      </c>
      <c r="N2589">
        <v>1320</v>
      </c>
      <c r="O2589">
        <v>90</v>
      </c>
      <c r="P2589" s="1">
        <v>45676</v>
      </c>
      <c r="Q2589" s="1"/>
      <c r="R2589" t="str">
        <f>IF(Table1[[#This Row],[Actual close date]]="","",Table1[[#This Row],[Actual close date]]-Table1[[#This Row],[Expected close date]])</f>
        <v/>
      </c>
    </row>
    <row r="2590" spans="1:18" x14ac:dyDescent="0.25">
      <c r="A2590" t="s">
        <v>2675</v>
      </c>
      <c r="B2590" t="s">
        <v>33</v>
      </c>
      <c r="C2590" t="s">
        <v>34</v>
      </c>
      <c r="D2590" t="s">
        <v>35</v>
      </c>
      <c r="E2590" t="s">
        <v>30</v>
      </c>
      <c r="F2590" t="s">
        <v>22</v>
      </c>
      <c r="G2590" t="s">
        <v>57</v>
      </c>
      <c r="H2590" s="1">
        <v>45301</v>
      </c>
      <c r="I2590" t="s">
        <v>24</v>
      </c>
      <c r="J2590" t="s">
        <v>2559</v>
      </c>
      <c r="K2590">
        <v>4</v>
      </c>
      <c r="N2590">
        <v>1730</v>
      </c>
      <c r="O2590">
        <v>90</v>
      </c>
      <c r="P2590" s="1">
        <v>45447</v>
      </c>
      <c r="Q2590" s="1"/>
      <c r="R2590" t="str">
        <f>IF(Table1[[#This Row],[Actual close date]]="","",Table1[[#This Row],[Actual close date]]-Table1[[#This Row],[Expected close date]])</f>
        <v/>
      </c>
    </row>
    <row r="2591" spans="1:18" x14ac:dyDescent="0.25">
      <c r="A2591" t="s">
        <v>2676</v>
      </c>
      <c r="B2591" t="s">
        <v>59</v>
      </c>
      <c r="C2591" t="s">
        <v>60</v>
      </c>
      <c r="D2591" t="s">
        <v>61</v>
      </c>
      <c r="E2591" t="s">
        <v>45</v>
      </c>
      <c r="F2591" t="s">
        <v>22</v>
      </c>
      <c r="G2591" t="s">
        <v>83</v>
      </c>
      <c r="H2591" s="1">
        <v>45342</v>
      </c>
      <c r="I2591" t="s">
        <v>64</v>
      </c>
      <c r="J2591" t="s">
        <v>2559</v>
      </c>
      <c r="K2591">
        <v>4</v>
      </c>
      <c r="N2591">
        <v>1805</v>
      </c>
      <c r="O2591">
        <v>60</v>
      </c>
      <c r="P2591" s="1">
        <v>45578</v>
      </c>
      <c r="Q2591" s="1"/>
      <c r="R2591" t="str">
        <f>IF(Table1[[#This Row],[Actual close date]]="","",Table1[[#This Row],[Actual close date]]-Table1[[#This Row],[Expected close date]])</f>
        <v/>
      </c>
    </row>
    <row r="2592" spans="1:18" x14ac:dyDescent="0.25">
      <c r="A2592" t="s">
        <v>2677</v>
      </c>
      <c r="B2592" t="s">
        <v>33</v>
      </c>
      <c r="C2592" t="s">
        <v>34</v>
      </c>
      <c r="D2592" t="s">
        <v>35</v>
      </c>
      <c r="E2592" t="s">
        <v>62</v>
      </c>
      <c r="F2592" t="s">
        <v>22</v>
      </c>
      <c r="G2592" t="s">
        <v>37</v>
      </c>
      <c r="H2592" s="1">
        <v>45423</v>
      </c>
      <c r="I2592" t="s">
        <v>47</v>
      </c>
      <c r="J2592" t="s">
        <v>2559</v>
      </c>
      <c r="K2592">
        <v>4</v>
      </c>
      <c r="N2592">
        <v>1564</v>
      </c>
      <c r="O2592">
        <v>50</v>
      </c>
      <c r="P2592" s="1">
        <v>45607</v>
      </c>
      <c r="Q2592" s="1"/>
      <c r="R2592" t="str">
        <f>IF(Table1[[#This Row],[Actual close date]]="","",Table1[[#This Row],[Actual close date]]-Table1[[#This Row],[Expected close date]])</f>
        <v/>
      </c>
    </row>
    <row r="2593" spans="1:18" x14ac:dyDescent="0.25">
      <c r="A2593" t="s">
        <v>2678</v>
      </c>
      <c r="B2593" t="s">
        <v>76</v>
      </c>
      <c r="C2593" t="s">
        <v>77</v>
      </c>
      <c r="D2593" t="s">
        <v>78</v>
      </c>
      <c r="E2593" t="s">
        <v>52</v>
      </c>
      <c r="F2593" t="s">
        <v>22</v>
      </c>
      <c r="G2593" t="s">
        <v>46</v>
      </c>
      <c r="H2593" s="1">
        <v>45334</v>
      </c>
      <c r="I2593" t="s">
        <v>47</v>
      </c>
      <c r="J2593" t="s">
        <v>2559</v>
      </c>
      <c r="K2593">
        <v>4</v>
      </c>
      <c r="N2593">
        <v>1373</v>
      </c>
      <c r="O2593">
        <v>20</v>
      </c>
      <c r="P2593" s="1">
        <v>45468</v>
      </c>
      <c r="Q2593" s="1"/>
      <c r="R2593" t="str">
        <f>IF(Table1[[#This Row],[Actual close date]]="","",Table1[[#This Row],[Actual close date]]-Table1[[#This Row],[Expected close date]])</f>
        <v/>
      </c>
    </row>
    <row r="2594" spans="1:18" x14ac:dyDescent="0.25">
      <c r="A2594" t="s">
        <v>2679</v>
      </c>
      <c r="B2594" t="s">
        <v>27</v>
      </c>
      <c r="C2594" t="s">
        <v>28</v>
      </c>
      <c r="D2594" t="s">
        <v>29</v>
      </c>
      <c r="E2594" t="s">
        <v>82</v>
      </c>
      <c r="F2594" t="s">
        <v>22</v>
      </c>
      <c r="G2594" t="s">
        <v>85</v>
      </c>
      <c r="H2594" s="1">
        <v>45382</v>
      </c>
      <c r="I2594" t="s">
        <v>24</v>
      </c>
      <c r="J2594" t="s">
        <v>2559</v>
      </c>
      <c r="K2594">
        <v>4</v>
      </c>
      <c r="N2594">
        <v>1364</v>
      </c>
      <c r="O2594">
        <v>40</v>
      </c>
      <c r="P2594" s="1">
        <v>45664</v>
      </c>
      <c r="Q2594" s="1"/>
      <c r="R2594" t="str">
        <f>IF(Table1[[#This Row],[Actual close date]]="","",Table1[[#This Row],[Actual close date]]-Table1[[#This Row],[Expected close date]])</f>
        <v/>
      </c>
    </row>
    <row r="2595" spans="1:18" x14ac:dyDescent="0.25">
      <c r="A2595" t="s">
        <v>2680</v>
      </c>
      <c r="B2595" t="s">
        <v>39</v>
      </c>
      <c r="C2595" t="s">
        <v>40</v>
      </c>
      <c r="D2595" t="s">
        <v>41</v>
      </c>
      <c r="E2595" t="s">
        <v>66</v>
      </c>
      <c r="F2595" t="s">
        <v>22</v>
      </c>
      <c r="G2595" t="s">
        <v>72</v>
      </c>
      <c r="H2595" s="1">
        <v>45347</v>
      </c>
      <c r="I2595" t="s">
        <v>64</v>
      </c>
      <c r="J2595" t="s">
        <v>2559</v>
      </c>
      <c r="K2595">
        <v>4</v>
      </c>
      <c r="N2595">
        <v>1430</v>
      </c>
      <c r="O2595">
        <v>60</v>
      </c>
      <c r="P2595" s="1">
        <v>45609</v>
      </c>
      <c r="Q2595" s="1"/>
      <c r="R2595" t="str">
        <f>IF(Table1[[#This Row],[Actual close date]]="","",Table1[[#This Row],[Actual close date]]-Table1[[#This Row],[Expected close date]])</f>
        <v/>
      </c>
    </row>
    <row r="2596" spans="1:18" x14ac:dyDescent="0.25">
      <c r="A2596" t="s">
        <v>2681</v>
      </c>
      <c r="B2596" t="s">
        <v>69</v>
      </c>
      <c r="C2596" t="s">
        <v>70</v>
      </c>
      <c r="D2596" t="s">
        <v>71</v>
      </c>
      <c r="E2596" t="s">
        <v>36</v>
      </c>
      <c r="F2596" t="s">
        <v>22</v>
      </c>
      <c r="G2596" t="s">
        <v>72</v>
      </c>
      <c r="H2596" s="1">
        <v>45344</v>
      </c>
      <c r="I2596" t="s">
        <v>64</v>
      </c>
      <c r="J2596" t="s">
        <v>2559</v>
      </c>
      <c r="K2596">
        <v>4</v>
      </c>
      <c r="N2596">
        <v>704</v>
      </c>
      <c r="O2596">
        <v>60</v>
      </c>
      <c r="P2596" s="1">
        <v>45587</v>
      </c>
      <c r="Q2596" s="1"/>
      <c r="R2596" t="str">
        <f>IF(Table1[[#This Row],[Actual close date]]="","",Table1[[#This Row],[Actual close date]]-Table1[[#This Row],[Expected close date]])</f>
        <v/>
      </c>
    </row>
    <row r="2597" spans="1:18" x14ac:dyDescent="0.25">
      <c r="A2597" t="s">
        <v>2682</v>
      </c>
      <c r="B2597" t="s">
        <v>76</v>
      </c>
      <c r="C2597" t="s">
        <v>77</v>
      </c>
      <c r="D2597" t="s">
        <v>78</v>
      </c>
      <c r="E2597" t="s">
        <v>45</v>
      </c>
      <c r="F2597" t="s">
        <v>22</v>
      </c>
      <c r="G2597" t="s">
        <v>23</v>
      </c>
      <c r="H2597" s="1">
        <v>45359</v>
      </c>
      <c r="I2597" t="s">
        <v>64</v>
      </c>
      <c r="J2597" t="s">
        <v>2559</v>
      </c>
      <c r="K2597">
        <v>4</v>
      </c>
      <c r="N2597">
        <v>1907</v>
      </c>
      <c r="O2597">
        <v>40</v>
      </c>
      <c r="P2597" s="1">
        <v>45488</v>
      </c>
      <c r="Q2597" s="1"/>
      <c r="R2597" t="str">
        <f>IF(Table1[[#This Row],[Actual close date]]="","",Table1[[#This Row],[Actual close date]]-Table1[[#This Row],[Expected close date]])</f>
        <v/>
      </c>
    </row>
    <row r="2598" spans="1:18" x14ac:dyDescent="0.25">
      <c r="A2598" t="s">
        <v>2683</v>
      </c>
      <c r="B2598" t="s">
        <v>69</v>
      </c>
      <c r="C2598" t="s">
        <v>70</v>
      </c>
      <c r="D2598" t="s">
        <v>71</v>
      </c>
      <c r="E2598" t="s">
        <v>21</v>
      </c>
      <c r="F2598" t="s">
        <v>22</v>
      </c>
      <c r="G2598" t="s">
        <v>85</v>
      </c>
      <c r="H2598" s="1">
        <v>45410</v>
      </c>
      <c r="I2598" t="s">
        <v>64</v>
      </c>
      <c r="J2598" t="s">
        <v>2559</v>
      </c>
      <c r="K2598">
        <v>4</v>
      </c>
      <c r="N2598">
        <v>1580</v>
      </c>
      <c r="O2598">
        <v>40</v>
      </c>
      <c r="P2598" s="1">
        <v>45633</v>
      </c>
      <c r="Q2598" s="1"/>
      <c r="R2598" t="str">
        <f>IF(Table1[[#This Row],[Actual close date]]="","",Table1[[#This Row],[Actual close date]]-Table1[[#This Row],[Expected close date]])</f>
        <v/>
      </c>
    </row>
    <row r="2599" spans="1:18" x14ac:dyDescent="0.25">
      <c r="A2599" t="s">
        <v>2684</v>
      </c>
      <c r="B2599" t="s">
        <v>59</v>
      </c>
      <c r="C2599" t="s">
        <v>60</v>
      </c>
      <c r="D2599" t="s">
        <v>61</v>
      </c>
      <c r="E2599" t="s">
        <v>101</v>
      </c>
      <c r="F2599" t="s">
        <v>22</v>
      </c>
      <c r="G2599" t="s">
        <v>23</v>
      </c>
      <c r="H2599" s="1">
        <v>45369</v>
      </c>
      <c r="I2599" t="s">
        <v>24</v>
      </c>
      <c r="J2599" t="s">
        <v>2559</v>
      </c>
      <c r="K2599">
        <v>4</v>
      </c>
      <c r="N2599">
        <v>733</v>
      </c>
      <c r="O2599">
        <v>60</v>
      </c>
      <c r="P2599" s="1">
        <v>45439</v>
      </c>
      <c r="Q2599" s="1"/>
      <c r="R2599" t="str">
        <f>IF(Table1[[#This Row],[Actual close date]]="","",Table1[[#This Row],[Actual close date]]-Table1[[#This Row],[Expected close date]])</f>
        <v/>
      </c>
    </row>
    <row r="2600" spans="1:18" x14ac:dyDescent="0.25">
      <c r="A2600" t="s">
        <v>2685</v>
      </c>
      <c r="B2600" t="s">
        <v>33</v>
      </c>
      <c r="C2600" t="s">
        <v>34</v>
      </c>
      <c r="D2600" t="s">
        <v>35</v>
      </c>
      <c r="E2600" t="s">
        <v>66</v>
      </c>
      <c r="F2600" t="s">
        <v>22</v>
      </c>
      <c r="G2600" t="s">
        <v>57</v>
      </c>
      <c r="H2600" s="1">
        <v>45350</v>
      </c>
      <c r="I2600" t="s">
        <v>24</v>
      </c>
      <c r="J2600" t="s">
        <v>2559</v>
      </c>
      <c r="K2600">
        <v>4</v>
      </c>
      <c r="N2600">
        <v>1890</v>
      </c>
      <c r="O2600">
        <v>40</v>
      </c>
      <c r="P2600" s="1">
        <v>45609</v>
      </c>
      <c r="Q2600" s="1"/>
      <c r="R2600" t="str">
        <f>IF(Table1[[#This Row],[Actual close date]]="","",Table1[[#This Row],[Actual close date]]-Table1[[#This Row],[Expected close date]])</f>
        <v/>
      </c>
    </row>
    <row r="2601" spans="1:18" x14ac:dyDescent="0.25">
      <c r="A2601" t="s">
        <v>2686</v>
      </c>
      <c r="B2601" t="s">
        <v>76</v>
      </c>
      <c r="C2601" t="s">
        <v>77</v>
      </c>
      <c r="D2601" t="s">
        <v>78</v>
      </c>
      <c r="E2601" t="s">
        <v>98</v>
      </c>
      <c r="F2601" t="s">
        <v>22</v>
      </c>
      <c r="G2601" t="s">
        <v>46</v>
      </c>
      <c r="H2601" s="1">
        <v>45316</v>
      </c>
      <c r="I2601" t="s">
        <v>24</v>
      </c>
      <c r="J2601" t="s">
        <v>2559</v>
      </c>
      <c r="K2601">
        <v>4</v>
      </c>
      <c r="N2601">
        <v>684</v>
      </c>
      <c r="O2601">
        <v>40</v>
      </c>
      <c r="P2601" s="1">
        <v>45481</v>
      </c>
      <c r="Q2601" s="1"/>
      <c r="R2601" t="str">
        <f>IF(Table1[[#This Row],[Actual close date]]="","",Table1[[#This Row],[Actual close date]]-Table1[[#This Row],[Expected close date]])</f>
        <v/>
      </c>
    </row>
    <row r="2602" spans="1:18" x14ac:dyDescent="0.25">
      <c r="A2602" t="s">
        <v>2687</v>
      </c>
      <c r="B2602" t="s">
        <v>33</v>
      </c>
      <c r="C2602" t="s">
        <v>34</v>
      </c>
      <c r="D2602" t="s">
        <v>35</v>
      </c>
      <c r="E2602" t="s">
        <v>101</v>
      </c>
      <c r="F2602" t="s">
        <v>22</v>
      </c>
      <c r="G2602" t="s">
        <v>31</v>
      </c>
      <c r="H2602" s="1">
        <v>45361</v>
      </c>
      <c r="I2602" t="s">
        <v>24</v>
      </c>
      <c r="J2602" t="s">
        <v>2559</v>
      </c>
      <c r="K2602">
        <v>4</v>
      </c>
      <c r="N2602">
        <v>842</v>
      </c>
      <c r="O2602">
        <v>70</v>
      </c>
      <c r="P2602" s="1">
        <v>45507</v>
      </c>
      <c r="Q2602" s="1"/>
      <c r="R2602" t="str">
        <f>IF(Table1[[#This Row],[Actual close date]]="","",Table1[[#This Row],[Actual close date]]-Table1[[#This Row],[Expected close date]])</f>
        <v/>
      </c>
    </row>
    <row r="2603" spans="1:18" x14ac:dyDescent="0.25">
      <c r="A2603" t="s">
        <v>2688</v>
      </c>
      <c r="B2603" t="s">
        <v>59</v>
      </c>
      <c r="C2603" t="s">
        <v>60</v>
      </c>
      <c r="D2603" t="s">
        <v>61</v>
      </c>
      <c r="E2603" t="s">
        <v>42</v>
      </c>
      <c r="F2603" t="s">
        <v>22</v>
      </c>
      <c r="G2603" t="s">
        <v>31</v>
      </c>
      <c r="H2603" s="1">
        <v>45421</v>
      </c>
      <c r="I2603" t="s">
        <v>24</v>
      </c>
      <c r="J2603" t="s">
        <v>2559</v>
      </c>
      <c r="K2603">
        <v>4</v>
      </c>
      <c r="N2603">
        <v>596</v>
      </c>
      <c r="O2603">
        <v>40</v>
      </c>
      <c r="P2603" s="1">
        <v>45765</v>
      </c>
      <c r="Q2603" s="1"/>
      <c r="R2603" t="str">
        <f>IF(Table1[[#This Row],[Actual close date]]="","",Table1[[#This Row],[Actual close date]]-Table1[[#This Row],[Expected close date]])</f>
        <v/>
      </c>
    </row>
    <row r="2604" spans="1:18" x14ac:dyDescent="0.25">
      <c r="A2604" t="s">
        <v>2689</v>
      </c>
      <c r="B2604" t="s">
        <v>18</v>
      </c>
      <c r="C2604" t="s">
        <v>19</v>
      </c>
      <c r="D2604" t="s">
        <v>20</v>
      </c>
      <c r="E2604" t="s">
        <v>66</v>
      </c>
      <c r="F2604" t="s">
        <v>22</v>
      </c>
      <c r="G2604" t="s">
        <v>46</v>
      </c>
      <c r="H2604" s="1">
        <v>45377</v>
      </c>
      <c r="I2604" t="s">
        <v>64</v>
      </c>
      <c r="J2604" t="s">
        <v>2559</v>
      </c>
      <c r="K2604">
        <v>4</v>
      </c>
      <c r="N2604">
        <v>1579</v>
      </c>
      <c r="O2604">
        <v>50</v>
      </c>
      <c r="P2604" s="1">
        <v>45583</v>
      </c>
      <c r="Q2604" s="1"/>
      <c r="R2604" t="str">
        <f>IF(Table1[[#This Row],[Actual close date]]="","",Table1[[#This Row],[Actual close date]]-Table1[[#This Row],[Expected close date]])</f>
        <v/>
      </c>
    </row>
    <row r="2605" spans="1:18" x14ac:dyDescent="0.25">
      <c r="A2605" t="s">
        <v>2690</v>
      </c>
      <c r="B2605" t="s">
        <v>39</v>
      </c>
      <c r="C2605" t="s">
        <v>40</v>
      </c>
      <c r="D2605" t="s">
        <v>41</v>
      </c>
      <c r="E2605" t="s">
        <v>62</v>
      </c>
      <c r="F2605" t="s">
        <v>22</v>
      </c>
      <c r="G2605" t="s">
        <v>57</v>
      </c>
      <c r="H2605" s="1">
        <v>45378</v>
      </c>
      <c r="I2605" t="s">
        <v>64</v>
      </c>
      <c r="J2605" t="s">
        <v>2559</v>
      </c>
      <c r="K2605">
        <v>4</v>
      </c>
      <c r="N2605">
        <v>566</v>
      </c>
      <c r="O2605">
        <v>30</v>
      </c>
      <c r="P2605" s="1">
        <v>45407</v>
      </c>
      <c r="Q2605" s="1"/>
      <c r="R2605" t="str">
        <f>IF(Table1[[#This Row],[Actual close date]]="","",Table1[[#This Row],[Actual close date]]-Table1[[#This Row],[Expected close date]])</f>
        <v/>
      </c>
    </row>
    <row r="2606" spans="1:18" x14ac:dyDescent="0.25">
      <c r="A2606" t="s">
        <v>2691</v>
      </c>
      <c r="B2606" t="s">
        <v>27</v>
      </c>
      <c r="C2606" t="s">
        <v>28</v>
      </c>
      <c r="D2606" t="s">
        <v>29</v>
      </c>
      <c r="E2606" t="s">
        <v>45</v>
      </c>
      <c r="F2606" t="s">
        <v>22</v>
      </c>
      <c r="G2606" t="s">
        <v>37</v>
      </c>
      <c r="H2606" s="1">
        <v>45361</v>
      </c>
      <c r="I2606" t="s">
        <v>47</v>
      </c>
      <c r="J2606" t="s">
        <v>2559</v>
      </c>
      <c r="K2606">
        <v>4</v>
      </c>
      <c r="N2606">
        <v>1973</v>
      </c>
      <c r="O2606">
        <v>40</v>
      </c>
      <c r="P2606" s="1">
        <v>45701</v>
      </c>
      <c r="Q2606" s="1"/>
      <c r="R2606" t="str">
        <f>IF(Table1[[#This Row],[Actual close date]]="","",Table1[[#This Row],[Actual close date]]-Table1[[#This Row],[Expected close date]])</f>
        <v/>
      </c>
    </row>
    <row r="2607" spans="1:18" x14ac:dyDescent="0.25">
      <c r="A2607" t="s">
        <v>2692</v>
      </c>
      <c r="B2607" t="s">
        <v>49</v>
      </c>
      <c r="C2607" t="s">
        <v>50</v>
      </c>
      <c r="D2607" t="s">
        <v>51</v>
      </c>
      <c r="E2607" t="s">
        <v>45</v>
      </c>
      <c r="F2607" t="s">
        <v>22</v>
      </c>
      <c r="G2607" t="s">
        <v>46</v>
      </c>
      <c r="H2607" s="1">
        <v>45347</v>
      </c>
      <c r="I2607" t="s">
        <v>24</v>
      </c>
      <c r="J2607" t="s">
        <v>2559</v>
      </c>
      <c r="K2607">
        <v>4</v>
      </c>
      <c r="N2607">
        <v>599</v>
      </c>
      <c r="O2607">
        <v>80</v>
      </c>
      <c r="P2607" s="1">
        <v>45452</v>
      </c>
      <c r="Q2607" s="1"/>
      <c r="R2607" t="str">
        <f>IF(Table1[[#This Row],[Actual close date]]="","",Table1[[#This Row],[Actual close date]]-Table1[[#This Row],[Expected close date]])</f>
        <v/>
      </c>
    </row>
    <row r="2608" spans="1:18" x14ac:dyDescent="0.25">
      <c r="A2608" t="s">
        <v>2693</v>
      </c>
      <c r="B2608" t="s">
        <v>33</v>
      </c>
      <c r="C2608" t="s">
        <v>34</v>
      </c>
      <c r="D2608" t="s">
        <v>35</v>
      </c>
      <c r="E2608" t="s">
        <v>45</v>
      </c>
      <c r="F2608" t="s">
        <v>22</v>
      </c>
      <c r="G2608" t="s">
        <v>46</v>
      </c>
      <c r="H2608" s="1">
        <v>45378</v>
      </c>
      <c r="I2608" t="s">
        <v>47</v>
      </c>
      <c r="J2608" t="s">
        <v>2559</v>
      </c>
      <c r="K2608">
        <v>4</v>
      </c>
      <c r="N2608">
        <v>769</v>
      </c>
      <c r="O2608">
        <v>50</v>
      </c>
      <c r="P2608" s="1">
        <v>45443</v>
      </c>
      <c r="Q2608" s="1"/>
      <c r="R2608" t="str">
        <f>IF(Table1[[#This Row],[Actual close date]]="","",Table1[[#This Row],[Actual close date]]-Table1[[#This Row],[Expected close date]])</f>
        <v/>
      </c>
    </row>
    <row r="2609" spans="1:18" x14ac:dyDescent="0.25">
      <c r="A2609" t="s">
        <v>2694</v>
      </c>
      <c r="B2609" t="s">
        <v>18</v>
      </c>
      <c r="C2609" t="s">
        <v>19</v>
      </c>
      <c r="D2609" t="s">
        <v>20</v>
      </c>
      <c r="E2609" t="s">
        <v>52</v>
      </c>
      <c r="F2609" t="s">
        <v>22</v>
      </c>
      <c r="G2609" t="s">
        <v>37</v>
      </c>
      <c r="H2609" s="1">
        <v>45443</v>
      </c>
      <c r="I2609" t="s">
        <v>24</v>
      </c>
      <c r="J2609" t="s">
        <v>2559</v>
      </c>
      <c r="K2609">
        <v>4</v>
      </c>
      <c r="N2609">
        <v>1456</v>
      </c>
      <c r="O2609">
        <v>50</v>
      </c>
      <c r="P2609" s="1">
        <v>45613</v>
      </c>
      <c r="Q2609" s="1"/>
      <c r="R2609" t="str">
        <f>IF(Table1[[#This Row],[Actual close date]]="","",Table1[[#This Row],[Actual close date]]-Table1[[#This Row],[Expected close date]])</f>
        <v/>
      </c>
    </row>
    <row r="2610" spans="1:18" x14ac:dyDescent="0.25">
      <c r="A2610" t="s">
        <v>2695</v>
      </c>
      <c r="B2610" t="s">
        <v>49</v>
      </c>
      <c r="C2610" t="s">
        <v>50</v>
      </c>
      <c r="D2610" t="s">
        <v>51</v>
      </c>
      <c r="E2610" t="s">
        <v>45</v>
      </c>
      <c r="F2610" t="s">
        <v>22</v>
      </c>
      <c r="G2610" t="s">
        <v>23</v>
      </c>
      <c r="H2610" s="1">
        <v>45408</v>
      </c>
      <c r="I2610" t="s">
        <v>47</v>
      </c>
      <c r="J2610" t="s">
        <v>2559</v>
      </c>
      <c r="K2610">
        <v>4</v>
      </c>
      <c r="N2610">
        <v>830</v>
      </c>
      <c r="O2610">
        <v>80</v>
      </c>
      <c r="P2610" s="1">
        <v>45750</v>
      </c>
      <c r="Q2610" s="1"/>
      <c r="R2610" t="str">
        <f>IF(Table1[[#This Row],[Actual close date]]="","",Table1[[#This Row],[Actual close date]]-Table1[[#This Row],[Expected close date]])</f>
        <v/>
      </c>
    </row>
    <row r="2611" spans="1:18" x14ac:dyDescent="0.25">
      <c r="A2611" t="s">
        <v>2696</v>
      </c>
      <c r="B2611" t="s">
        <v>33</v>
      </c>
      <c r="C2611" t="s">
        <v>34</v>
      </c>
      <c r="D2611" t="s">
        <v>35</v>
      </c>
      <c r="E2611" t="s">
        <v>52</v>
      </c>
      <c r="F2611" t="s">
        <v>22</v>
      </c>
      <c r="G2611" t="s">
        <v>72</v>
      </c>
      <c r="H2611" s="1">
        <v>45441</v>
      </c>
      <c r="I2611" t="s">
        <v>24</v>
      </c>
      <c r="J2611" t="s">
        <v>2559</v>
      </c>
      <c r="K2611">
        <v>4</v>
      </c>
      <c r="N2611">
        <v>298</v>
      </c>
      <c r="O2611">
        <v>50</v>
      </c>
      <c r="P2611" s="1">
        <v>45761</v>
      </c>
      <c r="Q2611" s="1"/>
      <c r="R2611" t="str">
        <f>IF(Table1[[#This Row],[Actual close date]]="","",Table1[[#This Row],[Actual close date]]-Table1[[#This Row],[Expected close date]])</f>
        <v/>
      </c>
    </row>
    <row r="2612" spans="1:18" x14ac:dyDescent="0.25">
      <c r="A2612" t="s">
        <v>2697</v>
      </c>
      <c r="B2612" t="s">
        <v>76</v>
      </c>
      <c r="C2612" t="s">
        <v>77</v>
      </c>
      <c r="D2612" t="s">
        <v>78</v>
      </c>
      <c r="E2612" t="s">
        <v>21</v>
      </c>
      <c r="F2612" t="s">
        <v>22</v>
      </c>
      <c r="G2612" t="s">
        <v>37</v>
      </c>
      <c r="H2612" s="1">
        <v>45379</v>
      </c>
      <c r="I2612" t="s">
        <v>64</v>
      </c>
      <c r="J2612" t="s">
        <v>2559</v>
      </c>
      <c r="K2612">
        <v>4</v>
      </c>
      <c r="N2612">
        <v>943</v>
      </c>
      <c r="O2612">
        <v>60</v>
      </c>
      <c r="P2612" s="1">
        <v>45688</v>
      </c>
      <c r="Q2612" s="1"/>
      <c r="R2612" t="str">
        <f>IF(Table1[[#This Row],[Actual close date]]="","",Table1[[#This Row],[Actual close date]]-Table1[[#This Row],[Expected close date]])</f>
        <v/>
      </c>
    </row>
    <row r="2613" spans="1:18" x14ac:dyDescent="0.25">
      <c r="A2613" t="s">
        <v>2698</v>
      </c>
      <c r="B2613" t="s">
        <v>59</v>
      </c>
      <c r="C2613" t="s">
        <v>60</v>
      </c>
      <c r="D2613" t="s">
        <v>61</v>
      </c>
      <c r="E2613" t="s">
        <v>52</v>
      </c>
      <c r="F2613" t="s">
        <v>22</v>
      </c>
      <c r="G2613" t="s">
        <v>37</v>
      </c>
      <c r="H2613" s="1">
        <v>45399</v>
      </c>
      <c r="I2613" t="s">
        <v>24</v>
      </c>
      <c r="J2613" t="s">
        <v>2559</v>
      </c>
      <c r="K2613">
        <v>4</v>
      </c>
      <c r="N2613">
        <v>909</v>
      </c>
      <c r="O2613">
        <v>30</v>
      </c>
      <c r="P2613" s="1">
        <v>45710</v>
      </c>
      <c r="Q2613" s="1"/>
      <c r="R2613" t="str">
        <f>IF(Table1[[#This Row],[Actual close date]]="","",Table1[[#This Row],[Actual close date]]-Table1[[#This Row],[Expected close date]])</f>
        <v/>
      </c>
    </row>
    <row r="2614" spans="1:18" x14ac:dyDescent="0.25">
      <c r="A2614" t="s">
        <v>2699</v>
      </c>
      <c r="B2614" t="s">
        <v>54</v>
      </c>
      <c r="C2614" t="s">
        <v>55</v>
      </c>
      <c r="D2614" t="s">
        <v>56</v>
      </c>
      <c r="E2614" t="s">
        <v>98</v>
      </c>
      <c r="F2614" t="s">
        <v>22</v>
      </c>
      <c r="G2614" t="s">
        <v>31</v>
      </c>
      <c r="H2614" s="1">
        <v>45321</v>
      </c>
      <c r="I2614" t="s">
        <v>24</v>
      </c>
      <c r="J2614" t="s">
        <v>2559</v>
      </c>
      <c r="K2614">
        <v>4</v>
      </c>
      <c r="N2614">
        <v>227</v>
      </c>
      <c r="O2614">
        <v>30</v>
      </c>
      <c r="P2614" s="1">
        <v>45353</v>
      </c>
      <c r="Q2614" s="1"/>
      <c r="R2614" t="str">
        <f>IF(Table1[[#This Row],[Actual close date]]="","",Table1[[#This Row],[Actual close date]]-Table1[[#This Row],[Expected close date]])</f>
        <v/>
      </c>
    </row>
    <row r="2615" spans="1:18" x14ac:dyDescent="0.25">
      <c r="A2615" t="s">
        <v>2700</v>
      </c>
      <c r="B2615" t="s">
        <v>76</v>
      </c>
      <c r="C2615" t="s">
        <v>77</v>
      </c>
      <c r="D2615" t="s">
        <v>78</v>
      </c>
      <c r="E2615" t="s">
        <v>74</v>
      </c>
      <c r="F2615" t="s">
        <v>22</v>
      </c>
      <c r="G2615" t="s">
        <v>46</v>
      </c>
      <c r="H2615" s="1">
        <v>45412</v>
      </c>
      <c r="I2615" t="s">
        <v>64</v>
      </c>
      <c r="J2615" t="s">
        <v>2559</v>
      </c>
      <c r="K2615">
        <v>4</v>
      </c>
      <c r="N2615">
        <v>924</v>
      </c>
      <c r="O2615">
        <v>70</v>
      </c>
      <c r="P2615" s="1">
        <v>45771</v>
      </c>
      <c r="Q2615" s="1"/>
      <c r="R2615" t="str">
        <f>IF(Table1[[#This Row],[Actual close date]]="","",Table1[[#This Row],[Actual close date]]-Table1[[#This Row],[Expected close date]])</f>
        <v/>
      </c>
    </row>
    <row r="2616" spans="1:18" x14ac:dyDescent="0.25">
      <c r="A2616" t="s">
        <v>2701</v>
      </c>
      <c r="B2616" t="s">
        <v>39</v>
      </c>
      <c r="C2616" t="s">
        <v>40</v>
      </c>
      <c r="D2616" t="s">
        <v>41</v>
      </c>
      <c r="E2616" t="s">
        <v>42</v>
      </c>
      <c r="F2616" t="s">
        <v>22</v>
      </c>
      <c r="G2616" t="s">
        <v>31</v>
      </c>
      <c r="H2616" s="1">
        <v>45372</v>
      </c>
      <c r="I2616" t="s">
        <v>24</v>
      </c>
      <c r="J2616" t="s">
        <v>2559</v>
      </c>
      <c r="K2616">
        <v>4</v>
      </c>
      <c r="N2616">
        <v>1403</v>
      </c>
      <c r="O2616">
        <v>30</v>
      </c>
      <c r="P2616" s="1">
        <v>45644</v>
      </c>
      <c r="Q2616" s="1"/>
      <c r="R2616" t="str">
        <f>IF(Table1[[#This Row],[Actual close date]]="","",Table1[[#This Row],[Actual close date]]-Table1[[#This Row],[Expected close date]])</f>
        <v/>
      </c>
    </row>
    <row r="2617" spans="1:18" x14ac:dyDescent="0.25">
      <c r="A2617" t="s">
        <v>2702</v>
      </c>
      <c r="B2617" t="s">
        <v>39</v>
      </c>
      <c r="C2617" t="s">
        <v>40</v>
      </c>
      <c r="D2617" t="s">
        <v>41</v>
      </c>
      <c r="E2617" t="s">
        <v>66</v>
      </c>
      <c r="F2617" t="s">
        <v>22</v>
      </c>
      <c r="G2617" t="s">
        <v>46</v>
      </c>
      <c r="H2617" s="1">
        <v>45434</v>
      </c>
      <c r="I2617" t="s">
        <v>24</v>
      </c>
      <c r="J2617" t="s">
        <v>2559</v>
      </c>
      <c r="K2617">
        <v>4</v>
      </c>
      <c r="N2617">
        <v>1398</v>
      </c>
      <c r="O2617">
        <v>50</v>
      </c>
      <c r="P2617" s="1">
        <v>45575</v>
      </c>
      <c r="Q2617" s="1"/>
      <c r="R2617" t="str">
        <f>IF(Table1[[#This Row],[Actual close date]]="","",Table1[[#This Row],[Actual close date]]-Table1[[#This Row],[Expected close date]])</f>
        <v/>
      </c>
    </row>
    <row r="2618" spans="1:18" x14ac:dyDescent="0.25">
      <c r="A2618" t="s">
        <v>2703</v>
      </c>
      <c r="B2618" t="s">
        <v>54</v>
      </c>
      <c r="C2618" t="s">
        <v>55</v>
      </c>
      <c r="D2618" t="s">
        <v>56</v>
      </c>
      <c r="E2618" t="s">
        <v>21</v>
      </c>
      <c r="F2618" t="s">
        <v>22</v>
      </c>
      <c r="G2618" t="s">
        <v>46</v>
      </c>
      <c r="H2618" s="1">
        <v>45427</v>
      </c>
      <c r="I2618" t="s">
        <v>47</v>
      </c>
      <c r="J2618" t="s">
        <v>2559</v>
      </c>
      <c r="K2618">
        <v>4</v>
      </c>
      <c r="N2618">
        <v>1190</v>
      </c>
      <c r="O2618">
        <v>20</v>
      </c>
      <c r="P2618" s="1">
        <v>45778</v>
      </c>
      <c r="Q2618" s="1"/>
      <c r="R2618" t="str">
        <f>IF(Table1[[#This Row],[Actual close date]]="","",Table1[[#This Row],[Actual close date]]-Table1[[#This Row],[Expected close date]])</f>
        <v/>
      </c>
    </row>
    <row r="2619" spans="1:18" x14ac:dyDescent="0.25">
      <c r="A2619" t="s">
        <v>2704</v>
      </c>
      <c r="B2619" t="s">
        <v>59</v>
      </c>
      <c r="C2619" t="s">
        <v>60</v>
      </c>
      <c r="D2619" t="s">
        <v>61</v>
      </c>
      <c r="E2619" t="s">
        <v>21</v>
      </c>
      <c r="F2619" t="s">
        <v>22</v>
      </c>
      <c r="G2619" t="s">
        <v>37</v>
      </c>
      <c r="H2619" s="1">
        <v>45396</v>
      </c>
      <c r="I2619" t="s">
        <v>24</v>
      </c>
      <c r="J2619" t="s">
        <v>2559</v>
      </c>
      <c r="K2619">
        <v>4</v>
      </c>
      <c r="N2619">
        <v>654</v>
      </c>
      <c r="O2619">
        <v>50</v>
      </c>
      <c r="P2619" s="1">
        <v>45502</v>
      </c>
      <c r="Q2619" s="1"/>
      <c r="R2619" t="str">
        <f>IF(Table1[[#This Row],[Actual close date]]="","",Table1[[#This Row],[Actual close date]]-Table1[[#This Row],[Expected close date]])</f>
        <v/>
      </c>
    </row>
    <row r="2620" spans="1:18" x14ac:dyDescent="0.25">
      <c r="A2620" t="s">
        <v>2705</v>
      </c>
      <c r="B2620" t="s">
        <v>39</v>
      </c>
      <c r="C2620" t="s">
        <v>40</v>
      </c>
      <c r="D2620" t="s">
        <v>41</v>
      </c>
      <c r="E2620" t="s">
        <v>82</v>
      </c>
      <c r="F2620" t="s">
        <v>22</v>
      </c>
      <c r="G2620" t="s">
        <v>46</v>
      </c>
      <c r="H2620" s="1">
        <v>45335</v>
      </c>
      <c r="I2620" t="s">
        <v>24</v>
      </c>
      <c r="J2620" t="s">
        <v>2559</v>
      </c>
      <c r="K2620">
        <v>4</v>
      </c>
      <c r="N2620">
        <v>517</v>
      </c>
      <c r="O2620">
        <v>30</v>
      </c>
      <c r="P2620" s="1">
        <v>45687</v>
      </c>
      <c r="Q2620" s="1"/>
      <c r="R2620" t="str">
        <f>IF(Table1[[#This Row],[Actual close date]]="","",Table1[[#This Row],[Actual close date]]-Table1[[#This Row],[Expected close date]])</f>
        <v/>
      </c>
    </row>
    <row r="2621" spans="1:18" x14ac:dyDescent="0.25">
      <c r="A2621" t="s">
        <v>2706</v>
      </c>
      <c r="B2621" t="s">
        <v>39</v>
      </c>
      <c r="C2621" t="s">
        <v>40</v>
      </c>
      <c r="D2621" t="s">
        <v>41</v>
      </c>
      <c r="E2621" t="s">
        <v>98</v>
      </c>
      <c r="F2621" t="s">
        <v>22</v>
      </c>
      <c r="G2621" t="s">
        <v>23</v>
      </c>
      <c r="H2621" s="1">
        <v>45406</v>
      </c>
      <c r="I2621" t="s">
        <v>24</v>
      </c>
      <c r="J2621" t="s">
        <v>2559</v>
      </c>
      <c r="K2621">
        <v>4</v>
      </c>
      <c r="N2621">
        <v>388</v>
      </c>
      <c r="O2621">
        <v>80</v>
      </c>
      <c r="P2621" s="1">
        <v>45570</v>
      </c>
      <c r="Q2621" s="1"/>
      <c r="R2621" t="str">
        <f>IF(Table1[[#This Row],[Actual close date]]="","",Table1[[#This Row],[Actual close date]]-Table1[[#This Row],[Expected close date]])</f>
        <v/>
      </c>
    </row>
    <row r="2622" spans="1:18" x14ac:dyDescent="0.25">
      <c r="A2622" t="s">
        <v>2707</v>
      </c>
      <c r="B2622" t="s">
        <v>59</v>
      </c>
      <c r="C2622" t="s">
        <v>60</v>
      </c>
      <c r="D2622" t="s">
        <v>61</v>
      </c>
      <c r="E2622" t="s">
        <v>122</v>
      </c>
      <c r="F2622" t="s">
        <v>22</v>
      </c>
      <c r="G2622" t="s">
        <v>72</v>
      </c>
      <c r="H2622" s="1">
        <v>45419</v>
      </c>
      <c r="I2622" t="s">
        <v>24</v>
      </c>
      <c r="J2622" t="s">
        <v>2559</v>
      </c>
      <c r="K2622">
        <v>4</v>
      </c>
      <c r="N2622">
        <v>1147</v>
      </c>
      <c r="O2622">
        <v>80</v>
      </c>
      <c r="P2622" s="1">
        <v>45719</v>
      </c>
      <c r="Q2622" s="1"/>
      <c r="R2622" t="str">
        <f>IF(Table1[[#This Row],[Actual close date]]="","",Table1[[#This Row],[Actual close date]]-Table1[[#This Row],[Expected close date]])</f>
        <v/>
      </c>
    </row>
    <row r="2623" spans="1:18" x14ac:dyDescent="0.25">
      <c r="A2623" t="s">
        <v>2708</v>
      </c>
      <c r="B2623" t="s">
        <v>54</v>
      </c>
      <c r="C2623" t="s">
        <v>55</v>
      </c>
      <c r="D2623" t="s">
        <v>56</v>
      </c>
      <c r="E2623" t="s">
        <v>21</v>
      </c>
      <c r="F2623" t="s">
        <v>22</v>
      </c>
      <c r="G2623" t="s">
        <v>31</v>
      </c>
      <c r="H2623" s="1">
        <v>45370</v>
      </c>
      <c r="I2623" t="s">
        <v>24</v>
      </c>
      <c r="J2623" t="s">
        <v>2559</v>
      </c>
      <c r="K2623">
        <v>4</v>
      </c>
      <c r="N2623">
        <v>1776</v>
      </c>
      <c r="O2623">
        <v>20</v>
      </c>
      <c r="P2623" s="1">
        <v>45633</v>
      </c>
      <c r="Q2623" s="1"/>
      <c r="R2623" t="str">
        <f>IF(Table1[[#This Row],[Actual close date]]="","",Table1[[#This Row],[Actual close date]]-Table1[[#This Row],[Expected close date]])</f>
        <v/>
      </c>
    </row>
    <row r="2624" spans="1:18" x14ac:dyDescent="0.25">
      <c r="A2624" t="s">
        <v>2709</v>
      </c>
      <c r="B2624" t="s">
        <v>76</v>
      </c>
      <c r="C2624" t="s">
        <v>77</v>
      </c>
      <c r="D2624" t="s">
        <v>78</v>
      </c>
      <c r="E2624" t="s">
        <v>21</v>
      </c>
      <c r="F2624" t="s">
        <v>22</v>
      </c>
      <c r="G2624" t="s">
        <v>37</v>
      </c>
      <c r="H2624" s="1">
        <v>45438</v>
      </c>
      <c r="I2624" t="s">
        <v>24</v>
      </c>
      <c r="J2624" t="s">
        <v>2559</v>
      </c>
      <c r="K2624">
        <v>4</v>
      </c>
      <c r="N2624">
        <v>1127</v>
      </c>
      <c r="O2624">
        <v>30</v>
      </c>
      <c r="P2624" s="1">
        <v>45703</v>
      </c>
      <c r="Q2624" s="1"/>
      <c r="R2624" t="str">
        <f>IF(Table1[[#This Row],[Actual close date]]="","",Table1[[#This Row],[Actual close date]]-Table1[[#This Row],[Expected close date]])</f>
        <v/>
      </c>
    </row>
    <row r="2625" spans="1:18" x14ac:dyDescent="0.25">
      <c r="A2625" t="s">
        <v>2710</v>
      </c>
      <c r="B2625" t="s">
        <v>54</v>
      </c>
      <c r="C2625" t="s">
        <v>55</v>
      </c>
      <c r="D2625" t="s">
        <v>56</v>
      </c>
      <c r="E2625" t="s">
        <v>122</v>
      </c>
      <c r="F2625" t="s">
        <v>22</v>
      </c>
      <c r="G2625" t="s">
        <v>85</v>
      </c>
      <c r="H2625" s="1">
        <v>45387</v>
      </c>
      <c r="I2625" t="s">
        <v>64</v>
      </c>
      <c r="J2625" t="s">
        <v>2559</v>
      </c>
      <c r="K2625">
        <v>4</v>
      </c>
      <c r="N2625">
        <v>258</v>
      </c>
      <c r="O2625">
        <v>40</v>
      </c>
      <c r="P2625" s="1">
        <v>45425</v>
      </c>
      <c r="Q2625" s="1"/>
      <c r="R2625" t="str">
        <f>IF(Table1[[#This Row],[Actual close date]]="","",Table1[[#This Row],[Actual close date]]-Table1[[#This Row],[Expected close date]])</f>
        <v/>
      </c>
    </row>
    <row r="2626" spans="1:18" x14ac:dyDescent="0.25">
      <c r="A2626" t="s">
        <v>2711</v>
      </c>
      <c r="B2626" t="s">
        <v>39</v>
      </c>
      <c r="C2626" t="s">
        <v>40</v>
      </c>
      <c r="D2626" t="s">
        <v>41</v>
      </c>
      <c r="E2626" t="s">
        <v>42</v>
      </c>
      <c r="F2626" t="s">
        <v>22</v>
      </c>
      <c r="G2626" t="s">
        <v>31</v>
      </c>
      <c r="H2626" s="1">
        <v>45352</v>
      </c>
      <c r="I2626" t="s">
        <v>64</v>
      </c>
      <c r="J2626" t="s">
        <v>2559</v>
      </c>
      <c r="K2626">
        <v>4</v>
      </c>
      <c r="N2626">
        <v>263</v>
      </c>
      <c r="O2626">
        <v>100</v>
      </c>
      <c r="P2626" s="1">
        <v>45571</v>
      </c>
      <c r="Q2626" s="1"/>
      <c r="R2626" t="str">
        <f>IF(Table1[[#This Row],[Actual close date]]="","",Table1[[#This Row],[Actual close date]]-Table1[[#This Row],[Expected close date]])</f>
        <v/>
      </c>
    </row>
    <row r="2627" spans="1:18" x14ac:dyDescent="0.25">
      <c r="A2627" t="s">
        <v>2712</v>
      </c>
      <c r="B2627" t="s">
        <v>27</v>
      </c>
      <c r="C2627" t="s">
        <v>28</v>
      </c>
      <c r="D2627" t="s">
        <v>29</v>
      </c>
      <c r="E2627" t="s">
        <v>21</v>
      </c>
      <c r="F2627" t="s">
        <v>22</v>
      </c>
      <c r="G2627" t="s">
        <v>57</v>
      </c>
      <c r="H2627" s="1">
        <v>45353</v>
      </c>
      <c r="I2627" t="s">
        <v>24</v>
      </c>
      <c r="J2627" t="s">
        <v>2559</v>
      </c>
      <c r="K2627">
        <v>4</v>
      </c>
      <c r="N2627">
        <v>320</v>
      </c>
      <c r="O2627">
        <v>50</v>
      </c>
      <c r="P2627" s="1">
        <v>45575</v>
      </c>
      <c r="Q2627" s="1"/>
      <c r="R2627" t="str">
        <f>IF(Table1[[#This Row],[Actual close date]]="","",Table1[[#This Row],[Actual close date]]-Table1[[#This Row],[Expected close date]])</f>
        <v/>
      </c>
    </row>
    <row r="2628" spans="1:18" x14ac:dyDescent="0.25">
      <c r="A2628" t="s">
        <v>2713</v>
      </c>
      <c r="B2628" t="s">
        <v>54</v>
      </c>
      <c r="C2628" t="s">
        <v>55</v>
      </c>
      <c r="D2628" t="s">
        <v>56</v>
      </c>
      <c r="E2628" t="s">
        <v>62</v>
      </c>
      <c r="F2628" t="s">
        <v>22</v>
      </c>
      <c r="G2628" t="s">
        <v>57</v>
      </c>
      <c r="H2628" s="1">
        <v>45420</v>
      </c>
      <c r="I2628" t="s">
        <v>64</v>
      </c>
      <c r="J2628" t="s">
        <v>2559</v>
      </c>
      <c r="K2628">
        <v>4</v>
      </c>
      <c r="N2628">
        <v>758</v>
      </c>
      <c r="O2628">
        <v>40</v>
      </c>
      <c r="P2628" s="1">
        <v>45532</v>
      </c>
      <c r="Q2628" s="1"/>
      <c r="R2628" t="str">
        <f>IF(Table1[[#This Row],[Actual close date]]="","",Table1[[#This Row],[Actual close date]]-Table1[[#This Row],[Expected close date]])</f>
        <v/>
      </c>
    </row>
    <row r="2629" spans="1:18" x14ac:dyDescent="0.25">
      <c r="A2629" t="s">
        <v>2714</v>
      </c>
      <c r="B2629" t="s">
        <v>27</v>
      </c>
      <c r="C2629" t="s">
        <v>28</v>
      </c>
      <c r="D2629" t="s">
        <v>29</v>
      </c>
      <c r="E2629" t="s">
        <v>52</v>
      </c>
      <c r="F2629" t="s">
        <v>22</v>
      </c>
      <c r="G2629" t="s">
        <v>37</v>
      </c>
      <c r="H2629" s="1">
        <v>45315</v>
      </c>
      <c r="I2629" t="s">
        <v>64</v>
      </c>
      <c r="J2629" t="s">
        <v>2559</v>
      </c>
      <c r="K2629">
        <v>4</v>
      </c>
      <c r="N2629">
        <v>952</v>
      </c>
      <c r="O2629">
        <v>30</v>
      </c>
      <c r="P2629" s="1">
        <v>45390</v>
      </c>
      <c r="Q2629" s="1"/>
      <c r="R2629" t="str">
        <f>IF(Table1[[#This Row],[Actual close date]]="","",Table1[[#This Row],[Actual close date]]-Table1[[#This Row],[Expected close date]])</f>
        <v/>
      </c>
    </row>
    <row r="2630" spans="1:18" x14ac:dyDescent="0.25">
      <c r="A2630" t="s">
        <v>2715</v>
      </c>
      <c r="B2630" t="s">
        <v>27</v>
      </c>
      <c r="C2630" t="s">
        <v>28</v>
      </c>
      <c r="D2630" t="s">
        <v>29</v>
      </c>
      <c r="E2630" t="s">
        <v>42</v>
      </c>
      <c r="F2630" t="s">
        <v>125</v>
      </c>
      <c r="G2630" t="s">
        <v>57</v>
      </c>
      <c r="H2630" s="1">
        <v>45395</v>
      </c>
      <c r="I2630" t="s">
        <v>24</v>
      </c>
      <c r="J2630" t="s">
        <v>2559</v>
      </c>
      <c r="K2630">
        <v>4</v>
      </c>
      <c r="N2630">
        <v>1082</v>
      </c>
      <c r="O2630">
        <v>50</v>
      </c>
      <c r="P2630" s="1">
        <v>45562</v>
      </c>
      <c r="Q2630" s="1"/>
      <c r="R2630" t="str">
        <f>IF(Table1[[#This Row],[Actual close date]]="","",Table1[[#This Row],[Actual close date]]-Table1[[#This Row],[Expected close date]])</f>
        <v/>
      </c>
    </row>
    <row r="2631" spans="1:18" x14ac:dyDescent="0.25">
      <c r="A2631" t="s">
        <v>2716</v>
      </c>
      <c r="B2631" t="s">
        <v>59</v>
      </c>
      <c r="C2631" t="s">
        <v>60</v>
      </c>
      <c r="D2631" t="s">
        <v>61</v>
      </c>
      <c r="E2631" t="s">
        <v>45</v>
      </c>
      <c r="F2631" t="s">
        <v>125</v>
      </c>
      <c r="G2631" t="s">
        <v>23</v>
      </c>
      <c r="H2631" s="1">
        <v>45356</v>
      </c>
      <c r="I2631" t="s">
        <v>24</v>
      </c>
      <c r="J2631" t="s">
        <v>2559</v>
      </c>
      <c r="K2631">
        <v>4</v>
      </c>
      <c r="N2631">
        <v>593</v>
      </c>
      <c r="O2631">
        <v>20</v>
      </c>
      <c r="P2631" s="1">
        <v>45673</v>
      </c>
      <c r="Q2631" s="1"/>
      <c r="R2631" t="str">
        <f>IF(Table1[[#This Row],[Actual close date]]="","",Table1[[#This Row],[Actual close date]]-Table1[[#This Row],[Expected close date]])</f>
        <v/>
      </c>
    </row>
    <row r="2632" spans="1:18" x14ac:dyDescent="0.25">
      <c r="A2632" t="s">
        <v>2717</v>
      </c>
      <c r="B2632" t="s">
        <v>49</v>
      </c>
      <c r="C2632" t="s">
        <v>50</v>
      </c>
      <c r="D2632" t="s">
        <v>51</v>
      </c>
      <c r="E2632" t="s">
        <v>122</v>
      </c>
      <c r="F2632" t="s">
        <v>125</v>
      </c>
      <c r="G2632" t="s">
        <v>23</v>
      </c>
      <c r="H2632" s="1">
        <v>45382</v>
      </c>
      <c r="I2632" t="s">
        <v>64</v>
      </c>
      <c r="J2632" t="s">
        <v>2559</v>
      </c>
      <c r="K2632">
        <v>4</v>
      </c>
      <c r="N2632">
        <v>1032</v>
      </c>
      <c r="O2632">
        <v>50</v>
      </c>
      <c r="P2632" s="1">
        <v>45406</v>
      </c>
      <c r="Q2632" s="1"/>
      <c r="R2632" t="str">
        <f>IF(Table1[[#This Row],[Actual close date]]="","",Table1[[#This Row],[Actual close date]]-Table1[[#This Row],[Expected close date]])</f>
        <v/>
      </c>
    </row>
    <row r="2633" spans="1:18" x14ac:dyDescent="0.25">
      <c r="A2633" t="s">
        <v>2718</v>
      </c>
      <c r="B2633" t="s">
        <v>54</v>
      </c>
      <c r="C2633" t="s">
        <v>55</v>
      </c>
      <c r="D2633" t="s">
        <v>56</v>
      </c>
      <c r="E2633" t="s">
        <v>21</v>
      </c>
      <c r="F2633" t="s">
        <v>125</v>
      </c>
      <c r="G2633" t="s">
        <v>37</v>
      </c>
      <c r="H2633" s="1">
        <v>45441</v>
      </c>
      <c r="I2633" t="s">
        <v>64</v>
      </c>
      <c r="J2633" t="s">
        <v>2559</v>
      </c>
      <c r="K2633">
        <v>4</v>
      </c>
      <c r="N2633">
        <v>928</v>
      </c>
      <c r="O2633">
        <v>20</v>
      </c>
      <c r="P2633" s="1">
        <v>45603</v>
      </c>
      <c r="Q2633" s="1"/>
      <c r="R2633" t="str">
        <f>IF(Table1[[#This Row],[Actual close date]]="","",Table1[[#This Row],[Actual close date]]-Table1[[#This Row],[Expected close date]])</f>
        <v/>
      </c>
    </row>
    <row r="2634" spans="1:18" x14ac:dyDescent="0.25">
      <c r="A2634" t="s">
        <v>2719</v>
      </c>
      <c r="B2634" t="s">
        <v>27</v>
      </c>
      <c r="C2634" t="s">
        <v>28</v>
      </c>
      <c r="D2634" t="s">
        <v>29</v>
      </c>
      <c r="E2634" t="s">
        <v>52</v>
      </c>
      <c r="F2634" t="s">
        <v>125</v>
      </c>
      <c r="G2634" t="s">
        <v>31</v>
      </c>
      <c r="H2634" s="1">
        <v>45369</v>
      </c>
      <c r="I2634" t="s">
        <v>64</v>
      </c>
      <c r="J2634" t="s">
        <v>2559</v>
      </c>
      <c r="K2634">
        <v>4</v>
      </c>
      <c r="N2634">
        <v>730</v>
      </c>
      <c r="O2634">
        <v>100</v>
      </c>
      <c r="P2634" s="1">
        <v>45521</v>
      </c>
      <c r="Q2634" s="1"/>
      <c r="R2634" t="str">
        <f>IF(Table1[[#This Row],[Actual close date]]="","",Table1[[#This Row],[Actual close date]]-Table1[[#This Row],[Expected close date]])</f>
        <v/>
      </c>
    </row>
    <row r="2635" spans="1:18" x14ac:dyDescent="0.25">
      <c r="A2635" t="s">
        <v>2720</v>
      </c>
      <c r="B2635" t="s">
        <v>27</v>
      </c>
      <c r="C2635" t="s">
        <v>28</v>
      </c>
      <c r="D2635" t="s">
        <v>29</v>
      </c>
      <c r="E2635" t="s">
        <v>42</v>
      </c>
      <c r="F2635" t="s">
        <v>125</v>
      </c>
      <c r="G2635" t="s">
        <v>31</v>
      </c>
      <c r="H2635" s="1">
        <v>45386</v>
      </c>
      <c r="I2635" t="s">
        <v>24</v>
      </c>
      <c r="J2635" t="s">
        <v>2559</v>
      </c>
      <c r="K2635">
        <v>4</v>
      </c>
      <c r="N2635">
        <v>926</v>
      </c>
      <c r="O2635">
        <v>20</v>
      </c>
      <c r="P2635" s="1">
        <v>45598</v>
      </c>
      <c r="Q2635" s="1"/>
      <c r="R2635" t="str">
        <f>IF(Table1[[#This Row],[Actual close date]]="","",Table1[[#This Row],[Actual close date]]-Table1[[#This Row],[Expected close date]])</f>
        <v/>
      </c>
    </row>
    <row r="2636" spans="1:18" x14ac:dyDescent="0.25">
      <c r="A2636" t="s">
        <v>2721</v>
      </c>
      <c r="B2636" t="s">
        <v>33</v>
      </c>
      <c r="C2636" t="s">
        <v>34</v>
      </c>
      <c r="D2636" t="s">
        <v>35</v>
      </c>
      <c r="E2636" t="s">
        <v>52</v>
      </c>
      <c r="F2636" t="s">
        <v>125</v>
      </c>
      <c r="G2636" t="s">
        <v>37</v>
      </c>
      <c r="H2636" s="1">
        <v>45412</v>
      </c>
      <c r="I2636" t="s">
        <v>24</v>
      </c>
      <c r="J2636" t="s">
        <v>2559</v>
      </c>
      <c r="K2636">
        <v>4</v>
      </c>
      <c r="N2636">
        <v>826</v>
      </c>
      <c r="O2636">
        <v>20</v>
      </c>
      <c r="P2636" s="1">
        <v>45734</v>
      </c>
      <c r="Q2636" s="1"/>
      <c r="R2636" t="str">
        <f>IF(Table1[[#This Row],[Actual close date]]="","",Table1[[#This Row],[Actual close date]]-Table1[[#This Row],[Expected close date]])</f>
        <v/>
      </c>
    </row>
    <row r="2637" spans="1:18" x14ac:dyDescent="0.25">
      <c r="A2637" t="s">
        <v>2722</v>
      </c>
      <c r="B2637" t="s">
        <v>69</v>
      </c>
      <c r="C2637" t="s">
        <v>70</v>
      </c>
      <c r="D2637" t="s">
        <v>71</v>
      </c>
      <c r="E2637" t="s">
        <v>21</v>
      </c>
      <c r="F2637" t="s">
        <v>125</v>
      </c>
      <c r="G2637" t="s">
        <v>83</v>
      </c>
      <c r="H2637" s="1">
        <v>45415</v>
      </c>
      <c r="I2637" t="s">
        <v>47</v>
      </c>
      <c r="J2637" t="s">
        <v>2559</v>
      </c>
      <c r="K2637">
        <v>4</v>
      </c>
      <c r="N2637">
        <v>1094</v>
      </c>
      <c r="O2637">
        <v>100</v>
      </c>
      <c r="P2637" s="1">
        <v>45741</v>
      </c>
      <c r="Q2637" s="1"/>
      <c r="R2637" t="str">
        <f>IF(Table1[[#This Row],[Actual close date]]="","",Table1[[#This Row],[Actual close date]]-Table1[[#This Row],[Expected close date]])</f>
        <v/>
      </c>
    </row>
    <row r="2638" spans="1:18" x14ac:dyDescent="0.25">
      <c r="A2638" t="s">
        <v>2723</v>
      </c>
      <c r="B2638" t="s">
        <v>59</v>
      </c>
      <c r="C2638" t="s">
        <v>60</v>
      </c>
      <c r="D2638" t="s">
        <v>61</v>
      </c>
      <c r="E2638" t="s">
        <v>118</v>
      </c>
      <c r="F2638" t="s">
        <v>125</v>
      </c>
      <c r="G2638" t="s">
        <v>85</v>
      </c>
      <c r="H2638" s="1">
        <v>45297</v>
      </c>
      <c r="I2638" t="s">
        <v>64</v>
      </c>
      <c r="J2638" t="s">
        <v>2559</v>
      </c>
      <c r="K2638">
        <v>4</v>
      </c>
      <c r="N2638">
        <v>256</v>
      </c>
      <c r="O2638">
        <v>30</v>
      </c>
      <c r="P2638" s="1">
        <v>45446</v>
      </c>
      <c r="Q2638" s="1"/>
      <c r="R2638" t="str">
        <f>IF(Table1[[#This Row],[Actual close date]]="","",Table1[[#This Row],[Actual close date]]-Table1[[#This Row],[Expected close date]])</f>
        <v/>
      </c>
    </row>
    <row r="2639" spans="1:18" x14ac:dyDescent="0.25">
      <c r="A2639" t="s">
        <v>2724</v>
      </c>
      <c r="B2639" t="s">
        <v>54</v>
      </c>
      <c r="C2639" t="s">
        <v>55</v>
      </c>
      <c r="D2639" t="s">
        <v>56</v>
      </c>
      <c r="E2639" t="s">
        <v>98</v>
      </c>
      <c r="F2639" t="s">
        <v>125</v>
      </c>
      <c r="G2639" t="s">
        <v>57</v>
      </c>
      <c r="H2639" s="1">
        <v>45410</v>
      </c>
      <c r="I2639" t="s">
        <v>64</v>
      </c>
      <c r="J2639" t="s">
        <v>2559</v>
      </c>
      <c r="K2639">
        <v>4</v>
      </c>
      <c r="N2639">
        <v>656</v>
      </c>
      <c r="O2639">
        <v>40</v>
      </c>
      <c r="P2639" s="1">
        <v>45633</v>
      </c>
      <c r="Q2639" s="1"/>
      <c r="R2639" t="str">
        <f>IF(Table1[[#This Row],[Actual close date]]="","",Table1[[#This Row],[Actual close date]]-Table1[[#This Row],[Expected close date]])</f>
        <v/>
      </c>
    </row>
    <row r="2640" spans="1:18" x14ac:dyDescent="0.25">
      <c r="A2640" t="s">
        <v>2725</v>
      </c>
      <c r="B2640" t="s">
        <v>33</v>
      </c>
      <c r="C2640" t="s">
        <v>34</v>
      </c>
      <c r="D2640" t="s">
        <v>35</v>
      </c>
      <c r="E2640" t="s">
        <v>21</v>
      </c>
      <c r="F2640" t="s">
        <v>125</v>
      </c>
      <c r="G2640" t="s">
        <v>37</v>
      </c>
      <c r="H2640" s="1">
        <v>45408</v>
      </c>
      <c r="I2640" t="s">
        <v>24</v>
      </c>
      <c r="J2640" t="s">
        <v>2559</v>
      </c>
      <c r="K2640">
        <v>4</v>
      </c>
      <c r="N2640">
        <v>1048</v>
      </c>
      <c r="O2640">
        <v>60</v>
      </c>
      <c r="P2640" s="1">
        <v>45586</v>
      </c>
      <c r="Q2640" s="1"/>
      <c r="R2640" t="str">
        <f>IF(Table1[[#This Row],[Actual close date]]="","",Table1[[#This Row],[Actual close date]]-Table1[[#This Row],[Expected close date]])</f>
        <v/>
      </c>
    </row>
    <row r="2641" spans="1:18" x14ac:dyDescent="0.25">
      <c r="A2641" t="s">
        <v>2726</v>
      </c>
      <c r="B2641" t="s">
        <v>33</v>
      </c>
      <c r="C2641" t="s">
        <v>34</v>
      </c>
      <c r="D2641" t="s">
        <v>35</v>
      </c>
      <c r="E2641" t="s">
        <v>122</v>
      </c>
      <c r="F2641" t="s">
        <v>125</v>
      </c>
      <c r="G2641" t="s">
        <v>46</v>
      </c>
      <c r="H2641" s="1">
        <v>45344</v>
      </c>
      <c r="I2641" t="s">
        <v>24</v>
      </c>
      <c r="J2641" t="s">
        <v>2559</v>
      </c>
      <c r="K2641">
        <v>4</v>
      </c>
      <c r="N2641">
        <v>556</v>
      </c>
      <c r="O2641">
        <v>50</v>
      </c>
      <c r="P2641" s="1">
        <v>45585</v>
      </c>
      <c r="Q2641" s="1"/>
      <c r="R2641" t="str">
        <f>IF(Table1[[#This Row],[Actual close date]]="","",Table1[[#This Row],[Actual close date]]-Table1[[#This Row],[Expected close date]])</f>
        <v/>
      </c>
    </row>
    <row r="2642" spans="1:18" x14ac:dyDescent="0.25">
      <c r="A2642" t="s">
        <v>2727</v>
      </c>
      <c r="B2642" t="s">
        <v>27</v>
      </c>
      <c r="C2642" t="s">
        <v>28</v>
      </c>
      <c r="D2642" t="s">
        <v>29</v>
      </c>
      <c r="E2642" t="s">
        <v>21</v>
      </c>
      <c r="F2642" t="s">
        <v>125</v>
      </c>
      <c r="G2642" t="s">
        <v>46</v>
      </c>
      <c r="H2642" s="1">
        <v>45328</v>
      </c>
      <c r="I2642" t="s">
        <v>24</v>
      </c>
      <c r="J2642" t="s">
        <v>2559</v>
      </c>
      <c r="K2642">
        <v>4</v>
      </c>
      <c r="N2642">
        <v>850</v>
      </c>
      <c r="O2642">
        <v>50</v>
      </c>
      <c r="P2642" s="1">
        <v>45419</v>
      </c>
      <c r="Q2642" s="1"/>
      <c r="R2642" t="str">
        <f>IF(Table1[[#This Row],[Actual close date]]="","",Table1[[#This Row],[Actual close date]]-Table1[[#This Row],[Expected close date]])</f>
        <v/>
      </c>
    </row>
    <row r="2643" spans="1:18" x14ac:dyDescent="0.25">
      <c r="A2643" t="s">
        <v>2728</v>
      </c>
      <c r="B2643" t="s">
        <v>33</v>
      </c>
      <c r="C2643" t="s">
        <v>34</v>
      </c>
      <c r="D2643" t="s">
        <v>35</v>
      </c>
      <c r="E2643" t="s">
        <v>45</v>
      </c>
      <c r="F2643" t="s">
        <v>125</v>
      </c>
      <c r="G2643" t="s">
        <v>23</v>
      </c>
      <c r="H2643" s="1">
        <v>45405</v>
      </c>
      <c r="I2643" t="s">
        <v>64</v>
      </c>
      <c r="J2643" t="s">
        <v>2559</v>
      </c>
      <c r="K2643">
        <v>4</v>
      </c>
      <c r="N2643">
        <v>1093</v>
      </c>
      <c r="O2643">
        <v>20</v>
      </c>
      <c r="P2643" s="1">
        <v>45515</v>
      </c>
      <c r="Q2643" s="1"/>
      <c r="R2643" t="str">
        <f>IF(Table1[[#This Row],[Actual close date]]="","",Table1[[#This Row],[Actual close date]]-Table1[[#This Row],[Expected close date]])</f>
        <v/>
      </c>
    </row>
    <row r="2644" spans="1:18" x14ac:dyDescent="0.25">
      <c r="A2644" t="s">
        <v>2729</v>
      </c>
      <c r="B2644" t="s">
        <v>33</v>
      </c>
      <c r="C2644" t="s">
        <v>34</v>
      </c>
      <c r="D2644" t="s">
        <v>35</v>
      </c>
      <c r="E2644" t="s">
        <v>36</v>
      </c>
      <c r="F2644" t="s">
        <v>125</v>
      </c>
      <c r="G2644" t="s">
        <v>31</v>
      </c>
      <c r="H2644" s="1">
        <v>45362</v>
      </c>
      <c r="I2644" t="s">
        <v>47</v>
      </c>
      <c r="J2644" t="s">
        <v>2559</v>
      </c>
      <c r="K2644">
        <v>4</v>
      </c>
      <c r="N2644">
        <v>314</v>
      </c>
      <c r="O2644">
        <v>60</v>
      </c>
      <c r="P2644" s="1">
        <v>45727</v>
      </c>
      <c r="Q2644" s="1"/>
      <c r="R2644" t="str">
        <f>IF(Table1[[#This Row],[Actual close date]]="","",Table1[[#This Row],[Actual close date]]-Table1[[#This Row],[Expected close date]])</f>
        <v/>
      </c>
    </row>
    <row r="2645" spans="1:18" x14ac:dyDescent="0.25">
      <c r="A2645" t="s">
        <v>2730</v>
      </c>
      <c r="B2645" t="s">
        <v>39</v>
      </c>
      <c r="C2645" t="s">
        <v>40</v>
      </c>
      <c r="D2645" t="s">
        <v>41</v>
      </c>
      <c r="E2645" t="s">
        <v>45</v>
      </c>
      <c r="F2645" t="s">
        <v>125</v>
      </c>
      <c r="G2645" t="s">
        <v>46</v>
      </c>
      <c r="H2645" s="1">
        <v>45313</v>
      </c>
      <c r="I2645" t="s">
        <v>64</v>
      </c>
      <c r="J2645" t="s">
        <v>2559</v>
      </c>
      <c r="K2645">
        <v>4</v>
      </c>
      <c r="N2645">
        <v>642</v>
      </c>
      <c r="O2645">
        <v>50</v>
      </c>
      <c r="P2645" s="1">
        <v>45370</v>
      </c>
      <c r="Q2645" s="1"/>
      <c r="R2645" t="str">
        <f>IF(Table1[[#This Row],[Actual close date]]="","",Table1[[#This Row],[Actual close date]]-Table1[[#This Row],[Expected close date]])</f>
        <v/>
      </c>
    </row>
    <row r="2646" spans="1:18" x14ac:dyDescent="0.25">
      <c r="A2646" t="s">
        <v>2731</v>
      </c>
      <c r="B2646" t="s">
        <v>54</v>
      </c>
      <c r="C2646" t="s">
        <v>55</v>
      </c>
      <c r="D2646" t="s">
        <v>56</v>
      </c>
      <c r="E2646" t="s">
        <v>45</v>
      </c>
      <c r="F2646" t="s">
        <v>125</v>
      </c>
      <c r="G2646" t="s">
        <v>83</v>
      </c>
      <c r="H2646" s="1">
        <v>45316</v>
      </c>
      <c r="I2646" t="s">
        <v>64</v>
      </c>
      <c r="J2646" t="s">
        <v>2559</v>
      </c>
      <c r="K2646">
        <v>4</v>
      </c>
      <c r="N2646">
        <v>858</v>
      </c>
      <c r="O2646">
        <v>40</v>
      </c>
      <c r="P2646" s="1">
        <v>45571</v>
      </c>
      <c r="Q2646" s="1"/>
      <c r="R2646" t="str">
        <f>IF(Table1[[#This Row],[Actual close date]]="","",Table1[[#This Row],[Actual close date]]-Table1[[#This Row],[Expected close date]])</f>
        <v/>
      </c>
    </row>
    <row r="2647" spans="1:18" x14ac:dyDescent="0.25">
      <c r="A2647" t="s">
        <v>2732</v>
      </c>
      <c r="B2647" t="s">
        <v>59</v>
      </c>
      <c r="C2647" t="s">
        <v>60</v>
      </c>
      <c r="D2647" t="s">
        <v>61</v>
      </c>
      <c r="E2647" t="s">
        <v>45</v>
      </c>
      <c r="F2647" t="s">
        <v>125</v>
      </c>
      <c r="G2647" t="s">
        <v>46</v>
      </c>
      <c r="H2647" s="1">
        <v>45405</v>
      </c>
      <c r="I2647" t="s">
        <v>64</v>
      </c>
      <c r="J2647" t="s">
        <v>2559</v>
      </c>
      <c r="K2647">
        <v>4</v>
      </c>
      <c r="N2647">
        <v>828</v>
      </c>
      <c r="O2647">
        <v>40</v>
      </c>
      <c r="P2647" s="1">
        <v>45763</v>
      </c>
      <c r="Q2647" s="1"/>
      <c r="R2647" t="str">
        <f>IF(Table1[[#This Row],[Actual close date]]="","",Table1[[#This Row],[Actual close date]]-Table1[[#This Row],[Expected close date]])</f>
        <v/>
      </c>
    </row>
    <row r="2648" spans="1:18" x14ac:dyDescent="0.25">
      <c r="A2648" t="s">
        <v>2733</v>
      </c>
      <c r="B2648" t="s">
        <v>59</v>
      </c>
      <c r="C2648" t="s">
        <v>60</v>
      </c>
      <c r="D2648" t="s">
        <v>61</v>
      </c>
      <c r="E2648" t="s">
        <v>21</v>
      </c>
      <c r="F2648" t="s">
        <v>125</v>
      </c>
      <c r="G2648" t="s">
        <v>23</v>
      </c>
      <c r="H2648" s="1">
        <v>45312</v>
      </c>
      <c r="I2648" t="s">
        <v>64</v>
      </c>
      <c r="J2648" t="s">
        <v>2559</v>
      </c>
      <c r="K2648">
        <v>4</v>
      </c>
      <c r="N2648">
        <v>482</v>
      </c>
      <c r="O2648">
        <v>100</v>
      </c>
      <c r="P2648" s="1">
        <v>45415</v>
      </c>
      <c r="Q2648" s="1"/>
      <c r="R2648" t="str">
        <f>IF(Table1[[#This Row],[Actual close date]]="","",Table1[[#This Row],[Actual close date]]-Table1[[#This Row],[Expected close date]])</f>
        <v/>
      </c>
    </row>
    <row r="2649" spans="1:18" x14ac:dyDescent="0.25">
      <c r="A2649" t="s">
        <v>2734</v>
      </c>
      <c r="B2649" t="s">
        <v>69</v>
      </c>
      <c r="C2649" t="s">
        <v>70</v>
      </c>
      <c r="D2649" t="s">
        <v>71</v>
      </c>
      <c r="E2649" t="s">
        <v>74</v>
      </c>
      <c r="F2649" t="s">
        <v>125</v>
      </c>
      <c r="G2649" t="s">
        <v>46</v>
      </c>
      <c r="H2649" s="1">
        <v>45329</v>
      </c>
      <c r="I2649" t="s">
        <v>24</v>
      </c>
      <c r="J2649" t="s">
        <v>2559</v>
      </c>
      <c r="K2649">
        <v>4</v>
      </c>
      <c r="N2649">
        <v>367</v>
      </c>
      <c r="O2649">
        <v>50</v>
      </c>
      <c r="P2649" s="1">
        <v>45352</v>
      </c>
      <c r="Q2649" s="1"/>
      <c r="R2649" t="str">
        <f>IF(Table1[[#This Row],[Actual close date]]="","",Table1[[#This Row],[Actual close date]]-Table1[[#This Row],[Expected close date]])</f>
        <v/>
      </c>
    </row>
    <row r="2650" spans="1:18" x14ac:dyDescent="0.25">
      <c r="A2650" t="s">
        <v>2735</v>
      </c>
      <c r="B2650" t="s">
        <v>59</v>
      </c>
      <c r="C2650" t="s">
        <v>60</v>
      </c>
      <c r="D2650" t="s">
        <v>61</v>
      </c>
      <c r="E2650" t="s">
        <v>122</v>
      </c>
      <c r="F2650" t="s">
        <v>125</v>
      </c>
      <c r="G2650" t="s">
        <v>31</v>
      </c>
      <c r="H2650" s="1">
        <v>45407</v>
      </c>
      <c r="I2650" t="s">
        <v>64</v>
      </c>
      <c r="J2650" t="s">
        <v>2559</v>
      </c>
      <c r="K2650">
        <v>4</v>
      </c>
      <c r="N2650">
        <v>471</v>
      </c>
      <c r="O2650">
        <v>20</v>
      </c>
      <c r="P2650" s="1">
        <v>45732</v>
      </c>
      <c r="Q2650" s="1"/>
      <c r="R2650" t="str">
        <f>IF(Table1[[#This Row],[Actual close date]]="","",Table1[[#This Row],[Actual close date]]-Table1[[#This Row],[Expected close date]])</f>
        <v/>
      </c>
    </row>
    <row r="2651" spans="1:18" x14ac:dyDescent="0.25">
      <c r="A2651" t="s">
        <v>2736</v>
      </c>
      <c r="B2651" t="s">
        <v>69</v>
      </c>
      <c r="C2651" t="s">
        <v>70</v>
      </c>
      <c r="D2651" t="s">
        <v>71</v>
      </c>
      <c r="E2651" t="s">
        <v>52</v>
      </c>
      <c r="F2651" t="s">
        <v>125</v>
      </c>
      <c r="G2651" t="s">
        <v>46</v>
      </c>
      <c r="H2651" s="1">
        <v>45367</v>
      </c>
      <c r="I2651" t="s">
        <v>24</v>
      </c>
      <c r="J2651" t="s">
        <v>2559</v>
      </c>
      <c r="K2651">
        <v>4</v>
      </c>
      <c r="N2651">
        <v>1169</v>
      </c>
      <c r="O2651">
        <v>20</v>
      </c>
      <c r="P2651" s="1">
        <v>45492</v>
      </c>
      <c r="Q2651" s="1"/>
      <c r="R2651" t="str">
        <f>IF(Table1[[#This Row],[Actual close date]]="","",Table1[[#This Row],[Actual close date]]-Table1[[#This Row],[Expected close date]])</f>
        <v/>
      </c>
    </row>
    <row r="2652" spans="1:18" x14ac:dyDescent="0.25">
      <c r="A2652" t="s">
        <v>2737</v>
      </c>
      <c r="B2652" t="s">
        <v>49</v>
      </c>
      <c r="C2652" t="s">
        <v>50</v>
      </c>
      <c r="D2652" t="s">
        <v>51</v>
      </c>
      <c r="E2652" t="s">
        <v>66</v>
      </c>
      <c r="F2652" t="s">
        <v>125</v>
      </c>
      <c r="G2652" t="s">
        <v>85</v>
      </c>
      <c r="H2652" s="1">
        <v>45418</v>
      </c>
      <c r="I2652" t="s">
        <v>47</v>
      </c>
      <c r="J2652" t="s">
        <v>2559</v>
      </c>
      <c r="K2652">
        <v>4</v>
      </c>
      <c r="N2652">
        <v>1140</v>
      </c>
      <c r="O2652">
        <v>40</v>
      </c>
      <c r="P2652" s="1">
        <v>45469</v>
      </c>
      <c r="Q2652" s="1"/>
      <c r="R2652" t="str">
        <f>IF(Table1[[#This Row],[Actual close date]]="","",Table1[[#This Row],[Actual close date]]-Table1[[#This Row],[Expected close date]])</f>
        <v/>
      </c>
    </row>
    <row r="2653" spans="1:18" x14ac:dyDescent="0.25">
      <c r="A2653" t="s">
        <v>2738</v>
      </c>
      <c r="B2653" t="s">
        <v>39</v>
      </c>
      <c r="C2653" t="s">
        <v>40</v>
      </c>
      <c r="D2653" t="s">
        <v>41</v>
      </c>
      <c r="E2653" t="s">
        <v>21</v>
      </c>
      <c r="F2653" t="s">
        <v>125</v>
      </c>
      <c r="G2653" t="s">
        <v>57</v>
      </c>
      <c r="H2653" s="1">
        <v>45428</v>
      </c>
      <c r="I2653" t="s">
        <v>47</v>
      </c>
      <c r="J2653" t="s">
        <v>2559</v>
      </c>
      <c r="K2653">
        <v>4</v>
      </c>
      <c r="N2653">
        <v>437</v>
      </c>
      <c r="O2653">
        <v>20</v>
      </c>
      <c r="P2653" s="1">
        <v>45448</v>
      </c>
      <c r="Q2653" s="1"/>
      <c r="R2653" t="str">
        <f>IF(Table1[[#This Row],[Actual close date]]="","",Table1[[#This Row],[Actual close date]]-Table1[[#This Row],[Expected close date]])</f>
        <v/>
      </c>
    </row>
    <row r="2654" spans="1:18" x14ac:dyDescent="0.25">
      <c r="A2654" t="s">
        <v>2739</v>
      </c>
      <c r="B2654" t="s">
        <v>33</v>
      </c>
      <c r="C2654" t="s">
        <v>34</v>
      </c>
      <c r="D2654" t="s">
        <v>35</v>
      </c>
      <c r="E2654" t="s">
        <v>45</v>
      </c>
      <c r="F2654" t="s">
        <v>125</v>
      </c>
      <c r="G2654" t="s">
        <v>72</v>
      </c>
      <c r="H2654" s="1">
        <v>45378</v>
      </c>
      <c r="I2654" t="s">
        <v>24</v>
      </c>
      <c r="J2654" t="s">
        <v>2559</v>
      </c>
      <c r="K2654">
        <v>4</v>
      </c>
      <c r="N2654">
        <v>1027</v>
      </c>
      <c r="O2654">
        <v>50</v>
      </c>
      <c r="P2654" s="1">
        <v>45665</v>
      </c>
      <c r="Q2654" s="1"/>
      <c r="R2654" t="str">
        <f>IF(Table1[[#This Row],[Actual close date]]="","",Table1[[#This Row],[Actual close date]]-Table1[[#This Row],[Expected close date]])</f>
        <v/>
      </c>
    </row>
    <row r="2655" spans="1:18" x14ac:dyDescent="0.25">
      <c r="A2655" t="s">
        <v>2740</v>
      </c>
      <c r="B2655" t="s">
        <v>59</v>
      </c>
      <c r="C2655" t="s">
        <v>60</v>
      </c>
      <c r="D2655" t="s">
        <v>61</v>
      </c>
      <c r="E2655" t="s">
        <v>62</v>
      </c>
      <c r="F2655" t="s">
        <v>125</v>
      </c>
      <c r="G2655" t="s">
        <v>37</v>
      </c>
      <c r="H2655" s="1">
        <v>45304</v>
      </c>
      <c r="I2655" t="s">
        <v>64</v>
      </c>
      <c r="J2655" t="s">
        <v>2559</v>
      </c>
      <c r="K2655">
        <v>4</v>
      </c>
      <c r="N2655">
        <v>601</v>
      </c>
      <c r="O2655">
        <v>40</v>
      </c>
      <c r="P2655" s="1">
        <v>45640</v>
      </c>
      <c r="Q2655" s="1"/>
      <c r="R2655" t="str">
        <f>IF(Table1[[#This Row],[Actual close date]]="","",Table1[[#This Row],[Actual close date]]-Table1[[#This Row],[Expected close date]])</f>
        <v/>
      </c>
    </row>
    <row r="2656" spans="1:18" x14ac:dyDescent="0.25">
      <c r="A2656" t="s">
        <v>2741</v>
      </c>
      <c r="B2656" t="s">
        <v>27</v>
      </c>
      <c r="C2656" t="s">
        <v>28</v>
      </c>
      <c r="D2656" t="s">
        <v>29</v>
      </c>
      <c r="E2656" t="s">
        <v>36</v>
      </c>
      <c r="F2656" t="s">
        <v>125</v>
      </c>
      <c r="G2656" t="s">
        <v>37</v>
      </c>
      <c r="H2656" s="1">
        <v>45401</v>
      </c>
      <c r="I2656" t="s">
        <v>64</v>
      </c>
      <c r="J2656" t="s">
        <v>2559</v>
      </c>
      <c r="K2656">
        <v>4</v>
      </c>
      <c r="N2656">
        <v>336</v>
      </c>
      <c r="O2656">
        <v>40</v>
      </c>
      <c r="P2656" s="1">
        <v>45738</v>
      </c>
      <c r="Q2656" s="1"/>
      <c r="R2656" t="str">
        <f>IF(Table1[[#This Row],[Actual close date]]="","",Table1[[#This Row],[Actual close date]]-Table1[[#This Row],[Expected close date]])</f>
        <v/>
      </c>
    </row>
    <row r="2657" spans="1:18" x14ac:dyDescent="0.25">
      <c r="A2657" t="s">
        <v>2742</v>
      </c>
      <c r="B2657" t="s">
        <v>54</v>
      </c>
      <c r="C2657" t="s">
        <v>55</v>
      </c>
      <c r="D2657" t="s">
        <v>56</v>
      </c>
      <c r="E2657" t="s">
        <v>21</v>
      </c>
      <c r="F2657" t="s">
        <v>125</v>
      </c>
      <c r="G2657" t="s">
        <v>46</v>
      </c>
      <c r="H2657" s="1">
        <v>45411</v>
      </c>
      <c r="I2657" t="s">
        <v>64</v>
      </c>
      <c r="J2657" t="s">
        <v>2559</v>
      </c>
      <c r="K2657">
        <v>4</v>
      </c>
      <c r="N2657">
        <v>822</v>
      </c>
      <c r="O2657">
        <v>40</v>
      </c>
      <c r="P2657" s="1">
        <v>45726</v>
      </c>
      <c r="Q2657" s="1"/>
      <c r="R2657" t="str">
        <f>IF(Table1[[#This Row],[Actual close date]]="","",Table1[[#This Row],[Actual close date]]-Table1[[#This Row],[Expected close date]])</f>
        <v/>
      </c>
    </row>
    <row r="2658" spans="1:18" x14ac:dyDescent="0.25">
      <c r="A2658" t="s">
        <v>2743</v>
      </c>
      <c r="B2658" t="s">
        <v>76</v>
      </c>
      <c r="C2658" t="s">
        <v>77</v>
      </c>
      <c r="D2658" t="s">
        <v>78</v>
      </c>
      <c r="E2658" t="s">
        <v>45</v>
      </c>
      <c r="F2658" t="s">
        <v>125</v>
      </c>
      <c r="G2658" t="s">
        <v>37</v>
      </c>
      <c r="H2658" s="1">
        <v>45325</v>
      </c>
      <c r="I2658" t="s">
        <v>24</v>
      </c>
      <c r="J2658" t="s">
        <v>2559</v>
      </c>
      <c r="K2658">
        <v>4</v>
      </c>
      <c r="N2658">
        <v>465</v>
      </c>
      <c r="O2658">
        <v>30</v>
      </c>
      <c r="P2658" s="1">
        <v>45350</v>
      </c>
      <c r="Q2658" s="1"/>
      <c r="R2658" t="str">
        <f>IF(Table1[[#This Row],[Actual close date]]="","",Table1[[#This Row],[Actual close date]]-Table1[[#This Row],[Expected close date]])</f>
        <v/>
      </c>
    </row>
    <row r="2659" spans="1:18" x14ac:dyDescent="0.25">
      <c r="A2659" t="s">
        <v>2744</v>
      </c>
      <c r="B2659" t="s">
        <v>39</v>
      </c>
      <c r="C2659" t="s">
        <v>40</v>
      </c>
      <c r="D2659" t="s">
        <v>41</v>
      </c>
      <c r="E2659" t="s">
        <v>42</v>
      </c>
      <c r="F2659" t="s">
        <v>125</v>
      </c>
      <c r="G2659" t="s">
        <v>46</v>
      </c>
      <c r="H2659" s="1">
        <v>45424</v>
      </c>
      <c r="I2659" t="s">
        <v>64</v>
      </c>
      <c r="J2659" t="s">
        <v>2559</v>
      </c>
      <c r="K2659">
        <v>4</v>
      </c>
      <c r="N2659">
        <v>1146</v>
      </c>
      <c r="O2659">
        <v>20</v>
      </c>
      <c r="P2659" s="1">
        <v>45723</v>
      </c>
      <c r="Q2659" s="1"/>
      <c r="R2659" t="str">
        <f>IF(Table1[[#This Row],[Actual close date]]="","",Table1[[#This Row],[Actual close date]]-Table1[[#This Row],[Expected close date]])</f>
        <v/>
      </c>
    </row>
    <row r="2660" spans="1:18" x14ac:dyDescent="0.25">
      <c r="A2660" t="s">
        <v>2745</v>
      </c>
      <c r="B2660" t="s">
        <v>33</v>
      </c>
      <c r="C2660" t="s">
        <v>34</v>
      </c>
      <c r="D2660" t="s">
        <v>35</v>
      </c>
      <c r="E2660" t="s">
        <v>21</v>
      </c>
      <c r="F2660" t="s">
        <v>125</v>
      </c>
      <c r="G2660" t="s">
        <v>57</v>
      </c>
      <c r="H2660" s="1">
        <v>45357</v>
      </c>
      <c r="I2660" t="s">
        <v>64</v>
      </c>
      <c r="J2660" t="s">
        <v>2559</v>
      </c>
      <c r="K2660">
        <v>4</v>
      </c>
      <c r="N2660">
        <v>794</v>
      </c>
      <c r="O2660">
        <v>70</v>
      </c>
      <c r="P2660" s="1">
        <v>45709</v>
      </c>
      <c r="Q2660" s="1"/>
      <c r="R2660" t="str">
        <f>IF(Table1[[#This Row],[Actual close date]]="","",Table1[[#This Row],[Actual close date]]-Table1[[#This Row],[Expected close date]])</f>
        <v/>
      </c>
    </row>
    <row r="2661" spans="1:18" x14ac:dyDescent="0.25">
      <c r="A2661" t="s">
        <v>2746</v>
      </c>
      <c r="B2661" t="s">
        <v>76</v>
      </c>
      <c r="C2661" t="s">
        <v>77</v>
      </c>
      <c r="D2661" t="s">
        <v>78</v>
      </c>
      <c r="E2661" t="s">
        <v>45</v>
      </c>
      <c r="F2661" t="s">
        <v>125</v>
      </c>
      <c r="G2661" t="s">
        <v>46</v>
      </c>
      <c r="H2661" s="1">
        <v>45395</v>
      </c>
      <c r="I2661" t="s">
        <v>47</v>
      </c>
      <c r="J2661" t="s">
        <v>2559</v>
      </c>
      <c r="K2661">
        <v>4</v>
      </c>
      <c r="N2661">
        <v>1164</v>
      </c>
      <c r="O2661">
        <v>10</v>
      </c>
      <c r="P2661" s="1">
        <v>45697</v>
      </c>
      <c r="Q2661" s="1"/>
      <c r="R2661" t="str">
        <f>IF(Table1[[#This Row],[Actual close date]]="","",Table1[[#This Row],[Actual close date]]-Table1[[#This Row],[Expected close date]])</f>
        <v/>
      </c>
    </row>
    <row r="2662" spans="1:18" x14ac:dyDescent="0.25">
      <c r="A2662" t="s">
        <v>2747</v>
      </c>
      <c r="B2662" t="s">
        <v>33</v>
      </c>
      <c r="C2662" t="s">
        <v>34</v>
      </c>
      <c r="D2662" t="s">
        <v>35</v>
      </c>
      <c r="E2662" t="s">
        <v>82</v>
      </c>
      <c r="F2662" t="s">
        <v>125</v>
      </c>
      <c r="G2662" t="s">
        <v>72</v>
      </c>
      <c r="H2662" s="1">
        <v>45326</v>
      </c>
      <c r="I2662" t="s">
        <v>47</v>
      </c>
      <c r="J2662" t="s">
        <v>2559</v>
      </c>
      <c r="K2662">
        <v>4</v>
      </c>
      <c r="N2662">
        <v>424</v>
      </c>
      <c r="O2662">
        <v>30</v>
      </c>
      <c r="P2662" s="1">
        <v>45364</v>
      </c>
      <c r="Q2662" s="1"/>
      <c r="R2662" t="str">
        <f>IF(Table1[[#This Row],[Actual close date]]="","",Table1[[#This Row],[Actual close date]]-Table1[[#This Row],[Expected close date]])</f>
        <v/>
      </c>
    </row>
    <row r="2663" spans="1:18" x14ac:dyDescent="0.25">
      <c r="A2663" t="s">
        <v>2748</v>
      </c>
      <c r="B2663" t="s">
        <v>59</v>
      </c>
      <c r="C2663" t="s">
        <v>60</v>
      </c>
      <c r="D2663" t="s">
        <v>61</v>
      </c>
      <c r="E2663" t="s">
        <v>45</v>
      </c>
      <c r="F2663" t="s">
        <v>125</v>
      </c>
      <c r="G2663" t="s">
        <v>85</v>
      </c>
      <c r="H2663" s="1">
        <v>45299</v>
      </c>
      <c r="I2663" t="s">
        <v>24</v>
      </c>
      <c r="J2663" t="s">
        <v>2559</v>
      </c>
      <c r="K2663">
        <v>4</v>
      </c>
      <c r="N2663">
        <v>311</v>
      </c>
      <c r="O2663">
        <v>40</v>
      </c>
      <c r="P2663" s="1">
        <v>45395</v>
      </c>
      <c r="Q2663" s="1"/>
      <c r="R2663" t="str">
        <f>IF(Table1[[#This Row],[Actual close date]]="","",Table1[[#This Row],[Actual close date]]-Table1[[#This Row],[Expected close date]])</f>
        <v/>
      </c>
    </row>
    <row r="2664" spans="1:18" x14ac:dyDescent="0.25">
      <c r="A2664" t="s">
        <v>2749</v>
      </c>
      <c r="B2664" t="s">
        <v>54</v>
      </c>
      <c r="C2664" t="s">
        <v>55</v>
      </c>
      <c r="D2664" t="s">
        <v>56</v>
      </c>
      <c r="E2664" t="s">
        <v>118</v>
      </c>
      <c r="F2664" t="s">
        <v>125</v>
      </c>
      <c r="G2664" t="s">
        <v>46</v>
      </c>
      <c r="H2664" s="1">
        <v>45293</v>
      </c>
      <c r="I2664" t="s">
        <v>47</v>
      </c>
      <c r="J2664" t="s">
        <v>2559</v>
      </c>
      <c r="K2664">
        <v>4</v>
      </c>
      <c r="N2664">
        <v>899</v>
      </c>
      <c r="O2664">
        <v>40</v>
      </c>
      <c r="P2664" s="1">
        <v>45627</v>
      </c>
      <c r="Q2664" s="1"/>
      <c r="R2664" t="str">
        <f>IF(Table1[[#This Row],[Actual close date]]="","",Table1[[#This Row],[Actual close date]]-Table1[[#This Row],[Expected close date]])</f>
        <v/>
      </c>
    </row>
    <row r="2665" spans="1:18" x14ac:dyDescent="0.25">
      <c r="A2665" t="s">
        <v>2750</v>
      </c>
      <c r="B2665" t="s">
        <v>76</v>
      </c>
      <c r="C2665" t="s">
        <v>77</v>
      </c>
      <c r="D2665" t="s">
        <v>78</v>
      </c>
      <c r="E2665" t="s">
        <v>45</v>
      </c>
      <c r="F2665" t="s">
        <v>125</v>
      </c>
      <c r="G2665" t="s">
        <v>31</v>
      </c>
      <c r="H2665" s="1">
        <v>45368</v>
      </c>
      <c r="I2665" t="s">
        <v>24</v>
      </c>
      <c r="J2665" t="s">
        <v>2559</v>
      </c>
      <c r="K2665">
        <v>4</v>
      </c>
      <c r="N2665">
        <v>405</v>
      </c>
      <c r="O2665">
        <v>20</v>
      </c>
      <c r="P2665" s="1">
        <v>45477</v>
      </c>
      <c r="Q2665" s="1"/>
      <c r="R2665" t="str">
        <f>IF(Table1[[#This Row],[Actual close date]]="","",Table1[[#This Row],[Actual close date]]-Table1[[#This Row],[Expected close date]])</f>
        <v/>
      </c>
    </row>
    <row r="2666" spans="1:18" x14ac:dyDescent="0.25">
      <c r="A2666" t="s">
        <v>2751</v>
      </c>
      <c r="B2666" t="s">
        <v>33</v>
      </c>
      <c r="C2666" t="s">
        <v>34</v>
      </c>
      <c r="D2666" t="s">
        <v>35</v>
      </c>
      <c r="E2666" t="s">
        <v>82</v>
      </c>
      <c r="F2666" t="s">
        <v>125</v>
      </c>
      <c r="G2666" t="s">
        <v>83</v>
      </c>
      <c r="H2666" s="1">
        <v>45438</v>
      </c>
      <c r="I2666" t="s">
        <v>24</v>
      </c>
      <c r="J2666" t="s">
        <v>2559</v>
      </c>
      <c r="K2666">
        <v>4</v>
      </c>
      <c r="N2666">
        <v>281</v>
      </c>
      <c r="O2666">
        <v>40</v>
      </c>
      <c r="P2666" s="1">
        <v>45607</v>
      </c>
      <c r="Q2666" s="1"/>
      <c r="R2666" t="str">
        <f>IF(Table1[[#This Row],[Actual close date]]="","",Table1[[#This Row],[Actual close date]]-Table1[[#This Row],[Expected close date]])</f>
        <v/>
      </c>
    </row>
    <row r="2667" spans="1:18" x14ac:dyDescent="0.25">
      <c r="A2667" t="s">
        <v>2752</v>
      </c>
      <c r="B2667" t="s">
        <v>33</v>
      </c>
      <c r="C2667" t="s">
        <v>34</v>
      </c>
      <c r="D2667" t="s">
        <v>35</v>
      </c>
      <c r="E2667" t="s">
        <v>52</v>
      </c>
      <c r="F2667" t="s">
        <v>125</v>
      </c>
      <c r="G2667" t="s">
        <v>31</v>
      </c>
      <c r="H2667" s="1">
        <v>45440</v>
      </c>
      <c r="I2667" t="s">
        <v>64</v>
      </c>
      <c r="J2667" t="s">
        <v>2559</v>
      </c>
      <c r="K2667">
        <v>4</v>
      </c>
      <c r="N2667">
        <v>1144</v>
      </c>
      <c r="O2667">
        <v>20</v>
      </c>
      <c r="P2667" s="1">
        <v>45537</v>
      </c>
      <c r="Q2667" s="1"/>
      <c r="R2667" t="str">
        <f>IF(Table1[[#This Row],[Actual close date]]="","",Table1[[#This Row],[Actual close date]]-Table1[[#This Row],[Expected close date]])</f>
        <v/>
      </c>
    </row>
    <row r="2668" spans="1:18" x14ac:dyDescent="0.25">
      <c r="A2668" t="s">
        <v>2753</v>
      </c>
      <c r="B2668" t="s">
        <v>49</v>
      </c>
      <c r="C2668" t="s">
        <v>50</v>
      </c>
      <c r="D2668" t="s">
        <v>51</v>
      </c>
      <c r="E2668" t="s">
        <v>42</v>
      </c>
      <c r="F2668" t="s">
        <v>125</v>
      </c>
      <c r="G2668" t="s">
        <v>83</v>
      </c>
      <c r="H2668" s="1">
        <v>45349</v>
      </c>
      <c r="I2668" t="s">
        <v>24</v>
      </c>
      <c r="J2668" t="s">
        <v>2559</v>
      </c>
      <c r="K2668">
        <v>4</v>
      </c>
      <c r="N2668">
        <v>825</v>
      </c>
      <c r="O2668">
        <v>10</v>
      </c>
      <c r="P2668" s="1">
        <v>45443</v>
      </c>
      <c r="Q2668" s="1"/>
      <c r="R2668" t="str">
        <f>IF(Table1[[#This Row],[Actual close date]]="","",Table1[[#This Row],[Actual close date]]-Table1[[#This Row],[Expected close date]])</f>
        <v/>
      </c>
    </row>
    <row r="2669" spans="1:18" x14ac:dyDescent="0.25">
      <c r="A2669" t="s">
        <v>2754</v>
      </c>
      <c r="B2669" t="s">
        <v>76</v>
      </c>
      <c r="C2669" t="s">
        <v>77</v>
      </c>
      <c r="D2669" t="s">
        <v>78</v>
      </c>
      <c r="E2669" t="s">
        <v>52</v>
      </c>
      <c r="F2669" t="s">
        <v>125</v>
      </c>
      <c r="G2669" t="s">
        <v>46</v>
      </c>
      <c r="H2669" s="1">
        <v>45336</v>
      </c>
      <c r="I2669" t="s">
        <v>64</v>
      </c>
      <c r="J2669" t="s">
        <v>2559</v>
      </c>
      <c r="K2669">
        <v>4</v>
      </c>
      <c r="N2669">
        <v>750</v>
      </c>
      <c r="O2669">
        <v>70</v>
      </c>
      <c r="P2669" s="1">
        <v>45653</v>
      </c>
      <c r="Q2669" s="1"/>
      <c r="R2669" t="str">
        <f>IF(Table1[[#This Row],[Actual close date]]="","",Table1[[#This Row],[Actual close date]]-Table1[[#This Row],[Expected close date]])</f>
        <v/>
      </c>
    </row>
    <row r="2670" spans="1:18" x14ac:dyDescent="0.25">
      <c r="A2670" t="s">
        <v>2755</v>
      </c>
      <c r="B2670" t="s">
        <v>27</v>
      </c>
      <c r="C2670" t="s">
        <v>28</v>
      </c>
      <c r="D2670" t="s">
        <v>29</v>
      </c>
      <c r="E2670" t="s">
        <v>74</v>
      </c>
      <c r="F2670" t="s">
        <v>125</v>
      </c>
      <c r="G2670" t="s">
        <v>83</v>
      </c>
      <c r="H2670" s="1">
        <v>45313</v>
      </c>
      <c r="I2670" t="s">
        <v>24</v>
      </c>
      <c r="J2670" t="s">
        <v>2559</v>
      </c>
      <c r="K2670">
        <v>4</v>
      </c>
      <c r="N2670">
        <v>1158</v>
      </c>
      <c r="O2670">
        <v>30</v>
      </c>
      <c r="P2670" s="1">
        <v>45534</v>
      </c>
      <c r="Q2670" s="1"/>
      <c r="R2670" t="str">
        <f>IF(Table1[[#This Row],[Actual close date]]="","",Table1[[#This Row],[Actual close date]]-Table1[[#This Row],[Expected close date]])</f>
        <v/>
      </c>
    </row>
    <row r="2671" spans="1:18" x14ac:dyDescent="0.25">
      <c r="A2671" t="s">
        <v>2756</v>
      </c>
      <c r="B2671" t="s">
        <v>39</v>
      </c>
      <c r="C2671" t="s">
        <v>40</v>
      </c>
      <c r="D2671" t="s">
        <v>41</v>
      </c>
      <c r="E2671" t="s">
        <v>101</v>
      </c>
      <c r="F2671" t="s">
        <v>125</v>
      </c>
      <c r="G2671" t="s">
        <v>37</v>
      </c>
      <c r="H2671" s="1">
        <v>45315</v>
      </c>
      <c r="I2671" t="s">
        <v>24</v>
      </c>
      <c r="J2671" t="s">
        <v>2559</v>
      </c>
      <c r="K2671">
        <v>4</v>
      </c>
      <c r="N2671">
        <v>918</v>
      </c>
      <c r="O2671">
        <v>30</v>
      </c>
      <c r="P2671" s="1">
        <v>45508</v>
      </c>
      <c r="Q2671" s="1"/>
      <c r="R2671" t="str">
        <f>IF(Table1[[#This Row],[Actual close date]]="","",Table1[[#This Row],[Actual close date]]-Table1[[#This Row],[Expected close date]])</f>
        <v/>
      </c>
    </row>
    <row r="2672" spans="1:18" x14ac:dyDescent="0.25">
      <c r="A2672" t="s">
        <v>2757</v>
      </c>
      <c r="B2672" t="s">
        <v>76</v>
      </c>
      <c r="C2672" t="s">
        <v>77</v>
      </c>
      <c r="D2672" t="s">
        <v>78</v>
      </c>
      <c r="E2672" t="s">
        <v>62</v>
      </c>
      <c r="F2672" t="s">
        <v>125</v>
      </c>
      <c r="G2672" t="s">
        <v>31</v>
      </c>
      <c r="H2672" s="1">
        <v>45360</v>
      </c>
      <c r="I2672" t="s">
        <v>47</v>
      </c>
      <c r="J2672" t="s">
        <v>2559</v>
      </c>
      <c r="K2672">
        <v>4</v>
      </c>
      <c r="N2672">
        <v>215</v>
      </c>
      <c r="O2672">
        <v>40</v>
      </c>
      <c r="P2672" s="1">
        <v>45661</v>
      </c>
      <c r="Q2672" s="1"/>
      <c r="R2672" t="str">
        <f>IF(Table1[[#This Row],[Actual close date]]="","",Table1[[#This Row],[Actual close date]]-Table1[[#This Row],[Expected close date]])</f>
        <v/>
      </c>
    </row>
    <row r="2673" spans="1:18" x14ac:dyDescent="0.25">
      <c r="A2673" t="s">
        <v>2758</v>
      </c>
      <c r="B2673" t="s">
        <v>69</v>
      </c>
      <c r="C2673" t="s">
        <v>70</v>
      </c>
      <c r="D2673" t="s">
        <v>71</v>
      </c>
      <c r="E2673" t="s">
        <v>122</v>
      </c>
      <c r="F2673" t="s">
        <v>125</v>
      </c>
      <c r="G2673" t="s">
        <v>72</v>
      </c>
      <c r="H2673" s="1">
        <v>45337</v>
      </c>
      <c r="I2673" t="s">
        <v>64</v>
      </c>
      <c r="J2673" t="s">
        <v>2559</v>
      </c>
      <c r="K2673">
        <v>4</v>
      </c>
      <c r="N2673">
        <v>1060</v>
      </c>
      <c r="O2673">
        <v>30</v>
      </c>
      <c r="P2673" s="1">
        <v>45687</v>
      </c>
      <c r="Q2673" s="1"/>
      <c r="R2673" t="str">
        <f>IF(Table1[[#This Row],[Actual close date]]="","",Table1[[#This Row],[Actual close date]]-Table1[[#This Row],[Expected close date]])</f>
        <v/>
      </c>
    </row>
    <row r="2674" spans="1:18" x14ac:dyDescent="0.25">
      <c r="A2674" t="s">
        <v>2759</v>
      </c>
      <c r="B2674" t="s">
        <v>39</v>
      </c>
      <c r="C2674" t="s">
        <v>40</v>
      </c>
      <c r="D2674" t="s">
        <v>41</v>
      </c>
      <c r="E2674" t="s">
        <v>66</v>
      </c>
      <c r="F2674" t="s">
        <v>125</v>
      </c>
      <c r="G2674" t="s">
        <v>46</v>
      </c>
      <c r="H2674" s="1">
        <v>45400</v>
      </c>
      <c r="I2674" t="s">
        <v>64</v>
      </c>
      <c r="J2674" t="s">
        <v>2559</v>
      </c>
      <c r="K2674">
        <v>4</v>
      </c>
      <c r="N2674">
        <v>493</v>
      </c>
      <c r="O2674">
        <v>30</v>
      </c>
      <c r="P2674" s="1">
        <v>45698</v>
      </c>
      <c r="Q2674" s="1"/>
      <c r="R2674" t="str">
        <f>IF(Table1[[#This Row],[Actual close date]]="","",Table1[[#This Row],[Actual close date]]-Table1[[#This Row],[Expected close date]])</f>
        <v/>
      </c>
    </row>
    <row r="2675" spans="1:18" x14ac:dyDescent="0.25">
      <c r="A2675" t="s">
        <v>2760</v>
      </c>
      <c r="B2675" t="s">
        <v>54</v>
      </c>
      <c r="C2675" t="s">
        <v>55</v>
      </c>
      <c r="D2675" t="s">
        <v>56</v>
      </c>
      <c r="E2675" t="s">
        <v>42</v>
      </c>
      <c r="F2675" t="s">
        <v>125</v>
      </c>
      <c r="G2675" t="s">
        <v>85</v>
      </c>
      <c r="H2675" s="1">
        <v>45378</v>
      </c>
      <c r="I2675" t="s">
        <v>24</v>
      </c>
      <c r="J2675" t="s">
        <v>2559</v>
      </c>
      <c r="K2675">
        <v>4</v>
      </c>
      <c r="N2675">
        <v>815</v>
      </c>
      <c r="O2675">
        <v>20</v>
      </c>
      <c r="P2675" s="1">
        <v>45463</v>
      </c>
      <c r="Q2675" s="1"/>
      <c r="R2675" t="str">
        <f>IF(Table1[[#This Row],[Actual close date]]="","",Table1[[#This Row],[Actual close date]]-Table1[[#This Row],[Expected close date]])</f>
        <v/>
      </c>
    </row>
    <row r="2676" spans="1:18" x14ac:dyDescent="0.25">
      <c r="A2676" t="s">
        <v>2761</v>
      </c>
      <c r="B2676" t="s">
        <v>18</v>
      </c>
      <c r="C2676" t="s">
        <v>19</v>
      </c>
      <c r="D2676" t="s">
        <v>20</v>
      </c>
      <c r="E2676" t="s">
        <v>98</v>
      </c>
      <c r="F2676" t="s">
        <v>125</v>
      </c>
      <c r="G2676" t="s">
        <v>57</v>
      </c>
      <c r="H2676" s="1">
        <v>45348</v>
      </c>
      <c r="I2676" t="s">
        <v>24</v>
      </c>
      <c r="J2676" t="s">
        <v>2559</v>
      </c>
      <c r="K2676">
        <v>4</v>
      </c>
      <c r="N2676">
        <v>595</v>
      </c>
      <c r="O2676">
        <v>70</v>
      </c>
      <c r="P2676" s="1">
        <v>45686</v>
      </c>
      <c r="Q2676" s="1"/>
      <c r="R2676" t="str">
        <f>IF(Table1[[#This Row],[Actual close date]]="","",Table1[[#This Row],[Actual close date]]-Table1[[#This Row],[Expected close date]])</f>
        <v/>
      </c>
    </row>
    <row r="2677" spans="1:18" x14ac:dyDescent="0.25">
      <c r="A2677" t="s">
        <v>2762</v>
      </c>
      <c r="B2677" t="s">
        <v>54</v>
      </c>
      <c r="C2677" t="s">
        <v>55</v>
      </c>
      <c r="D2677" t="s">
        <v>56</v>
      </c>
      <c r="E2677" t="s">
        <v>74</v>
      </c>
      <c r="F2677" t="s">
        <v>125</v>
      </c>
      <c r="G2677" t="s">
        <v>72</v>
      </c>
      <c r="H2677" s="1">
        <v>45311</v>
      </c>
      <c r="I2677" t="s">
        <v>24</v>
      </c>
      <c r="J2677" t="s">
        <v>2559</v>
      </c>
      <c r="K2677">
        <v>4</v>
      </c>
      <c r="N2677">
        <v>739</v>
      </c>
      <c r="O2677">
        <v>30</v>
      </c>
      <c r="P2677" s="1">
        <v>45353</v>
      </c>
      <c r="Q2677" s="1"/>
      <c r="R2677" t="str">
        <f>IF(Table1[[#This Row],[Actual close date]]="","",Table1[[#This Row],[Actual close date]]-Table1[[#This Row],[Expected close date]])</f>
        <v/>
      </c>
    </row>
    <row r="2678" spans="1:18" x14ac:dyDescent="0.25">
      <c r="A2678" t="s">
        <v>2763</v>
      </c>
      <c r="B2678" t="s">
        <v>18</v>
      </c>
      <c r="C2678" t="s">
        <v>19</v>
      </c>
      <c r="D2678" t="s">
        <v>20</v>
      </c>
      <c r="E2678" t="s">
        <v>21</v>
      </c>
      <c r="F2678" t="s">
        <v>125</v>
      </c>
      <c r="G2678" t="s">
        <v>37</v>
      </c>
      <c r="H2678" s="1">
        <v>45320</v>
      </c>
      <c r="I2678" t="s">
        <v>47</v>
      </c>
      <c r="J2678" t="s">
        <v>2559</v>
      </c>
      <c r="K2678">
        <v>4</v>
      </c>
      <c r="N2678">
        <v>571</v>
      </c>
      <c r="O2678">
        <v>40</v>
      </c>
      <c r="P2678" s="1">
        <v>45556</v>
      </c>
      <c r="Q2678" s="1"/>
      <c r="R2678" t="str">
        <f>IF(Table1[[#This Row],[Actual close date]]="","",Table1[[#This Row],[Actual close date]]-Table1[[#This Row],[Expected close date]])</f>
        <v/>
      </c>
    </row>
    <row r="2679" spans="1:18" x14ac:dyDescent="0.25">
      <c r="A2679" t="s">
        <v>2764</v>
      </c>
      <c r="B2679" t="s">
        <v>76</v>
      </c>
      <c r="C2679" t="s">
        <v>77</v>
      </c>
      <c r="D2679" t="s">
        <v>78</v>
      </c>
      <c r="E2679" t="s">
        <v>52</v>
      </c>
      <c r="F2679" t="s">
        <v>125</v>
      </c>
      <c r="G2679" t="s">
        <v>83</v>
      </c>
      <c r="H2679" s="1">
        <v>45320</v>
      </c>
      <c r="I2679" t="s">
        <v>24</v>
      </c>
      <c r="J2679" t="s">
        <v>2559</v>
      </c>
      <c r="K2679">
        <v>4</v>
      </c>
      <c r="N2679">
        <v>313</v>
      </c>
      <c r="O2679">
        <v>100</v>
      </c>
      <c r="P2679" s="1">
        <v>45604</v>
      </c>
      <c r="Q2679" s="1"/>
      <c r="R2679" t="str">
        <f>IF(Table1[[#This Row],[Actual close date]]="","",Table1[[#This Row],[Actual close date]]-Table1[[#This Row],[Expected close date]])</f>
        <v/>
      </c>
    </row>
    <row r="2680" spans="1:18" x14ac:dyDescent="0.25">
      <c r="A2680" t="s">
        <v>2765</v>
      </c>
      <c r="B2680" t="s">
        <v>39</v>
      </c>
      <c r="C2680" t="s">
        <v>40</v>
      </c>
      <c r="D2680" t="s">
        <v>41</v>
      </c>
      <c r="E2680" t="s">
        <v>98</v>
      </c>
      <c r="F2680" t="s">
        <v>125</v>
      </c>
      <c r="G2680" t="s">
        <v>37</v>
      </c>
      <c r="H2680" s="1">
        <v>45364</v>
      </c>
      <c r="I2680" t="s">
        <v>64</v>
      </c>
      <c r="J2680" t="s">
        <v>2559</v>
      </c>
      <c r="K2680">
        <v>4</v>
      </c>
      <c r="N2680">
        <v>924</v>
      </c>
      <c r="O2680">
        <v>30</v>
      </c>
      <c r="P2680" s="1">
        <v>45530</v>
      </c>
      <c r="Q2680" s="1"/>
      <c r="R2680" t="str">
        <f>IF(Table1[[#This Row],[Actual close date]]="","",Table1[[#This Row],[Actual close date]]-Table1[[#This Row],[Expected close date]])</f>
        <v/>
      </c>
    </row>
    <row r="2681" spans="1:18" x14ac:dyDescent="0.25">
      <c r="A2681" t="s">
        <v>2766</v>
      </c>
      <c r="B2681" t="s">
        <v>39</v>
      </c>
      <c r="C2681" t="s">
        <v>40</v>
      </c>
      <c r="D2681" t="s">
        <v>41</v>
      </c>
      <c r="E2681" t="s">
        <v>101</v>
      </c>
      <c r="F2681" t="s">
        <v>125</v>
      </c>
      <c r="G2681" t="s">
        <v>31</v>
      </c>
      <c r="H2681" s="1">
        <v>45387</v>
      </c>
      <c r="I2681" t="s">
        <v>47</v>
      </c>
      <c r="J2681" t="s">
        <v>2559</v>
      </c>
      <c r="K2681">
        <v>4</v>
      </c>
      <c r="N2681">
        <v>952</v>
      </c>
      <c r="O2681">
        <v>60</v>
      </c>
      <c r="P2681" s="1">
        <v>45578</v>
      </c>
      <c r="Q2681" s="1"/>
      <c r="R2681" t="str">
        <f>IF(Table1[[#This Row],[Actual close date]]="","",Table1[[#This Row],[Actual close date]]-Table1[[#This Row],[Expected close date]])</f>
        <v/>
      </c>
    </row>
    <row r="2682" spans="1:18" x14ac:dyDescent="0.25">
      <c r="A2682" t="s">
        <v>2767</v>
      </c>
      <c r="B2682" t="s">
        <v>76</v>
      </c>
      <c r="C2682" t="s">
        <v>77</v>
      </c>
      <c r="D2682" t="s">
        <v>78</v>
      </c>
      <c r="E2682" t="s">
        <v>74</v>
      </c>
      <c r="F2682" t="s">
        <v>125</v>
      </c>
      <c r="G2682" t="s">
        <v>57</v>
      </c>
      <c r="H2682" s="1">
        <v>45356</v>
      </c>
      <c r="I2682" t="s">
        <v>24</v>
      </c>
      <c r="J2682" t="s">
        <v>2559</v>
      </c>
      <c r="K2682">
        <v>4</v>
      </c>
      <c r="N2682">
        <v>202</v>
      </c>
      <c r="O2682">
        <v>20</v>
      </c>
      <c r="P2682" s="1">
        <v>45555</v>
      </c>
      <c r="Q2682" s="1"/>
      <c r="R2682" t="str">
        <f>IF(Table1[[#This Row],[Actual close date]]="","",Table1[[#This Row],[Actual close date]]-Table1[[#This Row],[Expected close date]])</f>
        <v/>
      </c>
    </row>
    <row r="2683" spans="1:18" x14ac:dyDescent="0.25">
      <c r="A2683" t="s">
        <v>2768</v>
      </c>
      <c r="B2683" t="s">
        <v>76</v>
      </c>
      <c r="C2683" t="s">
        <v>77</v>
      </c>
      <c r="D2683" t="s">
        <v>78</v>
      </c>
      <c r="E2683" t="s">
        <v>21</v>
      </c>
      <c r="F2683" t="s">
        <v>125</v>
      </c>
      <c r="G2683" t="s">
        <v>31</v>
      </c>
      <c r="H2683" s="1">
        <v>45402</v>
      </c>
      <c r="I2683" t="s">
        <v>47</v>
      </c>
      <c r="J2683" t="s">
        <v>2559</v>
      </c>
      <c r="K2683">
        <v>4</v>
      </c>
      <c r="N2683">
        <v>660</v>
      </c>
      <c r="O2683">
        <v>50</v>
      </c>
      <c r="P2683" s="1">
        <v>45705</v>
      </c>
      <c r="Q2683" s="1"/>
      <c r="R2683" t="str">
        <f>IF(Table1[[#This Row],[Actual close date]]="","",Table1[[#This Row],[Actual close date]]-Table1[[#This Row],[Expected close date]])</f>
        <v/>
      </c>
    </row>
    <row r="2684" spans="1:18" x14ac:dyDescent="0.25">
      <c r="A2684" t="s">
        <v>2769</v>
      </c>
      <c r="B2684" t="s">
        <v>69</v>
      </c>
      <c r="C2684" t="s">
        <v>70</v>
      </c>
      <c r="D2684" t="s">
        <v>71</v>
      </c>
      <c r="E2684" t="s">
        <v>66</v>
      </c>
      <c r="F2684" t="s">
        <v>125</v>
      </c>
      <c r="G2684" t="s">
        <v>37</v>
      </c>
      <c r="H2684" s="1">
        <v>45420</v>
      </c>
      <c r="I2684" t="s">
        <v>24</v>
      </c>
      <c r="J2684" t="s">
        <v>2559</v>
      </c>
      <c r="K2684">
        <v>4</v>
      </c>
      <c r="N2684">
        <v>219</v>
      </c>
      <c r="O2684">
        <v>100</v>
      </c>
      <c r="P2684" s="1">
        <v>45476</v>
      </c>
      <c r="Q2684" s="1"/>
      <c r="R2684" t="str">
        <f>IF(Table1[[#This Row],[Actual close date]]="","",Table1[[#This Row],[Actual close date]]-Table1[[#This Row],[Expected close date]])</f>
        <v/>
      </c>
    </row>
    <row r="2685" spans="1:18" x14ac:dyDescent="0.25">
      <c r="A2685" t="s">
        <v>2770</v>
      </c>
      <c r="B2685" t="s">
        <v>33</v>
      </c>
      <c r="C2685" t="s">
        <v>34</v>
      </c>
      <c r="D2685" t="s">
        <v>35</v>
      </c>
      <c r="E2685" t="s">
        <v>74</v>
      </c>
      <c r="F2685" t="s">
        <v>125</v>
      </c>
      <c r="G2685" t="s">
        <v>46</v>
      </c>
      <c r="H2685" s="1">
        <v>45327</v>
      </c>
      <c r="I2685" t="s">
        <v>24</v>
      </c>
      <c r="J2685" t="s">
        <v>2559</v>
      </c>
      <c r="K2685">
        <v>4</v>
      </c>
      <c r="N2685">
        <v>653</v>
      </c>
      <c r="O2685">
        <v>40</v>
      </c>
      <c r="P2685" s="1">
        <v>45450</v>
      </c>
      <c r="Q2685" s="1"/>
      <c r="R2685" t="str">
        <f>IF(Table1[[#This Row],[Actual close date]]="","",Table1[[#This Row],[Actual close date]]-Table1[[#This Row],[Expected close date]])</f>
        <v/>
      </c>
    </row>
    <row r="2686" spans="1:18" x14ac:dyDescent="0.25">
      <c r="A2686" t="s">
        <v>2771</v>
      </c>
      <c r="B2686" t="s">
        <v>59</v>
      </c>
      <c r="C2686" t="s">
        <v>60</v>
      </c>
      <c r="D2686" t="s">
        <v>61</v>
      </c>
      <c r="E2686" t="s">
        <v>45</v>
      </c>
      <c r="F2686" t="s">
        <v>125</v>
      </c>
      <c r="G2686" t="s">
        <v>37</v>
      </c>
      <c r="H2686" s="1">
        <v>45382</v>
      </c>
      <c r="I2686" t="s">
        <v>64</v>
      </c>
      <c r="J2686" t="s">
        <v>2559</v>
      </c>
      <c r="K2686">
        <v>4</v>
      </c>
      <c r="N2686">
        <v>816</v>
      </c>
      <c r="O2686">
        <v>90</v>
      </c>
      <c r="P2686" s="1">
        <v>45419</v>
      </c>
      <c r="Q2686" s="1"/>
      <c r="R2686" t="str">
        <f>IF(Table1[[#This Row],[Actual close date]]="","",Table1[[#This Row],[Actual close date]]-Table1[[#This Row],[Expected close date]])</f>
        <v/>
      </c>
    </row>
    <row r="2687" spans="1:18" x14ac:dyDescent="0.25">
      <c r="A2687" t="s">
        <v>2772</v>
      </c>
      <c r="B2687" t="s">
        <v>59</v>
      </c>
      <c r="C2687" t="s">
        <v>60</v>
      </c>
      <c r="D2687" t="s">
        <v>61</v>
      </c>
      <c r="E2687" t="s">
        <v>45</v>
      </c>
      <c r="F2687" t="s">
        <v>125</v>
      </c>
      <c r="G2687" t="s">
        <v>46</v>
      </c>
      <c r="H2687" s="1">
        <v>45352</v>
      </c>
      <c r="I2687" t="s">
        <v>24</v>
      </c>
      <c r="J2687" t="s">
        <v>2559</v>
      </c>
      <c r="K2687">
        <v>4</v>
      </c>
      <c r="N2687">
        <v>344</v>
      </c>
      <c r="O2687">
        <v>30</v>
      </c>
      <c r="P2687" s="1">
        <v>45537</v>
      </c>
      <c r="Q2687" s="1"/>
      <c r="R2687" t="str">
        <f>IF(Table1[[#This Row],[Actual close date]]="","",Table1[[#This Row],[Actual close date]]-Table1[[#This Row],[Expected close date]])</f>
        <v/>
      </c>
    </row>
    <row r="2688" spans="1:18" x14ac:dyDescent="0.25">
      <c r="A2688" t="s">
        <v>2773</v>
      </c>
      <c r="B2688" t="s">
        <v>27</v>
      </c>
      <c r="C2688" t="s">
        <v>28</v>
      </c>
      <c r="D2688" t="s">
        <v>29</v>
      </c>
      <c r="E2688" t="s">
        <v>45</v>
      </c>
      <c r="F2688" t="s">
        <v>125</v>
      </c>
      <c r="G2688" t="s">
        <v>46</v>
      </c>
      <c r="H2688" s="1">
        <v>45369</v>
      </c>
      <c r="I2688" t="s">
        <v>64</v>
      </c>
      <c r="J2688" t="s">
        <v>2559</v>
      </c>
      <c r="K2688">
        <v>4</v>
      </c>
      <c r="N2688">
        <v>557</v>
      </c>
      <c r="O2688">
        <v>20</v>
      </c>
      <c r="P2688" s="1">
        <v>45730</v>
      </c>
      <c r="Q2688" s="1"/>
      <c r="R2688" t="str">
        <f>IF(Table1[[#This Row],[Actual close date]]="","",Table1[[#This Row],[Actual close date]]-Table1[[#This Row],[Expected close date]])</f>
        <v/>
      </c>
    </row>
    <row r="2689" spans="1:18" x14ac:dyDescent="0.25">
      <c r="A2689" t="s">
        <v>2774</v>
      </c>
      <c r="B2689" t="s">
        <v>18</v>
      </c>
      <c r="C2689" t="s">
        <v>19</v>
      </c>
      <c r="D2689" t="s">
        <v>20</v>
      </c>
      <c r="E2689" t="s">
        <v>21</v>
      </c>
      <c r="F2689" t="s">
        <v>125</v>
      </c>
      <c r="G2689" t="s">
        <v>37</v>
      </c>
      <c r="H2689" s="1">
        <v>45443</v>
      </c>
      <c r="I2689" t="s">
        <v>64</v>
      </c>
      <c r="J2689" t="s">
        <v>2559</v>
      </c>
      <c r="K2689">
        <v>4</v>
      </c>
      <c r="N2689">
        <v>721</v>
      </c>
      <c r="O2689">
        <v>40</v>
      </c>
      <c r="P2689" s="1">
        <v>45525</v>
      </c>
      <c r="Q2689" s="1"/>
      <c r="R2689" t="str">
        <f>IF(Table1[[#This Row],[Actual close date]]="","",Table1[[#This Row],[Actual close date]]-Table1[[#This Row],[Expected close date]])</f>
        <v/>
      </c>
    </row>
    <row r="2690" spans="1:18" x14ac:dyDescent="0.25">
      <c r="A2690" t="s">
        <v>2775</v>
      </c>
      <c r="B2690" t="s">
        <v>33</v>
      </c>
      <c r="C2690" t="s">
        <v>34</v>
      </c>
      <c r="D2690" t="s">
        <v>35</v>
      </c>
      <c r="E2690" t="s">
        <v>74</v>
      </c>
      <c r="F2690" t="s">
        <v>125</v>
      </c>
      <c r="G2690" t="s">
        <v>57</v>
      </c>
      <c r="H2690" s="1">
        <v>45398</v>
      </c>
      <c r="I2690" t="s">
        <v>24</v>
      </c>
      <c r="J2690" t="s">
        <v>2559</v>
      </c>
      <c r="K2690">
        <v>4</v>
      </c>
      <c r="N2690">
        <v>964</v>
      </c>
      <c r="O2690">
        <v>40</v>
      </c>
      <c r="P2690" s="1">
        <v>45695</v>
      </c>
      <c r="Q2690" s="1"/>
      <c r="R2690" t="str">
        <f>IF(Table1[[#This Row],[Actual close date]]="","",Table1[[#This Row],[Actual close date]]-Table1[[#This Row],[Expected close date]])</f>
        <v/>
      </c>
    </row>
    <row r="2691" spans="1:18" x14ac:dyDescent="0.25">
      <c r="A2691" t="s">
        <v>2776</v>
      </c>
      <c r="B2691" t="s">
        <v>49</v>
      </c>
      <c r="C2691" t="s">
        <v>50</v>
      </c>
      <c r="D2691" t="s">
        <v>51</v>
      </c>
      <c r="E2691" t="s">
        <v>66</v>
      </c>
      <c r="F2691" t="s">
        <v>125</v>
      </c>
      <c r="G2691" t="s">
        <v>46</v>
      </c>
      <c r="H2691" s="1">
        <v>45390</v>
      </c>
      <c r="I2691" t="s">
        <v>24</v>
      </c>
      <c r="J2691" t="s">
        <v>2559</v>
      </c>
      <c r="K2691">
        <v>4</v>
      </c>
      <c r="N2691">
        <v>438</v>
      </c>
      <c r="O2691">
        <v>40</v>
      </c>
      <c r="P2691" s="1">
        <v>45526</v>
      </c>
      <c r="Q2691" s="1"/>
      <c r="R2691" t="str">
        <f>IF(Table1[[#This Row],[Actual close date]]="","",Table1[[#This Row],[Actual close date]]-Table1[[#This Row],[Expected close date]])</f>
        <v/>
      </c>
    </row>
    <row r="2692" spans="1:18" x14ac:dyDescent="0.25">
      <c r="A2692" t="s">
        <v>2777</v>
      </c>
      <c r="B2692" t="s">
        <v>39</v>
      </c>
      <c r="C2692" t="s">
        <v>40</v>
      </c>
      <c r="D2692" t="s">
        <v>41</v>
      </c>
      <c r="E2692" t="s">
        <v>66</v>
      </c>
      <c r="F2692" t="s">
        <v>125</v>
      </c>
      <c r="G2692" t="s">
        <v>23</v>
      </c>
      <c r="H2692" s="1">
        <v>45414</v>
      </c>
      <c r="I2692" t="s">
        <v>47</v>
      </c>
      <c r="J2692" t="s">
        <v>2559</v>
      </c>
      <c r="K2692">
        <v>4</v>
      </c>
      <c r="N2692">
        <v>238</v>
      </c>
      <c r="O2692">
        <v>20</v>
      </c>
      <c r="P2692" s="1">
        <v>45552</v>
      </c>
      <c r="Q2692" s="1"/>
      <c r="R2692" t="str">
        <f>IF(Table1[[#This Row],[Actual close date]]="","",Table1[[#This Row],[Actual close date]]-Table1[[#This Row],[Expected close date]])</f>
        <v/>
      </c>
    </row>
    <row r="2693" spans="1:18" x14ac:dyDescent="0.25">
      <c r="A2693" t="s">
        <v>2778</v>
      </c>
      <c r="B2693" t="s">
        <v>39</v>
      </c>
      <c r="C2693" t="s">
        <v>40</v>
      </c>
      <c r="D2693" t="s">
        <v>41</v>
      </c>
      <c r="E2693" t="s">
        <v>45</v>
      </c>
      <c r="F2693" t="s">
        <v>125</v>
      </c>
      <c r="G2693" t="s">
        <v>23</v>
      </c>
      <c r="H2693" s="1">
        <v>45338</v>
      </c>
      <c r="I2693" t="s">
        <v>64</v>
      </c>
      <c r="J2693" t="s">
        <v>2559</v>
      </c>
      <c r="K2693">
        <v>4</v>
      </c>
      <c r="N2693">
        <v>381</v>
      </c>
      <c r="O2693">
        <v>30</v>
      </c>
      <c r="P2693" s="1">
        <v>45487</v>
      </c>
      <c r="Q2693" s="1"/>
      <c r="R2693" t="str">
        <f>IF(Table1[[#This Row],[Actual close date]]="","",Table1[[#This Row],[Actual close date]]-Table1[[#This Row],[Expected close date]])</f>
        <v/>
      </c>
    </row>
    <row r="2694" spans="1:18" x14ac:dyDescent="0.25">
      <c r="A2694" t="s">
        <v>2779</v>
      </c>
      <c r="B2694" t="s">
        <v>33</v>
      </c>
      <c r="C2694" t="s">
        <v>34</v>
      </c>
      <c r="D2694" t="s">
        <v>35</v>
      </c>
      <c r="E2694" t="s">
        <v>45</v>
      </c>
      <c r="F2694" t="s">
        <v>125</v>
      </c>
      <c r="G2694" t="s">
        <v>85</v>
      </c>
      <c r="H2694" s="1">
        <v>45396</v>
      </c>
      <c r="I2694" t="s">
        <v>47</v>
      </c>
      <c r="J2694" t="s">
        <v>2559</v>
      </c>
      <c r="K2694">
        <v>4</v>
      </c>
      <c r="N2694">
        <v>943</v>
      </c>
      <c r="O2694">
        <v>30</v>
      </c>
      <c r="P2694" s="1">
        <v>45520</v>
      </c>
      <c r="Q2694" s="1"/>
      <c r="R2694" t="str">
        <f>IF(Table1[[#This Row],[Actual close date]]="","",Table1[[#This Row],[Actual close date]]-Table1[[#This Row],[Expected close date]])</f>
        <v/>
      </c>
    </row>
    <row r="2695" spans="1:18" x14ac:dyDescent="0.25">
      <c r="A2695" t="s">
        <v>2780</v>
      </c>
      <c r="B2695" t="s">
        <v>54</v>
      </c>
      <c r="C2695" t="s">
        <v>55</v>
      </c>
      <c r="D2695" t="s">
        <v>56</v>
      </c>
      <c r="E2695" t="s">
        <v>21</v>
      </c>
      <c r="F2695" t="s">
        <v>125</v>
      </c>
      <c r="G2695" t="s">
        <v>72</v>
      </c>
      <c r="H2695" s="1">
        <v>45420</v>
      </c>
      <c r="I2695" t="s">
        <v>24</v>
      </c>
      <c r="J2695" t="s">
        <v>2559</v>
      </c>
      <c r="K2695">
        <v>4</v>
      </c>
      <c r="N2695">
        <v>413</v>
      </c>
      <c r="O2695">
        <v>50</v>
      </c>
      <c r="P2695" s="1">
        <v>45447</v>
      </c>
      <c r="Q2695" s="1"/>
      <c r="R2695" t="str">
        <f>IF(Table1[[#This Row],[Actual close date]]="","",Table1[[#This Row],[Actual close date]]-Table1[[#This Row],[Expected close date]])</f>
        <v/>
      </c>
    </row>
    <row r="2696" spans="1:18" x14ac:dyDescent="0.25">
      <c r="A2696" t="s">
        <v>2781</v>
      </c>
      <c r="B2696" t="s">
        <v>18</v>
      </c>
      <c r="C2696" t="s">
        <v>19</v>
      </c>
      <c r="D2696" t="s">
        <v>20</v>
      </c>
      <c r="E2696" t="s">
        <v>98</v>
      </c>
      <c r="F2696" t="s">
        <v>125</v>
      </c>
      <c r="G2696" t="s">
        <v>83</v>
      </c>
      <c r="H2696" s="1">
        <v>45327</v>
      </c>
      <c r="I2696" t="s">
        <v>24</v>
      </c>
      <c r="J2696" t="s">
        <v>2559</v>
      </c>
      <c r="K2696">
        <v>4</v>
      </c>
      <c r="N2696">
        <v>1092</v>
      </c>
      <c r="O2696">
        <v>20</v>
      </c>
      <c r="P2696" s="1">
        <v>45510</v>
      </c>
      <c r="Q2696" s="1"/>
      <c r="R2696" t="str">
        <f>IF(Table1[[#This Row],[Actual close date]]="","",Table1[[#This Row],[Actual close date]]-Table1[[#This Row],[Expected close date]])</f>
        <v/>
      </c>
    </row>
    <row r="2697" spans="1:18" x14ac:dyDescent="0.25">
      <c r="A2697" t="s">
        <v>2782</v>
      </c>
      <c r="B2697" t="s">
        <v>59</v>
      </c>
      <c r="C2697" t="s">
        <v>60</v>
      </c>
      <c r="D2697" t="s">
        <v>61</v>
      </c>
      <c r="E2697" t="s">
        <v>101</v>
      </c>
      <c r="F2697" t="s">
        <v>125</v>
      </c>
      <c r="G2697" t="s">
        <v>57</v>
      </c>
      <c r="H2697" s="1">
        <v>45442</v>
      </c>
      <c r="I2697" t="s">
        <v>64</v>
      </c>
      <c r="J2697" t="s">
        <v>2559</v>
      </c>
      <c r="K2697">
        <v>4</v>
      </c>
      <c r="N2697">
        <v>429</v>
      </c>
      <c r="O2697">
        <v>40</v>
      </c>
      <c r="P2697" s="1">
        <v>45796</v>
      </c>
      <c r="Q2697" s="1"/>
      <c r="R2697" t="str">
        <f>IF(Table1[[#This Row],[Actual close date]]="","",Table1[[#This Row],[Actual close date]]-Table1[[#This Row],[Expected close date]])</f>
        <v/>
      </c>
    </row>
    <row r="2698" spans="1:18" x14ac:dyDescent="0.25">
      <c r="A2698" t="s">
        <v>2783</v>
      </c>
      <c r="B2698" t="s">
        <v>33</v>
      </c>
      <c r="C2698" t="s">
        <v>34</v>
      </c>
      <c r="D2698" t="s">
        <v>35</v>
      </c>
      <c r="E2698" t="s">
        <v>21</v>
      </c>
      <c r="F2698" t="s">
        <v>125</v>
      </c>
      <c r="G2698" t="s">
        <v>57</v>
      </c>
      <c r="H2698" s="1">
        <v>45351</v>
      </c>
      <c r="I2698" t="s">
        <v>24</v>
      </c>
      <c r="J2698" t="s">
        <v>2559</v>
      </c>
      <c r="K2698">
        <v>4</v>
      </c>
      <c r="N2698">
        <v>952</v>
      </c>
      <c r="O2698">
        <v>30</v>
      </c>
      <c r="P2698" s="1">
        <v>45512</v>
      </c>
      <c r="Q2698" s="1"/>
      <c r="R2698" t="str">
        <f>IF(Table1[[#This Row],[Actual close date]]="","",Table1[[#This Row],[Actual close date]]-Table1[[#This Row],[Expected close date]])</f>
        <v/>
      </c>
    </row>
    <row r="2699" spans="1:18" x14ac:dyDescent="0.25">
      <c r="A2699" t="s">
        <v>2784</v>
      </c>
      <c r="B2699" t="s">
        <v>18</v>
      </c>
      <c r="C2699" t="s">
        <v>19</v>
      </c>
      <c r="D2699" t="s">
        <v>20</v>
      </c>
      <c r="E2699" t="s">
        <v>66</v>
      </c>
      <c r="F2699" t="s">
        <v>125</v>
      </c>
      <c r="G2699" t="s">
        <v>72</v>
      </c>
      <c r="H2699" s="1">
        <v>45373</v>
      </c>
      <c r="I2699" t="s">
        <v>24</v>
      </c>
      <c r="J2699" t="s">
        <v>2559</v>
      </c>
      <c r="K2699">
        <v>4</v>
      </c>
      <c r="N2699">
        <v>244</v>
      </c>
      <c r="O2699">
        <v>50</v>
      </c>
      <c r="P2699" s="1">
        <v>45660</v>
      </c>
      <c r="Q2699" s="1"/>
      <c r="R2699" t="str">
        <f>IF(Table1[[#This Row],[Actual close date]]="","",Table1[[#This Row],[Actual close date]]-Table1[[#This Row],[Expected close date]])</f>
        <v/>
      </c>
    </row>
    <row r="2700" spans="1:18" x14ac:dyDescent="0.25">
      <c r="A2700" t="s">
        <v>2785</v>
      </c>
      <c r="B2700" t="s">
        <v>76</v>
      </c>
      <c r="C2700" t="s">
        <v>77</v>
      </c>
      <c r="D2700" t="s">
        <v>78</v>
      </c>
      <c r="E2700" t="s">
        <v>62</v>
      </c>
      <c r="F2700" t="s">
        <v>125</v>
      </c>
      <c r="G2700" t="s">
        <v>85</v>
      </c>
      <c r="H2700" s="1">
        <v>45304</v>
      </c>
      <c r="I2700" t="s">
        <v>47</v>
      </c>
      <c r="J2700" t="s">
        <v>2559</v>
      </c>
      <c r="K2700">
        <v>4</v>
      </c>
      <c r="N2700">
        <v>223</v>
      </c>
      <c r="O2700">
        <v>90</v>
      </c>
      <c r="P2700" s="1">
        <v>45548</v>
      </c>
      <c r="Q2700" s="1"/>
      <c r="R2700" t="str">
        <f>IF(Table1[[#This Row],[Actual close date]]="","",Table1[[#This Row],[Actual close date]]-Table1[[#This Row],[Expected close date]])</f>
        <v/>
      </c>
    </row>
    <row r="2701" spans="1:18" x14ac:dyDescent="0.25">
      <c r="A2701" t="s">
        <v>2786</v>
      </c>
      <c r="B2701" t="s">
        <v>69</v>
      </c>
      <c r="C2701" t="s">
        <v>70</v>
      </c>
      <c r="D2701" t="s">
        <v>71</v>
      </c>
      <c r="E2701" t="s">
        <v>45</v>
      </c>
      <c r="F2701" t="s">
        <v>125</v>
      </c>
      <c r="G2701" t="s">
        <v>37</v>
      </c>
      <c r="H2701" s="1">
        <v>45402</v>
      </c>
      <c r="I2701" t="s">
        <v>64</v>
      </c>
      <c r="J2701" t="s">
        <v>2559</v>
      </c>
      <c r="K2701">
        <v>4</v>
      </c>
      <c r="N2701">
        <v>370</v>
      </c>
      <c r="O2701">
        <v>40</v>
      </c>
      <c r="P2701" s="1">
        <v>45695</v>
      </c>
      <c r="Q2701" s="1"/>
      <c r="R2701" t="str">
        <f>IF(Table1[[#This Row],[Actual close date]]="","",Table1[[#This Row],[Actual close date]]-Table1[[#This Row],[Expected close date]])</f>
        <v/>
      </c>
    </row>
    <row r="2702" spans="1:18" x14ac:dyDescent="0.25">
      <c r="A2702" t="s">
        <v>2787</v>
      </c>
      <c r="B2702" t="s">
        <v>33</v>
      </c>
      <c r="C2702" t="s">
        <v>34</v>
      </c>
      <c r="D2702" t="s">
        <v>35</v>
      </c>
      <c r="E2702" t="s">
        <v>52</v>
      </c>
      <c r="F2702" t="s">
        <v>125</v>
      </c>
      <c r="G2702" t="s">
        <v>23</v>
      </c>
      <c r="H2702" s="1">
        <v>45406</v>
      </c>
      <c r="I2702" t="s">
        <v>47</v>
      </c>
      <c r="J2702" t="s">
        <v>2559</v>
      </c>
      <c r="K2702">
        <v>4</v>
      </c>
      <c r="N2702">
        <v>1049</v>
      </c>
      <c r="O2702">
        <v>30</v>
      </c>
      <c r="P2702" s="1">
        <v>45572</v>
      </c>
      <c r="Q2702" s="1"/>
      <c r="R2702" t="str">
        <f>IF(Table1[[#This Row],[Actual close date]]="","",Table1[[#This Row],[Actual close date]]-Table1[[#This Row],[Expected close date]])</f>
        <v/>
      </c>
    </row>
    <row r="2703" spans="1:18" x14ac:dyDescent="0.25">
      <c r="A2703" t="s">
        <v>2788</v>
      </c>
      <c r="B2703" t="s">
        <v>76</v>
      </c>
      <c r="C2703" t="s">
        <v>77</v>
      </c>
      <c r="D2703" t="s">
        <v>78</v>
      </c>
      <c r="E2703" t="s">
        <v>118</v>
      </c>
      <c r="F2703" t="s">
        <v>125</v>
      </c>
      <c r="G2703" t="s">
        <v>85</v>
      </c>
      <c r="H2703" s="1">
        <v>45414</v>
      </c>
      <c r="I2703" t="s">
        <v>64</v>
      </c>
      <c r="J2703" t="s">
        <v>2559</v>
      </c>
      <c r="K2703">
        <v>4</v>
      </c>
      <c r="N2703">
        <v>380</v>
      </c>
      <c r="O2703">
        <v>20</v>
      </c>
      <c r="P2703" s="1">
        <v>45554</v>
      </c>
      <c r="Q2703" s="1"/>
      <c r="R2703" t="str">
        <f>IF(Table1[[#This Row],[Actual close date]]="","",Table1[[#This Row],[Actual close date]]-Table1[[#This Row],[Expected close date]])</f>
        <v/>
      </c>
    </row>
    <row r="2704" spans="1:18" x14ac:dyDescent="0.25">
      <c r="A2704" t="s">
        <v>2789</v>
      </c>
      <c r="B2704" t="s">
        <v>39</v>
      </c>
      <c r="C2704" t="s">
        <v>40</v>
      </c>
      <c r="D2704" t="s">
        <v>41</v>
      </c>
      <c r="E2704" t="s">
        <v>74</v>
      </c>
      <c r="F2704" t="s">
        <v>125</v>
      </c>
      <c r="G2704" t="s">
        <v>46</v>
      </c>
      <c r="H2704" s="1">
        <v>45347</v>
      </c>
      <c r="I2704" t="s">
        <v>47</v>
      </c>
      <c r="J2704" t="s">
        <v>2559</v>
      </c>
      <c r="K2704">
        <v>4</v>
      </c>
      <c r="N2704">
        <v>1199</v>
      </c>
      <c r="O2704">
        <v>20</v>
      </c>
      <c r="P2704" s="1">
        <v>45510</v>
      </c>
      <c r="Q2704" s="1"/>
      <c r="R2704" t="str">
        <f>IF(Table1[[#This Row],[Actual close date]]="","",Table1[[#This Row],[Actual close date]]-Table1[[#This Row],[Expected close date]])</f>
        <v/>
      </c>
    </row>
    <row r="2705" spans="1:18" x14ac:dyDescent="0.25">
      <c r="A2705" t="s">
        <v>2790</v>
      </c>
      <c r="B2705" t="s">
        <v>18</v>
      </c>
      <c r="C2705" t="s">
        <v>19</v>
      </c>
      <c r="D2705" t="s">
        <v>20</v>
      </c>
      <c r="E2705" t="s">
        <v>101</v>
      </c>
      <c r="F2705" t="s">
        <v>125</v>
      </c>
      <c r="G2705" t="s">
        <v>46</v>
      </c>
      <c r="H2705" s="1">
        <v>45347</v>
      </c>
      <c r="I2705" t="s">
        <v>24</v>
      </c>
      <c r="J2705" t="s">
        <v>2559</v>
      </c>
      <c r="K2705">
        <v>4</v>
      </c>
      <c r="N2705">
        <v>510</v>
      </c>
      <c r="O2705">
        <v>50</v>
      </c>
      <c r="P2705" s="1">
        <v>45526</v>
      </c>
      <c r="Q2705" s="1"/>
      <c r="R2705" t="str">
        <f>IF(Table1[[#This Row],[Actual close date]]="","",Table1[[#This Row],[Actual close date]]-Table1[[#This Row],[Expected close date]])</f>
        <v/>
      </c>
    </row>
    <row r="2706" spans="1:18" x14ac:dyDescent="0.25">
      <c r="A2706" t="s">
        <v>2791</v>
      </c>
      <c r="B2706" t="s">
        <v>54</v>
      </c>
      <c r="C2706" t="s">
        <v>55</v>
      </c>
      <c r="D2706" t="s">
        <v>56</v>
      </c>
      <c r="E2706" t="s">
        <v>42</v>
      </c>
      <c r="F2706" t="s">
        <v>125</v>
      </c>
      <c r="G2706" t="s">
        <v>31</v>
      </c>
      <c r="H2706" s="1">
        <v>45320</v>
      </c>
      <c r="I2706" t="s">
        <v>24</v>
      </c>
      <c r="J2706" t="s">
        <v>2559</v>
      </c>
      <c r="K2706">
        <v>4</v>
      </c>
      <c r="N2706">
        <v>407</v>
      </c>
      <c r="O2706">
        <v>50</v>
      </c>
      <c r="P2706" s="1">
        <v>45341</v>
      </c>
      <c r="Q2706" s="1"/>
      <c r="R2706" t="str">
        <f>IF(Table1[[#This Row],[Actual close date]]="","",Table1[[#This Row],[Actual close date]]-Table1[[#This Row],[Expected close date]])</f>
        <v/>
      </c>
    </row>
    <row r="2707" spans="1:18" x14ac:dyDescent="0.25">
      <c r="A2707" t="s">
        <v>2792</v>
      </c>
      <c r="B2707" t="s">
        <v>33</v>
      </c>
      <c r="C2707" t="s">
        <v>34</v>
      </c>
      <c r="D2707" t="s">
        <v>35</v>
      </c>
      <c r="E2707" t="s">
        <v>30</v>
      </c>
      <c r="F2707" t="s">
        <v>125</v>
      </c>
      <c r="G2707" t="s">
        <v>31</v>
      </c>
      <c r="H2707" s="1">
        <v>45394</v>
      </c>
      <c r="I2707" t="s">
        <v>24</v>
      </c>
      <c r="J2707" t="s">
        <v>2559</v>
      </c>
      <c r="K2707">
        <v>4</v>
      </c>
      <c r="N2707">
        <v>299</v>
      </c>
      <c r="O2707">
        <v>30</v>
      </c>
      <c r="P2707" s="1">
        <v>45729</v>
      </c>
      <c r="Q2707" s="1"/>
      <c r="R2707" t="str">
        <f>IF(Table1[[#This Row],[Actual close date]]="","",Table1[[#This Row],[Actual close date]]-Table1[[#This Row],[Expected close date]])</f>
        <v/>
      </c>
    </row>
    <row r="2708" spans="1:18" x14ac:dyDescent="0.25">
      <c r="A2708" t="s">
        <v>2793</v>
      </c>
      <c r="B2708" t="s">
        <v>76</v>
      </c>
      <c r="C2708" t="s">
        <v>77</v>
      </c>
      <c r="D2708" t="s">
        <v>78</v>
      </c>
      <c r="E2708" t="s">
        <v>45</v>
      </c>
      <c r="F2708" t="s">
        <v>125</v>
      </c>
      <c r="G2708" t="s">
        <v>57</v>
      </c>
      <c r="H2708" s="1">
        <v>45308</v>
      </c>
      <c r="I2708" t="s">
        <v>24</v>
      </c>
      <c r="J2708" t="s">
        <v>2559</v>
      </c>
      <c r="K2708">
        <v>4</v>
      </c>
      <c r="N2708">
        <v>706</v>
      </c>
      <c r="O2708">
        <v>20</v>
      </c>
      <c r="P2708" s="1">
        <v>45423</v>
      </c>
      <c r="Q2708" s="1"/>
      <c r="R2708" t="str">
        <f>IF(Table1[[#This Row],[Actual close date]]="","",Table1[[#This Row],[Actual close date]]-Table1[[#This Row],[Expected close date]])</f>
        <v/>
      </c>
    </row>
    <row r="2709" spans="1:18" x14ac:dyDescent="0.25">
      <c r="A2709" t="s">
        <v>2794</v>
      </c>
      <c r="B2709" t="s">
        <v>59</v>
      </c>
      <c r="C2709" t="s">
        <v>60</v>
      </c>
      <c r="D2709" t="s">
        <v>61</v>
      </c>
      <c r="E2709" t="s">
        <v>45</v>
      </c>
      <c r="F2709" t="s">
        <v>125</v>
      </c>
      <c r="G2709" t="s">
        <v>46</v>
      </c>
      <c r="H2709" s="1">
        <v>45414</v>
      </c>
      <c r="I2709" t="s">
        <v>24</v>
      </c>
      <c r="J2709" t="s">
        <v>2559</v>
      </c>
      <c r="K2709">
        <v>4</v>
      </c>
      <c r="N2709">
        <v>766</v>
      </c>
      <c r="O2709">
        <v>40</v>
      </c>
      <c r="P2709" s="1">
        <v>45461</v>
      </c>
      <c r="Q2709" s="1"/>
      <c r="R2709" t="str">
        <f>IF(Table1[[#This Row],[Actual close date]]="","",Table1[[#This Row],[Actual close date]]-Table1[[#This Row],[Expected close date]])</f>
        <v/>
      </c>
    </row>
    <row r="2710" spans="1:18" x14ac:dyDescent="0.25">
      <c r="A2710" t="s">
        <v>2795</v>
      </c>
      <c r="B2710" t="s">
        <v>54</v>
      </c>
      <c r="C2710" t="s">
        <v>55</v>
      </c>
      <c r="D2710" t="s">
        <v>56</v>
      </c>
      <c r="E2710" t="s">
        <v>45</v>
      </c>
      <c r="F2710" t="s">
        <v>125</v>
      </c>
      <c r="G2710" t="s">
        <v>57</v>
      </c>
      <c r="H2710" s="1">
        <v>45387</v>
      </c>
      <c r="I2710" t="s">
        <v>24</v>
      </c>
      <c r="J2710" t="s">
        <v>2559</v>
      </c>
      <c r="K2710">
        <v>4</v>
      </c>
      <c r="N2710">
        <v>496</v>
      </c>
      <c r="O2710">
        <v>60</v>
      </c>
      <c r="P2710" s="1">
        <v>45716</v>
      </c>
      <c r="Q2710" s="1"/>
      <c r="R2710" t="str">
        <f>IF(Table1[[#This Row],[Actual close date]]="","",Table1[[#This Row],[Actual close date]]-Table1[[#This Row],[Expected close date]])</f>
        <v/>
      </c>
    </row>
    <row r="2711" spans="1:18" x14ac:dyDescent="0.25">
      <c r="A2711" t="s">
        <v>2796</v>
      </c>
      <c r="B2711" t="s">
        <v>27</v>
      </c>
      <c r="C2711" t="s">
        <v>28</v>
      </c>
      <c r="D2711" t="s">
        <v>29</v>
      </c>
      <c r="E2711" t="s">
        <v>74</v>
      </c>
      <c r="F2711" t="s">
        <v>125</v>
      </c>
      <c r="G2711" t="s">
        <v>57</v>
      </c>
      <c r="H2711" s="1">
        <v>45441</v>
      </c>
      <c r="I2711" t="s">
        <v>64</v>
      </c>
      <c r="J2711" t="s">
        <v>2559</v>
      </c>
      <c r="K2711">
        <v>4</v>
      </c>
      <c r="N2711">
        <v>917</v>
      </c>
      <c r="O2711">
        <v>20</v>
      </c>
      <c r="P2711" s="1">
        <v>45471</v>
      </c>
      <c r="Q2711" s="1"/>
      <c r="R2711" t="str">
        <f>IF(Table1[[#This Row],[Actual close date]]="","",Table1[[#This Row],[Actual close date]]-Table1[[#This Row],[Expected close date]])</f>
        <v/>
      </c>
    </row>
    <row r="2712" spans="1:18" x14ac:dyDescent="0.25">
      <c r="A2712" t="s">
        <v>2797</v>
      </c>
      <c r="B2712" t="s">
        <v>33</v>
      </c>
      <c r="C2712" t="s">
        <v>34</v>
      </c>
      <c r="D2712" t="s">
        <v>35</v>
      </c>
      <c r="E2712" t="s">
        <v>122</v>
      </c>
      <c r="F2712" t="s">
        <v>125</v>
      </c>
      <c r="G2712" t="s">
        <v>37</v>
      </c>
      <c r="H2712" s="1">
        <v>45420</v>
      </c>
      <c r="I2712" t="s">
        <v>24</v>
      </c>
      <c r="J2712" t="s">
        <v>2559</v>
      </c>
      <c r="K2712">
        <v>4</v>
      </c>
      <c r="N2712">
        <v>656</v>
      </c>
      <c r="O2712">
        <v>40</v>
      </c>
      <c r="P2712" s="1">
        <v>45451</v>
      </c>
      <c r="Q2712" s="1"/>
      <c r="R2712" t="str">
        <f>IF(Table1[[#This Row],[Actual close date]]="","",Table1[[#This Row],[Actual close date]]-Table1[[#This Row],[Expected close date]])</f>
        <v/>
      </c>
    </row>
    <row r="2713" spans="1:18" x14ac:dyDescent="0.25">
      <c r="A2713" t="s">
        <v>2798</v>
      </c>
      <c r="B2713" t="s">
        <v>33</v>
      </c>
      <c r="C2713" t="s">
        <v>34</v>
      </c>
      <c r="D2713" t="s">
        <v>35</v>
      </c>
      <c r="E2713" t="s">
        <v>45</v>
      </c>
      <c r="F2713" t="s">
        <v>125</v>
      </c>
      <c r="G2713" t="s">
        <v>72</v>
      </c>
      <c r="H2713" s="1">
        <v>45366</v>
      </c>
      <c r="I2713" t="s">
        <v>47</v>
      </c>
      <c r="J2713" t="s">
        <v>2559</v>
      </c>
      <c r="K2713">
        <v>4</v>
      </c>
      <c r="N2713">
        <v>996</v>
      </c>
      <c r="O2713">
        <v>70</v>
      </c>
      <c r="P2713" s="1">
        <v>45653</v>
      </c>
      <c r="Q2713" s="1"/>
      <c r="R2713" t="str">
        <f>IF(Table1[[#This Row],[Actual close date]]="","",Table1[[#This Row],[Actual close date]]-Table1[[#This Row],[Expected close date]])</f>
        <v/>
      </c>
    </row>
    <row r="2714" spans="1:18" x14ac:dyDescent="0.25">
      <c r="A2714" t="s">
        <v>2799</v>
      </c>
      <c r="B2714" t="s">
        <v>54</v>
      </c>
      <c r="C2714" t="s">
        <v>55</v>
      </c>
      <c r="D2714" t="s">
        <v>56</v>
      </c>
      <c r="E2714" t="s">
        <v>74</v>
      </c>
      <c r="F2714" t="s">
        <v>125</v>
      </c>
      <c r="G2714" t="s">
        <v>83</v>
      </c>
      <c r="H2714" s="1">
        <v>45426</v>
      </c>
      <c r="I2714" t="s">
        <v>64</v>
      </c>
      <c r="J2714" t="s">
        <v>2559</v>
      </c>
      <c r="K2714">
        <v>4</v>
      </c>
      <c r="N2714">
        <v>428</v>
      </c>
      <c r="O2714">
        <v>30</v>
      </c>
      <c r="P2714" s="1">
        <v>45540</v>
      </c>
      <c r="Q2714" s="1"/>
      <c r="R2714" t="str">
        <f>IF(Table1[[#This Row],[Actual close date]]="","",Table1[[#This Row],[Actual close date]]-Table1[[#This Row],[Expected close date]])</f>
        <v/>
      </c>
    </row>
    <row r="2715" spans="1:18" x14ac:dyDescent="0.25">
      <c r="A2715" t="s">
        <v>2800</v>
      </c>
      <c r="B2715" t="s">
        <v>59</v>
      </c>
      <c r="C2715" t="s">
        <v>60</v>
      </c>
      <c r="D2715" t="s">
        <v>61</v>
      </c>
      <c r="E2715" t="s">
        <v>52</v>
      </c>
      <c r="F2715" t="s">
        <v>125</v>
      </c>
      <c r="G2715" t="s">
        <v>37</v>
      </c>
      <c r="H2715" s="1">
        <v>45301</v>
      </c>
      <c r="I2715" t="s">
        <v>24</v>
      </c>
      <c r="J2715" t="s">
        <v>2559</v>
      </c>
      <c r="K2715">
        <v>4</v>
      </c>
      <c r="N2715">
        <v>562</v>
      </c>
      <c r="O2715">
        <v>20</v>
      </c>
      <c r="P2715" s="1">
        <v>45523</v>
      </c>
      <c r="Q2715" s="1"/>
      <c r="R2715" t="str">
        <f>IF(Table1[[#This Row],[Actual close date]]="","",Table1[[#This Row],[Actual close date]]-Table1[[#This Row],[Expected close date]])</f>
        <v/>
      </c>
    </row>
    <row r="2716" spans="1:18" x14ac:dyDescent="0.25">
      <c r="A2716" t="s">
        <v>2801</v>
      </c>
      <c r="B2716" t="s">
        <v>54</v>
      </c>
      <c r="C2716" t="s">
        <v>55</v>
      </c>
      <c r="D2716" t="s">
        <v>56</v>
      </c>
      <c r="E2716" t="s">
        <v>52</v>
      </c>
      <c r="F2716" t="s">
        <v>125</v>
      </c>
      <c r="G2716" t="s">
        <v>37</v>
      </c>
      <c r="H2716" s="1">
        <v>45299</v>
      </c>
      <c r="I2716" t="s">
        <v>47</v>
      </c>
      <c r="J2716" t="s">
        <v>2559</v>
      </c>
      <c r="K2716">
        <v>4</v>
      </c>
      <c r="N2716">
        <v>786</v>
      </c>
      <c r="O2716">
        <v>50</v>
      </c>
      <c r="P2716" s="1">
        <v>45523</v>
      </c>
      <c r="Q2716" s="1"/>
      <c r="R2716" t="str">
        <f>IF(Table1[[#This Row],[Actual close date]]="","",Table1[[#This Row],[Actual close date]]-Table1[[#This Row],[Expected close date]])</f>
        <v/>
      </c>
    </row>
    <row r="2717" spans="1:18" x14ac:dyDescent="0.25">
      <c r="A2717" t="s">
        <v>2802</v>
      </c>
      <c r="B2717" t="s">
        <v>33</v>
      </c>
      <c r="C2717" t="s">
        <v>34</v>
      </c>
      <c r="D2717" t="s">
        <v>35</v>
      </c>
      <c r="E2717" t="s">
        <v>45</v>
      </c>
      <c r="F2717" t="s">
        <v>125</v>
      </c>
      <c r="G2717" t="s">
        <v>57</v>
      </c>
      <c r="H2717" s="1">
        <v>45386</v>
      </c>
      <c r="I2717" t="s">
        <v>24</v>
      </c>
      <c r="J2717" t="s">
        <v>2559</v>
      </c>
      <c r="K2717">
        <v>4</v>
      </c>
      <c r="N2717">
        <v>827</v>
      </c>
      <c r="O2717">
        <v>40</v>
      </c>
      <c r="P2717" s="1">
        <v>45705</v>
      </c>
      <c r="Q2717" s="1"/>
      <c r="R2717" t="str">
        <f>IF(Table1[[#This Row],[Actual close date]]="","",Table1[[#This Row],[Actual close date]]-Table1[[#This Row],[Expected close date]])</f>
        <v/>
      </c>
    </row>
    <row r="2718" spans="1:18" x14ac:dyDescent="0.25">
      <c r="A2718" t="s">
        <v>2803</v>
      </c>
      <c r="B2718" t="s">
        <v>59</v>
      </c>
      <c r="C2718" t="s">
        <v>60</v>
      </c>
      <c r="D2718" t="s">
        <v>61</v>
      </c>
      <c r="E2718" t="s">
        <v>45</v>
      </c>
      <c r="F2718" t="s">
        <v>125</v>
      </c>
      <c r="G2718" t="s">
        <v>31</v>
      </c>
      <c r="H2718" s="1">
        <v>45395</v>
      </c>
      <c r="I2718" t="s">
        <v>64</v>
      </c>
      <c r="J2718" t="s">
        <v>2559</v>
      </c>
      <c r="K2718">
        <v>4</v>
      </c>
      <c r="N2718">
        <v>1021</v>
      </c>
      <c r="O2718">
        <v>60</v>
      </c>
      <c r="P2718" s="1">
        <v>45673</v>
      </c>
      <c r="Q2718" s="1"/>
      <c r="R2718" t="str">
        <f>IF(Table1[[#This Row],[Actual close date]]="","",Table1[[#This Row],[Actual close date]]-Table1[[#This Row],[Expected close date]])</f>
        <v/>
      </c>
    </row>
    <row r="2719" spans="1:18" x14ac:dyDescent="0.25">
      <c r="A2719" t="s">
        <v>2804</v>
      </c>
      <c r="B2719" t="s">
        <v>39</v>
      </c>
      <c r="C2719" t="s">
        <v>40</v>
      </c>
      <c r="D2719" t="s">
        <v>41</v>
      </c>
      <c r="E2719" t="s">
        <v>122</v>
      </c>
      <c r="F2719" t="s">
        <v>125</v>
      </c>
      <c r="G2719" t="s">
        <v>57</v>
      </c>
      <c r="H2719" s="1">
        <v>45316</v>
      </c>
      <c r="I2719" t="s">
        <v>64</v>
      </c>
      <c r="J2719" t="s">
        <v>2559</v>
      </c>
      <c r="K2719">
        <v>4</v>
      </c>
      <c r="N2719">
        <v>509</v>
      </c>
      <c r="O2719">
        <v>40</v>
      </c>
      <c r="P2719" s="1">
        <v>45364</v>
      </c>
      <c r="Q2719" s="1"/>
      <c r="R2719" t="str">
        <f>IF(Table1[[#This Row],[Actual close date]]="","",Table1[[#This Row],[Actual close date]]-Table1[[#This Row],[Expected close date]])</f>
        <v/>
      </c>
    </row>
    <row r="2720" spans="1:18" x14ac:dyDescent="0.25">
      <c r="A2720" t="s">
        <v>2805</v>
      </c>
      <c r="B2720" t="s">
        <v>39</v>
      </c>
      <c r="C2720" t="s">
        <v>40</v>
      </c>
      <c r="D2720" t="s">
        <v>41</v>
      </c>
      <c r="E2720" t="s">
        <v>21</v>
      </c>
      <c r="F2720" t="s">
        <v>125</v>
      </c>
      <c r="G2720" t="s">
        <v>83</v>
      </c>
      <c r="H2720" s="1">
        <v>45311</v>
      </c>
      <c r="I2720" t="s">
        <v>64</v>
      </c>
      <c r="J2720" t="s">
        <v>2559</v>
      </c>
      <c r="K2720">
        <v>4</v>
      </c>
      <c r="N2720">
        <v>883</v>
      </c>
      <c r="O2720">
        <v>40</v>
      </c>
      <c r="P2720" s="1">
        <v>45494</v>
      </c>
      <c r="Q2720" s="1"/>
      <c r="R2720" t="str">
        <f>IF(Table1[[#This Row],[Actual close date]]="","",Table1[[#This Row],[Actual close date]]-Table1[[#This Row],[Expected close date]])</f>
        <v/>
      </c>
    </row>
    <row r="2721" spans="1:18" x14ac:dyDescent="0.25">
      <c r="A2721" t="s">
        <v>2806</v>
      </c>
      <c r="B2721" t="s">
        <v>33</v>
      </c>
      <c r="C2721" t="s">
        <v>34</v>
      </c>
      <c r="D2721" t="s">
        <v>35</v>
      </c>
      <c r="E2721" t="s">
        <v>66</v>
      </c>
      <c r="F2721" t="s">
        <v>125</v>
      </c>
      <c r="G2721" t="s">
        <v>83</v>
      </c>
      <c r="H2721" s="1">
        <v>45431</v>
      </c>
      <c r="I2721" t="s">
        <v>24</v>
      </c>
      <c r="J2721" t="s">
        <v>2559</v>
      </c>
      <c r="K2721">
        <v>4</v>
      </c>
      <c r="N2721">
        <v>500</v>
      </c>
      <c r="O2721">
        <v>30</v>
      </c>
      <c r="P2721" s="1">
        <v>45766</v>
      </c>
      <c r="Q2721" s="1"/>
      <c r="R2721" t="str">
        <f>IF(Table1[[#This Row],[Actual close date]]="","",Table1[[#This Row],[Actual close date]]-Table1[[#This Row],[Expected close date]])</f>
        <v/>
      </c>
    </row>
    <row r="2722" spans="1:18" x14ac:dyDescent="0.25">
      <c r="A2722" t="s">
        <v>2807</v>
      </c>
      <c r="B2722" t="s">
        <v>33</v>
      </c>
      <c r="C2722" t="s">
        <v>34</v>
      </c>
      <c r="D2722" t="s">
        <v>35</v>
      </c>
      <c r="E2722" t="s">
        <v>42</v>
      </c>
      <c r="F2722" t="s">
        <v>125</v>
      </c>
      <c r="G2722" t="s">
        <v>83</v>
      </c>
      <c r="H2722" s="1">
        <v>45379</v>
      </c>
      <c r="I2722" t="s">
        <v>47</v>
      </c>
      <c r="J2722" t="s">
        <v>2559</v>
      </c>
      <c r="K2722">
        <v>4</v>
      </c>
      <c r="N2722">
        <v>891</v>
      </c>
      <c r="O2722">
        <v>90</v>
      </c>
      <c r="P2722" s="1">
        <v>45723</v>
      </c>
      <c r="Q2722" s="1"/>
      <c r="R2722" t="str">
        <f>IF(Table1[[#This Row],[Actual close date]]="","",Table1[[#This Row],[Actual close date]]-Table1[[#This Row],[Expected close date]])</f>
        <v/>
      </c>
    </row>
    <row r="2723" spans="1:18" x14ac:dyDescent="0.25">
      <c r="A2723" t="s">
        <v>2808</v>
      </c>
      <c r="B2723" t="s">
        <v>33</v>
      </c>
      <c r="C2723" t="s">
        <v>34</v>
      </c>
      <c r="D2723" t="s">
        <v>35</v>
      </c>
      <c r="E2723" t="s">
        <v>21</v>
      </c>
      <c r="F2723" t="s">
        <v>125</v>
      </c>
      <c r="G2723" t="s">
        <v>83</v>
      </c>
      <c r="H2723" s="1">
        <v>45426</v>
      </c>
      <c r="I2723" t="s">
        <v>47</v>
      </c>
      <c r="J2723" t="s">
        <v>2559</v>
      </c>
      <c r="K2723">
        <v>4</v>
      </c>
      <c r="N2723">
        <v>811</v>
      </c>
      <c r="O2723">
        <v>20</v>
      </c>
      <c r="P2723" s="1">
        <v>45757</v>
      </c>
      <c r="Q2723" s="1"/>
      <c r="R2723" t="str">
        <f>IF(Table1[[#This Row],[Actual close date]]="","",Table1[[#This Row],[Actual close date]]-Table1[[#This Row],[Expected close date]])</f>
        <v/>
      </c>
    </row>
    <row r="2724" spans="1:18" x14ac:dyDescent="0.25">
      <c r="A2724" t="s">
        <v>2809</v>
      </c>
      <c r="B2724" t="s">
        <v>39</v>
      </c>
      <c r="C2724" t="s">
        <v>40</v>
      </c>
      <c r="D2724" t="s">
        <v>41</v>
      </c>
      <c r="E2724" t="s">
        <v>52</v>
      </c>
      <c r="F2724" t="s">
        <v>125</v>
      </c>
      <c r="G2724" t="s">
        <v>46</v>
      </c>
      <c r="H2724" s="1">
        <v>45320</v>
      </c>
      <c r="I2724" t="s">
        <v>64</v>
      </c>
      <c r="J2724" t="s">
        <v>2559</v>
      </c>
      <c r="K2724">
        <v>4</v>
      </c>
      <c r="N2724">
        <v>993</v>
      </c>
      <c r="O2724">
        <v>20</v>
      </c>
      <c r="P2724" s="1">
        <v>45523</v>
      </c>
      <c r="Q2724" s="1"/>
      <c r="R2724" t="str">
        <f>IF(Table1[[#This Row],[Actual close date]]="","",Table1[[#This Row],[Actual close date]]-Table1[[#This Row],[Expected close date]])</f>
        <v/>
      </c>
    </row>
    <row r="2725" spans="1:18" x14ac:dyDescent="0.25">
      <c r="A2725" t="s">
        <v>2810</v>
      </c>
      <c r="B2725" t="s">
        <v>33</v>
      </c>
      <c r="C2725" t="s">
        <v>34</v>
      </c>
      <c r="D2725" t="s">
        <v>35</v>
      </c>
      <c r="E2725" t="s">
        <v>74</v>
      </c>
      <c r="F2725" t="s">
        <v>125</v>
      </c>
      <c r="G2725" t="s">
        <v>85</v>
      </c>
      <c r="H2725" s="1">
        <v>45412</v>
      </c>
      <c r="I2725" t="s">
        <v>47</v>
      </c>
      <c r="J2725" t="s">
        <v>2559</v>
      </c>
      <c r="K2725">
        <v>4</v>
      </c>
      <c r="N2725">
        <v>1083</v>
      </c>
      <c r="O2725">
        <v>50</v>
      </c>
      <c r="P2725" s="1">
        <v>45660</v>
      </c>
      <c r="Q2725" s="1"/>
      <c r="R2725" t="str">
        <f>IF(Table1[[#This Row],[Actual close date]]="","",Table1[[#This Row],[Actual close date]]-Table1[[#This Row],[Expected close date]])</f>
        <v/>
      </c>
    </row>
    <row r="2726" spans="1:18" x14ac:dyDescent="0.25">
      <c r="A2726" t="s">
        <v>2811</v>
      </c>
      <c r="B2726" t="s">
        <v>27</v>
      </c>
      <c r="C2726" t="s">
        <v>28</v>
      </c>
      <c r="D2726" t="s">
        <v>29</v>
      </c>
      <c r="E2726" t="s">
        <v>45</v>
      </c>
      <c r="F2726" t="s">
        <v>125</v>
      </c>
      <c r="G2726" t="s">
        <v>46</v>
      </c>
      <c r="H2726" s="1">
        <v>45410</v>
      </c>
      <c r="I2726" t="s">
        <v>64</v>
      </c>
      <c r="J2726" t="s">
        <v>2559</v>
      </c>
      <c r="K2726">
        <v>4</v>
      </c>
      <c r="N2726">
        <v>928</v>
      </c>
      <c r="O2726">
        <v>50</v>
      </c>
      <c r="P2726" s="1">
        <v>45707</v>
      </c>
      <c r="Q2726" s="1"/>
      <c r="R2726" t="str">
        <f>IF(Table1[[#This Row],[Actual close date]]="","",Table1[[#This Row],[Actual close date]]-Table1[[#This Row],[Expected close date]])</f>
        <v/>
      </c>
    </row>
    <row r="2727" spans="1:18" x14ac:dyDescent="0.25">
      <c r="A2727" t="s">
        <v>2812</v>
      </c>
      <c r="B2727" t="s">
        <v>33</v>
      </c>
      <c r="C2727" t="s">
        <v>34</v>
      </c>
      <c r="D2727" t="s">
        <v>35</v>
      </c>
      <c r="E2727" t="s">
        <v>45</v>
      </c>
      <c r="F2727" t="s">
        <v>125</v>
      </c>
      <c r="G2727" t="s">
        <v>57</v>
      </c>
      <c r="H2727" s="1">
        <v>45401</v>
      </c>
      <c r="I2727" t="s">
        <v>24</v>
      </c>
      <c r="J2727" t="s">
        <v>2559</v>
      </c>
      <c r="K2727">
        <v>4</v>
      </c>
      <c r="N2727">
        <v>307</v>
      </c>
      <c r="O2727">
        <v>30</v>
      </c>
      <c r="P2727" s="1">
        <v>45667</v>
      </c>
      <c r="Q2727" s="1"/>
      <c r="R2727" t="str">
        <f>IF(Table1[[#This Row],[Actual close date]]="","",Table1[[#This Row],[Actual close date]]-Table1[[#This Row],[Expected close date]])</f>
        <v/>
      </c>
    </row>
    <row r="2728" spans="1:18" x14ac:dyDescent="0.25">
      <c r="A2728" t="s">
        <v>2813</v>
      </c>
      <c r="B2728" t="s">
        <v>33</v>
      </c>
      <c r="C2728" t="s">
        <v>34</v>
      </c>
      <c r="D2728" t="s">
        <v>35</v>
      </c>
      <c r="E2728" t="s">
        <v>45</v>
      </c>
      <c r="F2728" t="s">
        <v>125</v>
      </c>
      <c r="G2728" t="s">
        <v>23</v>
      </c>
      <c r="H2728" s="1">
        <v>45384</v>
      </c>
      <c r="I2728" t="s">
        <v>24</v>
      </c>
      <c r="J2728" t="s">
        <v>2559</v>
      </c>
      <c r="K2728">
        <v>4</v>
      </c>
      <c r="N2728">
        <v>697</v>
      </c>
      <c r="O2728">
        <v>60</v>
      </c>
      <c r="P2728" s="1">
        <v>45599</v>
      </c>
      <c r="Q2728" s="1"/>
      <c r="R2728" t="str">
        <f>IF(Table1[[#This Row],[Actual close date]]="","",Table1[[#This Row],[Actual close date]]-Table1[[#This Row],[Expected close date]])</f>
        <v/>
      </c>
    </row>
    <row r="2729" spans="1:18" x14ac:dyDescent="0.25">
      <c r="A2729" t="s">
        <v>2814</v>
      </c>
      <c r="B2729" t="s">
        <v>54</v>
      </c>
      <c r="C2729" t="s">
        <v>55</v>
      </c>
      <c r="D2729" t="s">
        <v>56</v>
      </c>
      <c r="E2729" t="s">
        <v>52</v>
      </c>
      <c r="F2729" t="s">
        <v>125</v>
      </c>
      <c r="G2729" t="s">
        <v>46</v>
      </c>
      <c r="H2729" s="1">
        <v>45389</v>
      </c>
      <c r="I2729" t="s">
        <v>64</v>
      </c>
      <c r="J2729" t="s">
        <v>2559</v>
      </c>
      <c r="K2729">
        <v>4</v>
      </c>
      <c r="N2729">
        <v>451</v>
      </c>
      <c r="O2729">
        <v>30</v>
      </c>
      <c r="P2729" s="1">
        <v>45439</v>
      </c>
      <c r="Q2729" s="1"/>
      <c r="R2729" t="str">
        <f>IF(Table1[[#This Row],[Actual close date]]="","",Table1[[#This Row],[Actual close date]]-Table1[[#This Row],[Expected close date]])</f>
        <v/>
      </c>
    </row>
    <row r="2730" spans="1:18" x14ac:dyDescent="0.25">
      <c r="A2730" t="s">
        <v>2815</v>
      </c>
      <c r="B2730" t="s">
        <v>54</v>
      </c>
      <c r="C2730" t="s">
        <v>55</v>
      </c>
      <c r="D2730" t="s">
        <v>56</v>
      </c>
      <c r="E2730" t="s">
        <v>21</v>
      </c>
      <c r="F2730" t="s">
        <v>125</v>
      </c>
      <c r="G2730" t="s">
        <v>46</v>
      </c>
      <c r="H2730" s="1">
        <v>45316</v>
      </c>
      <c r="I2730" t="s">
        <v>47</v>
      </c>
      <c r="J2730" t="s">
        <v>2559</v>
      </c>
      <c r="K2730">
        <v>4</v>
      </c>
      <c r="N2730">
        <v>1160</v>
      </c>
      <c r="O2730">
        <v>20</v>
      </c>
      <c r="P2730" s="1">
        <v>45502</v>
      </c>
      <c r="Q2730" s="1"/>
      <c r="R2730" t="str">
        <f>IF(Table1[[#This Row],[Actual close date]]="","",Table1[[#This Row],[Actual close date]]-Table1[[#This Row],[Expected close date]])</f>
        <v/>
      </c>
    </row>
    <row r="2731" spans="1:18" x14ac:dyDescent="0.25">
      <c r="A2731" t="s">
        <v>2816</v>
      </c>
      <c r="B2731" t="s">
        <v>33</v>
      </c>
      <c r="C2731" t="s">
        <v>34</v>
      </c>
      <c r="D2731" t="s">
        <v>35</v>
      </c>
      <c r="E2731" t="s">
        <v>45</v>
      </c>
      <c r="F2731" t="s">
        <v>125</v>
      </c>
      <c r="G2731" t="s">
        <v>46</v>
      </c>
      <c r="H2731" s="1">
        <v>45424</v>
      </c>
      <c r="I2731" t="s">
        <v>24</v>
      </c>
      <c r="J2731" t="s">
        <v>2559</v>
      </c>
      <c r="K2731">
        <v>4</v>
      </c>
      <c r="N2731">
        <v>790</v>
      </c>
      <c r="O2731">
        <v>30</v>
      </c>
      <c r="P2731" s="1">
        <v>45735</v>
      </c>
      <c r="Q2731" s="1"/>
      <c r="R2731" t="str">
        <f>IF(Table1[[#This Row],[Actual close date]]="","",Table1[[#This Row],[Actual close date]]-Table1[[#This Row],[Expected close date]])</f>
        <v/>
      </c>
    </row>
    <row r="2732" spans="1:18" x14ac:dyDescent="0.25">
      <c r="A2732" t="s">
        <v>2817</v>
      </c>
      <c r="B2732" t="s">
        <v>59</v>
      </c>
      <c r="C2732" t="s">
        <v>60</v>
      </c>
      <c r="D2732" t="s">
        <v>61</v>
      </c>
      <c r="E2732" t="s">
        <v>21</v>
      </c>
      <c r="F2732" t="s">
        <v>125</v>
      </c>
      <c r="G2732" t="s">
        <v>31</v>
      </c>
      <c r="H2732" s="1">
        <v>45301</v>
      </c>
      <c r="I2732" t="s">
        <v>24</v>
      </c>
      <c r="J2732" t="s">
        <v>2559</v>
      </c>
      <c r="K2732">
        <v>4</v>
      </c>
      <c r="N2732">
        <v>1196</v>
      </c>
      <c r="O2732">
        <v>20</v>
      </c>
      <c r="P2732" s="1">
        <v>45477</v>
      </c>
      <c r="Q2732" s="1"/>
      <c r="R2732" t="str">
        <f>IF(Table1[[#This Row],[Actual close date]]="","",Table1[[#This Row],[Actual close date]]-Table1[[#This Row],[Expected close date]])</f>
        <v/>
      </c>
    </row>
    <row r="2733" spans="1:18" x14ac:dyDescent="0.25">
      <c r="A2733" t="s">
        <v>2818</v>
      </c>
      <c r="B2733" t="s">
        <v>33</v>
      </c>
      <c r="C2733" t="s">
        <v>34</v>
      </c>
      <c r="D2733" t="s">
        <v>35</v>
      </c>
      <c r="E2733" t="s">
        <v>42</v>
      </c>
      <c r="F2733" t="s">
        <v>125</v>
      </c>
      <c r="G2733" t="s">
        <v>31</v>
      </c>
      <c r="H2733" s="1">
        <v>45350</v>
      </c>
      <c r="I2733" t="s">
        <v>64</v>
      </c>
      <c r="J2733" t="s">
        <v>2559</v>
      </c>
      <c r="K2733">
        <v>4</v>
      </c>
      <c r="N2733">
        <v>915</v>
      </c>
      <c r="O2733">
        <v>30</v>
      </c>
      <c r="P2733" s="1">
        <v>45644</v>
      </c>
      <c r="Q2733" s="1"/>
      <c r="R2733" t="str">
        <f>IF(Table1[[#This Row],[Actual close date]]="","",Table1[[#This Row],[Actual close date]]-Table1[[#This Row],[Expected close date]])</f>
        <v/>
      </c>
    </row>
    <row r="2734" spans="1:18" x14ac:dyDescent="0.25">
      <c r="A2734" t="s">
        <v>2819</v>
      </c>
      <c r="B2734" t="s">
        <v>69</v>
      </c>
      <c r="C2734" t="s">
        <v>70</v>
      </c>
      <c r="D2734" t="s">
        <v>71</v>
      </c>
      <c r="E2734" t="s">
        <v>52</v>
      </c>
      <c r="F2734" t="s">
        <v>125</v>
      </c>
      <c r="G2734" t="s">
        <v>46</v>
      </c>
      <c r="H2734" s="1">
        <v>45378</v>
      </c>
      <c r="I2734" t="s">
        <v>64</v>
      </c>
      <c r="J2734" t="s">
        <v>2559</v>
      </c>
      <c r="K2734">
        <v>4</v>
      </c>
      <c r="N2734">
        <v>1075</v>
      </c>
      <c r="O2734">
        <v>30</v>
      </c>
      <c r="P2734" s="1">
        <v>45707</v>
      </c>
      <c r="Q2734" s="1"/>
      <c r="R2734" t="str">
        <f>IF(Table1[[#This Row],[Actual close date]]="","",Table1[[#This Row],[Actual close date]]-Table1[[#This Row],[Expected close date]])</f>
        <v/>
      </c>
    </row>
    <row r="2735" spans="1:18" x14ac:dyDescent="0.25">
      <c r="A2735" t="s">
        <v>2820</v>
      </c>
      <c r="B2735" t="s">
        <v>54</v>
      </c>
      <c r="C2735" t="s">
        <v>55</v>
      </c>
      <c r="D2735" t="s">
        <v>56</v>
      </c>
      <c r="E2735" t="s">
        <v>30</v>
      </c>
      <c r="F2735" t="s">
        <v>125</v>
      </c>
      <c r="G2735" t="s">
        <v>57</v>
      </c>
      <c r="H2735" s="1">
        <v>45400</v>
      </c>
      <c r="I2735" t="s">
        <v>24</v>
      </c>
      <c r="J2735" t="s">
        <v>2559</v>
      </c>
      <c r="K2735">
        <v>4</v>
      </c>
      <c r="N2735">
        <v>789</v>
      </c>
      <c r="O2735">
        <v>20</v>
      </c>
      <c r="P2735" s="1">
        <v>45603</v>
      </c>
      <c r="Q2735" s="1"/>
      <c r="R2735" t="str">
        <f>IF(Table1[[#This Row],[Actual close date]]="","",Table1[[#This Row],[Actual close date]]-Table1[[#This Row],[Expected close date]])</f>
        <v/>
      </c>
    </row>
    <row r="2736" spans="1:18" x14ac:dyDescent="0.25">
      <c r="A2736" t="s">
        <v>2821</v>
      </c>
      <c r="B2736" t="s">
        <v>49</v>
      </c>
      <c r="C2736" t="s">
        <v>50</v>
      </c>
      <c r="D2736" t="s">
        <v>51</v>
      </c>
      <c r="E2736" t="s">
        <v>74</v>
      </c>
      <c r="F2736" t="s">
        <v>125</v>
      </c>
      <c r="G2736" t="s">
        <v>57</v>
      </c>
      <c r="H2736" s="1">
        <v>45338</v>
      </c>
      <c r="I2736" t="s">
        <v>24</v>
      </c>
      <c r="J2736" t="s">
        <v>2559</v>
      </c>
      <c r="K2736">
        <v>4</v>
      </c>
      <c r="N2736">
        <v>492</v>
      </c>
      <c r="O2736">
        <v>30</v>
      </c>
      <c r="P2736" s="1">
        <v>45409</v>
      </c>
      <c r="Q2736" s="1"/>
      <c r="R2736" t="str">
        <f>IF(Table1[[#This Row],[Actual close date]]="","",Table1[[#This Row],[Actual close date]]-Table1[[#This Row],[Expected close date]])</f>
        <v/>
      </c>
    </row>
    <row r="2737" spans="1:18" x14ac:dyDescent="0.25">
      <c r="A2737" t="s">
        <v>2822</v>
      </c>
      <c r="B2737" t="s">
        <v>33</v>
      </c>
      <c r="C2737" t="s">
        <v>34</v>
      </c>
      <c r="D2737" t="s">
        <v>35</v>
      </c>
      <c r="E2737" t="s">
        <v>101</v>
      </c>
      <c r="F2737" t="s">
        <v>167</v>
      </c>
      <c r="G2737" t="s">
        <v>31</v>
      </c>
      <c r="H2737" s="1">
        <v>45345</v>
      </c>
      <c r="I2737" t="s">
        <v>64</v>
      </c>
      <c r="J2737" t="s">
        <v>2559</v>
      </c>
      <c r="K2737">
        <v>4</v>
      </c>
      <c r="N2737">
        <v>1940</v>
      </c>
      <c r="O2737">
        <v>40</v>
      </c>
      <c r="P2737" s="1">
        <v>45634</v>
      </c>
      <c r="Q2737" s="1"/>
      <c r="R2737" t="str">
        <f>IF(Table1[[#This Row],[Actual close date]]="","",Table1[[#This Row],[Actual close date]]-Table1[[#This Row],[Expected close date]])</f>
        <v/>
      </c>
    </row>
    <row r="2738" spans="1:18" x14ac:dyDescent="0.25">
      <c r="A2738" t="s">
        <v>2823</v>
      </c>
      <c r="B2738" t="s">
        <v>39</v>
      </c>
      <c r="C2738" t="s">
        <v>40</v>
      </c>
      <c r="D2738" t="s">
        <v>41</v>
      </c>
      <c r="E2738" t="s">
        <v>52</v>
      </c>
      <c r="F2738" t="s">
        <v>167</v>
      </c>
      <c r="G2738" t="s">
        <v>37</v>
      </c>
      <c r="H2738" s="1">
        <v>45325</v>
      </c>
      <c r="I2738" t="s">
        <v>47</v>
      </c>
      <c r="J2738" t="s">
        <v>2559</v>
      </c>
      <c r="K2738">
        <v>4</v>
      </c>
      <c r="N2738">
        <v>6881</v>
      </c>
      <c r="O2738">
        <v>20</v>
      </c>
      <c r="P2738" s="1">
        <v>45468</v>
      </c>
      <c r="Q2738" s="1"/>
      <c r="R2738" t="str">
        <f>IF(Table1[[#This Row],[Actual close date]]="","",Table1[[#This Row],[Actual close date]]-Table1[[#This Row],[Expected close date]])</f>
        <v/>
      </c>
    </row>
    <row r="2739" spans="1:18" x14ac:dyDescent="0.25">
      <c r="A2739" t="s">
        <v>2824</v>
      </c>
      <c r="B2739" t="s">
        <v>76</v>
      </c>
      <c r="C2739" t="s">
        <v>77</v>
      </c>
      <c r="D2739" t="s">
        <v>78</v>
      </c>
      <c r="E2739" t="s">
        <v>21</v>
      </c>
      <c r="F2739" t="s">
        <v>167</v>
      </c>
      <c r="G2739" t="s">
        <v>72</v>
      </c>
      <c r="H2739" s="1">
        <v>45388</v>
      </c>
      <c r="I2739" t="s">
        <v>24</v>
      </c>
      <c r="J2739" t="s">
        <v>2559</v>
      </c>
      <c r="K2739">
        <v>4</v>
      </c>
      <c r="N2739">
        <v>1944</v>
      </c>
      <c r="O2739">
        <v>30</v>
      </c>
      <c r="P2739" s="1">
        <v>45673</v>
      </c>
      <c r="Q2739" s="1"/>
      <c r="R2739" t="str">
        <f>IF(Table1[[#This Row],[Actual close date]]="","",Table1[[#This Row],[Actual close date]]-Table1[[#This Row],[Expected close date]])</f>
        <v/>
      </c>
    </row>
    <row r="2740" spans="1:18" x14ac:dyDescent="0.25">
      <c r="A2740" t="s">
        <v>2825</v>
      </c>
      <c r="B2740" t="s">
        <v>49</v>
      </c>
      <c r="C2740" t="s">
        <v>50</v>
      </c>
      <c r="D2740" t="s">
        <v>51</v>
      </c>
      <c r="E2740" t="s">
        <v>42</v>
      </c>
      <c r="F2740" t="s">
        <v>167</v>
      </c>
      <c r="G2740" t="s">
        <v>72</v>
      </c>
      <c r="H2740" s="1">
        <v>45380</v>
      </c>
      <c r="I2740" t="s">
        <v>64</v>
      </c>
      <c r="J2740" t="s">
        <v>2559</v>
      </c>
      <c r="K2740">
        <v>4</v>
      </c>
      <c r="N2740">
        <v>7599</v>
      </c>
      <c r="O2740">
        <v>60</v>
      </c>
      <c r="P2740" s="1">
        <v>45449</v>
      </c>
      <c r="Q2740" s="1"/>
      <c r="R2740" t="str">
        <f>IF(Table1[[#This Row],[Actual close date]]="","",Table1[[#This Row],[Actual close date]]-Table1[[#This Row],[Expected close date]])</f>
        <v/>
      </c>
    </row>
    <row r="2741" spans="1:18" x14ac:dyDescent="0.25">
      <c r="A2741" t="s">
        <v>2826</v>
      </c>
      <c r="B2741" t="s">
        <v>76</v>
      </c>
      <c r="C2741" t="s">
        <v>77</v>
      </c>
      <c r="D2741" t="s">
        <v>78</v>
      </c>
      <c r="E2741" t="s">
        <v>52</v>
      </c>
      <c r="F2741" t="s">
        <v>167</v>
      </c>
      <c r="G2741" t="s">
        <v>46</v>
      </c>
      <c r="H2741" s="1">
        <v>45307</v>
      </c>
      <c r="I2741" t="s">
        <v>47</v>
      </c>
      <c r="J2741" t="s">
        <v>2559</v>
      </c>
      <c r="K2741">
        <v>4</v>
      </c>
      <c r="N2741">
        <v>4083</v>
      </c>
      <c r="O2741">
        <v>10</v>
      </c>
      <c r="P2741" s="1">
        <v>45369</v>
      </c>
      <c r="Q2741" s="1"/>
      <c r="R2741" t="str">
        <f>IF(Table1[[#This Row],[Actual close date]]="","",Table1[[#This Row],[Actual close date]]-Table1[[#This Row],[Expected close date]])</f>
        <v/>
      </c>
    </row>
    <row r="2742" spans="1:18" x14ac:dyDescent="0.25">
      <c r="A2742" t="s">
        <v>2827</v>
      </c>
      <c r="B2742" t="s">
        <v>54</v>
      </c>
      <c r="C2742" t="s">
        <v>55</v>
      </c>
      <c r="D2742" t="s">
        <v>56</v>
      </c>
      <c r="E2742" t="s">
        <v>52</v>
      </c>
      <c r="F2742" t="s">
        <v>167</v>
      </c>
      <c r="G2742" t="s">
        <v>23</v>
      </c>
      <c r="H2742" s="1">
        <v>45377</v>
      </c>
      <c r="I2742" t="s">
        <v>47</v>
      </c>
      <c r="J2742" t="s">
        <v>2559</v>
      </c>
      <c r="K2742">
        <v>4</v>
      </c>
      <c r="N2742">
        <v>6631</v>
      </c>
      <c r="O2742">
        <v>40</v>
      </c>
      <c r="P2742" s="1">
        <v>45634</v>
      </c>
      <c r="Q2742" s="1"/>
      <c r="R2742" t="str">
        <f>IF(Table1[[#This Row],[Actual close date]]="","",Table1[[#This Row],[Actual close date]]-Table1[[#This Row],[Expected close date]])</f>
        <v/>
      </c>
    </row>
    <row r="2743" spans="1:18" x14ac:dyDescent="0.25">
      <c r="A2743" t="s">
        <v>2828</v>
      </c>
      <c r="B2743" t="s">
        <v>33</v>
      </c>
      <c r="C2743" t="s">
        <v>34</v>
      </c>
      <c r="D2743" t="s">
        <v>35</v>
      </c>
      <c r="E2743" t="s">
        <v>36</v>
      </c>
      <c r="F2743" t="s">
        <v>167</v>
      </c>
      <c r="G2743" t="s">
        <v>85</v>
      </c>
      <c r="H2743" s="1">
        <v>45400</v>
      </c>
      <c r="I2743" t="s">
        <v>24</v>
      </c>
      <c r="J2743" t="s">
        <v>2559</v>
      </c>
      <c r="K2743">
        <v>4</v>
      </c>
      <c r="N2743">
        <v>3675</v>
      </c>
      <c r="O2743">
        <v>60</v>
      </c>
      <c r="P2743" s="1">
        <v>45606</v>
      </c>
      <c r="Q2743" s="1"/>
      <c r="R2743" t="str">
        <f>IF(Table1[[#This Row],[Actual close date]]="","",Table1[[#This Row],[Actual close date]]-Table1[[#This Row],[Expected close date]])</f>
        <v/>
      </c>
    </row>
    <row r="2744" spans="1:18" x14ac:dyDescent="0.25">
      <c r="A2744" t="s">
        <v>2829</v>
      </c>
      <c r="B2744" t="s">
        <v>33</v>
      </c>
      <c r="C2744" t="s">
        <v>34</v>
      </c>
      <c r="D2744" t="s">
        <v>35</v>
      </c>
      <c r="E2744" t="s">
        <v>98</v>
      </c>
      <c r="F2744" t="s">
        <v>167</v>
      </c>
      <c r="G2744" t="s">
        <v>85</v>
      </c>
      <c r="H2744" s="1">
        <v>45369</v>
      </c>
      <c r="I2744" t="s">
        <v>47</v>
      </c>
      <c r="J2744" t="s">
        <v>2559</v>
      </c>
      <c r="K2744">
        <v>4</v>
      </c>
      <c r="N2744">
        <v>6491</v>
      </c>
      <c r="O2744">
        <v>20</v>
      </c>
      <c r="P2744" s="1">
        <v>45633</v>
      </c>
      <c r="Q2744" s="1"/>
      <c r="R2744" t="str">
        <f>IF(Table1[[#This Row],[Actual close date]]="","",Table1[[#This Row],[Actual close date]]-Table1[[#This Row],[Expected close date]])</f>
        <v/>
      </c>
    </row>
    <row r="2745" spans="1:18" x14ac:dyDescent="0.25">
      <c r="A2745" t="s">
        <v>2830</v>
      </c>
      <c r="B2745" t="s">
        <v>33</v>
      </c>
      <c r="C2745" t="s">
        <v>34</v>
      </c>
      <c r="D2745" t="s">
        <v>35</v>
      </c>
      <c r="E2745" t="s">
        <v>21</v>
      </c>
      <c r="F2745" t="s">
        <v>167</v>
      </c>
      <c r="G2745" t="s">
        <v>83</v>
      </c>
      <c r="H2745" s="1">
        <v>45412</v>
      </c>
      <c r="I2745" t="s">
        <v>64</v>
      </c>
      <c r="J2745" t="s">
        <v>2559</v>
      </c>
      <c r="K2745">
        <v>4</v>
      </c>
      <c r="N2745">
        <v>666</v>
      </c>
      <c r="O2745">
        <v>90</v>
      </c>
      <c r="P2745" s="1">
        <v>45703</v>
      </c>
      <c r="Q2745" s="1"/>
      <c r="R2745" t="str">
        <f>IF(Table1[[#This Row],[Actual close date]]="","",Table1[[#This Row],[Actual close date]]-Table1[[#This Row],[Expected close date]])</f>
        <v/>
      </c>
    </row>
    <row r="2746" spans="1:18" x14ac:dyDescent="0.25">
      <c r="A2746" t="s">
        <v>2831</v>
      </c>
      <c r="B2746" t="s">
        <v>54</v>
      </c>
      <c r="C2746" t="s">
        <v>55</v>
      </c>
      <c r="D2746" t="s">
        <v>56</v>
      </c>
      <c r="E2746" t="s">
        <v>52</v>
      </c>
      <c r="F2746" t="s">
        <v>167</v>
      </c>
      <c r="G2746" t="s">
        <v>46</v>
      </c>
      <c r="H2746" s="1">
        <v>45433</v>
      </c>
      <c r="I2746" t="s">
        <v>24</v>
      </c>
      <c r="J2746" t="s">
        <v>2559</v>
      </c>
      <c r="K2746">
        <v>4</v>
      </c>
      <c r="N2746">
        <v>6272</v>
      </c>
      <c r="O2746">
        <v>90</v>
      </c>
      <c r="P2746" s="1">
        <v>45555</v>
      </c>
      <c r="Q2746" s="1"/>
      <c r="R2746" t="str">
        <f>IF(Table1[[#This Row],[Actual close date]]="","",Table1[[#This Row],[Actual close date]]-Table1[[#This Row],[Expected close date]])</f>
        <v/>
      </c>
    </row>
    <row r="2747" spans="1:18" x14ac:dyDescent="0.25">
      <c r="A2747" t="s">
        <v>2832</v>
      </c>
      <c r="B2747" t="s">
        <v>54</v>
      </c>
      <c r="C2747" t="s">
        <v>55</v>
      </c>
      <c r="D2747" t="s">
        <v>56</v>
      </c>
      <c r="E2747" t="s">
        <v>30</v>
      </c>
      <c r="F2747" t="s">
        <v>167</v>
      </c>
      <c r="G2747" t="s">
        <v>37</v>
      </c>
      <c r="H2747" s="1">
        <v>45426</v>
      </c>
      <c r="I2747" t="s">
        <v>64</v>
      </c>
      <c r="J2747" t="s">
        <v>2559</v>
      </c>
      <c r="K2747">
        <v>4</v>
      </c>
      <c r="N2747">
        <v>6217</v>
      </c>
      <c r="O2747">
        <v>90</v>
      </c>
      <c r="P2747" s="1">
        <v>45491</v>
      </c>
      <c r="Q2747" s="1"/>
      <c r="R2747" t="str">
        <f>IF(Table1[[#This Row],[Actual close date]]="","",Table1[[#This Row],[Actual close date]]-Table1[[#This Row],[Expected close date]])</f>
        <v/>
      </c>
    </row>
    <row r="2748" spans="1:18" x14ac:dyDescent="0.25">
      <c r="A2748" t="s">
        <v>2833</v>
      </c>
      <c r="B2748" t="s">
        <v>59</v>
      </c>
      <c r="C2748" t="s">
        <v>60</v>
      </c>
      <c r="D2748" t="s">
        <v>61</v>
      </c>
      <c r="E2748" t="s">
        <v>52</v>
      </c>
      <c r="F2748" t="s">
        <v>167</v>
      </c>
      <c r="G2748" t="s">
        <v>46</v>
      </c>
      <c r="H2748" s="1">
        <v>45335</v>
      </c>
      <c r="I2748" t="s">
        <v>24</v>
      </c>
      <c r="J2748" t="s">
        <v>2559</v>
      </c>
      <c r="K2748">
        <v>4</v>
      </c>
      <c r="N2748">
        <v>3368</v>
      </c>
      <c r="O2748">
        <v>80</v>
      </c>
      <c r="P2748" s="1">
        <v>45484</v>
      </c>
      <c r="Q2748" s="1"/>
      <c r="R2748" t="str">
        <f>IF(Table1[[#This Row],[Actual close date]]="","",Table1[[#This Row],[Actual close date]]-Table1[[#This Row],[Expected close date]])</f>
        <v/>
      </c>
    </row>
    <row r="2749" spans="1:18" x14ac:dyDescent="0.25">
      <c r="A2749" t="s">
        <v>2834</v>
      </c>
      <c r="B2749" t="s">
        <v>33</v>
      </c>
      <c r="C2749" t="s">
        <v>34</v>
      </c>
      <c r="D2749" t="s">
        <v>35</v>
      </c>
      <c r="E2749" t="s">
        <v>98</v>
      </c>
      <c r="F2749" t="s">
        <v>167</v>
      </c>
      <c r="G2749" t="s">
        <v>37</v>
      </c>
      <c r="H2749" s="1">
        <v>45439</v>
      </c>
      <c r="I2749" t="s">
        <v>64</v>
      </c>
      <c r="J2749" t="s">
        <v>2559</v>
      </c>
      <c r="K2749">
        <v>4</v>
      </c>
      <c r="N2749">
        <v>6401</v>
      </c>
      <c r="O2749">
        <v>40</v>
      </c>
      <c r="P2749" s="1">
        <v>45593</v>
      </c>
      <c r="Q2749" s="1"/>
      <c r="R2749" t="str">
        <f>IF(Table1[[#This Row],[Actual close date]]="","",Table1[[#This Row],[Actual close date]]-Table1[[#This Row],[Expected close date]])</f>
        <v/>
      </c>
    </row>
    <row r="2750" spans="1:18" x14ac:dyDescent="0.25">
      <c r="A2750" t="s">
        <v>2835</v>
      </c>
      <c r="B2750" t="s">
        <v>59</v>
      </c>
      <c r="C2750" t="s">
        <v>60</v>
      </c>
      <c r="D2750" t="s">
        <v>61</v>
      </c>
      <c r="E2750" t="s">
        <v>45</v>
      </c>
      <c r="F2750" t="s">
        <v>167</v>
      </c>
      <c r="G2750" t="s">
        <v>72</v>
      </c>
      <c r="H2750" s="1">
        <v>45339</v>
      </c>
      <c r="I2750" t="s">
        <v>47</v>
      </c>
      <c r="J2750" t="s">
        <v>2559</v>
      </c>
      <c r="K2750">
        <v>4</v>
      </c>
      <c r="N2750">
        <v>6003</v>
      </c>
      <c r="O2750">
        <v>50</v>
      </c>
      <c r="P2750" s="1">
        <v>45499</v>
      </c>
      <c r="Q2750" s="1"/>
      <c r="R2750" t="str">
        <f>IF(Table1[[#This Row],[Actual close date]]="","",Table1[[#This Row],[Actual close date]]-Table1[[#This Row],[Expected close date]])</f>
        <v/>
      </c>
    </row>
    <row r="2751" spans="1:18" x14ac:dyDescent="0.25">
      <c r="A2751" t="s">
        <v>2836</v>
      </c>
      <c r="B2751" t="s">
        <v>69</v>
      </c>
      <c r="C2751" t="s">
        <v>70</v>
      </c>
      <c r="D2751" t="s">
        <v>71</v>
      </c>
      <c r="E2751" t="s">
        <v>45</v>
      </c>
      <c r="F2751" t="s">
        <v>167</v>
      </c>
      <c r="G2751" t="s">
        <v>46</v>
      </c>
      <c r="H2751" s="1">
        <v>45318</v>
      </c>
      <c r="I2751" t="s">
        <v>64</v>
      </c>
      <c r="J2751" t="s">
        <v>2559</v>
      </c>
      <c r="K2751">
        <v>4</v>
      </c>
      <c r="N2751">
        <v>4630</v>
      </c>
      <c r="O2751">
        <v>60</v>
      </c>
      <c r="P2751" s="1">
        <v>45402</v>
      </c>
      <c r="Q2751" s="1"/>
      <c r="R2751" t="str">
        <f>IF(Table1[[#This Row],[Actual close date]]="","",Table1[[#This Row],[Actual close date]]-Table1[[#This Row],[Expected close date]])</f>
        <v/>
      </c>
    </row>
    <row r="2752" spans="1:18" x14ac:dyDescent="0.25">
      <c r="A2752" t="s">
        <v>2837</v>
      </c>
      <c r="B2752" t="s">
        <v>49</v>
      </c>
      <c r="C2752" t="s">
        <v>50</v>
      </c>
      <c r="D2752" t="s">
        <v>51</v>
      </c>
      <c r="E2752" t="s">
        <v>118</v>
      </c>
      <c r="F2752" t="s">
        <v>167</v>
      </c>
      <c r="G2752" t="s">
        <v>85</v>
      </c>
      <c r="H2752" s="1">
        <v>45441</v>
      </c>
      <c r="I2752" t="s">
        <v>47</v>
      </c>
      <c r="J2752" t="s">
        <v>2559</v>
      </c>
      <c r="K2752">
        <v>4</v>
      </c>
      <c r="N2752">
        <v>1412</v>
      </c>
      <c r="O2752">
        <v>20</v>
      </c>
      <c r="P2752" s="1">
        <v>45789</v>
      </c>
      <c r="Q2752" s="1"/>
      <c r="R2752" t="str">
        <f>IF(Table1[[#This Row],[Actual close date]]="","",Table1[[#This Row],[Actual close date]]-Table1[[#This Row],[Expected close date]])</f>
        <v/>
      </c>
    </row>
    <row r="2753" spans="1:18" x14ac:dyDescent="0.25">
      <c r="A2753" t="s">
        <v>2838</v>
      </c>
      <c r="B2753" t="s">
        <v>39</v>
      </c>
      <c r="C2753" t="s">
        <v>40</v>
      </c>
      <c r="D2753" t="s">
        <v>41</v>
      </c>
      <c r="E2753" t="s">
        <v>52</v>
      </c>
      <c r="F2753" t="s">
        <v>167</v>
      </c>
      <c r="G2753" t="s">
        <v>23</v>
      </c>
      <c r="H2753" s="1">
        <v>45301</v>
      </c>
      <c r="I2753" t="s">
        <v>47</v>
      </c>
      <c r="J2753" t="s">
        <v>2559</v>
      </c>
      <c r="K2753">
        <v>4</v>
      </c>
      <c r="N2753">
        <v>7814</v>
      </c>
      <c r="O2753">
        <v>50</v>
      </c>
      <c r="P2753" s="1">
        <v>45552</v>
      </c>
      <c r="Q2753" s="1"/>
      <c r="R2753" t="str">
        <f>IF(Table1[[#This Row],[Actual close date]]="","",Table1[[#This Row],[Actual close date]]-Table1[[#This Row],[Expected close date]])</f>
        <v/>
      </c>
    </row>
    <row r="2754" spans="1:18" x14ac:dyDescent="0.25">
      <c r="A2754" t="s">
        <v>2839</v>
      </c>
      <c r="B2754" t="s">
        <v>18</v>
      </c>
      <c r="C2754" t="s">
        <v>19</v>
      </c>
      <c r="D2754" t="s">
        <v>20</v>
      </c>
      <c r="E2754" t="s">
        <v>45</v>
      </c>
      <c r="F2754" t="s">
        <v>167</v>
      </c>
      <c r="G2754" t="s">
        <v>57</v>
      </c>
      <c r="H2754" s="1">
        <v>45434</v>
      </c>
      <c r="I2754" t="s">
        <v>24</v>
      </c>
      <c r="J2754" t="s">
        <v>2559</v>
      </c>
      <c r="K2754">
        <v>4</v>
      </c>
      <c r="N2754">
        <v>7896</v>
      </c>
      <c r="O2754">
        <v>20</v>
      </c>
      <c r="P2754" s="1">
        <v>45649</v>
      </c>
      <c r="Q2754" s="1"/>
      <c r="R2754" t="str">
        <f>IF(Table1[[#This Row],[Actual close date]]="","",Table1[[#This Row],[Actual close date]]-Table1[[#This Row],[Expected close date]])</f>
        <v/>
      </c>
    </row>
    <row r="2755" spans="1:18" x14ac:dyDescent="0.25">
      <c r="A2755" t="s">
        <v>2840</v>
      </c>
      <c r="B2755" t="s">
        <v>54</v>
      </c>
      <c r="C2755" t="s">
        <v>55</v>
      </c>
      <c r="D2755" t="s">
        <v>56</v>
      </c>
      <c r="E2755" t="s">
        <v>42</v>
      </c>
      <c r="F2755" t="s">
        <v>167</v>
      </c>
      <c r="G2755" t="s">
        <v>46</v>
      </c>
      <c r="H2755" s="1">
        <v>45404</v>
      </c>
      <c r="I2755" t="s">
        <v>47</v>
      </c>
      <c r="J2755" t="s">
        <v>2559</v>
      </c>
      <c r="K2755">
        <v>4</v>
      </c>
      <c r="N2755">
        <v>2922</v>
      </c>
      <c r="O2755">
        <v>30</v>
      </c>
      <c r="P2755" s="1">
        <v>45443</v>
      </c>
      <c r="Q2755" s="1"/>
      <c r="R2755" t="str">
        <f>IF(Table1[[#This Row],[Actual close date]]="","",Table1[[#This Row],[Actual close date]]-Table1[[#This Row],[Expected close date]])</f>
        <v/>
      </c>
    </row>
    <row r="2756" spans="1:18" x14ac:dyDescent="0.25">
      <c r="A2756" t="s">
        <v>2841</v>
      </c>
      <c r="B2756" t="s">
        <v>59</v>
      </c>
      <c r="C2756" t="s">
        <v>60</v>
      </c>
      <c r="D2756" t="s">
        <v>61</v>
      </c>
      <c r="E2756" t="s">
        <v>30</v>
      </c>
      <c r="F2756" t="s">
        <v>167</v>
      </c>
      <c r="G2756" t="s">
        <v>85</v>
      </c>
      <c r="H2756" s="1">
        <v>45308</v>
      </c>
      <c r="I2756" t="s">
        <v>24</v>
      </c>
      <c r="J2756" t="s">
        <v>2559</v>
      </c>
      <c r="K2756">
        <v>4</v>
      </c>
      <c r="N2756">
        <v>5709</v>
      </c>
      <c r="O2756">
        <v>30</v>
      </c>
      <c r="P2756" s="1">
        <v>45351</v>
      </c>
      <c r="Q2756" s="1"/>
      <c r="R2756" t="str">
        <f>IF(Table1[[#This Row],[Actual close date]]="","",Table1[[#This Row],[Actual close date]]-Table1[[#This Row],[Expected close date]])</f>
        <v/>
      </c>
    </row>
    <row r="2757" spans="1:18" x14ac:dyDescent="0.25">
      <c r="A2757" t="s">
        <v>2842</v>
      </c>
      <c r="B2757" t="s">
        <v>33</v>
      </c>
      <c r="C2757" t="s">
        <v>34</v>
      </c>
      <c r="D2757" t="s">
        <v>35</v>
      </c>
      <c r="E2757" t="s">
        <v>45</v>
      </c>
      <c r="F2757" t="s">
        <v>167</v>
      </c>
      <c r="G2757" t="s">
        <v>37</v>
      </c>
      <c r="H2757" s="1">
        <v>45324</v>
      </c>
      <c r="I2757" t="s">
        <v>47</v>
      </c>
      <c r="J2757" t="s">
        <v>2559</v>
      </c>
      <c r="K2757">
        <v>4</v>
      </c>
      <c r="N2757">
        <v>1102</v>
      </c>
      <c r="O2757">
        <v>30</v>
      </c>
      <c r="P2757" s="1">
        <v>45591</v>
      </c>
      <c r="Q2757" s="1"/>
      <c r="R2757" t="str">
        <f>IF(Table1[[#This Row],[Actual close date]]="","",Table1[[#This Row],[Actual close date]]-Table1[[#This Row],[Expected close date]])</f>
        <v/>
      </c>
    </row>
    <row r="2758" spans="1:18" x14ac:dyDescent="0.25">
      <c r="A2758" t="s">
        <v>2843</v>
      </c>
      <c r="B2758" t="s">
        <v>39</v>
      </c>
      <c r="C2758" t="s">
        <v>40</v>
      </c>
      <c r="D2758" t="s">
        <v>41</v>
      </c>
      <c r="E2758" t="s">
        <v>21</v>
      </c>
      <c r="F2758" t="s">
        <v>167</v>
      </c>
      <c r="G2758" t="s">
        <v>83</v>
      </c>
      <c r="H2758" s="1">
        <v>45340</v>
      </c>
      <c r="I2758" t="s">
        <v>47</v>
      </c>
      <c r="J2758" t="s">
        <v>2559</v>
      </c>
      <c r="K2758">
        <v>4</v>
      </c>
      <c r="N2758">
        <v>3809</v>
      </c>
      <c r="O2758">
        <v>30</v>
      </c>
      <c r="P2758" s="1">
        <v>45578</v>
      </c>
      <c r="Q2758" s="1"/>
      <c r="R2758" t="str">
        <f>IF(Table1[[#This Row],[Actual close date]]="","",Table1[[#This Row],[Actual close date]]-Table1[[#This Row],[Expected close date]])</f>
        <v/>
      </c>
    </row>
    <row r="2759" spans="1:18" x14ac:dyDescent="0.25">
      <c r="A2759" t="s">
        <v>2844</v>
      </c>
      <c r="B2759" t="s">
        <v>33</v>
      </c>
      <c r="C2759" t="s">
        <v>34</v>
      </c>
      <c r="D2759" t="s">
        <v>35</v>
      </c>
      <c r="E2759" t="s">
        <v>118</v>
      </c>
      <c r="F2759" t="s">
        <v>167</v>
      </c>
      <c r="G2759" t="s">
        <v>23</v>
      </c>
      <c r="H2759" s="1">
        <v>45416</v>
      </c>
      <c r="I2759" t="s">
        <v>64</v>
      </c>
      <c r="J2759" t="s">
        <v>2559</v>
      </c>
      <c r="K2759">
        <v>4</v>
      </c>
      <c r="N2759">
        <v>3896</v>
      </c>
      <c r="O2759">
        <v>20</v>
      </c>
      <c r="P2759" s="1">
        <v>45549</v>
      </c>
      <c r="Q2759" s="1"/>
      <c r="R2759" t="str">
        <f>IF(Table1[[#This Row],[Actual close date]]="","",Table1[[#This Row],[Actual close date]]-Table1[[#This Row],[Expected close date]])</f>
        <v/>
      </c>
    </row>
    <row r="2760" spans="1:18" x14ac:dyDescent="0.25">
      <c r="A2760" t="s">
        <v>2845</v>
      </c>
      <c r="B2760" t="s">
        <v>39</v>
      </c>
      <c r="C2760" t="s">
        <v>40</v>
      </c>
      <c r="D2760" t="s">
        <v>41</v>
      </c>
      <c r="E2760" t="s">
        <v>52</v>
      </c>
      <c r="F2760" t="s">
        <v>167</v>
      </c>
      <c r="G2760" t="s">
        <v>57</v>
      </c>
      <c r="H2760" s="1">
        <v>45434</v>
      </c>
      <c r="I2760" t="s">
        <v>64</v>
      </c>
      <c r="J2760" t="s">
        <v>2559</v>
      </c>
      <c r="K2760">
        <v>4</v>
      </c>
      <c r="N2760">
        <v>6990</v>
      </c>
      <c r="O2760">
        <v>50</v>
      </c>
      <c r="P2760" s="1">
        <v>45728</v>
      </c>
      <c r="Q2760" s="1"/>
      <c r="R2760" t="str">
        <f>IF(Table1[[#This Row],[Actual close date]]="","",Table1[[#This Row],[Actual close date]]-Table1[[#This Row],[Expected close date]])</f>
        <v/>
      </c>
    </row>
    <row r="2761" spans="1:18" x14ac:dyDescent="0.25">
      <c r="A2761" t="s">
        <v>2846</v>
      </c>
      <c r="B2761" t="s">
        <v>18</v>
      </c>
      <c r="C2761" t="s">
        <v>19</v>
      </c>
      <c r="D2761" t="s">
        <v>20</v>
      </c>
      <c r="E2761" t="s">
        <v>21</v>
      </c>
      <c r="F2761" t="s">
        <v>167</v>
      </c>
      <c r="G2761" t="s">
        <v>37</v>
      </c>
      <c r="H2761" s="1">
        <v>45439</v>
      </c>
      <c r="I2761" t="s">
        <v>24</v>
      </c>
      <c r="J2761" t="s">
        <v>2559</v>
      </c>
      <c r="K2761">
        <v>4</v>
      </c>
      <c r="N2761">
        <v>6435</v>
      </c>
      <c r="O2761">
        <v>50</v>
      </c>
      <c r="P2761" s="1">
        <v>45759</v>
      </c>
      <c r="Q2761" s="1"/>
      <c r="R2761" t="str">
        <f>IF(Table1[[#This Row],[Actual close date]]="","",Table1[[#This Row],[Actual close date]]-Table1[[#This Row],[Expected close date]])</f>
        <v/>
      </c>
    </row>
    <row r="2762" spans="1:18" x14ac:dyDescent="0.25">
      <c r="A2762" t="s">
        <v>2847</v>
      </c>
      <c r="B2762" t="s">
        <v>54</v>
      </c>
      <c r="C2762" t="s">
        <v>55</v>
      </c>
      <c r="D2762" t="s">
        <v>56</v>
      </c>
      <c r="E2762" t="s">
        <v>45</v>
      </c>
      <c r="F2762" t="s">
        <v>167</v>
      </c>
      <c r="G2762" t="s">
        <v>46</v>
      </c>
      <c r="H2762" s="1">
        <v>45310</v>
      </c>
      <c r="I2762" t="s">
        <v>64</v>
      </c>
      <c r="J2762" t="s">
        <v>2559</v>
      </c>
      <c r="K2762">
        <v>4</v>
      </c>
      <c r="N2762">
        <v>3314</v>
      </c>
      <c r="O2762">
        <v>40</v>
      </c>
      <c r="P2762" s="1">
        <v>45666</v>
      </c>
      <c r="Q2762" s="1"/>
      <c r="R2762" t="str">
        <f>IF(Table1[[#This Row],[Actual close date]]="","",Table1[[#This Row],[Actual close date]]-Table1[[#This Row],[Expected close date]])</f>
        <v/>
      </c>
    </row>
    <row r="2763" spans="1:18" x14ac:dyDescent="0.25">
      <c r="A2763" t="s">
        <v>2848</v>
      </c>
      <c r="B2763" t="s">
        <v>76</v>
      </c>
      <c r="C2763" t="s">
        <v>77</v>
      </c>
      <c r="D2763" t="s">
        <v>78</v>
      </c>
      <c r="E2763" t="s">
        <v>30</v>
      </c>
      <c r="F2763" t="s">
        <v>167</v>
      </c>
      <c r="G2763" t="s">
        <v>57</v>
      </c>
      <c r="H2763" s="1">
        <v>45397</v>
      </c>
      <c r="I2763" t="s">
        <v>64</v>
      </c>
      <c r="J2763" t="s">
        <v>2559</v>
      </c>
      <c r="K2763">
        <v>4</v>
      </c>
      <c r="N2763">
        <v>5389</v>
      </c>
      <c r="O2763">
        <v>50</v>
      </c>
      <c r="P2763" s="1">
        <v>45488</v>
      </c>
      <c r="Q2763" s="1"/>
      <c r="R2763" t="str">
        <f>IF(Table1[[#This Row],[Actual close date]]="","",Table1[[#This Row],[Actual close date]]-Table1[[#This Row],[Expected close date]])</f>
        <v/>
      </c>
    </row>
    <row r="2764" spans="1:18" x14ac:dyDescent="0.25">
      <c r="A2764" t="s">
        <v>2849</v>
      </c>
      <c r="B2764" t="s">
        <v>76</v>
      </c>
      <c r="C2764" t="s">
        <v>77</v>
      </c>
      <c r="D2764" t="s">
        <v>78</v>
      </c>
      <c r="E2764" t="s">
        <v>52</v>
      </c>
      <c r="F2764" t="s">
        <v>167</v>
      </c>
      <c r="G2764" t="s">
        <v>46</v>
      </c>
      <c r="H2764" s="1">
        <v>45436</v>
      </c>
      <c r="I2764" t="s">
        <v>24</v>
      </c>
      <c r="J2764" t="s">
        <v>2559</v>
      </c>
      <c r="K2764">
        <v>4</v>
      </c>
      <c r="N2764">
        <v>6440</v>
      </c>
      <c r="O2764">
        <v>30</v>
      </c>
      <c r="P2764" s="1">
        <v>45761</v>
      </c>
      <c r="Q2764" s="1"/>
      <c r="R2764" t="str">
        <f>IF(Table1[[#This Row],[Actual close date]]="","",Table1[[#This Row],[Actual close date]]-Table1[[#This Row],[Expected close date]])</f>
        <v/>
      </c>
    </row>
    <row r="2765" spans="1:18" x14ac:dyDescent="0.25">
      <c r="A2765" t="s">
        <v>2850</v>
      </c>
      <c r="B2765" t="s">
        <v>33</v>
      </c>
      <c r="C2765" t="s">
        <v>34</v>
      </c>
      <c r="D2765" t="s">
        <v>35</v>
      </c>
      <c r="E2765" t="s">
        <v>30</v>
      </c>
      <c r="F2765" t="s">
        <v>167</v>
      </c>
      <c r="G2765" t="s">
        <v>23</v>
      </c>
      <c r="H2765" s="1">
        <v>45346</v>
      </c>
      <c r="I2765" t="s">
        <v>24</v>
      </c>
      <c r="J2765" t="s">
        <v>2559</v>
      </c>
      <c r="K2765">
        <v>4</v>
      </c>
      <c r="N2765">
        <v>6018</v>
      </c>
      <c r="O2765">
        <v>100</v>
      </c>
      <c r="P2765" s="1">
        <v>45417</v>
      </c>
      <c r="Q2765" s="1"/>
      <c r="R2765" t="str">
        <f>IF(Table1[[#This Row],[Actual close date]]="","",Table1[[#This Row],[Actual close date]]-Table1[[#This Row],[Expected close date]])</f>
        <v/>
      </c>
    </row>
    <row r="2766" spans="1:18" x14ac:dyDescent="0.25">
      <c r="A2766" t="s">
        <v>2851</v>
      </c>
      <c r="B2766" t="s">
        <v>33</v>
      </c>
      <c r="C2766" t="s">
        <v>34</v>
      </c>
      <c r="D2766" t="s">
        <v>35</v>
      </c>
      <c r="E2766" t="s">
        <v>62</v>
      </c>
      <c r="F2766" t="s">
        <v>167</v>
      </c>
      <c r="G2766" t="s">
        <v>37</v>
      </c>
      <c r="H2766" s="1">
        <v>45374</v>
      </c>
      <c r="I2766" t="s">
        <v>64</v>
      </c>
      <c r="J2766" t="s">
        <v>2559</v>
      </c>
      <c r="K2766">
        <v>4</v>
      </c>
      <c r="N2766">
        <v>7288</v>
      </c>
      <c r="O2766">
        <v>30</v>
      </c>
      <c r="P2766" s="1">
        <v>45588</v>
      </c>
      <c r="Q2766" s="1"/>
      <c r="R2766" t="str">
        <f>IF(Table1[[#This Row],[Actual close date]]="","",Table1[[#This Row],[Actual close date]]-Table1[[#This Row],[Expected close date]])</f>
        <v/>
      </c>
    </row>
    <row r="2767" spans="1:18" x14ac:dyDescent="0.25">
      <c r="A2767" t="s">
        <v>2852</v>
      </c>
      <c r="B2767" t="s">
        <v>54</v>
      </c>
      <c r="C2767" t="s">
        <v>55</v>
      </c>
      <c r="D2767" t="s">
        <v>56</v>
      </c>
      <c r="E2767" t="s">
        <v>45</v>
      </c>
      <c r="F2767" t="s">
        <v>167</v>
      </c>
      <c r="G2767" t="s">
        <v>83</v>
      </c>
      <c r="H2767" s="1">
        <v>45401</v>
      </c>
      <c r="I2767" t="s">
        <v>24</v>
      </c>
      <c r="J2767" t="s">
        <v>2559</v>
      </c>
      <c r="K2767">
        <v>4</v>
      </c>
      <c r="N2767">
        <v>1568</v>
      </c>
      <c r="O2767">
        <v>60</v>
      </c>
      <c r="P2767" s="1">
        <v>45621</v>
      </c>
      <c r="Q2767" s="1"/>
      <c r="R2767" t="str">
        <f>IF(Table1[[#This Row],[Actual close date]]="","",Table1[[#This Row],[Actual close date]]-Table1[[#This Row],[Expected close date]])</f>
        <v/>
      </c>
    </row>
    <row r="2768" spans="1:18" x14ac:dyDescent="0.25">
      <c r="A2768" t="s">
        <v>2853</v>
      </c>
      <c r="B2768" t="s">
        <v>39</v>
      </c>
      <c r="C2768" t="s">
        <v>40</v>
      </c>
      <c r="D2768" t="s">
        <v>41</v>
      </c>
      <c r="E2768" t="s">
        <v>45</v>
      </c>
      <c r="F2768" t="s">
        <v>167</v>
      </c>
      <c r="G2768" t="s">
        <v>37</v>
      </c>
      <c r="H2768" s="1">
        <v>45329</v>
      </c>
      <c r="I2768" t="s">
        <v>47</v>
      </c>
      <c r="J2768" t="s">
        <v>2559</v>
      </c>
      <c r="K2768">
        <v>4</v>
      </c>
      <c r="N2768">
        <v>2820</v>
      </c>
      <c r="O2768">
        <v>90</v>
      </c>
      <c r="P2768" s="1">
        <v>45617</v>
      </c>
      <c r="Q2768" s="1"/>
      <c r="R2768" t="str">
        <f>IF(Table1[[#This Row],[Actual close date]]="","",Table1[[#This Row],[Actual close date]]-Table1[[#This Row],[Expected close date]])</f>
        <v/>
      </c>
    </row>
    <row r="2769" spans="1:18" x14ac:dyDescent="0.25">
      <c r="A2769" t="s">
        <v>2854</v>
      </c>
      <c r="B2769" t="s">
        <v>59</v>
      </c>
      <c r="C2769" t="s">
        <v>60</v>
      </c>
      <c r="D2769" t="s">
        <v>61</v>
      </c>
      <c r="E2769" t="s">
        <v>52</v>
      </c>
      <c r="F2769" t="s">
        <v>167</v>
      </c>
      <c r="G2769" t="s">
        <v>57</v>
      </c>
      <c r="H2769" s="1">
        <v>45346</v>
      </c>
      <c r="I2769" t="s">
        <v>47</v>
      </c>
      <c r="J2769" t="s">
        <v>2559</v>
      </c>
      <c r="K2769">
        <v>4</v>
      </c>
      <c r="N2769">
        <v>556</v>
      </c>
      <c r="O2769">
        <v>50</v>
      </c>
      <c r="P2769" s="1">
        <v>45598</v>
      </c>
      <c r="Q2769" s="1"/>
      <c r="R2769" t="str">
        <f>IF(Table1[[#This Row],[Actual close date]]="","",Table1[[#This Row],[Actual close date]]-Table1[[#This Row],[Expected close date]])</f>
        <v/>
      </c>
    </row>
    <row r="2770" spans="1:18" x14ac:dyDescent="0.25">
      <c r="A2770" t="s">
        <v>2855</v>
      </c>
      <c r="B2770" t="s">
        <v>33</v>
      </c>
      <c r="C2770" t="s">
        <v>34</v>
      </c>
      <c r="D2770" t="s">
        <v>35</v>
      </c>
      <c r="E2770" t="s">
        <v>122</v>
      </c>
      <c r="F2770" t="s">
        <v>167</v>
      </c>
      <c r="G2770" t="s">
        <v>57</v>
      </c>
      <c r="H2770" s="1">
        <v>45402</v>
      </c>
      <c r="I2770" t="s">
        <v>47</v>
      </c>
      <c r="J2770" t="s">
        <v>2559</v>
      </c>
      <c r="K2770">
        <v>4</v>
      </c>
      <c r="N2770">
        <v>3396</v>
      </c>
      <c r="O2770">
        <v>40</v>
      </c>
      <c r="P2770" s="1">
        <v>45567</v>
      </c>
      <c r="Q2770" s="1"/>
      <c r="R2770" t="str">
        <f>IF(Table1[[#This Row],[Actual close date]]="","",Table1[[#This Row],[Actual close date]]-Table1[[#This Row],[Expected close date]])</f>
        <v/>
      </c>
    </row>
    <row r="2771" spans="1:18" x14ac:dyDescent="0.25">
      <c r="A2771" t="s">
        <v>2856</v>
      </c>
      <c r="B2771" t="s">
        <v>59</v>
      </c>
      <c r="C2771" t="s">
        <v>60</v>
      </c>
      <c r="D2771" t="s">
        <v>61</v>
      </c>
      <c r="E2771" t="s">
        <v>101</v>
      </c>
      <c r="F2771" t="s">
        <v>167</v>
      </c>
      <c r="G2771" t="s">
        <v>85</v>
      </c>
      <c r="H2771" s="1">
        <v>45298</v>
      </c>
      <c r="I2771" t="s">
        <v>24</v>
      </c>
      <c r="J2771" t="s">
        <v>2559</v>
      </c>
      <c r="K2771">
        <v>4</v>
      </c>
      <c r="N2771">
        <v>3793</v>
      </c>
      <c r="O2771">
        <v>100</v>
      </c>
      <c r="P2771" s="1">
        <v>45337</v>
      </c>
      <c r="Q2771" s="1"/>
      <c r="R2771" t="str">
        <f>IF(Table1[[#This Row],[Actual close date]]="","",Table1[[#This Row],[Actual close date]]-Table1[[#This Row],[Expected close date]])</f>
        <v/>
      </c>
    </row>
    <row r="2772" spans="1:18" x14ac:dyDescent="0.25">
      <c r="A2772" t="s">
        <v>2857</v>
      </c>
      <c r="B2772" t="s">
        <v>59</v>
      </c>
      <c r="C2772" t="s">
        <v>60</v>
      </c>
      <c r="D2772" t="s">
        <v>61</v>
      </c>
      <c r="E2772" t="s">
        <v>118</v>
      </c>
      <c r="F2772" t="s">
        <v>167</v>
      </c>
      <c r="G2772" t="s">
        <v>37</v>
      </c>
      <c r="H2772" s="1">
        <v>45316</v>
      </c>
      <c r="I2772" t="s">
        <v>47</v>
      </c>
      <c r="J2772" t="s">
        <v>2559</v>
      </c>
      <c r="K2772">
        <v>4</v>
      </c>
      <c r="N2772">
        <v>3275</v>
      </c>
      <c r="O2772">
        <v>20</v>
      </c>
      <c r="P2772" s="1">
        <v>45551</v>
      </c>
      <c r="Q2772" s="1"/>
      <c r="R2772" t="str">
        <f>IF(Table1[[#This Row],[Actual close date]]="","",Table1[[#This Row],[Actual close date]]-Table1[[#This Row],[Expected close date]])</f>
        <v/>
      </c>
    </row>
    <row r="2773" spans="1:18" x14ac:dyDescent="0.25">
      <c r="A2773" t="s">
        <v>2858</v>
      </c>
      <c r="B2773" t="s">
        <v>18</v>
      </c>
      <c r="C2773" t="s">
        <v>19</v>
      </c>
      <c r="D2773" t="s">
        <v>20</v>
      </c>
      <c r="E2773" t="s">
        <v>74</v>
      </c>
      <c r="F2773" t="s">
        <v>167</v>
      </c>
      <c r="G2773" t="s">
        <v>46</v>
      </c>
      <c r="H2773" s="1">
        <v>45434</v>
      </c>
      <c r="I2773" t="s">
        <v>64</v>
      </c>
      <c r="J2773" t="s">
        <v>2559</v>
      </c>
      <c r="K2773">
        <v>4</v>
      </c>
      <c r="N2773">
        <v>7618</v>
      </c>
      <c r="O2773">
        <v>30</v>
      </c>
      <c r="P2773" s="1">
        <v>45717</v>
      </c>
      <c r="Q2773" s="1"/>
      <c r="R2773" t="str">
        <f>IF(Table1[[#This Row],[Actual close date]]="","",Table1[[#This Row],[Actual close date]]-Table1[[#This Row],[Expected close date]])</f>
        <v/>
      </c>
    </row>
    <row r="2774" spans="1:18" x14ac:dyDescent="0.25">
      <c r="A2774" t="s">
        <v>2859</v>
      </c>
      <c r="B2774" t="s">
        <v>33</v>
      </c>
      <c r="C2774" t="s">
        <v>34</v>
      </c>
      <c r="D2774" t="s">
        <v>35</v>
      </c>
      <c r="E2774" t="s">
        <v>21</v>
      </c>
      <c r="F2774" t="s">
        <v>167</v>
      </c>
      <c r="G2774" t="s">
        <v>37</v>
      </c>
      <c r="H2774" s="1">
        <v>45428</v>
      </c>
      <c r="I2774" t="s">
        <v>47</v>
      </c>
      <c r="J2774" t="s">
        <v>2559</v>
      </c>
      <c r="K2774">
        <v>4</v>
      </c>
      <c r="N2774">
        <v>1240</v>
      </c>
      <c r="O2774">
        <v>70</v>
      </c>
      <c r="P2774" s="1">
        <v>45488</v>
      </c>
      <c r="Q2774" s="1"/>
      <c r="R2774" t="str">
        <f>IF(Table1[[#This Row],[Actual close date]]="","",Table1[[#This Row],[Actual close date]]-Table1[[#This Row],[Expected close date]])</f>
        <v/>
      </c>
    </row>
    <row r="2775" spans="1:18" x14ac:dyDescent="0.25">
      <c r="A2775" t="s">
        <v>2860</v>
      </c>
      <c r="B2775" t="s">
        <v>33</v>
      </c>
      <c r="C2775" t="s">
        <v>34</v>
      </c>
      <c r="D2775" t="s">
        <v>35</v>
      </c>
      <c r="E2775" t="s">
        <v>52</v>
      </c>
      <c r="F2775" t="s">
        <v>167</v>
      </c>
      <c r="G2775" t="s">
        <v>85</v>
      </c>
      <c r="H2775" s="1">
        <v>45365</v>
      </c>
      <c r="I2775" t="s">
        <v>47</v>
      </c>
      <c r="J2775" t="s">
        <v>2559</v>
      </c>
      <c r="K2775">
        <v>4</v>
      </c>
      <c r="N2775">
        <v>2040</v>
      </c>
      <c r="O2775">
        <v>40</v>
      </c>
      <c r="P2775" s="1">
        <v>45596</v>
      </c>
      <c r="Q2775" s="1"/>
      <c r="R2775" t="str">
        <f>IF(Table1[[#This Row],[Actual close date]]="","",Table1[[#This Row],[Actual close date]]-Table1[[#This Row],[Expected close date]])</f>
        <v/>
      </c>
    </row>
    <row r="2776" spans="1:18" x14ac:dyDescent="0.25">
      <c r="A2776" t="s">
        <v>2861</v>
      </c>
      <c r="B2776" t="s">
        <v>54</v>
      </c>
      <c r="C2776" t="s">
        <v>55</v>
      </c>
      <c r="D2776" t="s">
        <v>56</v>
      </c>
      <c r="E2776" t="s">
        <v>21</v>
      </c>
      <c r="F2776" t="s">
        <v>167</v>
      </c>
      <c r="G2776" t="s">
        <v>37</v>
      </c>
      <c r="H2776" s="1">
        <v>45353</v>
      </c>
      <c r="I2776" t="s">
        <v>47</v>
      </c>
      <c r="J2776" t="s">
        <v>2559</v>
      </c>
      <c r="K2776">
        <v>4</v>
      </c>
      <c r="N2776">
        <v>4371</v>
      </c>
      <c r="O2776">
        <v>10</v>
      </c>
      <c r="P2776" s="1">
        <v>45621</v>
      </c>
      <c r="Q2776" s="1"/>
      <c r="R2776" t="str">
        <f>IF(Table1[[#This Row],[Actual close date]]="","",Table1[[#This Row],[Actual close date]]-Table1[[#This Row],[Expected close date]])</f>
        <v/>
      </c>
    </row>
    <row r="2777" spans="1:18" x14ac:dyDescent="0.25">
      <c r="A2777" t="s">
        <v>2862</v>
      </c>
      <c r="B2777" t="s">
        <v>33</v>
      </c>
      <c r="C2777" t="s">
        <v>34</v>
      </c>
      <c r="D2777" t="s">
        <v>35</v>
      </c>
      <c r="E2777" t="s">
        <v>21</v>
      </c>
      <c r="F2777" t="s">
        <v>167</v>
      </c>
      <c r="G2777" t="s">
        <v>37</v>
      </c>
      <c r="H2777" s="1">
        <v>45432</v>
      </c>
      <c r="I2777" t="s">
        <v>64</v>
      </c>
      <c r="J2777" t="s">
        <v>2559</v>
      </c>
      <c r="K2777">
        <v>4</v>
      </c>
      <c r="N2777">
        <v>6865</v>
      </c>
      <c r="O2777">
        <v>80</v>
      </c>
      <c r="P2777" s="1">
        <v>45651</v>
      </c>
      <c r="Q2777" s="1"/>
      <c r="R2777" t="str">
        <f>IF(Table1[[#This Row],[Actual close date]]="","",Table1[[#This Row],[Actual close date]]-Table1[[#This Row],[Expected close date]])</f>
        <v/>
      </c>
    </row>
    <row r="2778" spans="1:18" x14ac:dyDescent="0.25">
      <c r="A2778" t="s">
        <v>2863</v>
      </c>
      <c r="B2778" t="s">
        <v>18</v>
      </c>
      <c r="C2778" t="s">
        <v>19</v>
      </c>
      <c r="D2778" t="s">
        <v>20</v>
      </c>
      <c r="E2778" t="s">
        <v>74</v>
      </c>
      <c r="F2778" t="s">
        <v>167</v>
      </c>
      <c r="G2778" t="s">
        <v>72</v>
      </c>
      <c r="H2778" s="1">
        <v>45426</v>
      </c>
      <c r="I2778" t="s">
        <v>24</v>
      </c>
      <c r="J2778" t="s">
        <v>2559</v>
      </c>
      <c r="K2778">
        <v>4</v>
      </c>
      <c r="N2778">
        <v>1037</v>
      </c>
      <c r="O2778">
        <v>40</v>
      </c>
      <c r="P2778" s="1">
        <v>45609</v>
      </c>
      <c r="Q2778" s="1"/>
      <c r="R2778" t="str">
        <f>IF(Table1[[#This Row],[Actual close date]]="","",Table1[[#This Row],[Actual close date]]-Table1[[#This Row],[Expected close date]])</f>
        <v/>
      </c>
    </row>
    <row r="2779" spans="1:18" x14ac:dyDescent="0.25">
      <c r="A2779" t="s">
        <v>2864</v>
      </c>
      <c r="B2779" t="s">
        <v>18</v>
      </c>
      <c r="C2779" t="s">
        <v>19</v>
      </c>
      <c r="D2779" t="s">
        <v>20</v>
      </c>
      <c r="E2779" t="s">
        <v>118</v>
      </c>
      <c r="F2779" t="s">
        <v>167</v>
      </c>
      <c r="G2779" t="s">
        <v>46</v>
      </c>
      <c r="H2779" s="1">
        <v>45426</v>
      </c>
      <c r="I2779" t="s">
        <v>47</v>
      </c>
      <c r="J2779" t="s">
        <v>2559</v>
      </c>
      <c r="K2779">
        <v>4</v>
      </c>
      <c r="N2779">
        <v>3278</v>
      </c>
      <c r="O2779">
        <v>90</v>
      </c>
      <c r="P2779" s="1">
        <v>45473</v>
      </c>
      <c r="Q2779" s="1"/>
      <c r="R2779" t="str">
        <f>IF(Table1[[#This Row],[Actual close date]]="","",Table1[[#This Row],[Actual close date]]-Table1[[#This Row],[Expected close date]])</f>
        <v/>
      </c>
    </row>
    <row r="2780" spans="1:18" x14ac:dyDescent="0.25">
      <c r="A2780" t="s">
        <v>2865</v>
      </c>
      <c r="B2780" t="s">
        <v>76</v>
      </c>
      <c r="C2780" t="s">
        <v>77</v>
      </c>
      <c r="D2780" t="s">
        <v>78</v>
      </c>
      <c r="E2780" t="s">
        <v>21</v>
      </c>
      <c r="F2780" t="s">
        <v>167</v>
      </c>
      <c r="G2780" t="s">
        <v>31</v>
      </c>
      <c r="H2780" s="1">
        <v>45320</v>
      </c>
      <c r="I2780" t="s">
        <v>64</v>
      </c>
      <c r="J2780" t="s">
        <v>2559</v>
      </c>
      <c r="K2780">
        <v>4</v>
      </c>
      <c r="N2780">
        <v>7181</v>
      </c>
      <c r="O2780">
        <v>40</v>
      </c>
      <c r="P2780" s="1">
        <v>45442</v>
      </c>
      <c r="Q2780" s="1"/>
      <c r="R2780" t="str">
        <f>IF(Table1[[#This Row],[Actual close date]]="","",Table1[[#This Row],[Actual close date]]-Table1[[#This Row],[Expected close date]])</f>
        <v/>
      </c>
    </row>
    <row r="2781" spans="1:18" x14ac:dyDescent="0.25">
      <c r="A2781" t="s">
        <v>2866</v>
      </c>
      <c r="B2781" t="s">
        <v>27</v>
      </c>
      <c r="C2781" t="s">
        <v>28</v>
      </c>
      <c r="D2781" t="s">
        <v>29</v>
      </c>
      <c r="E2781" t="s">
        <v>122</v>
      </c>
      <c r="F2781" t="s">
        <v>167</v>
      </c>
      <c r="G2781" t="s">
        <v>72</v>
      </c>
      <c r="H2781" s="1">
        <v>45414</v>
      </c>
      <c r="I2781" t="s">
        <v>24</v>
      </c>
      <c r="J2781" t="s">
        <v>2559</v>
      </c>
      <c r="K2781">
        <v>4</v>
      </c>
      <c r="N2781">
        <v>3474</v>
      </c>
      <c r="O2781">
        <v>70</v>
      </c>
      <c r="P2781" s="1">
        <v>45569</v>
      </c>
      <c r="Q2781" s="1"/>
      <c r="R2781" t="str">
        <f>IF(Table1[[#This Row],[Actual close date]]="","",Table1[[#This Row],[Actual close date]]-Table1[[#This Row],[Expected close date]])</f>
        <v/>
      </c>
    </row>
    <row r="2782" spans="1:18" x14ac:dyDescent="0.25">
      <c r="A2782" t="s">
        <v>2867</v>
      </c>
      <c r="B2782" t="s">
        <v>39</v>
      </c>
      <c r="C2782" t="s">
        <v>40</v>
      </c>
      <c r="D2782" t="s">
        <v>41</v>
      </c>
      <c r="E2782" t="s">
        <v>62</v>
      </c>
      <c r="F2782" t="s">
        <v>167</v>
      </c>
      <c r="G2782" t="s">
        <v>85</v>
      </c>
      <c r="H2782" s="1">
        <v>45318</v>
      </c>
      <c r="I2782" t="s">
        <v>64</v>
      </c>
      <c r="J2782" t="s">
        <v>2559</v>
      </c>
      <c r="K2782">
        <v>4</v>
      </c>
      <c r="N2782">
        <v>6180</v>
      </c>
      <c r="O2782">
        <v>40</v>
      </c>
      <c r="P2782" s="1">
        <v>45445</v>
      </c>
      <c r="Q2782" s="1"/>
      <c r="R2782" t="str">
        <f>IF(Table1[[#This Row],[Actual close date]]="","",Table1[[#This Row],[Actual close date]]-Table1[[#This Row],[Expected close date]])</f>
        <v/>
      </c>
    </row>
    <row r="2783" spans="1:18" x14ac:dyDescent="0.25">
      <c r="A2783" t="s">
        <v>2868</v>
      </c>
      <c r="B2783" t="s">
        <v>54</v>
      </c>
      <c r="C2783" t="s">
        <v>55</v>
      </c>
      <c r="D2783" t="s">
        <v>56</v>
      </c>
      <c r="E2783" t="s">
        <v>62</v>
      </c>
      <c r="F2783" t="s">
        <v>167</v>
      </c>
      <c r="G2783" t="s">
        <v>23</v>
      </c>
      <c r="H2783" s="1">
        <v>45427</v>
      </c>
      <c r="I2783" t="s">
        <v>64</v>
      </c>
      <c r="J2783" t="s">
        <v>2559</v>
      </c>
      <c r="K2783">
        <v>4</v>
      </c>
      <c r="N2783">
        <v>2254</v>
      </c>
      <c r="O2783">
        <v>50</v>
      </c>
      <c r="P2783" s="1">
        <v>45629</v>
      </c>
      <c r="Q2783" s="1"/>
      <c r="R2783" t="str">
        <f>IF(Table1[[#This Row],[Actual close date]]="","",Table1[[#This Row],[Actual close date]]-Table1[[#This Row],[Expected close date]])</f>
        <v/>
      </c>
    </row>
    <row r="2784" spans="1:18" x14ac:dyDescent="0.25">
      <c r="A2784" t="s">
        <v>2869</v>
      </c>
      <c r="B2784" t="s">
        <v>49</v>
      </c>
      <c r="C2784" t="s">
        <v>50</v>
      </c>
      <c r="D2784" t="s">
        <v>51</v>
      </c>
      <c r="E2784" t="s">
        <v>42</v>
      </c>
      <c r="F2784" t="s">
        <v>167</v>
      </c>
      <c r="G2784" t="s">
        <v>23</v>
      </c>
      <c r="H2784" s="1">
        <v>45306</v>
      </c>
      <c r="I2784" t="s">
        <v>24</v>
      </c>
      <c r="J2784" t="s">
        <v>2559</v>
      </c>
      <c r="K2784">
        <v>4</v>
      </c>
      <c r="N2784">
        <v>1610</v>
      </c>
      <c r="O2784">
        <v>60</v>
      </c>
      <c r="P2784" s="1">
        <v>45517</v>
      </c>
      <c r="Q2784" s="1"/>
      <c r="R2784" t="str">
        <f>IF(Table1[[#This Row],[Actual close date]]="","",Table1[[#This Row],[Actual close date]]-Table1[[#This Row],[Expected close date]])</f>
        <v/>
      </c>
    </row>
    <row r="2785" spans="1:18" x14ac:dyDescent="0.25">
      <c r="A2785" t="s">
        <v>2870</v>
      </c>
      <c r="B2785" t="s">
        <v>33</v>
      </c>
      <c r="C2785" t="s">
        <v>34</v>
      </c>
      <c r="D2785" t="s">
        <v>35</v>
      </c>
      <c r="E2785" t="s">
        <v>45</v>
      </c>
      <c r="F2785" t="s">
        <v>167</v>
      </c>
      <c r="G2785" t="s">
        <v>46</v>
      </c>
      <c r="H2785" s="1">
        <v>45320</v>
      </c>
      <c r="I2785" t="s">
        <v>64</v>
      </c>
      <c r="J2785" t="s">
        <v>2559</v>
      </c>
      <c r="K2785">
        <v>4</v>
      </c>
      <c r="N2785">
        <v>2244</v>
      </c>
      <c r="O2785">
        <v>20</v>
      </c>
      <c r="P2785" s="1">
        <v>45352</v>
      </c>
      <c r="Q2785" s="1"/>
      <c r="R2785" t="str">
        <f>IF(Table1[[#This Row],[Actual close date]]="","",Table1[[#This Row],[Actual close date]]-Table1[[#This Row],[Expected close date]])</f>
        <v/>
      </c>
    </row>
    <row r="2786" spans="1:18" x14ac:dyDescent="0.25">
      <c r="A2786" t="s">
        <v>2871</v>
      </c>
      <c r="B2786" t="s">
        <v>49</v>
      </c>
      <c r="C2786" t="s">
        <v>50</v>
      </c>
      <c r="D2786" t="s">
        <v>51</v>
      </c>
      <c r="E2786" t="s">
        <v>66</v>
      </c>
      <c r="F2786" t="s">
        <v>167</v>
      </c>
      <c r="G2786" t="s">
        <v>57</v>
      </c>
      <c r="H2786" s="1">
        <v>45417</v>
      </c>
      <c r="I2786" t="s">
        <v>24</v>
      </c>
      <c r="J2786" t="s">
        <v>2559</v>
      </c>
      <c r="K2786">
        <v>4</v>
      </c>
      <c r="N2786">
        <v>1607</v>
      </c>
      <c r="O2786">
        <v>50</v>
      </c>
      <c r="P2786" s="1">
        <v>45595</v>
      </c>
      <c r="Q2786" s="1"/>
      <c r="R2786" t="str">
        <f>IF(Table1[[#This Row],[Actual close date]]="","",Table1[[#This Row],[Actual close date]]-Table1[[#This Row],[Expected close date]])</f>
        <v/>
      </c>
    </row>
    <row r="2787" spans="1:18" x14ac:dyDescent="0.25">
      <c r="A2787" t="s">
        <v>2872</v>
      </c>
      <c r="B2787" t="s">
        <v>39</v>
      </c>
      <c r="C2787" t="s">
        <v>40</v>
      </c>
      <c r="D2787" t="s">
        <v>41</v>
      </c>
      <c r="E2787" t="s">
        <v>45</v>
      </c>
      <c r="F2787" t="s">
        <v>167</v>
      </c>
      <c r="G2787" t="s">
        <v>31</v>
      </c>
      <c r="H2787" s="1">
        <v>45408</v>
      </c>
      <c r="I2787" t="s">
        <v>47</v>
      </c>
      <c r="J2787" t="s">
        <v>2559</v>
      </c>
      <c r="K2787">
        <v>4</v>
      </c>
      <c r="N2787">
        <v>3843</v>
      </c>
      <c r="O2787">
        <v>30</v>
      </c>
      <c r="P2787" s="1">
        <v>45439</v>
      </c>
      <c r="Q2787" s="1"/>
      <c r="R2787" t="str">
        <f>IF(Table1[[#This Row],[Actual close date]]="","",Table1[[#This Row],[Actual close date]]-Table1[[#This Row],[Expected close date]])</f>
        <v/>
      </c>
    </row>
    <row r="2788" spans="1:18" x14ac:dyDescent="0.25">
      <c r="A2788" t="s">
        <v>2873</v>
      </c>
      <c r="B2788" t="s">
        <v>33</v>
      </c>
      <c r="C2788" t="s">
        <v>34</v>
      </c>
      <c r="D2788" t="s">
        <v>35</v>
      </c>
      <c r="E2788" t="s">
        <v>45</v>
      </c>
      <c r="F2788" t="s">
        <v>167</v>
      </c>
      <c r="G2788" t="s">
        <v>37</v>
      </c>
      <c r="H2788" s="1">
        <v>45346</v>
      </c>
      <c r="I2788" t="s">
        <v>24</v>
      </c>
      <c r="J2788" t="s">
        <v>2559</v>
      </c>
      <c r="K2788">
        <v>4</v>
      </c>
      <c r="N2788">
        <v>630</v>
      </c>
      <c r="O2788">
        <v>40</v>
      </c>
      <c r="P2788" s="1">
        <v>45688</v>
      </c>
      <c r="Q2788" s="1"/>
      <c r="R2788" t="str">
        <f>IF(Table1[[#This Row],[Actual close date]]="","",Table1[[#This Row],[Actual close date]]-Table1[[#This Row],[Expected close date]])</f>
        <v/>
      </c>
    </row>
    <row r="2789" spans="1:18" x14ac:dyDescent="0.25">
      <c r="A2789" t="s">
        <v>2874</v>
      </c>
      <c r="B2789" t="s">
        <v>39</v>
      </c>
      <c r="C2789" t="s">
        <v>40</v>
      </c>
      <c r="D2789" t="s">
        <v>41</v>
      </c>
      <c r="E2789" t="s">
        <v>45</v>
      </c>
      <c r="F2789" t="s">
        <v>167</v>
      </c>
      <c r="G2789" t="s">
        <v>57</v>
      </c>
      <c r="H2789" s="1">
        <v>45395</v>
      </c>
      <c r="I2789" t="s">
        <v>24</v>
      </c>
      <c r="J2789" t="s">
        <v>2559</v>
      </c>
      <c r="K2789">
        <v>4</v>
      </c>
      <c r="N2789">
        <v>3866</v>
      </c>
      <c r="O2789">
        <v>60</v>
      </c>
      <c r="P2789" s="1">
        <v>45418</v>
      </c>
      <c r="Q2789" s="1"/>
      <c r="R2789" t="str">
        <f>IF(Table1[[#This Row],[Actual close date]]="","",Table1[[#This Row],[Actual close date]]-Table1[[#This Row],[Expected close date]])</f>
        <v/>
      </c>
    </row>
    <row r="2790" spans="1:18" x14ac:dyDescent="0.25">
      <c r="A2790" t="s">
        <v>2875</v>
      </c>
      <c r="B2790" t="s">
        <v>33</v>
      </c>
      <c r="C2790" t="s">
        <v>34</v>
      </c>
      <c r="D2790" t="s">
        <v>35</v>
      </c>
      <c r="E2790" t="s">
        <v>45</v>
      </c>
      <c r="F2790" t="s">
        <v>167</v>
      </c>
      <c r="G2790" t="s">
        <v>37</v>
      </c>
      <c r="H2790" s="1">
        <v>45418</v>
      </c>
      <c r="I2790" t="s">
        <v>64</v>
      </c>
      <c r="J2790" t="s">
        <v>2559</v>
      </c>
      <c r="K2790">
        <v>4</v>
      </c>
      <c r="N2790">
        <v>4358</v>
      </c>
      <c r="O2790">
        <v>30</v>
      </c>
      <c r="P2790" s="1">
        <v>45450</v>
      </c>
      <c r="Q2790" s="1"/>
      <c r="R2790" t="str">
        <f>IF(Table1[[#This Row],[Actual close date]]="","",Table1[[#This Row],[Actual close date]]-Table1[[#This Row],[Expected close date]])</f>
        <v/>
      </c>
    </row>
    <row r="2791" spans="1:18" x14ac:dyDescent="0.25">
      <c r="A2791" t="s">
        <v>2876</v>
      </c>
      <c r="B2791" t="s">
        <v>18</v>
      </c>
      <c r="C2791" t="s">
        <v>19</v>
      </c>
      <c r="D2791" t="s">
        <v>20</v>
      </c>
      <c r="E2791" t="s">
        <v>42</v>
      </c>
      <c r="F2791" t="s">
        <v>167</v>
      </c>
      <c r="G2791" t="s">
        <v>37</v>
      </c>
      <c r="H2791" s="1">
        <v>45415</v>
      </c>
      <c r="I2791" t="s">
        <v>64</v>
      </c>
      <c r="J2791" t="s">
        <v>2559</v>
      </c>
      <c r="K2791">
        <v>4</v>
      </c>
      <c r="N2791">
        <v>1808</v>
      </c>
      <c r="O2791">
        <v>80</v>
      </c>
      <c r="P2791" s="1">
        <v>45664</v>
      </c>
      <c r="Q2791" s="1"/>
      <c r="R2791" t="str">
        <f>IF(Table1[[#This Row],[Actual close date]]="","",Table1[[#This Row],[Actual close date]]-Table1[[#This Row],[Expected close date]])</f>
        <v/>
      </c>
    </row>
    <row r="2792" spans="1:18" x14ac:dyDescent="0.25">
      <c r="A2792" t="s">
        <v>2877</v>
      </c>
      <c r="B2792" t="s">
        <v>59</v>
      </c>
      <c r="C2792" t="s">
        <v>60</v>
      </c>
      <c r="D2792" t="s">
        <v>61</v>
      </c>
      <c r="E2792" t="s">
        <v>82</v>
      </c>
      <c r="F2792" t="s">
        <v>167</v>
      </c>
      <c r="G2792" t="s">
        <v>85</v>
      </c>
      <c r="H2792" s="1">
        <v>45434</v>
      </c>
      <c r="I2792" t="s">
        <v>47</v>
      </c>
      <c r="J2792" t="s">
        <v>2559</v>
      </c>
      <c r="K2792">
        <v>4</v>
      </c>
      <c r="N2792">
        <v>6476</v>
      </c>
      <c r="O2792">
        <v>20</v>
      </c>
      <c r="P2792" s="1">
        <v>45511</v>
      </c>
      <c r="Q2792" s="1"/>
      <c r="R2792" t="str">
        <f>IF(Table1[[#This Row],[Actual close date]]="","",Table1[[#This Row],[Actual close date]]-Table1[[#This Row],[Expected close date]])</f>
        <v/>
      </c>
    </row>
    <row r="2793" spans="1:18" x14ac:dyDescent="0.25">
      <c r="A2793" t="s">
        <v>2878</v>
      </c>
      <c r="B2793" t="s">
        <v>59</v>
      </c>
      <c r="C2793" t="s">
        <v>60</v>
      </c>
      <c r="D2793" t="s">
        <v>61</v>
      </c>
      <c r="E2793" t="s">
        <v>52</v>
      </c>
      <c r="F2793" t="s">
        <v>167</v>
      </c>
      <c r="G2793" t="s">
        <v>83</v>
      </c>
      <c r="H2793" s="1">
        <v>45308</v>
      </c>
      <c r="I2793" t="s">
        <v>24</v>
      </c>
      <c r="J2793" t="s">
        <v>2559</v>
      </c>
      <c r="K2793">
        <v>4</v>
      </c>
      <c r="N2793">
        <v>4366</v>
      </c>
      <c r="O2793">
        <v>10</v>
      </c>
      <c r="P2793" s="1">
        <v>45451</v>
      </c>
      <c r="Q2793" s="1"/>
      <c r="R2793" t="str">
        <f>IF(Table1[[#This Row],[Actual close date]]="","",Table1[[#This Row],[Actual close date]]-Table1[[#This Row],[Expected close date]])</f>
        <v/>
      </c>
    </row>
    <row r="2794" spans="1:18" x14ac:dyDescent="0.25">
      <c r="A2794" t="s">
        <v>2879</v>
      </c>
      <c r="B2794" t="s">
        <v>76</v>
      </c>
      <c r="C2794" t="s">
        <v>77</v>
      </c>
      <c r="D2794" t="s">
        <v>78</v>
      </c>
      <c r="E2794" t="s">
        <v>74</v>
      </c>
      <c r="F2794" t="s">
        <v>167</v>
      </c>
      <c r="G2794" t="s">
        <v>46</v>
      </c>
      <c r="H2794" s="1">
        <v>45431</v>
      </c>
      <c r="I2794" t="s">
        <v>64</v>
      </c>
      <c r="J2794" t="s">
        <v>2559</v>
      </c>
      <c r="K2794">
        <v>4</v>
      </c>
      <c r="N2794">
        <v>4420</v>
      </c>
      <c r="O2794">
        <v>30</v>
      </c>
      <c r="P2794" s="1">
        <v>45481</v>
      </c>
      <c r="Q2794" s="1"/>
      <c r="R2794" t="str">
        <f>IF(Table1[[#This Row],[Actual close date]]="","",Table1[[#This Row],[Actual close date]]-Table1[[#This Row],[Expected close date]])</f>
        <v/>
      </c>
    </row>
    <row r="2795" spans="1:18" x14ac:dyDescent="0.25">
      <c r="A2795" t="s">
        <v>2880</v>
      </c>
      <c r="B2795" t="s">
        <v>39</v>
      </c>
      <c r="C2795" t="s">
        <v>40</v>
      </c>
      <c r="D2795" t="s">
        <v>41</v>
      </c>
      <c r="E2795" t="s">
        <v>82</v>
      </c>
      <c r="F2795" t="s">
        <v>167</v>
      </c>
      <c r="G2795" t="s">
        <v>37</v>
      </c>
      <c r="H2795" s="1">
        <v>45419</v>
      </c>
      <c r="I2795" t="s">
        <v>64</v>
      </c>
      <c r="J2795" t="s">
        <v>2559</v>
      </c>
      <c r="K2795">
        <v>4</v>
      </c>
      <c r="N2795">
        <v>1393</v>
      </c>
      <c r="O2795">
        <v>60</v>
      </c>
      <c r="P2795" s="1">
        <v>45646</v>
      </c>
      <c r="Q2795" s="1"/>
      <c r="R2795" t="str">
        <f>IF(Table1[[#This Row],[Actual close date]]="","",Table1[[#This Row],[Actual close date]]-Table1[[#This Row],[Expected close date]])</f>
        <v/>
      </c>
    </row>
    <row r="2796" spans="1:18" x14ac:dyDescent="0.25">
      <c r="A2796" t="s">
        <v>2881</v>
      </c>
      <c r="B2796" t="s">
        <v>33</v>
      </c>
      <c r="C2796" t="s">
        <v>34</v>
      </c>
      <c r="D2796" t="s">
        <v>35</v>
      </c>
      <c r="E2796" t="s">
        <v>62</v>
      </c>
      <c r="F2796" t="s">
        <v>167</v>
      </c>
      <c r="G2796" t="s">
        <v>37</v>
      </c>
      <c r="H2796" s="1">
        <v>45296</v>
      </c>
      <c r="I2796" t="s">
        <v>47</v>
      </c>
      <c r="J2796" t="s">
        <v>2559</v>
      </c>
      <c r="K2796">
        <v>4</v>
      </c>
      <c r="N2796">
        <v>3648</v>
      </c>
      <c r="O2796">
        <v>30</v>
      </c>
      <c r="P2796" s="1">
        <v>45325</v>
      </c>
      <c r="Q2796" s="1"/>
      <c r="R2796" t="str">
        <f>IF(Table1[[#This Row],[Actual close date]]="","",Table1[[#This Row],[Actual close date]]-Table1[[#This Row],[Expected close date]])</f>
        <v/>
      </c>
    </row>
    <row r="2797" spans="1:18" x14ac:dyDescent="0.25">
      <c r="A2797" t="s">
        <v>2882</v>
      </c>
      <c r="B2797" t="s">
        <v>39</v>
      </c>
      <c r="C2797" t="s">
        <v>40</v>
      </c>
      <c r="D2797" t="s">
        <v>41</v>
      </c>
      <c r="E2797" t="s">
        <v>21</v>
      </c>
      <c r="F2797" t="s">
        <v>167</v>
      </c>
      <c r="G2797" t="s">
        <v>46</v>
      </c>
      <c r="H2797" s="1">
        <v>45378</v>
      </c>
      <c r="I2797" t="s">
        <v>64</v>
      </c>
      <c r="J2797" t="s">
        <v>2559</v>
      </c>
      <c r="K2797">
        <v>4</v>
      </c>
      <c r="N2797">
        <v>4612</v>
      </c>
      <c r="O2797">
        <v>20</v>
      </c>
      <c r="P2797" s="1">
        <v>45540</v>
      </c>
      <c r="Q2797" s="1"/>
      <c r="R2797" t="str">
        <f>IF(Table1[[#This Row],[Actual close date]]="","",Table1[[#This Row],[Actual close date]]-Table1[[#This Row],[Expected close date]])</f>
        <v/>
      </c>
    </row>
    <row r="2798" spans="1:18" x14ac:dyDescent="0.25">
      <c r="A2798" t="s">
        <v>2883</v>
      </c>
      <c r="B2798" t="s">
        <v>39</v>
      </c>
      <c r="C2798" t="s">
        <v>40</v>
      </c>
      <c r="D2798" t="s">
        <v>41</v>
      </c>
      <c r="E2798" t="s">
        <v>42</v>
      </c>
      <c r="F2798" t="s">
        <v>167</v>
      </c>
      <c r="G2798" t="s">
        <v>37</v>
      </c>
      <c r="H2798" s="1">
        <v>45338</v>
      </c>
      <c r="I2798" t="s">
        <v>24</v>
      </c>
      <c r="J2798" t="s">
        <v>2559</v>
      </c>
      <c r="K2798">
        <v>4</v>
      </c>
      <c r="N2798">
        <v>5992</v>
      </c>
      <c r="O2798">
        <v>20</v>
      </c>
      <c r="P2798" s="1">
        <v>45382</v>
      </c>
      <c r="Q2798" s="1"/>
      <c r="R2798" t="str">
        <f>IF(Table1[[#This Row],[Actual close date]]="","",Table1[[#This Row],[Actual close date]]-Table1[[#This Row],[Expected close date]])</f>
        <v/>
      </c>
    </row>
    <row r="2799" spans="1:18" x14ac:dyDescent="0.25">
      <c r="A2799" t="s">
        <v>2884</v>
      </c>
      <c r="B2799" t="s">
        <v>49</v>
      </c>
      <c r="C2799" t="s">
        <v>50</v>
      </c>
      <c r="D2799" t="s">
        <v>51</v>
      </c>
      <c r="E2799" t="s">
        <v>45</v>
      </c>
      <c r="F2799" t="s">
        <v>167</v>
      </c>
      <c r="G2799" t="s">
        <v>72</v>
      </c>
      <c r="H2799" s="1">
        <v>45411</v>
      </c>
      <c r="I2799" t="s">
        <v>24</v>
      </c>
      <c r="J2799" t="s">
        <v>2559</v>
      </c>
      <c r="K2799">
        <v>4</v>
      </c>
      <c r="N2799">
        <v>7591</v>
      </c>
      <c r="O2799">
        <v>30</v>
      </c>
      <c r="P2799" s="1">
        <v>45708</v>
      </c>
      <c r="Q2799" s="1"/>
      <c r="R2799" t="str">
        <f>IF(Table1[[#This Row],[Actual close date]]="","",Table1[[#This Row],[Actual close date]]-Table1[[#This Row],[Expected close date]])</f>
        <v/>
      </c>
    </row>
    <row r="2800" spans="1:18" x14ac:dyDescent="0.25">
      <c r="A2800" t="s">
        <v>2885</v>
      </c>
      <c r="B2800" t="s">
        <v>33</v>
      </c>
      <c r="C2800" t="s">
        <v>34</v>
      </c>
      <c r="D2800" t="s">
        <v>35</v>
      </c>
      <c r="E2800" t="s">
        <v>52</v>
      </c>
      <c r="F2800" t="s">
        <v>167</v>
      </c>
      <c r="G2800" t="s">
        <v>57</v>
      </c>
      <c r="H2800" s="1">
        <v>45336</v>
      </c>
      <c r="I2800" t="s">
        <v>64</v>
      </c>
      <c r="J2800" t="s">
        <v>2559</v>
      </c>
      <c r="K2800">
        <v>4</v>
      </c>
      <c r="N2800">
        <v>1158</v>
      </c>
      <c r="O2800">
        <v>20</v>
      </c>
      <c r="P2800" s="1">
        <v>45647</v>
      </c>
      <c r="Q2800" s="1"/>
      <c r="R2800" t="str">
        <f>IF(Table1[[#This Row],[Actual close date]]="","",Table1[[#This Row],[Actual close date]]-Table1[[#This Row],[Expected close date]])</f>
        <v/>
      </c>
    </row>
    <row r="2801" spans="1:18" x14ac:dyDescent="0.25">
      <c r="A2801" t="s">
        <v>2886</v>
      </c>
      <c r="B2801" t="s">
        <v>76</v>
      </c>
      <c r="C2801" t="s">
        <v>77</v>
      </c>
      <c r="D2801" t="s">
        <v>78</v>
      </c>
      <c r="E2801" t="s">
        <v>62</v>
      </c>
      <c r="F2801" t="s">
        <v>167</v>
      </c>
      <c r="G2801" t="s">
        <v>57</v>
      </c>
      <c r="H2801" s="1">
        <v>45429</v>
      </c>
      <c r="I2801" t="s">
        <v>24</v>
      </c>
      <c r="J2801" t="s">
        <v>2559</v>
      </c>
      <c r="K2801">
        <v>4</v>
      </c>
      <c r="N2801">
        <v>5723</v>
      </c>
      <c r="O2801">
        <v>20</v>
      </c>
      <c r="P2801" s="1">
        <v>45598</v>
      </c>
      <c r="Q2801" s="1"/>
      <c r="R2801" t="str">
        <f>IF(Table1[[#This Row],[Actual close date]]="","",Table1[[#This Row],[Actual close date]]-Table1[[#This Row],[Expected close date]])</f>
        <v/>
      </c>
    </row>
    <row r="2802" spans="1:18" x14ac:dyDescent="0.25">
      <c r="A2802" t="s">
        <v>2887</v>
      </c>
      <c r="B2802" t="s">
        <v>49</v>
      </c>
      <c r="C2802" t="s">
        <v>50</v>
      </c>
      <c r="D2802" t="s">
        <v>51</v>
      </c>
      <c r="E2802" t="s">
        <v>52</v>
      </c>
      <c r="F2802" t="s">
        <v>167</v>
      </c>
      <c r="G2802" t="s">
        <v>72</v>
      </c>
      <c r="H2802" s="1">
        <v>45406</v>
      </c>
      <c r="I2802" t="s">
        <v>47</v>
      </c>
      <c r="J2802" t="s">
        <v>2559</v>
      </c>
      <c r="K2802">
        <v>4</v>
      </c>
      <c r="N2802">
        <v>4941</v>
      </c>
      <c r="O2802">
        <v>30</v>
      </c>
      <c r="P2802" s="1">
        <v>45586</v>
      </c>
      <c r="Q2802" s="1"/>
      <c r="R2802" t="str">
        <f>IF(Table1[[#This Row],[Actual close date]]="","",Table1[[#This Row],[Actual close date]]-Table1[[#This Row],[Expected close date]])</f>
        <v/>
      </c>
    </row>
    <row r="2803" spans="1:18" x14ac:dyDescent="0.25">
      <c r="A2803" t="s">
        <v>2888</v>
      </c>
      <c r="B2803" t="s">
        <v>27</v>
      </c>
      <c r="C2803" t="s">
        <v>28</v>
      </c>
      <c r="D2803" t="s">
        <v>29</v>
      </c>
      <c r="E2803" t="s">
        <v>45</v>
      </c>
      <c r="F2803" t="s">
        <v>167</v>
      </c>
      <c r="G2803" t="s">
        <v>31</v>
      </c>
      <c r="H2803" s="1">
        <v>45377</v>
      </c>
      <c r="I2803" t="s">
        <v>24</v>
      </c>
      <c r="J2803" t="s">
        <v>2559</v>
      </c>
      <c r="K2803">
        <v>4</v>
      </c>
      <c r="N2803">
        <v>3814</v>
      </c>
      <c r="O2803">
        <v>60</v>
      </c>
      <c r="P2803" s="1">
        <v>45428</v>
      </c>
      <c r="Q2803" s="1"/>
      <c r="R2803" t="str">
        <f>IF(Table1[[#This Row],[Actual close date]]="","",Table1[[#This Row],[Actual close date]]-Table1[[#This Row],[Expected close date]])</f>
        <v/>
      </c>
    </row>
    <row r="2804" spans="1:18" x14ac:dyDescent="0.25">
      <c r="A2804" t="s">
        <v>2889</v>
      </c>
      <c r="B2804" t="s">
        <v>18</v>
      </c>
      <c r="C2804" t="s">
        <v>19</v>
      </c>
      <c r="D2804" t="s">
        <v>20</v>
      </c>
      <c r="E2804" t="s">
        <v>45</v>
      </c>
      <c r="F2804" t="s">
        <v>167</v>
      </c>
      <c r="G2804" t="s">
        <v>57</v>
      </c>
      <c r="H2804" s="1">
        <v>45352</v>
      </c>
      <c r="I2804" t="s">
        <v>64</v>
      </c>
      <c r="J2804" t="s">
        <v>2559</v>
      </c>
      <c r="K2804">
        <v>4</v>
      </c>
      <c r="N2804">
        <v>6893</v>
      </c>
      <c r="O2804">
        <v>50</v>
      </c>
      <c r="P2804" s="1">
        <v>45556</v>
      </c>
      <c r="Q2804" s="1"/>
      <c r="R2804" t="str">
        <f>IF(Table1[[#This Row],[Actual close date]]="","",Table1[[#This Row],[Actual close date]]-Table1[[#This Row],[Expected close date]])</f>
        <v/>
      </c>
    </row>
    <row r="2805" spans="1:18" x14ac:dyDescent="0.25">
      <c r="A2805" t="s">
        <v>2890</v>
      </c>
      <c r="B2805" t="s">
        <v>54</v>
      </c>
      <c r="C2805" t="s">
        <v>55</v>
      </c>
      <c r="D2805" t="s">
        <v>56</v>
      </c>
      <c r="E2805" t="s">
        <v>101</v>
      </c>
      <c r="F2805" t="s">
        <v>167</v>
      </c>
      <c r="G2805" t="s">
        <v>37</v>
      </c>
      <c r="H2805" s="1">
        <v>45305</v>
      </c>
      <c r="I2805" t="s">
        <v>64</v>
      </c>
      <c r="J2805" t="s">
        <v>2559</v>
      </c>
      <c r="K2805">
        <v>4</v>
      </c>
      <c r="N2805">
        <v>3543</v>
      </c>
      <c r="O2805">
        <v>40</v>
      </c>
      <c r="P2805" s="1">
        <v>45504</v>
      </c>
      <c r="Q2805" s="1"/>
      <c r="R2805" t="str">
        <f>IF(Table1[[#This Row],[Actual close date]]="","",Table1[[#This Row],[Actual close date]]-Table1[[#This Row],[Expected close date]])</f>
        <v/>
      </c>
    </row>
    <row r="2806" spans="1:18" x14ac:dyDescent="0.25">
      <c r="A2806" t="s">
        <v>2891</v>
      </c>
      <c r="B2806" t="s">
        <v>33</v>
      </c>
      <c r="C2806" t="s">
        <v>34</v>
      </c>
      <c r="D2806" t="s">
        <v>35</v>
      </c>
      <c r="E2806" t="s">
        <v>52</v>
      </c>
      <c r="F2806" t="s">
        <v>167</v>
      </c>
      <c r="G2806" t="s">
        <v>46</v>
      </c>
      <c r="H2806" s="1">
        <v>45442</v>
      </c>
      <c r="I2806" t="s">
        <v>64</v>
      </c>
      <c r="J2806" t="s">
        <v>2559</v>
      </c>
      <c r="K2806">
        <v>4</v>
      </c>
      <c r="N2806">
        <v>3909</v>
      </c>
      <c r="O2806">
        <v>40</v>
      </c>
      <c r="P2806" s="1">
        <v>45490</v>
      </c>
      <c r="Q2806" s="1"/>
      <c r="R2806" t="str">
        <f>IF(Table1[[#This Row],[Actual close date]]="","",Table1[[#This Row],[Actual close date]]-Table1[[#This Row],[Expected close date]])</f>
        <v/>
      </c>
    </row>
    <row r="2807" spans="1:18" x14ac:dyDescent="0.25">
      <c r="A2807" t="s">
        <v>2892</v>
      </c>
      <c r="B2807" t="s">
        <v>69</v>
      </c>
      <c r="C2807" t="s">
        <v>70</v>
      </c>
      <c r="D2807" t="s">
        <v>71</v>
      </c>
      <c r="E2807" t="s">
        <v>42</v>
      </c>
      <c r="F2807" t="s">
        <v>167</v>
      </c>
      <c r="G2807" t="s">
        <v>37</v>
      </c>
      <c r="H2807" s="1">
        <v>45294</v>
      </c>
      <c r="I2807" t="s">
        <v>64</v>
      </c>
      <c r="J2807" t="s">
        <v>2559</v>
      </c>
      <c r="K2807">
        <v>4</v>
      </c>
      <c r="N2807">
        <v>981</v>
      </c>
      <c r="O2807">
        <v>90</v>
      </c>
      <c r="P2807" s="1">
        <v>45540</v>
      </c>
      <c r="Q2807" s="1"/>
      <c r="R2807" t="str">
        <f>IF(Table1[[#This Row],[Actual close date]]="","",Table1[[#This Row],[Actual close date]]-Table1[[#This Row],[Expected close date]])</f>
        <v/>
      </c>
    </row>
    <row r="2808" spans="1:18" x14ac:dyDescent="0.25">
      <c r="A2808" t="s">
        <v>2893</v>
      </c>
      <c r="B2808" t="s">
        <v>54</v>
      </c>
      <c r="C2808" t="s">
        <v>55</v>
      </c>
      <c r="D2808" t="s">
        <v>56</v>
      </c>
      <c r="E2808" t="s">
        <v>21</v>
      </c>
      <c r="F2808" t="s">
        <v>167</v>
      </c>
      <c r="G2808" t="s">
        <v>46</v>
      </c>
      <c r="H2808" s="1">
        <v>45378</v>
      </c>
      <c r="I2808" t="s">
        <v>64</v>
      </c>
      <c r="J2808" t="s">
        <v>2559</v>
      </c>
      <c r="K2808">
        <v>4</v>
      </c>
      <c r="N2808">
        <v>784</v>
      </c>
      <c r="O2808">
        <v>20</v>
      </c>
      <c r="P2808" s="1">
        <v>45456</v>
      </c>
      <c r="Q2808" s="1"/>
      <c r="R2808" t="str">
        <f>IF(Table1[[#This Row],[Actual close date]]="","",Table1[[#This Row],[Actual close date]]-Table1[[#This Row],[Expected close date]])</f>
        <v/>
      </c>
    </row>
    <row r="2809" spans="1:18" x14ac:dyDescent="0.25">
      <c r="A2809" t="s">
        <v>2894</v>
      </c>
      <c r="B2809" t="s">
        <v>54</v>
      </c>
      <c r="C2809" t="s">
        <v>55</v>
      </c>
      <c r="D2809" t="s">
        <v>56</v>
      </c>
      <c r="E2809" t="s">
        <v>101</v>
      </c>
      <c r="F2809" t="s">
        <v>167</v>
      </c>
      <c r="G2809" t="s">
        <v>83</v>
      </c>
      <c r="H2809" s="1">
        <v>45322</v>
      </c>
      <c r="I2809" t="s">
        <v>64</v>
      </c>
      <c r="J2809" t="s">
        <v>2559</v>
      </c>
      <c r="K2809">
        <v>4</v>
      </c>
      <c r="N2809">
        <v>3108</v>
      </c>
      <c r="O2809">
        <v>30</v>
      </c>
      <c r="P2809" s="1">
        <v>45374</v>
      </c>
      <c r="Q2809" s="1"/>
      <c r="R2809" t="str">
        <f>IF(Table1[[#This Row],[Actual close date]]="","",Table1[[#This Row],[Actual close date]]-Table1[[#This Row],[Expected close date]])</f>
        <v/>
      </c>
    </row>
    <row r="2810" spans="1:18" x14ac:dyDescent="0.25">
      <c r="A2810" t="s">
        <v>2895</v>
      </c>
      <c r="B2810" t="s">
        <v>39</v>
      </c>
      <c r="C2810" t="s">
        <v>40</v>
      </c>
      <c r="D2810" t="s">
        <v>41</v>
      </c>
      <c r="E2810" t="s">
        <v>66</v>
      </c>
      <c r="F2810" t="s">
        <v>167</v>
      </c>
      <c r="G2810" t="s">
        <v>37</v>
      </c>
      <c r="H2810" s="1">
        <v>45314</v>
      </c>
      <c r="I2810" t="s">
        <v>64</v>
      </c>
      <c r="J2810" t="s">
        <v>2559</v>
      </c>
      <c r="K2810">
        <v>4</v>
      </c>
      <c r="N2810">
        <v>5558</v>
      </c>
      <c r="O2810">
        <v>20</v>
      </c>
      <c r="P2810" s="1">
        <v>45555</v>
      </c>
      <c r="Q2810" s="1"/>
      <c r="R2810" t="str">
        <f>IF(Table1[[#This Row],[Actual close date]]="","",Table1[[#This Row],[Actual close date]]-Table1[[#This Row],[Expected close date]])</f>
        <v/>
      </c>
    </row>
    <row r="2811" spans="1:18" x14ac:dyDescent="0.25">
      <c r="A2811" t="s">
        <v>2896</v>
      </c>
      <c r="B2811" t="s">
        <v>49</v>
      </c>
      <c r="C2811" t="s">
        <v>50</v>
      </c>
      <c r="D2811" t="s">
        <v>51</v>
      </c>
      <c r="E2811" t="s">
        <v>118</v>
      </c>
      <c r="F2811" t="s">
        <v>167</v>
      </c>
      <c r="G2811" t="s">
        <v>46</v>
      </c>
      <c r="H2811" s="1">
        <v>45306</v>
      </c>
      <c r="I2811" t="s">
        <v>24</v>
      </c>
      <c r="J2811" t="s">
        <v>2559</v>
      </c>
      <c r="K2811">
        <v>4</v>
      </c>
      <c r="N2811">
        <v>1260</v>
      </c>
      <c r="O2811">
        <v>50</v>
      </c>
      <c r="P2811" s="1">
        <v>45390</v>
      </c>
      <c r="Q2811" s="1"/>
      <c r="R2811" t="str">
        <f>IF(Table1[[#This Row],[Actual close date]]="","",Table1[[#This Row],[Actual close date]]-Table1[[#This Row],[Expected close date]])</f>
        <v/>
      </c>
    </row>
    <row r="2812" spans="1:18" x14ac:dyDescent="0.25">
      <c r="A2812" t="s">
        <v>2897</v>
      </c>
      <c r="B2812" t="s">
        <v>54</v>
      </c>
      <c r="C2812" t="s">
        <v>55</v>
      </c>
      <c r="D2812" t="s">
        <v>56</v>
      </c>
      <c r="E2812" t="s">
        <v>21</v>
      </c>
      <c r="F2812" t="s">
        <v>167</v>
      </c>
      <c r="G2812" t="s">
        <v>57</v>
      </c>
      <c r="H2812" s="1">
        <v>45415</v>
      </c>
      <c r="I2812" t="s">
        <v>47</v>
      </c>
      <c r="J2812" t="s">
        <v>2559</v>
      </c>
      <c r="K2812">
        <v>4</v>
      </c>
      <c r="N2812">
        <v>5207</v>
      </c>
      <c r="O2812">
        <v>70</v>
      </c>
      <c r="P2812" s="1">
        <v>45727</v>
      </c>
      <c r="Q2812" s="1"/>
      <c r="R2812" t="str">
        <f>IF(Table1[[#This Row],[Actual close date]]="","",Table1[[#This Row],[Actual close date]]-Table1[[#This Row],[Expected close date]])</f>
        <v/>
      </c>
    </row>
    <row r="2813" spans="1:18" x14ac:dyDescent="0.25">
      <c r="A2813" t="s">
        <v>2898</v>
      </c>
      <c r="B2813" t="s">
        <v>54</v>
      </c>
      <c r="C2813" t="s">
        <v>55</v>
      </c>
      <c r="D2813" t="s">
        <v>56</v>
      </c>
      <c r="E2813" t="s">
        <v>30</v>
      </c>
      <c r="F2813" t="s">
        <v>167</v>
      </c>
      <c r="G2813" t="s">
        <v>46</v>
      </c>
      <c r="H2813" s="1">
        <v>45386</v>
      </c>
      <c r="I2813" t="s">
        <v>47</v>
      </c>
      <c r="J2813" t="s">
        <v>2559</v>
      </c>
      <c r="K2813">
        <v>4</v>
      </c>
      <c r="N2813">
        <v>1503</v>
      </c>
      <c r="O2813">
        <v>80</v>
      </c>
      <c r="P2813" s="1">
        <v>45543</v>
      </c>
      <c r="Q2813" s="1"/>
      <c r="R2813" t="str">
        <f>IF(Table1[[#This Row],[Actual close date]]="","",Table1[[#This Row],[Actual close date]]-Table1[[#This Row],[Expected close date]])</f>
        <v/>
      </c>
    </row>
    <row r="2814" spans="1:18" x14ac:dyDescent="0.25">
      <c r="A2814" t="s">
        <v>2899</v>
      </c>
      <c r="B2814" t="s">
        <v>54</v>
      </c>
      <c r="C2814" t="s">
        <v>55</v>
      </c>
      <c r="D2814" t="s">
        <v>56</v>
      </c>
      <c r="E2814" t="s">
        <v>52</v>
      </c>
      <c r="F2814" t="s">
        <v>167</v>
      </c>
      <c r="G2814" t="s">
        <v>23</v>
      </c>
      <c r="H2814" s="1">
        <v>45332</v>
      </c>
      <c r="I2814" t="s">
        <v>24</v>
      </c>
      <c r="J2814" t="s">
        <v>2559</v>
      </c>
      <c r="K2814">
        <v>4</v>
      </c>
      <c r="N2814">
        <v>6987</v>
      </c>
      <c r="O2814">
        <v>30</v>
      </c>
      <c r="P2814" s="1">
        <v>45413</v>
      </c>
      <c r="Q2814" s="1"/>
      <c r="R2814" t="str">
        <f>IF(Table1[[#This Row],[Actual close date]]="","",Table1[[#This Row],[Actual close date]]-Table1[[#This Row],[Expected close date]])</f>
        <v/>
      </c>
    </row>
    <row r="2815" spans="1:18" x14ac:dyDescent="0.25">
      <c r="A2815" t="s">
        <v>2900</v>
      </c>
      <c r="B2815" t="s">
        <v>54</v>
      </c>
      <c r="C2815" t="s">
        <v>55</v>
      </c>
      <c r="D2815" t="s">
        <v>56</v>
      </c>
      <c r="E2815" t="s">
        <v>122</v>
      </c>
      <c r="F2815" t="s">
        <v>167</v>
      </c>
      <c r="G2815" t="s">
        <v>31</v>
      </c>
      <c r="H2815" s="1">
        <v>45380</v>
      </c>
      <c r="I2815" t="s">
        <v>64</v>
      </c>
      <c r="J2815" t="s">
        <v>2559</v>
      </c>
      <c r="K2815">
        <v>4</v>
      </c>
      <c r="N2815">
        <v>357</v>
      </c>
      <c r="O2815">
        <v>80</v>
      </c>
      <c r="P2815" s="1">
        <v>45466</v>
      </c>
      <c r="Q2815" s="1"/>
      <c r="R2815" t="str">
        <f>IF(Table1[[#This Row],[Actual close date]]="","",Table1[[#This Row],[Actual close date]]-Table1[[#This Row],[Expected close date]])</f>
        <v/>
      </c>
    </row>
    <row r="2816" spans="1:18" x14ac:dyDescent="0.25">
      <c r="A2816" t="s">
        <v>2901</v>
      </c>
      <c r="B2816" t="s">
        <v>59</v>
      </c>
      <c r="C2816" t="s">
        <v>60</v>
      </c>
      <c r="D2816" t="s">
        <v>61</v>
      </c>
      <c r="E2816" t="s">
        <v>66</v>
      </c>
      <c r="F2816" t="s">
        <v>167</v>
      </c>
      <c r="G2816" t="s">
        <v>31</v>
      </c>
      <c r="H2816" s="1">
        <v>45297</v>
      </c>
      <c r="I2816" t="s">
        <v>47</v>
      </c>
      <c r="J2816" t="s">
        <v>2559</v>
      </c>
      <c r="K2816">
        <v>4</v>
      </c>
      <c r="N2816">
        <v>5253</v>
      </c>
      <c r="O2816">
        <v>50</v>
      </c>
      <c r="P2816" s="1">
        <v>45329</v>
      </c>
      <c r="Q2816" s="1"/>
      <c r="R2816" t="str">
        <f>IF(Table1[[#This Row],[Actual close date]]="","",Table1[[#This Row],[Actual close date]]-Table1[[#This Row],[Expected close date]])</f>
        <v/>
      </c>
    </row>
    <row r="2817" spans="1:18" x14ac:dyDescent="0.25">
      <c r="A2817" t="s">
        <v>2902</v>
      </c>
      <c r="B2817" t="s">
        <v>59</v>
      </c>
      <c r="C2817" t="s">
        <v>60</v>
      </c>
      <c r="D2817" t="s">
        <v>61</v>
      </c>
      <c r="E2817" t="s">
        <v>36</v>
      </c>
      <c r="F2817" t="s">
        <v>167</v>
      </c>
      <c r="G2817" t="s">
        <v>57</v>
      </c>
      <c r="H2817" s="1">
        <v>45306</v>
      </c>
      <c r="I2817" t="s">
        <v>47</v>
      </c>
      <c r="J2817" t="s">
        <v>2559</v>
      </c>
      <c r="K2817">
        <v>4</v>
      </c>
      <c r="N2817">
        <v>5864</v>
      </c>
      <c r="O2817">
        <v>20</v>
      </c>
      <c r="P2817" s="1">
        <v>45502</v>
      </c>
      <c r="Q2817" s="1"/>
      <c r="R2817" t="str">
        <f>IF(Table1[[#This Row],[Actual close date]]="","",Table1[[#This Row],[Actual close date]]-Table1[[#This Row],[Expected close date]])</f>
        <v/>
      </c>
    </row>
    <row r="2818" spans="1:18" x14ac:dyDescent="0.25">
      <c r="A2818" t="s">
        <v>2903</v>
      </c>
      <c r="B2818" t="s">
        <v>76</v>
      </c>
      <c r="C2818" t="s">
        <v>77</v>
      </c>
      <c r="D2818" t="s">
        <v>78</v>
      </c>
      <c r="E2818" t="s">
        <v>52</v>
      </c>
      <c r="F2818" t="s">
        <v>167</v>
      </c>
      <c r="G2818" t="s">
        <v>57</v>
      </c>
      <c r="H2818" s="1">
        <v>45439</v>
      </c>
      <c r="I2818" t="s">
        <v>24</v>
      </c>
      <c r="J2818" t="s">
        <v>2559</v>
      </c>
      <c r="K2818">
        <v>4</v>
      </c>
      <c r="N2818">
        <v>2138</v>
      </c>
      <c r="O2818">
        <v>20</v>
      </c>
      <c r="P2818" s="1">
        <v>45520</v>
      </c>
      <c r="Q2818" s="1"/>
      <c r="R2818" t="str">
        <f>IF(Table1[[#This Row],[Actual close date]]="","",Table1[[#This Row],[Actual close date]]-Table1[[#This Row],[Expected close date]])</f>
        <v/>
      </c>
    </row>
    <row r="2819" spans="1:18" x14ac:dyDescent="0.25">
      <c r="A2819" t="s">
        <v>2904</v>
      </c>
      <c r="B2819" t="s">
        <v>33</v>
      </c>
      <c r="C2819" t="s">
        <v>34</v>
      </c>
      <c r="D2819" t="s">
        <v>35</v>
      </c>
      <c r="E2819" t="s">
        <v>21</v>
      </c>
      <c r="F2819" t="s">
        <v>167</v>
      </c>
      <c r="G2819" t="s">
        <v>37</v>
      </c>
      <c r="H2819" s="1">
        <v>45360</v>
      </c>
      <c r="I2819" t="s">
        <v>24</v>
      </c>
      <c r="J2819" t="s">
        <v>2559</v>
      </c>
      <c r="K2819">
        <v>4</v>
      </c>
      <c r="N2819">
        <v>7070</v>
      </c>
      <c r="O2819">
        <v>20</v>
      </c>
      <c r="P2819" s="1">
        <v>45502</v>
      </c>
      <c r="Q2819" s="1"/>
      <c r="R2819" t="str">
        <f>IF(Table1[[#This Row],[Actual close date]]="","",Table1[[#This Row],[Actual close date]]-Table1[[#This Row],[Expected close date]])</f>
        <v/>
      </c>
    </row>
    <row r="2820" spans="1:18" x14ac:dyDescent="0.25">
      <c r="A2820" t="s">
        <v>2905</v>
      </c>
      <c r="B2820" t="s">
        <v>33</v>
      </c>
      <c r="C2820" t="s">
        <v>34</v>
      </c>
      <c r="D2820" t="s">
        <v>35</v>
      </c>
      <c r="E2820" t="s">
        <v>21</v>
      </c>
      <c r="F2820" t="s">
        <v>167</v>
      </c>
      <c r="G2820" t="s">
        <v>57</v>
      </c>
      <c r="H2820" s="1">
        <v>45432</v>
      </c>
      <c r="I2820" t="s">
        <v>64</v>
      </c>
      <c r="J2820" t="s">
        <v>2559</v>
      </c>
      <c r="K2820">
        <v>4</v>
      </c>
      <c r="N2820">
        <v>3447</v>
      </c>
      <c r="O2820">
        <v>80</v>
      </c>
      <c r="P2820" s="1">
        <v>45477</v>
      </c>
      <c r="Q2820" s="1"/>
      <c r="R2820" t="str">
        <f>IF(Table1[[#This Row],[Actual close date]]="","",Table1[[#This Row],[Actual close date]]-Table1[[#This Row],[Expected close date]])</f>
        <v/>
      </c>
    </row>
    <row r="2821" spans="1:18" x14ac:dyDescent="0.25">
      <c r="A2821" t="s">
        <v>2906</v>
      </c>
      <c r="B2821" t="s">
        <v>59</v>
      </c>
      <c r="C2821" t="s">
        <v>60</v>
      </c>
      <c r="D2821" t="s">
        <v>61</v>
      </c>
      <c r="E2821" t="s">
        <v>52</v>
      </c>
      <c r="F2821" t="s">
        <v>167</v>
      </c>
      <c r="G2821" t="s">
        <v>46</v>
      </c>
      <c r="H2821" s="1">
        <v>45421</v>
      </c>
      <c r="I2821" t="s">
        <v>24</v>
      </c>
      <c r="J2821" t="s">
        <v>2559</v>
      </c>
      <c r="K2821">
        <v>4</v>
      </c>
      <c r="N2821">
        <v>5824</v>
      </c>
      <c r="O2821">
        <v>50</v>
      </c>
      <c r="P2821" s="1">
        <v>45755</v>
      </c>
      <c r="Q2821" s="1"/>
      <c r="R2821" t="str">
        <f>IF(Table1[[#This Row],[Actual close date]]="","",Table1[[#This Row],[Actual close date]]-Table1[[#This Row],[Expected close date]])</f>
        <v/>
      </c>
    </row>
    <row r="2822" spans="1:18" x14ac:dyDescent="0.25">
      <c r="A2822" t="s">
        <v>2907</v>
      </c>
      <c r="B2822" t="s">
        <v>54</v>
      </c>
      <c r="C2822" t="s">
        <v>55</v>
      </c>
      <c r="D2822" t="s">
        <v>56</v>
      </c>
      <c r="E2822" t="s">
        <v>42</v>
      </c>
      <c r="F2822" t="s">
        <v>167</v>
      </c>
      <c r="G2822" t="s">
        <v>23</v>
      </c>
      <c r="H2822" s="1">
        <v>45393</v>
      </c>
      <c r="I2822" t="s">
        <v>24</v>
      </c>
      <c r="J2822" t="s">
        <v>2559</v>
      </c>
      <c r="K2822">
        <v>4</v>
      </c>
      <c r="N2822">
        <v>6573</v>
      </c>
      <c r="O2822">
        <v>20</v>
      </c>
      <c r="P2822" s="1">
        <v>45511</v>
      </c>
      <c r="Q2822" s="1"/>
      <c r="R2822" t="str">
        <f>IF(Table1[[#This Row],[Actual close date]]="","",Table1[[#This Row],[Actual close date]]-Table1[[#This Row],[Expected close date]])</f>
        <v/>
      </c>
    </row>
    <row r="2823" spans="1:18" x14ac:dyDescent="0.25">
      <c r="A2823" t="s">
        <v>2908</v>
      </c>
      <c r="B2823" t="s">
        <v>39</v>
      </c>
      <c r="C2823" t="s">
        <v>40</v>
      </c>
      <c r="D2823" t="s">
        <v>41</v>
      </c>
      <c r="E2823" t="s">
        <v>42</v>
      </c>
      <c r="F2823" t="s">
        <v>167</v>
      </c>
      <c r="G2823" t="s">
        <v>72</v>
      </c>
      <c r="H2823" s="1">
        <v>45350</v>
      </c>
      <c r="I2823" t="s">
        <v>24</v>
      </c>
      <c r="J2823" t="s">
        <v>2559</v>
      </c>
      <c r="K2823">
        <v>4</v>
      </c>
      <c r="N2823">
        <v>3855</v>
      </c>
      <c r="O2823">
        <v>100</v>
      </c>
      <c r="P2823" s="1">
        <v>45685</v>
      </c>
      <c r="Q2823" s="1"/>
      <c r="R2823" t="str">
        <f>IF(Table1[[#This Row],[Actual close date]]="","",Table1[[#This Row],[Actual close date]]-Table1[[#This Row],[Expected close date]])</f>
        <v/>
      </c>
    </row>
    <row r="2824" spans="1:18" x14ac:dyDescent="0.25">
      <c r="A2824" t="s">
        <v>2909</v>
      </c>
      <c r="B2824" t="s">
        <v>54</v>
      </c>
      <c r="C2824" t="s">
        <v>55</v>
      </c>
      <c r="D2824" t="s">
        <v>56</v>
      </c>
      <c r="E2824" t="s">
        <v>82</v>
      </c>
      <c r="F2824" t="s">
        <v>167</v>
      </c>
      <c r="G2824" t="s">
        <v>57</v>
      </c>
      <c r="H2824" s="1">
        <v>45413</v>
      </c>
      <c r="I2824" t="s">
        <v>24</v>
      </c>
      <c r="J2824" t="s">
        <v>2559</v>
      </c>
      <c r="K2824">
        <v>4</v>
      </c>
      <c r="N2824">
        <v>6330</v>
      </c>
      <c r="O2824">
        <v>30</v>
      </c>
      <c r="P2824" s="1">
        <v>45463</v>
      </c>
      <c r="Q2824" s="1"/>
      <c r="R2824" t="str">
        <f>IF(Table1[[#This Row],[Actual close date]]="","",Table1[[#This Row],[Actual close date]]-Table1[[#This Row],[Expected close date]])</f>
        <v/>
      </c>
    </row>
    <row r="2825" spans="1:18" x14ac:dyDescent="0.25">
      <c r="A2825" t="s">
        <v>2910</v>
      </c>
      <c r="B2825" t="s">
        <v>69</v>
      </c>
      <c r="C2825" t="s">
        <v>70</v>
      </c>
      <c r="D2825" t="s">
        <v>71</v>
      </c>
      <c r="E2825" t="s">
        <v>45</v>
      </c>
      <c r="F2825" t="s">
        <v>167</v>
      </c>
      <c r="G2825" t="s">
        <v>46</v>
      </c>
      <c r="H2825" s="1">
        <v>45310</v>
      </c>
      <c r="I2825" t="s">
        <v>24</v>
      </c>
      <c r="J2825" t="s">
        <v>2559</v>
      </c>
      <c r="K2825">
        <v>4</v>
      </c>
      <c r="N2825">
        <v>7787</v>
      </c>
      <c r="O2825">
        <v>40</v>
      </c>
      <c r="P2825" s="1">
        <v>45567</v>
      </c>
      <c r="Q2825" s="1"/>
      <c r="R2825" t="str">
        <f>IF(Table1[[#This Row],[Actual close date]]="","",Table1[[#This Row],[Actual close date]]-Table1[[#This Row],[Expected close date]])</f>
        <v/>
      </c>
    </row>
    <row r="2826" spans="1:18" x14ac:dyDescent="0.25">
      <c r="A2826" t="s">
        <v>2911</v>
      </c>
      <c r="B2826" t="s">
        <v>33</v>
      </c>
      <c r="C2826" t="s">
        <v>34</v>
      </c>
      <c r="D2826" t="s">
        <v>35</v>
      </c>
      <c r="E2826" t="s">
        <v>45</v>
      </c>
      <c r="F2826" t="s">
        <v>167</v>
      </c>
      <c r="G2826" t="s">
        <v>23</v>
      </c>
      <c r="H2826" s="1">
        <v>45423</v>
      </c>
      <c r="I2826" t="s">
        <v>47</v>
      </c>
      <c r="J2826" t="s">
        <v>2559</v>
      </c>
      <c r="K2826">
        <v>4</v>
      </c>
      <c r="N2826">
        <v>4258</v>
      </c>
      <c r="O2826">
        <v>60</v>
      </c>
      <c r="P2826" s="1">
        <v>45629</v>
      </c>
      <c r="Q2826" s="1"/>
      <c r="R2826" t="str">
        <f>IF(Table1[[#This Row],[Actual close date]]="","",Table1[[#This Row],[Actual close date]]-Table1[[#This Row],[Expected close date]])</f>
        <v/>
      </c>
    </row>
    <row r="2827" spans="1:18" x14ac:dyDescent="0.25">
      <c r="A2827" t="s">
        <v>2912</v>
      </c>
      <c r="B2827" t="s">
        <v>54</v>
      </c>
      <c r="C2827" t="s">
        <v>55</v>
      </c>
      <c r="D2827" t="s">
        <v>56</v>
      </c>
      <c r="E2827" t="s">
        <v>52</v>
      </c>
      <c r="F2827" t="s">
        <v>167</v>
      </c>
      <c r="G2827" t="s">
        <v>46</v>
      </c>
      <c r="H2827" s="1">
        <v>45335</v>
      </c>
      <c r="I2827" t="s">
        <v>64</v>
      </c>
      <c r="J2827" t="s">
        <v>2559</v>
      </c>
      <c r="K2827">
        <v>4</v>
      </c>
      <c r="N2827">
        <v>4736</v>
      </c>
      <c r="O2827">
        <v>50</v>
      </c>
      <c r="P2827" s="1">
        <v>45605</v>
      </c>
      <c r="Q2827" s="1"/>
      <c r="R2827" t="str">
        <f>IF(Table1[[#This Row],[Actual close date]]="","",Table1[[#This Row],[Actual close date]]-Table1[[#This Row],[Expected close date]])</f>
        <v/>
      </c>
    </row>
    <row r="2828" spans="1:18" x14ac:dyDescent="0.25">
      <c r="A2828" t="s">
        <v>2913</v>
      </c>
      <c r="B2828" t="s">
        <v>59</v>
      </c>
      <c r="C2828" t="s">
        <v>60</v>
      </c>
      <c r="D2828" t="s">
        <v>61</v>
      </c>
      <c r="E2828" t="s">
        <v>42</v>
      </c>
      <c r="F2828" t="s">
        <v>167</v>
      </c>
      <c r="G2828" t="s">
        <v>46</v>
      </c>
      <c r="H2828" s="1">
        <v>45402</v>
      </c>
      <c r="I2828" t="s">
        <v>47</v>
      </c>
      <c r="J2828" t="s">
        <v>2559</v>
      </c>
      <c r="K2828">
        <v>4</v>
      </c>
      <c r="N2828">
        <v>7314</v>
      </c>
      <c r="O2828">
        <v>60</v>
      </c>
      <c r="P2828" s="1">
        <v>45440</v>
      </c>
      <c r="Q2828" s="1"/>
      <c r="R2828" t="str">
        <f>IF(Table1[[#This Row],[Actual close date]]="","",Table1[[#This Row],[Actual close date]]-Table1[[#This Row],[Expected close date]])</f>
        <v/>
      </c>
    </row>
    <row r="2829" spans="1:18" x14ac:dyDescent="0.25">
      <c r="A2829" t="s">
        <v>2914</v>
      </c>
      <c r="B2829" t="s">
        <v>27</v>
      </c>
      <c r="C2829" t="s">
        <v>28</v>
      </c>
      <c r="D2829" t="s">
        <v>29</v>
      </c>
      <c r="E2829" t="s">
        <v>66</v>
      </c>
      <c r="F2829" t="s">
        <v>167</v>
      </c>
      <c r="G2829" t="s">
        <v>57</v>
      </c>
      <c r="H2829" s="1">
        <v>45324</v>
      </c>
      <c r="I2829" t="s">
        <v>47</v>
      </c>
      <c r="J2829" t="s">
        <v>2559</v>
      </c>
      <c r="K2829">
        <v>4</v>
      </c>
      <c r="N2829">
        <v>2102</v>
      </c>
      <c r="O2829">
        <v>50</v>
      </c>
      <c r="P2829" s="1">
        <v>45656</v>
      </c>
      <c r="Q2829" s="1"/>
      <c r="R2829" t="str">
        <f>IF(Table1[[#This Row],[Actual close date]]="","",Table1[[#This Row],[Actual close date]]-Table1[[#This Row],[Expected close date]])</f>
        <v/>
      </c>
    </row>
    <row r="2830" spans="1:18" x14ac:dyDescent="0.25">
      <c r="A2830" t="s">
        <v>2915</v>
      </c>
      <c r="B2830" t="s">
        <v>49</v>
      </c>
      <c r="C2830" t="s">
        <v>50</v>
      </c>
      <c r="D2830" t="s">
        <v>51</v>
      </c>
      <c r="E2830" t="s">
        <v>66</v>
      </c>
      <c r="F2830" t="s">
        <v>167</v>
      </c>
      <c r="G2830" t="s">
        <v>46</v>
      </c>
      <c r="H2830" s="1">
        <v>45368</v>
      </c>
      <c r="I2830" t="s">
        <v>64</v>
      </c>
      <c r="J2830" t="s">
        <v>2559</v>
      </c>
      <c r="K2830">
        <v>4</v>
      </c>
      <c r="N2830">
        <v>2771</v>
      </c>
      <c r="O2830">
        <v>20</v>
      </c>
      <c r="P2830" s="1">
        <v>45477</v>
      </c>
      <c r="Q2830" s="1"/>
      <c r="R2830" t="str">
        <f>IF(Table1[[#This Row],[Actual close date]]="","",Table1[[#This Row],[Actual close date]]-Table1[[#This Row],[Expected close date]])</f>
        <v/>
      </c>
    </row>
    <row r="2831" spans="1:18" x14ac:dyDescent="0.25">
      <c r="A2831" t="s">
        <v>2916</v>
      </c>
      <c r="B2831" t="s">
        <v>33</v>
      </c>
      <c r="C2831" t="s">
        <v>34</v>
      </c>
      <c r="D2831" t="s">
        <v>35</v>
      </c>
      <c r="E2831" t="s">
        <v>42</v>
      </c>
      <c r="F2831" t="s">
        <v>167</v>
      </c>
      <c r="G2831" t="s">
        <v>46</v>
      </c>
      <c r="H2831" s="1">
        <v>45301</v>
      </c>
      <c r="I2831" t="s">
        <v>64</v>
      </c>
      <c r="J2831" t="s">
        <v>2559</v>
      </c>
      <c r="K2831">
        <v>4</v>
      </c>
      <c r="N2831">
        <v>4477</v>
      </c>
      <c r="O2831">
        <v>60</v>
      </c>
      <c r="P2831" s="1">
        <v>45478</v>
      </c>
      <c r="Q2831" s="1"/>
      <c r="R2831" t="str">
        <f>IF(Table1[[#This Row],[Actual close date]]="","",Table1[[#This Row],[Actual close date]]-Table1[[#This Row],[Expected close date]])</f>
        <v/>
      </c>
    </row>
    <row r="2832" spans="1:18" x14ac:dyDescent="0.25">
      <c r="A2832" t="s">
        <v>2917</v>
      </c>
      <c r="B2832" t="s">
        <v>33</v>
      </c>
      <c r="C2832" t="s">
        <v>34</v>
      </c>
      <c r="D2832" t="s">
        <v>35</v>
      </c>
      <c r="E2832" t="s">
        <v>42</v>
      </c>
      <c r="F2832" t="s">
        <v>167</v>
      </c>
      <c r="G2832" t="s">
        <v>46</v>
      </c>
      <c r="H2832" s="1">
        <v>45337</v>
      </c>
      <c r="I2832" t="s">
        <v>47</v>
      </c>
      <c r="J2832" t="s">
        <v>2559</v>
      </c>
      <c r="K2832">
        <v>4</v>
      </c>
      <c r="N2832">
        <v>4588</v>
      </c>
      <c r="O2832">
        <v>20</v>
      </c>
      <c r="P2832" s="1">
        <v>45506</v>
      </c>
      <c r="Q2832" s="1"/>
      <c r="R2832" t="str">
        <f>IF(Table1[[#This Row],[Actual close date]]="","",Table1[[#This Row],[Actual close date]]-Table1[[#This Row],[Expected close date]])</f>
        <v/>
      </c>
    </row>
    <row r="2833" spans="1:18" x14ac:dyDescent="0.25">
      <c r="A2833" t="s">
        <v>2918</v>
      </c>
      <c r="B2833" t="s">
        <v>54</v>
      </c>
      <c r="C2833" t="s">
        <v>55</v>
      </c>
      <c r="D2833" t="s">
        <v>56</v>
      </c>
      <c r="E2833" t="s">
        <v>98</v>
      </c>
      <c r="F2833" t="s">
        <v>167</v>
      </c>
      <c r="G2833" t="s">
        <v>46</v>
      </c>
      <c r="H2833" s="1">
        <v>45301</v>
      </c>
      <c r="I2833" t="s">
        <v>47</v>
      </c>
      <c r="J2833" t="s">
        <v>2559</v>
      </c>
      <c r="K2833">
        <v>4</v>
      </c>
      <c r="N2833">
        <v>2496</v>
      </c>
      <c r="O2833">
        <v>90</v>
      </c>
      <c r="P2833" s="1">
        <v>45569</v>
      </c>
      <c r="Q2833" s="1"/>
      <c r="R2833" t="str">
        <f>IF(Table1[[#This Row],[Actual close date]]="","",Table1[[#This Row],[Actual close date]]-Table1[[#This Row],[Expected close date]])</f>
        <v/>
      </c>
    </row>
    <row r="2834" spans="1:18" x14ac:dyDescent="0.25">
      <c r="A2834" t="s">
        <v>2919</v>
      </c>
      <c r="B2834" t="s">
        <v>76</v>
      </c>
      <c r="C2834" t="s">
        <v>77</v>
      </c>
      <c r="D2834" t="s">
        <v>78</v>
      </c>
      <c r="E2834" t="s">
        <v>36</v>
      </c>
      <c r="F2834" t="s">
        <v>167</v>
      </c>
      <c r="G2834" t="s">
        <v>57</v>
      </c>
      <c r="H2834" s="1">
        <v>45335</v>
      </c>
      <c r="I2834" t="s">
        <v>64</v>
      </c>
      <c r="J2834" t="s">
        <v>2559</v>
      </c>
      <c r="K2834">
        <v>4</v>
      </c>
      <c r="N2834">
        <v>2404</v>
      </c>
      <c r="O2834">
        <v>70</v>
      </c>
      <c r="P2834" s="1">
        <v>45494</v>
      </c>
      <c r="Q2834" s="1"/>
      <c r="R2834" t="str">
        <f>IF(Table1[[#This Row],[Actual close date]]="","",Table1[[#This Row],[Actual close date]]-Table1[[#This Row],[Expected close date]])</f>
        <v/>
      </c>
    </row>
    <row r="2835" spans="1:18" x14ac:dyDescent="0.25">
      <c r="A2835" t="s">
        <v>2920</v>
      </c>
      <c r="B2835" t="s">
        <v>39</v>
      </c>
      <c r="C2835" t="s">
        <v>40</v>
      </c>
      <c r="D2835" t="s">
        <v>41</v>
      </c>
      <c r="E2835" t="s">
        <v>36</v>
      </c>
      <c r="F2835" t="s">
        <v>167</v>
      </c>
      <c r="G2835" t="s">
        <v>23</v>
      </c>
      <c r="H2835" s="1">
        <v>45314</v>
      </c>
      <c r="I2835" t="s">
        <v>64</v>
      </c>
      <c r="J2835" t="s">
        <v>2559</v>
      </c>
      <c r="K2835">
        <v>4</v>
      </c>
      <c r="N2835">
        <v>3681</v>
      </c>
      <c r="O2835">
        <v>30</v>
      </c>
      <c r="P2835" s="1">
        <v>45651</v>
      </c>
      <c r="Q2835" s="1"/>
      <c r="R2835" t="str">
        <f>IF(Table1[[#This Row],[Actual close date]]="","",Table1[[#This Row],[Actual close date]]-Table1[[#This Row],[Expected close date]])</f>
        <v/>
      </c>
    </row>
    <row r="2836" spans="1:18" x14ac:dyDescent="0.25">
      <c r="A2836" t="s">
        <v>2921</v>
      </c>
      <c r="B2836" t="s">
        <v>59</v>
      </c>
      <c r="C2836" t="s">
        <v>60</v>
      </c>
      <c r="D2836" t="s">
        <v>61</v>
      </c>
      <c r="E2836" t="s">
        <v>42</v>
      </c>
      <c r="F2836" t="s">
        <v>167</v>
      </c>
      <c r="G2836" t="s">
        <v>46</v>
      </c>
      <c r="H2836" s="1">
        <v>45339</v>
      </c>
      <c r="I2836" t="s">
        <v>64</v>
      </c>
      <c r="J2836" t="s">
        <v>2559</v>
      </c>
      <c r="K2836">
        <v>4</v>
      </c>
      <c r="N2836">
        <v>4461</v>
      </c>
      <c r="O2836">
        <v>90</v>
      </c>
      <c r="P2836" s="1">
        <v>45442</v>
      </c>
      <c r="Q2836" s="1"/>
      <c r="R2836" t="str">
        <f>IF(Table1[[#This Row],[Actual close date]]="","",Table1[[#This Row],[Actual close date]]-Table1[[#This Row],[Expected close date]])</f>
        <v/>
      </c>
    </row>
    <row r="2837" spans="1:18" x14ac:dyDescent="0.25">
      <c r="A2837" t="s">
        <v>2922</v>
      </c>
      <c r="B2837" t="s">
        <v>76</v>
      </c>
      <c r="C2837" t="s">
        <v>77</v>
      </c>
      <c r="D2837" t="s">
        <v>78</v>
      </c>
      <c r="E2837" t="s">
        <v>21</v>
      </c>
      <c r="F2837" t="s">
        <v>167</v>
      </c>
      <c r="G2837" t="s">
        <v>37</v>
      </c>
      <c r="H2837" s="1">
        <v>45401</v>
      </c>
      <c r="I2837" t="s">
        <v>24</v>
      </c>
      <c r="J2837" t="s">
        <v>2559</v>
      </c>
      <c r="K2837">
        <v>4</v>
      </c>
      <c r="N2837">
        <v>4787</v>
      </c>
      <c r="O2837">
        <v>30</v>
      </c>
      <c r="P2837" s="1">
        <v>45520</v>
      </c>
      <c r="Q2837" s="1"/>
      <c r="R2837" t="str">
        <f>IF(Table1[[#This Row],[Actual close date]]="","",Table1[[#This Row],[Actual close date]]-Table1[[#This Row],[Expected close date]])</f>
        <v/>
      </c>
    </row>
    <row r="2838" spans="1:18" x14ac:dyDescent="0.25">
      <c r="A2838" t="s">
        <v>2923</v>
      </c>
      <c r="B2838" t="s">
        <v>39</v>
      </c>
      <c r="C2838" t="s">
        <v>40</v>
      </c>
      <c r="D2838" t="s">
        <v>41</v>
      </c>
      <c r="E2838" t="s">
        <v>66</v>
      </c>
      <c r="F2838" t="s">
        <v>167</v>
      </c>
      <c r="G2838" t="s">
        <v>83</v>
      </c>
      <c r="H2838" s="1">
        <v>45297</v>
      </c>
      <c r="I2838" t="s">
        <v>64</v>
      </c>
      <c r="J2838" t="s">
        <v>2559</v>
      </c>
      <c r="K2838">
        <v>4</v>
      </c>
      <c r="N2838">
        <v>6643</v>
      </c>
      <c r="O2838">
        <v>30</v>
      </c>
      <c r="P2838" s="1">
        <v>45362</v>
      </c>
      <c r="Q2838" s="1"/>
      <c r="R2838" t="str">
        <f>IF(Table1[[#This Row],[Actual close date]]="","",Table1[[#This Row],[Actual close date]]-Table1[[#This Row],[Expected close date]])</f>
        <v/>
      </c>
    </row>
    <row r="2839" spans="1:18" x14ac:dyDescent="0.25">
      <c r="A2839" t="s">
        <v>2924</v>
      </c>
      <c r="B2839" t="s">
        <v>54</v>
      </c>
      <c r="C2839" t="s">
        <v>55</v>
      </c>
      <c r="D2839" t="s">
        <v>56</v>
      </c>
      <c r="E2839" t="s">
        <v>45</v>
      </c>
      <c r="F2839" t="s">
        <v>167</v>
      </c>
      <c r="G2839" t="s">
        <v>31</v>
      </c>
      <c r="H2839" s="1">
        <v>45369</v>
      </c>
      <c r="I2839" t="s">
        <v>64</v>
      </c>
      <c r="J2839" t="s">
        <v>2559</v>
      </c>
      <c r="K2839">
        <v>4</v>
      </c>
      <c r="N2839">
        <v>2087</v>
      </c>
      <c r="O2839">
        <v>50</v>
      </c>
      <c r="P2839" s="1">
        <v>45734</v>
      </c>
      <c r="Q2839" s="1"/>
      <c r="R2839" t="str">
        <f>IF(Table1[[#This Row],[Actual close date]]="","",Table1[[#This Row],[Actual close date]]-Table1[[#This Row],[Expected close date]])</f>
        <v/>
      </c>
    </row>
    <row r="2840" spans="1:18" x14ac:dyDescent="0.25">
      <c r="A2840" t="s">
        <v>2925</v>
      </c>
      <c r="B2840" t="s">
        <v>54</v>
      </c>
      <c r="C2840" t="s">
        <v>55</v>
      </c>
      <c r="D2840" t="s">
        <v>56</v>
      </c>
      <c r="E2840" t="s">
        <v>82</v>
      </c>
      <c r="F2840" t="s">
        <v>167</v>
      </c>
      <c r="G2840" t="s">
        <v>57</v>
      </c>
      <c r="H2840" s="1">
        <v>45405</v>
      </c>
      <c r="I2840" t="s">
        <v>64</v>
      </c>
      <c r="J2840" t="s">
        <v>2559</v>
      </c>
      <c r="K2840">
        <v>4</v>
      </c>
      <c r="N2840">
        <v>5674</v>
      </c>
      <c r="O2840">
        <v>30</v>
      </c>
      <c r="P2840" s="1">
        <v>45581</v>
      </c>
      <c r="Q2840" s="1"/>
      <c r="R2840" t="str">
        <f>IF(Table1[[#This Row],[Actual close date]]="","",Table1[[#This Row],[Actual close date]]-Table1[[#This Row],[Expected close date]])</f>
        <v/>
      </c>
    </row>
    <row r="2841" spans="1:18" x14ac:dyDescent="0.25">
      <c r="A2841" t="s">
        <v>2926</v>
      </c>
      <c r="B2841" t="s">
        <v>18</v>
      </c>
      <c r="C2841" t="s">
        <v>19</v>
      </c>
      <c r="D2841" t="s">
        <v>20</v>
      </c>
      <c r="E2841" t="s">
        <v>118</v>
      </c>
      <c r="F2841" t="s">
        <v>167</v>
      </c>
      <c r="G2841" t="s">
        <v>57</v>
      </c>
      <c r="H2841" s="1">
        <v>45375</v>
      </c>
      <c r="I2841" t="s">
        <v>64</v>
      </c>
      <c r="J2841" t="s">
        <v>2559</v>
      </c>
      <c r="K2841">
        <v>4</v>
      </c>
      <c r="N2841">
        <v>6083</v>
      </c>
      <c r="O2841">
        <v>20</v>
      </c>
      <c r="P2841" s="1">
        <v>45402</v>
      </c>
      <c r="Q2841" s="1"/>
      <c r="R2841" t="str">
        <f>IF(Table1[[#This Row],[Actual close date]]="","",Table1[[#This Row],[Actual close date]]-Table1[[#This Row],[Expected close date]])</f>
        <v/>
      </c>
    </row>
    <row r="2842" spans="1:18" x14ac:dyDescent="0.25">
      <c r="A2842" t="s">
        <v>2927</v>
      </c>
      <c r="B2842" t="s">
        <v>54</v>
      </c>
      <c r="C2842" t="s">
        <v>55</v>
      </c>
      <c r="D2842" t="s">
        <v>56</v>
      </c>
      <c r="E2842" t="s">
        <v>62</v>
      </c>
      <c r="F2842" t="s">
        <v>167</v>
      </c>
      <c r="G2842" t="s">
        <v>46</v>
      </c>
      <c r="H2842" s="1">
        <v>45301</v>
      </c>
      <c r="I2842" t="s">
        <v>24</v>
      </c>
      <c r="J2842" t="s">
        <v>2559</v>
      </c>
      <c r="K2842">
        <v>4</v>
      </c>
      <c r="N2842">
        <v>4081</v>
      </c>
      <c r="O2842">
        <v>50</v>
      </c>
      <c r="P2842" s="1">
        <v>45654</v>
      </c>
      <c r="Q2842" s="1"/>
      <c r="R2842" t="str">
        <f>IF(Table1[[#This Row],[Actual close date]]="","",Table1[[#This Row],[Actual close date]]-Table1[[#This Row],[Expected close date]])</f>
        <v/>
      </c>
    </row>
    <row r="2843" spans="1:18" x14ac:dyDescent="0.25">
      <c r="A2843" t="s">
        <v>2928</v>
      </c>
      <c r="B2843" t="s">
        <v>18</v>
      </c>
      <c r="C2843" t="s">
        <v>19</v>
      </c>
      <c r="D2843" t="s">
        <v>20</v>
      </c>
      <c r="E2843" t="s">
        <v>36</v>
      </c>
      <c r="F2843" t="s">
        <v>167</v>
      </c>
      <c r="G2843" t="s">
        <v>83</v>
      </c>
      <c r="H2843" s="1">
        <v>45424</v>
      </c>
      <c r="I2843" t="s">
        <v>64</v>
      </c>
      <c r="J2843" t="s">
        <v>2559</v>
      </c>
      <c r="K2843">
        <v>4</v>
      </c>
      <c r="N2843">
        <v>2431</v>
      </c>
      <c r="O2843">
        <v>50</v>
      </c>
      <c r="P2843" s="1">
        <v>45685</v>
      </c>
      <c r="Q2843" s="1"/>
      <c r="R2843" t="str">
        <f>IF(Table1[[#This Row],[Actual close date]]="","",Table1[[#This Row],[Actual close date]]-Table1[[#This Row],[Expected close date]])</f>
        <v/>
      </c>
    </row>
    <row r="2844" spans="1:18" x14ac:dyDescent="0.25">
      <c r="A2844" t="s">
        <v>2929</v>
      </c>
      <c r="B2844" t="s">
        <v>69</v>
      </c>
      <c r="C2844" t="s">
        <v>70</v>
      </c>
      <c r="D2844" t="s">
        <v>71</v>
      </c>
      <c r="E2844" t="s">
        <v>42</v>
      </c>
      <c r="F2844" t="s">
        <v>167</v>
      </c>
      <c r="G2844" t="s">
        <v>57</v>
      </c>
      <c r="H2844" s="1">
        <v>45388</v>
      </c>
      <c r="I2844" t="s">
        <v>24</v>
      </c>
      <c r="J2844" t="s">
        <v>2559</v>
      </c>
      <c r="K2844">
        <v>4</v>
      </c>
      <c r="N2844">
        <v>3478</v>
      </c>
      <c r="O2844">
        <v>60</v>
      </c>
      <c r="P2844" s="1">
        <v>45646</v>
      </c>
      <c r="Q2844" s="1"/>
      <c r="R2844" t="str">
        <f>IF(Table1[[#This Row],[Actual close date]]="","",Table1[[#This Row],[Actual close date]]-Table1[[#This Row],[Expected close date]])</f>
        <v/>
      </c>
    </row>
    <row r="2845" spans="1:18" x14ac:dyDescent="0.25">
      <c r="A2845" t="s">
        <v>2930</v>
      </c>
      <c r="B2845" t="s">
        <v>49</v>
      </c>
      <c r="C2845" t="s">
        <v>50</v>
      </c>
      <c r="D2845" t="s">
        <v>51</v>
      </c>
      <c r="E2845" t="s">
        <v>101</v>
      </c>
      <c r="F2845" t="s">
        <v>167</v>
      </c>
      <c r="G2845" t="s">
        <v>37</v>
      </c>
      <c r="H2845" s="1">
        <v>45390</v>
      </c>
      <c r="I2845" t="s">
        <v>64</v>
      </c>
      <c r="J2845" t="s">
        <v>2559</v>
      </c>
      <c r="K2845">
        <v>4</v>
      </c>
      <c r="N2845">
        <v>2072</v>
      </c>
      <c r="O2845">
        <v>30</v>
      </c>
      <c r="P2845" s="1">
        <v>45573</v>
      </c>
      <c r="Q2845" s="1"/>
      <c r="R2845" t="str">
        <f>IF(Table1[[#This Row],[Actual close date]]="","",Table1[[#This Row],[Actual close date]]-Table1[[#This Row],[Expected close date]])</f>
        <v/>
      </c>
    </row>
    <row r="2846" spans="1:18" x14ac:dyDescent="0.25">
      <c r="A2846" t="s">
        <v>2931</v>
      </c>
      <c r="B2846" t="s">
        <v>54</v>
      </c>
      <c r="C2846" t="s">
        <v>55</v>
      </c>
      <c r="D2846" t="s">
        <v>56</v>
      </c>
      <c r="E2846" t="s">
        <v>66</v>
      </c>
      <c r="F2846" t="s">
        <v>167</v>
      </c>
      <c r="G2846" t="s">
        <v>23</v>
      </c>
      <c r="H2846" s="1">
        <v>45411</v>
      </c>
      <c r="I2846" t="s">
        <v>47</v>
      </c>
      <c r="J2846" t="s">
        <v>2559</v>
      </c>
      <c r="K2846">
        <v>4</v>
      </c>
      <c r="N2846">
        <v>4837</v>
      </c>
      <c r="O2846">
        <v>40</v>
      </c>
      <c r="P2846" s="1">
        <v>45487</v>
      </c>
      <c r="Q2846" s="1"/>
      <c r="R2846" t="str">
        <f>IF(Table1[[#This Row],[Actual close date]]="","",Table1[[#This Row],[Actual close date]]-Table1[[#This Row],[Expected close date]])</f>
        <v/>
      </c>
    </row>
    <row r="2847" spans="1:18" x14ac:dyDescent="0.25">
      <c r="A2847" t="s">
        <v>2932</v>
      </c>
      <c r="B2847" t="s">
        <v>33</v>
      </c>
      <c r="C2847" t="s">
        <v>34</v>
      </c>
      <c r="D2847" t="s">
        <v>35</v>
      </c>
      <c r="E2847" t="s">
        <v>45</v>
      </c>
      <c r="F2847" t="s">
        <v>167</v>
      </c>
      <c r="G2847" t="s">
        <v>83</v>
      </c>
      <c r="H2847" s="1">
        <v>45390</v>
      </c>
      <c r="I2847" t="s">
        <v>64</v>
      </c>
      <c r="J2847" t="s">
        <v>2559</v>
      </c>
      <c r="K2847">
        <v>4</v>
      </c>
      <c r="N2847">
        <v>4322</v>
      </c>
      <c r="O2847">
        <v>50</v>
      </c>
      <c r="P2847" s="1">
        <v>45698</v>
      </c>
      <c r="Q2847" s="1"/>
      <c r="R2847" t="str">
        <f>IF(Table1[[#This Row],[Actual close date]]="","",Table1[[#This Row],[Actual close date]]-Table1[[#This Row],[Expected close date]])</f>
        <v/>
      </c>
    </row>
    <row r="2848" spans="1:18" x14ac:dyDescent="0.25">
      <c r="A2848" t="s">
        <v>2933</v>
      </c>
      <c r="B2848" t="s">
        <v>54</v>
      </c>
      <c r="C2848" t="s">
        <v>55</v>
      </c>
      <c r="D2848" t="s">
        <v>56</v>
      </c>
      <c r="E2848" t="s">
        <v>52</v>
      </c>
      <c r="F2848" t="s">
        <v>167</v>
      </c>
      <c r="G2848" t="s">
        <v>46</v>
      </c>
      <c r="H2848" s="1">
        <v>45334</v>
      </c>
      <c r="I2848" t="s">
        <v>64</v>
      </c>
      <c r="J2848" t="s">
        <v>2559</v>
      </c>
      <c r="K2848">
        <v>4</v>
      </c>
      <c r="N2848">
        <v>3220</v>
      </c>
      <c r="O2848">
        <v>30</v>
      </c>
      <c r="P2848" s="1">
        <v>45464</v>
      </c>
      <c r="Q2848" s="1"/>
      <c r="R2848" t="str">
        <f>IF(Table1[[#This Row],[Actual close date]]="","",Table1[[#This Row],[Actual close date]]-Table1[[#This Row],[Expected close date]])</f>
        <v/>
      </c>
    </row>
    <row r="2849" spans="1:18" x14ac:dyDescent="0.25">
      <c r="A2849" t="s">
        <v>2934</v>
      </c>
      <c r="B2849" t="s">
        <v>54</v>
      </c>
      <c r="C2849" t="s">
        <v>55</v>
      </c>
      <c r="D2849" t="s">
        <v>56</v>
      </c>
      <c r="E2849" t="s">
        <v>62</v>
      </c>
      <c r="F2849" t="s">
        <v>167</v>
      </c>
      <c r="G2849" t="s">
        <v>57</v>
      </c>
      <c r="H2849" s="1">
        <v>45345</v>
      </c>
      <c r="I2849" t="s">
        <v>47</v>
      </c>
      <c r="J2849" t="s">
        <v>2559</v>
      </c>
      <c r="K2849">
        <v>4</v>
      </c>
      <c r="N2849">
        <v>4427</v>
      </c>
      <c r="O2849">
        <v>10</v>
      </c>
      <c r="P2849" s="1">
        <v>45665</v>
      </c>
      <c r="Q2849" s="1"/>
      <c r="R2849" t="str">
        <f>IF(Table1[[#This Row],[Actual close date]]="","",Table1[[#This Row],[Actual close date]]-Table1[[#This Row],[Expected close date]])</f>
        <v/>
      </c>
    </row>
    <row r="2850" spans="1:18" x14ac:dyDescent="0.25">
      <c r="A2850" t="s">
        <v>2935</v>
      </c>
      <c r="B2850" t="s">
        <v>49</v>
      </c>
      <c r="C2850" t="s">
        <v>50</v>
      </c>
      <c r="D2850" t="s">
        <v>51</v>
      </c>
      <c r="E2850" t="s">
        <v>82</v>
      </c>
      <c r="F2850" t="s">
        <v>167</v>
      </c>
      <c r="G2850" t="s">
        <v>46</v>
      </c>
      <c r="H2850" s="1">
        <v>45333</v>
      </c>
      <c r="I2850" t="s">
        <v>47</v>
      </c>
      <c r="J2850" t="s">
        <v>2559</v>
      </c>
      <c r="K2850">
        <v>4</v>
      </c>
      <c r="N2850">
        <v>6006</v>
      </c>
      <c r="O2850">
        <v>40</v>
      </c>
      <c r="P2850" s="1">
        <v>45554</v>
      </c>
      <c r="Q2850" s="1"/>
      <c r="R2850" t="str">
        <f>IF(Table1[[#This Row],[Actual close date]]="","",Table1[[#This Row],[Actual close date]]-Table1[[#This Row],[Expected close date]])</f>
        <v/>
      </c>
    </row>
    <row r="2851" spans="1:18" x14ac:dyDescent="0.25">
      <c r="A2851" t="s">
        <v>2936</v>
      </c>
      <c r="B2851" t="s">
        <v>76</v>
      </c>
      <c r="C2851" t="s">
        <v>77</v>
      </c>
      <c r="D2851" t="s">
        <v>78</v>
      </c>
      <c r="E2851" t="s">
        <v>122</v>
      </c>
      <c r="F2851" t="s">
        <v>167</v>
      </c>
      <c r="G2851" t="s">
        <v>46</v>
      </c>
      <c r="H2851" s="1">
        <v>45365</v>
      </c>
      <c r="I2851" t="s">
        <v>64</v>
      </c>
      <c r="J2851" t="s">
        <v>2559</v>
      </c>
      <c r="K2851">
        <v>4</v>
      </c>
      <c r="N2851">
        <v>5823</v>
      </c>
      <c r="O2851">
        <v>60</v>
      </c>
      <c r="P2851" s="1">
        <v>45638</v>
      </c>
      <c r="Q2851" s="1"/>
      <c r="R2851" t="str">
        <f>IF(Table1[[#This Row],[Actual close date]]="","",Table1[[#This Row],[Actual close date]]-Table1[[#This Row],[Expected close date]])</f>
        <v/>
      </c>
    </row>
    <row r="2852" spans="1:18" x14ac:dyDescent="0.25">
      <c r="A2852" t="s">
        <v>2937</v>
      </c>
      <c r="B2852" t="s">
        <v>76</v>
      </c>
      <c r="C2852" t="s">
        <v>77</v>
      </c>
      <c r="D2852" t="s">
        <v>78</v>
      </c>
      <c r="E2852" t="s">
        <v>45</v>
      </c>
      <c r="F2852" t="s">
        <v>167</v>
      </c>
      <c r="G2852" t="s">
        <v>23</v>
      </c>
      <c r="H2852" s="1">
        <v>45311</v>
      </c>
      <c r="I2852" t="s">
        <v>64</v>
      </c>
      <c r="J2852" t="s">
        <v>2559</v>
      </c>
      <c r="K2852">
        <v>4</v>
      </c>
      <c r="N2852">
        <v>6192</v>
      </c>
      <c r="O2852">
        <v>80</v>
      </c>
      <c r="P2852" s="1">
        <v>45533</v>
      </c>
      <c r="Q2852" s="1"/>
      <c r="R2852" t="str">
        <f>IF(Table1[[#This Row],[Actual close date]]="","",Table1[[#This Row],[Actual close date]]-Table1[[#This Row],[Expected close date]])</f>
        <v/>
      </c>
    </row>
    <row r="2853" spans="1:18" x14ac:dyDescent="0.25">
      <c r="A2853" t="s">
        <v>2938</v>
      </c>
      <c r="B2853" t="s">
        <v>76</v>
      </c>
      <c r="C2853" t="s">
        <v>77</v>
      </c>
      <c r="D2853" t="s">
        <v>78</v>
      </c>
      <c r="E2853" t="s">
        <v>52</v>
      </c>
      <c r="F2853" t="s">
        <v>167</v>
      </c>
      <c r="G2853" t="s">
        <v>37</v>
      </c>
      <c r="H2853" s="1">
        <v>45383</v>
      </c>
      <c r="I2853" t="s">
        <v>47</v>
      </c>
      <c r="J2853" t="s">
        <v>2559</v>
      </c>
      <c r="K2853">
        <v>4</v>
      </c>
      <c r="N2853">
        <v>6839</v>
      </c>
      <c r="O2853">
        <v>80</v>
      </c>
      <c r="P2853" s="1">
        <v>45529</v>
      </c>
      <c r="Q2853" s="1"/>
      <c r="R2853" t="str">
        <f>IF(Table1[[#This Row],[Actual close date]]="","",Table1[[#This Row],[Actual close date]]-Table1[[#This Row],[Expected close date]])</f>
        <v/>
      </c>
    </row>
    <row r="2854" spans="1:18" x14ac:dyDescent="0.25">
      <c r="A2854" t="s">
        <v>2939</v>
      </c>
      <c r="B2854" t="s">
        <v>39</v>
      </c>
      <c r="C2854" t="s">
        <v>40</v>
      </c>
      <c r="D2854" t="s">
        <v>41</v>
      </c>
      <c r="E2854" t="s">
        <v>74</v>
      </c>
      <c r="F2854" t="s">
        <v>167</v>
      </c>
      <c r="G2854" t="s">
        <v>37</v>
      </c>
      <c r="H2854" s="1">
        <v>45372</v>
      </c>
      <c r="I2854" t="s">
        <v>64</v>
      </c>
      <c r="J2854" t="s">
        <v>2559</v>
      </c>
      <c r="K2854">
        <v>4</v>
      </c>
      <c r="N2854">
        <v>1169</v>
      </c>
      <c r="O2854">
        <v>40</v>
      </c>
      <c r="P2854" s="1">
        <v>45402</v>
      </c>
      <c r="Q2854" s="1"/>
      <c r="R2854" t="str">
        <f>IF(Table1[[#This Row],[Actual close date]]="","",Table1[[#This Row],[Actual close date]]-Table1[[#This Row],[Expected close date]])</f>
        <v/>
      </c>
    </row>
    <row r="2855" spans="1:18" x14ac:dyDescent="0.25">
      <c r="A2855" t="s">
        <v>2940</v>
      </c>
      <c r="B2855" t="s">
        <v>39</v>
      </c>
      <c r="C2855" t="s">
        <v>40</v>
      </c>
      <c r="D2855" t="s">
        <v>41</v>
      </c>
      <c r="E2855" t="s">
        <v>36</v>
      </c>
      <c r="F2855" t="s">
        <v>167</v>
      </c>
      <c r="G2855" t="s">
        <v>23</v>
      </c>
      <c r="H2855" s="1">
        <v>45399</v>
      </c>
      <c r="I2855" t="s">
        <v>64</v>
      </c>
      <c r="J2855" t="s">
        <v>2559</v>
      </c>
      <c r="K2855">
        <v>4</v>
      </c>
      <c r="N2855">
        <v>5999</v>
      </c>
      <c r="O2855">
        <v>50</v>
      </c>
      <c r="P2855" s="1">
        <v>45466</v>
      </c>
      <c r="Q2855" s="1"/>
      <c r="R2855" t="str">
        <f>IF(Table1[[#This Row],[Actual close date]]="","",Table1[[#This Row],[Actual close date]]-Table1[[#This Row],[Expected close date]])</f>
        <v/>
      </c>
    </row>
    <row r="2856" spans="1:18" x14ac:dyDescent="0.25">
      <c r="A2856" t="s">
        <v>2941</v>
      </c>
      <c r="B2856" t="s">
        <v>49</v>
      </c>
      <c r="C2856" t="s">
        <v>50</v>
      </c>
      <c r="D2856" t="s">
        <v>51</v>
      </c>
      <c r="E2856" t="s">
        <v>45</v>
      </c>
      <c r="F2856" t="s">
        <v>167</v>
      </c>
      <c r="G2856" t="s">
        <v>46</v>
      </c>
      <c r="H2856" s="1">
        <v>45376</v>
      </c>
      <c r="I2856" t="s">
        <v>64</v>
      </c>
      <c r="J2856" t="s">
        <v>2559</v>
      </c>
      <c r="K2856">
        <v>4</v>
      </c>
      <c r="N2856">
        <v>3010</v>
      </c>
      <c r="O2856">
        <v>10</v>
      </c>
      <c r="P2856" s="1">
        <v>45551</v>
      </c>
      <c r="Q2856" s="1"/>
      <c r="R2856" t="str">
        <f>IF(Table1[[#This Row],[Actual close date]]="","",Table1[[#This Row],[Actual close date]]-Table1[[#This Row],[Expected close date]])</f>
        <v/>
      </c>
    </row>
    <row r="2857" spans="1:18" x14ac:dyDescent="0.25">
      <c r="A2857" t="s">
        <v>2942</v>
      </c>
      <c r="B2857" t="s">
        <v>33</v>
      </c>
      <c r="C2857" t="s">
        <v>34</v>
      </c>
      <c r="D2857" t="s">
        <v>35</v>
      </c>
      <c r="E2857" t="s">
        <v>52</v>
      </c>
      <c r="F2857" t="s">
        <v>167</v>
      </c>
      <c r="G2857" t="s">
        <v>46</v>
      </c>
      <c r="H2857" s="1">
        <v>45322</v>
      </c>
      <c r="I2857" t="s">
        <v>24</v>
      </c>
      <c r="J2857" t="s">
        <v>2559</v>
      </c>
      <c r="K2857">
        <v>4</v>
      </c>
      <c r="N2857">
        <v>7709</v>
      </c>
      <c r="O2857">
        <v>70</v>
      </c>
      <c r="P2857" s="1">
        <v>45382</v>
      </c>
      <c r="Q2857" s="1"/>
      <c r="R2857" t="str">
        <f>IF(Table1[[#This Row],[Actual close date]]="","",Table1[[#This Row],[Actual close date]]-Table1[[#This Row],[Expected close date]])</f>
        <v/>
      </c>
    </row>
    <row r="2858" spans="1:18" x14ac:dyDescent="0.25">
      <c r="A2858" t="s">
        <v>2943</v>
      </c>
      <c r="B2858" t="s">
        <v>69</v>
      </c>
      <c r="C2858" t="s">
        <v>70</v>
      </c>
      <c r="D2858" t="s">
        <v>71</v>
      </c>
      <c r="E2858" t="s">
        <v>42</v>
      </c>
      <c r="F2858" t="s">
        <v>167</v>
      </c>
      <c r="G2858" t="s">
        <v>72</v>
      </c>
      <c r="H2858" s="1">
        <v>45356</v>
      </c>
      <c r="I2858" t="s">
        <v>24</v>
      </c>
      <c r="J2858" t="s">
        <v>2559</v>
      </c>
      <c r="K2858">
        <v>4</v>
      </c>
      <c r="N2858">
        <v>7536</v>
      </c>
      <c r="O2858">
        <v>40</v>
      </c>
      <c r="P2858" s="1">
        <v>45545</v>
      </c>
      <c r="Q2858" s="1"/>
      <c r="R2858" t="str">
        <f>IF(Table1[[#This Row],[Actual close date]]="","",Table1[[#This Row],[Actual close date]]-Table1[[#This Row],[Expected close date]])</f>
        <v/>
      </c>
    </row>
    <row r="2859" spans="1:18" x14ac:dyDescent="0.25">
      <c r="A2859" t="s">
        <v>2944</v>
      </c>
      <c r="B2859" t="s">
        <v>59</v>
      </c>
      <c r="C2859" t="s">
        <v>60</v>
      </c>
      <c r="D2859" t="s">
        <v>61</v>
      </c>
      <c r="E2859" t="s">
        <v>45</v>
      </c>
      <c r="F2859" t="s">
        <v>167</v>
      </c>
      <c r="G2859" t="s">
        <v>72</v>
      </c>
      <c r="H2859" s="1">
        <v>45299</v>
      </c>
      <c r="I2859" t="s">
        <v>24</v>
      </c>
      <c r="J2859" t="s">
        <v>2559</v>
      </c>
      <c r="K2859">
        <v>4</v>
      </c>
      <c r="N2859">
        <v>1519</v>
      </c>
      <c r="O2859">
        <v>20</v>
      </c>
      <c r="P2859" s="1">
        <v>45407</v>
      </c>
      <c r="Q2859" s="1"/>
      <c r="R2859" t="str">
        <f>IF(Table1[[#This Row],[Actual close date]]="","",Table1[[#This Row],[Actual close date]]-Table1[[#This Row],[Expected close date]])</f>
        <v/>
      </c>
    </row>
    <row r="2860" spans="1:18" x14ac:dyDescent="0.25">
      <c r="A2860" t="s">
        <v>2945</v>
      </c>
      <c r="B2860" t="s">
        <v>33</v>
      </c>
      <c r="C2860" t="s">
        <v>34</v>
      </c>
      <c r="D2860" t="s">
        <v>35</v>
      </c>
      <c r="E2860" t="s">
        <v>118</v>
      </c>
      <c r="F2860" t="s">
        <v>167</v>
      </c>
      <c r="G2860" t="s">
        <v>46</v>
      </c>
      <c r="H2860" s="1">
        <v>45424</v>
      </c>
      <c r="I2860" t="s">
        <v>64</v>
      </c>
      <c r="J2860" t="s">
        <v>2559</v>
      </c>
      <c r="K2860">
        <v>4</v>
      </c>
      <c r="N2860">
        <v>2395</v>
      </c>
      <c r="O2860">
        <v>40</v>
      </c>
      <c r="P2860" s="1">
        <v>45708</v>
      </c>
      <c r="Q2860" s="1"/>
      <c r="R2860" t="str">
        <f>IF(Table1[[#This Row],[Actual close date]]="","",Table1[[#This Row],[Actual close date]]-Table1[[#This Row],[Expected close date]])</f>
        <v/>
      </c>
    </row>
    <row r="2861" spans="1:18" x14ac:dyDescent="0.25">
      <c r="A2861" t="s">
        <v>2946</v>
      </c>
      <c r="B2861" t="s">
        <v>33</v>
      </c>
      <c r="C2861" t="s">
        <v>34</v>
      </c>
      <c r="D2861" t="s">
        <v>35</v>
      </c>
      <c r="E2861" t="s">
        <v>21</v>
      </c>
      <c r="F2861" t="s">
        <v>167</v>
      </c>
      <c r="G2861" t="s">
        <v>37</v>
      </c>
      <c r="H2861" s="1">
        <v>45345</v>
      </c>
      <c r="I2861" t="s">
        <v>64</v>
      </c>
      <c r="J2861" t="s">
        <v>2559</v>
      </c>
      <c r="K2861">
        <v>4</v>
      </c>
      <c r="N2861">
        <v>233</v>
      </c>
      <c r="O2861">
        <v>20</v>
      </c>
      <c r="P2861" s="1">
        <v>45407</v>
      </c>
      <c r="Q2861" s="1"/>
      <c r="R2861" t="str">
        <f>IF(Table1[[#This Row],[Actual close date]]="","",Table1[[#This Row],[Actual close date]]-Table1[[#This Row],[Expected close date]])</f>
        <v/>
      </c>
    </row>
    <row r="2862" spans="1:18" x14ac:dyDescent="0.25">
      <c r="A2862" t="s">
        <v>2947</v>
      </c>
      <c r="B2862" t="s">
        <v>54</v>
      </c>
      <c r="C2862" t="s">
        <v>55</v>
      </c>
      <c r="D2862" t="s">
        <v>56</v>
      </c>
      <c r="E2862" t="s">
        <v>82</v>
      </c>
      <c r="F2862" t="s">
        <v>167</v>
      </c>
      <c r="G2862" t="s">
        <v>57</v>
      </c>
      <c r="H2862" s="1">
        <v>45393</v>
      </c>
      <c r="I2862" t="s">
        <v>24</v>
      </c>
      <c r="J2862" t="s">
        <v>2559</v>
      </c>
      <c r="K2862">
        <v>4</v>
      </c>
      <c r="N2862">
        <v>7912</v>
      </c>
      <c r="O2862">
        <v>30</v>
      </c>
      <c r="P2862" s="1">
        <v>45627</v>
      </c>
      <c r="Q2862" s="1"/>
      <c r="R2862" t="str">
        <f>IF(Table1[[#This Row],[Actual close date]]="","",Table1[[#This Row],[Actual close date]]-Table1[[#This Row],[Expected close date]])</f>
        <v/>
      </c>
    </row>
    <row r="2863" spans="1:18" x14ac:dyDescent="0.25">
      <c r="A2863" t="s">
        <v>2948</v>
      </c>
      <c r="B2863" t="s">
        <v>59</v>
      </c>
      <c r="C2863" t="s">
        <v>60</v>
      </c>
      <c r="D2863" t="s">
        <v>61</v>
      </c>
      <c r="E2863" t="s">
        <v>52</v>
      </c>
      <c r="F2863" t="s">
        <v>167</v>
      </c>
      <c r="G2863" t="s">
        <v>37</v>
      </c>
      <c r="H2863" s="1">
        <v>45360</v>
      </c>
      <c r="I2863" t="s">
        <v>64</v>
      </c>
      <c r="J2863" t="s">
        <v>2559</v>
      </c>
      <c r="K2863">
        <v>4</v>
      </c>
      <c r="N2863">
        <v>6599</v>
      </c>
      <c r="O2863">
        <v>30</v>
      </c>
      <c r="P2863" s="1">
        <v>45653</v>
      </c>
      <c r="Q2863" s="1"/>
      <c r="R2863" t="str">
        <f>IF(Table1[[#This Row],[Actual close date]]="","",Table1[[#This Row],[Actual close date]]-Table1[[#This Row],[Expected close date]])</f>
        <v/>
      </c>
    </row>
    <row r="2864" spans="1:18" x14ac:dyDescent="0.25">
      <c r="A2864" t="s">
        <v>2949</v>
      </c>
      <c r="B2864" t="s">
        <v>27</v>
      </c>
      <c r="C2864" t="s">
        <v>28</v>
      </c>
      <c r="D2864" t="s">
        <v>29</v>
      </c>
      <c r="E2864" t="s">
        <v>45</v>
      </c>
      <c r="F2864" t="s">
        <v>167</v>
      </c>
      <c r="G2864" t="s">
        <v>46</v>
      </c>
      <c r="H2864" s="1">
        <v>45359</v>
      </c>
      <c r="I2864" t="s">
        <v>64</v>
      </c>
      <c r="J2864" t="s">
        <v>2559</v>
      </c>
      <c r="K2864">
        <v>4</v>
      </c>
      <c r="N2864">
        <v>3653</v>
      </c>
      <c r="O2864">
        <v>10</v>
      </c>
      <c r="P2864" s="1">
        <v>45517</v>
      </c>
      <c r="Q2864" s="1"/>
      <c r="R2864" t="str">
        <f>IF(Table1[[#This Row],[Actual close date]]="","",Table1[[#This Row],[Actual close date]]-Table1[[#This Row],[Expected close date]])</f>
        <v/>
      </c>
    </row>
    <row r="2865" spans="1:18" x14ac:dyDescent="0.25">
      <c r="A2865" t="s">
        <v>2950</v>
      </c>
      <c r="B2865" t="s">
        <v>76</v>
      </c>
      <c r="C2865" t="s">
        <v>77</v>
      </c>
      <c r="D2865" t="s">
        <v>78</v>
      </c>
      <c r="E2865" t="s">
        <v>21</v>
      </c>
      <c r="F2865" t="s">
        <v>167</v>
      </c>
      <c r="G2865" t="s">
        <v>72</v>
      </c>
      <c r="H2865" s="1">
        <v>45397</v>
      </c>
      <c r="I2865" t="s">
        <v>24</v>
      </c>
      <c r="J2865" t="s">
        <v>2559</v>
      </c>
      <c r="K2865">
        <v>4</v>
      </c>
      <c r="N2865">
        <v>6335</v>
      </c>
      <c r="O2865">
        <v>40</v>
      </c>
      <c r="P2865" s="1">
        <v>45684</v>
      </c>
      <c r="Q2865" s="1"/>
      <c r="R2865" t="str">
        <f>IF(Table1[[#This Row],[Actual close date]]="","",Table1[[#This Row],[Actual close date]]-Table1[[#This Row],[Expected close date]])</f>
        <v/>
      </c>
    </row>
    <row r="2866" spans="1:18" x14ac:dyDescent="0.25">
      <c r="A2866" t="s">
        <v>2951</v>
      </c>
      <c r="B2866" t="s">
        <v>76</v>
      </c>
      <c r="C2866" t="s">
        <v>77</v>
      </c>
      <c r="D2866" t="s">
        <v>78</v>
      </c>
      <c r="E2866" t="s">
        <v>45</v>
      </c>
      <c r="F2866" t="s">
        <v>167</v>
      </c>
      <c r="G2866" t="s">
        <v>46</v>
      </c>
      <c r="H2866" s="1">
        <v>45311</v>
      </c>
      <c r="I2866" t="s">
        <v>64</v>
      </c>
      <c r="J2866" t="s">
        <v>2559</v>
      </c>
      <c r="K2866">
        <v>4</v>
      </c>
      <c r="N2866">
        <v>5823</v>
      </c>
      <c r="O2866">
        <v>50</v>
      </c>
      <c r="P2866" s="1">
        <v>45545</v>
      </c>
      <c r="Q2866" s="1"/>
      <c r="R2866" t="str">
        <f>IF(Table1[[#This Row],[Actual close date]]="","",Table1[[#This Row],[Actual close date]]-Table1[[#This Row],[Expected close date]])</f>
        <v/>
      </c>
    </row>
    <row r="2867" spans="1:18" x14ac:dyDescent="0.25">
      <c r="A2867" t="s">
        <v>2952</v>
      </c>
      <c r="B2867" t="s">
        <v>27</v>
      </c>
      <c r="C2867" t="s">
        <v>28</v>
      </c>
      <c r="D2867" t="s">
        <v>29</v>
      </c>
      <c r="E2867" t="s">
        <v>30</v>
      </c>
      <c r="F2867" t="s">
        <v>167</v>
      </c>
      <c r="G2867" t="s">
        <v>46</v>
      </c>
      <c r="H2867" s="1">
        <v>45401</v>
      </c>
      <c r="I2867" t="s">
        <v>64</v>
      </c>
      <c r="J2867" t="s">
        <v>2559</v>
      </c>
      <c r="K2867">
        <v>4</v>
      </c>
      <c r="N2867">
        <v>520</v>
      </c>
      <c r="O2867">
        <v>80</v>
      </c>
      <c r="P2867" s="1">
        <v>45492</v>
      </c>
      <c r="Q2867" s="1"/>
      <c r="R2867" t="str">
        <f>IF(Table1[[#This Row],[Actual close date]]="","",Table1[[#This Row],[Actual close date]]-Table1[[#This Row],[Expected close date]])</f>
        <v/>
      </c>
    </row>
    <row r="2868" spans="1:18" x14ac:dyDescent="0.25">
      <c r="A2868" t="s">
        <v>2953</v>
      </c>
      <c r="B2868" t="s">
        <v>33</v>
      </c>
      <c r="C2868" t="s">
        <v>34</v>
      </c>
      <c r="D2868" t="s">
        <v>35</v>
      </c>
      <c r="E2868" t="s">
        <v>21</v>
      </c>
      <c r="F2868" t="s">
        <v>167</v>
      </c>
      <c r="G2868" t="s">
        <v>46</v>
      </c>
      <c r="H2868" s="1">
        <v>45413</v>
      </c>
      <c r="I2868" t="s">
        <v>64</v>
      </c>
      <c r="J2868" t="s">
        <v>2559</v>
      </c>
      <c r="K2868">
        <v>4</v>
      </c>
      <c r="N2868">
        <v>2511</v>
      </c>
      <c r="O2868">
        <v>10</v>
      </c>
      <c r="P2868" s="1">
        <v>45738</v>
      </c>
      <c r="Q2868" s="1"/>
      <c r="R2868" t="str">
        <f>IF(Table1[[#This Row],[Actual close date]]="","",Table1[[#This Row],[Actual close date]]-Table1[[#This Row],[Expected close date]])</f>
        <v/>
      </c>
    </row>
    <row r="2869" spans="1:18" x14ac:dyDescent="0.25">
      <c r="A2869" t="s">
        <v>2954</v>
      </c>
      <c r="B2869" t="s">
        <v>54</v>
      </c>
      <c r="C2869" t="s">
        <v>55</v>
      </c>
      <c r="D2869" t="s">
        <v>56</v>
      </c>
      <c r="E2869" t="s">
        <v>52</v>
      </c>
      <c r="F2869" t="s">
        <v>167</v>
      </c>
      <c r="G2869" t="s">
        <v>46</v>
      </c>
      <c r="H2869" s="1">
        <v>45294</v>
      </c>
      <c r="I2869" t="s">
        <v>24</v>
      </c>
      <c r="J2869" t="s">
        <v>2559</v>
      </c>
      <c r="K2869">
        <v>4</v>
      </c>
      <c r="N2869">
        <v>5998</v>
      </c>
      <c r="O2869">
        <v>100</v>
      </c>
      <c r="P2869" s="1">
        <v>45576</v>
      </c>
      <c r="Q2869" s="1"/>
      <c r="R2869" t="str">
        <f>IF(Table1[[#This Row],[Actual close date]]="","",Table1[[#This Row],[Actual close date]]-Table1[[#This Row],[Expected close date]])</f>
        <v/>
      </c>
    </row>
    <row r="2870" spans="1:18" x14ac:dyDescent="0.25">
      <c r="A2870" t="s">
        <v>2955</v>
      </c>
      <c r="B2870" t="s">
        <v>54</v>
      </c>
      <c r="C2870" t="s">
        <v>55</v>
      </c>
      <c r="D2870" t="s">
        <v>56</v>
      </c>
      <c r="E2870" t="s">
        <v>122</v>
      </c>
      <c r="F2870" t="s">
        <v>167</v>
      </c>
      <c r="G2870" t="s">
        <v>37</v>
      </c>
      <c r="H2870" s="1">
        <v>45401</v>
      </c>
      <c r="I2870" t="s">
        <v>24</v>
      </c>
      <c r="J2870" t="s">
        <v>2559</v>
      </c>
      <c r="K2870">
        <v>4</v>
      </c>
      <c r="N2870">
        <v>2733</v>
      </c>
      <c r="O2870">
        <v>30</v>
      </c>
      <c r="P2870" s="1">
        <v>45715</v>
      </c>
      <c r="Q2870" s="1"/>
      <c r="R2870" t="str">
        <f>IF(Table1[[#This Row],[Actual close date]]="","",Table1[[#This Row],[Actual close date]]-Table1[[#This Row],[Expected close date]])</f>
        <v/>
      </c>
    </row>
    <row r="2871" spans="1:18" x14ac:dyDescent="0.25">
      <c r="A2871" t="s">
        <v>2956</v>
      </c>
      <c r="B2871" t="s">
        <v>39</v>
      </c>
      <c r="C2871" t="s">
        <v>40</v>
      </c>
      <c r="D2871" t="s">
        <v>41</v>
      </c>
      <c r="E2871" t="s">
        <v>122</v>
      </c>
      <c r="F2871" t="s">
        <v>167</v>
      </c>
      <c r="G2871" t="s">
        <v>46</v>
      </c>
      <c r="H2871" s="1">
        <v>45320</v>
      </c>
      <c r="I2871" t="s">
        <v>24</v>
      </c>
      <c r="J2871" t="s">
        <v>2559</v>
      </c>
      <c r="K2871">
        <v>4</v>
      </c>
      <c r="N2871">
        <v>7415</v>
      </c>
      <c r="O2871">
        <v>80</v>
      </c>
      <c r="P2871" s="1">
        <v>45457</v>
      </c>
      <c r="Q2871" s="1"/>
      <c r="R2871" t="str">
        <f>IF(Table1[[#This Row],[Actual close date]]="","",Table1[[#This Row],[Actual close date]]-Table1[[#This Row],[Expected close date]])</f>
        <v/>
      </c>
    </row>
    <row r="2872" spans="1:18" x14ac:dyDescent="0.25">
      <c r="A2872" t="s">
        <v>2957</v>
      </c>
      <c r="B2872" t="s">
        <v>76</v>
      </c>
      <c r="C2872" t="s">
        <v>77</v>
      </c>
      <c r="D2872" t="s">
        <v>78</v>
      </c>
      <c r="E2872" t="s">
        <v>36</v>
      </c>
      <c r="F2872" t="s">
        <v>167</v>
      </c>
      <c r="G2872" t="s">
        <v>85</v>
      </c>
      <c r="H2872" s="1">
        <v>45357</v>
      </c>
      <c r="I2872" t="s">
        <v>64</v>
      </c>
      <c r="J2872" t="s">
        <v>2559</v>
      </c>
      <c r="K2872">
        <v>4</v>
      </c>
      <c r="N2872">
        <v>6237</v>
      </c>
      <c r="O2872">
        <v>30</v>
      </c>
      <c r="P2872" s="1">
        <v>45458</v>
      </c>
      <c r="Q2872" s="1"/>
      <c r="R2872" t="str">
        <f>IF(Table1[[#This Row],[Actual close date]]="","",Table1[[#This Row],[Actual close date]]-Table1[[#This Row],[Expected close date]])</f>
        <v/>
      </c>
    </row>
    <row r="2873" spans="1:18" x14ac:dyDescent="0.25">
      <c r="A2873" t="s">
        <v>2958</v>
      </c>
      <c r="B2873" t="s">
        <v>54</v>
      </c>
      <c r="C2873" t="s">
        <v>55</v>
      </c>
      <c r="D2873" t="s">
        <v>56</v>
      </c>
      <c r="E2873" t="s">
        <v>42</v>
      </c>
      <c r="F2873" t="s">
        <v>167</v>
      </c>
      <c r="G2873" t="s">
        <v>23</v>
      </c>
      <c r="H2873" s="1">
        <v>45440</v>
      </c>
      <c r="I2873" t="s">
        <v>47</v>
      </c>
      <c r="J2873" t="s">
        <v>2559</v>
      </c>
      <c r="K2873">
        <v>4</v>
      </c>
      <c r="N2873">
        <v>822</v>
      </c>
      <c r="O2873">
        <v>20</v>
      </c>
      <c r="P2873" s="1">
        <v>45595</v>
      </c>
      <c r="Q2873" s="1"/>
      <c r="R2873" t="str">
        <f>IF(Table1[[#This Row],[Actual close date]]="","",Table1[[#This Row],[Actual close date]]-Table1[[#This Row],[Expected close date]])</f>
        <v/>
      </c>
    </row>
    <row r="2874" spans="1:18" x14ac:dyDescent="0.25">
      <c r="A2874" t="s">
        <v>2959</v>
      </c>
      <c r="B2874" t="s">
        <v>59</v>
      </c>
      <c r="C2874" t="s">
        <v>60</v>
      </c>
      <c r="D2874" t="s">
        <v>61</v>
      </c>
      <c r="E2874" t="s">
        <v>74</v>
      </c>
      <c r="F2874" t="s">
        <v>167</v>
      </c>
      <c r="G2874" t="s">
        <v>37</v>
      </c>
      <c r="H2874" s="1">
        <v>45414</v>
      </c>
      <c r="I2874" t="s">
        <v>64</v>
      </c>
      <c r="J2874" t="s">
        <v>2559</v>
      </c>
      <c r="K2874">
        <v>4</v>
      </c>
      <c r="N2874">
        <v>4686</v>
      </c>
      <c r="O2874">
        <v>30</v>
      </c>
      <c r="P2874" s="1">
        <v>45456</v>
      </c>
      <c r="Q2874" s="1"/>
      <c r="R2874" t="str">
        <f>IF(Table1[[#This Row],[Actual close date]]="","",Table1[[#This Row],[Actual close date]]-Table1[[#This Row],[Expected close date]])</f>
        <v/>
      </c>
    </row>
    <row r="2875" spans="1:18" x14ac:dyDescent="0.25">
      <c r="A2875" t="s">
        <v>2960</v>
      </c>
      <c r="B2875" t="s">
        <v>39</v>
      </c>
      <c r="C2875" t="s">
        <v>40</v>
      </c>
      <c r="D2875" t="s">
        <v>41</v>
      </c>
      <c r="E2875" t="s">
        <v>21</v>
      </c>
      <c r="F2875" t="s">
        <v>167</v>
      </c>
      <c r="G2875" t="s">
        <v>57</v>
      </c>
      <c r="H2875" s="1">
        <v>45442</v>
      </c>
      <c r="I2875" t="s">
        <v>64</v>
      </c>
      <c r="J2875" t="s">
        <v>2559</v>
      </c>
      <c r="K2875">
        <v>4</v>
      </c>
      <c r="N2875">
        <v>6335</v>
      </c>
      <c r="O2875">
        <v>50</v>
      </c>
      <c r="P2875" s="1">
        <v>45662</v>
      </c>
      <c r="Q2875" s="1"/>
      <c r="R2875" t="str">
        <f>IF(Table1[[#This Row],[Actual close date]]="","",Table1[[#This Row],[Actual close date]]-Table1[[#This Row],[Expected close date]])</f>
        <v/>
      </c>
    </row>
    <row r="2876" spans="1:18" x14ac:dyDescent="0.25">
      <c r="A2876" t="s">
        <v>2961</v>
      </c>
      <c r="B2876" t="s">
        <v>27</v>
      </c>
      <c r="C2876" t="s">
        <v>28</v>
      </c>
      <c r="D2876" t="s">
        <v>29</v>
      </c>
      <c r="E2876" t="s">
        <v>52</v>
      </c>
      <c r="F2876" t="s">
        <v>167</v>
      </c>
      <c r="G2876" t="s">
        <v>37</v>
      </c>
      <c r="H2876" s="1">
        <v>45300</v>
      </c>
      <c r="I2876" t="s">
        <v>24</v>
      </c>
      <c r="J2876" t="s">
        <v>2559</v>
      </c>
      <c r="K2876">
        <v>4</v>
      </c>
      <c r="N2876">
        <v>367</v>
      </c>
      <c r="O2876">
        <v>20</v>
      </c>
      <c r="P2876" s="1">
        <v>45641</v>
      </c>
      <c r="Q2876" s="1"/>
      <c r="R2876" t="str">
        <f>IF(Table1[[#This Row],[Actual close date]]="","",Table1[[#This Row],[Actual close date]]-Table1[[#This Row],[Expected close date]])</f>
        <v/>
      </c>
    </row>
    <row r="2877" spans="1:18" x14ac:dyDescent="0.25">
      <c r="A2877" t="s">
        <v>2962</v>
      </c>
      <c r="B2877" t="s">
        <v>54</v>
      </c>
      <c r="C2877" t="s">
        <v>55</v>
      </c>
      <c r="D2877" t="s">
        <v>56</v>
      </c>
      <c r="E2877" t="s">
        <v>52</v>
      </c>
      <c r="F2877" t="s">
        <v>167</v>
      </c>
      <c r="G2877" t="s">
        <v>31</v>
      </c>
      <c r="H2877" s="1">
        <v>45307</v>
      </c>
      <c r="I2877" t="s">
        <v>24</v>
      </c>
      <c r="J2877" t="s">
        <v>2559</v>
      </c>
      <c r="K2877">
        <v>4</v>
      </c>
      <c r="N2877">
        <v>6868</v>
      </c>
      <c r="O2877">
        <v>50</v>
      </c>
      <c r="P2877" s="1">
        <v>45593</v>
      </c>
      <c r="Q2877" s="1"/>
      <c r="R2877" t="str">
        <f>IF(Table1[[#This Row],[Actual close date]]="","",Table1[[#This Row],[Actual close date]]-Table1[[#This Row],[Expected close date]])</f>
        <v/>
      </c>
    </row>
    <row r="2878" spans="1:18" x14ac:dyDescent="0.25">
      <c r="A2878" t="s">
        <v>2963</v>
      </c>
      <c r="B2878" t="s">
        <v>39</v>
      </c>
      <c r="C2878" t="s">
        <v>40</v>
      </c>
      <c r="D2878" t="s">
        <v>41</v>
      </c>
      <c r="E2878" t="s">
        <v>42</v>
      </c>
      <c r="F2878" t="s">
        <v>167</v>
      </c>
      <c r="G2878" t="s">
        <v>23</v>
      </c>
      <c r="H2878" s="1">
        <v>45362</v>
      </c>
      <c r="I2878" t="s">
        <v>47</v>
      </c>
      <c r="J2878" t="s">
        <v>2559</v>
      </c>
      <c r="K2878">
        <v>4</v>
      </c>
      <c r="N2878">
        <v>4594</v>
      </c>
      <c r="O2878">
        <v>40</v>
      </c>
      <c r="P2878" s="1">
        <v>45432</v>
      </c>
      <c r="Q2878" s="1"/>
      <c r="R2878" t="str">
        <f>IF(Table1[[#This Row],[Actual close date]]="","",Table1[[#This Row],[Actual close date]]-Table1[[#This Row],[Expected close date]])</f>
        <v/>
      </c>
    </row>
    <row r="2879" spans="1:18" x14ac:dyDescent="0.25">
      <c r="A2879" t="s">
        <v>2964</v>
      </c>
      <c r="B2879" t="s">
        <v>49</v>
      </c>
      <c r="C2879" t="s">
        <v>50</v>
      </c>
      <c r="D2879" t="s">
        <v>51</v>
      </c>
      <c r="E2879" t="s">
        <v>82</v>
      </c>
      <c r="F2879" t="s">
        <v>167</v>
      </c>
      <c r="G2879" t="s">
        <v>72</v>
      </c>
      <c r="H2879" s="1">
        <v>45413</v>
      </c>
      <c r="I2879" t="s">
        <v>47</v>
      </c>
      <c r="J2879" t="s">
        <v>2559</v>
      </c>
      <c r="K2879">
        <v>4</v>
      </c>
      <c r="N2879">
        <v>4181</v>
      </c>
      <c r="O2879">
        <v>50</v>
      </c>
      <c r="P2879" s="1">
        <v>45571</v>
      </c>
      <c r="Q2879" s="1"/>
      <c r="R2879" t="str">
        <f>IF(Table1[[#This Row],[Actual close date]]="","",Table1[[#This Row],[Actual close date]]-Table1[[#This Row],[Expected close date]])</f>
        <v/>
      </c>
    </row>
    <row r="2880" spans="1:18" x14ac:dyDescent="0.25">
      <c r="A2880" t="s">
        <v>2965</v>
      </c>
      <c r="B2880" t="s">
        <v>69</v>
      </c>
      <c r="C2880" t="s">
        <v>70</v>
      </c>
      <c r="D2880" t="s">
        <v>71</v>
      </c>
      <c r="E2880" t="s">
        <v>101</v>
      </c>
      <c r="F2880" t="s">
        <v>167</v>
      </c>
      <c r="G2880" t="s">
        <v>57</v>
      </c>
      <c r="H2880" s="1">
        <v>45362</v>
      </c>
      <c r="I2880" t="s">
        <v>64</v>
      </c>
      <c r="J2880" t="s">
        <v>2559</v>
      </c>
      <c r="K2880">
        <v>4</v>
      </c>
      <c r="N2880">
        <v>4962</v>
      </c>
      <c r="O2880">
        <v>50</v>
      </c>
      <c r="P2880" s="1">
        <v>45626</v>
      </c>
      <c r="Q2880" s="1"/>
      <c r="R2880" t="str">
        <f>IF(Table1[[#This Row],[Actual close date]]="","",Table1[[#This Row],[Actual close date]]-Table1[[#This Row],[Expected close date]])</f>
        <v/>
      </c>
    </row>
    <row r="2881" spans="1:18" x14ac:dyDescent="0.25">
      <c r="A2881" t="s">
        <v>2966</v>
      </c>
      <c r="B2881" t="s">
        <v>39</v>
      </c>
      <c r="C2881" t="s">
        <v>40</v>
      </c>
      <c r="D2881" t="s">
        <v>41</v>
      </c>
      <c r="E2881" t="s">
        <v>52</v>
      </c>
      <c r="F2881" t="s">
        <v>167</v>
      </c>
      <c r="G2881" t="s">
        <v>37</v>
      </c>
      <c r="H2881" s="1">
        <v>45437</v>
      </c>
      <c r="I2881" t="s">
        <v>64</v>
      </c>
      <c r="J2881" t="s">
        <v>2559</v>
      </c>
      <c r="K2881">
        <v>4</v>
      </c>
      <c r="N2881">
        <v>1517</v>
      </c>
      <c r="O2881">
        <v>60</v>
      </c>
      <c r="P2881" s="1">
        <v>45772</v>
      </c>
      <c r="Q2881" s="1"/>
      <c r="R2881" t="str">
        <f>IF(Table1[[#This Row],[Actual close date]]="","",Table1[[#This Row],[Actual close date]]-Table1[[#This Row],[Expected close date]])</f>
        <v/>
      </c>
    </row>
    <row r="2882" spans="1:18" x14ac:dyDescent="0.25">
      <c r="A2882" t="s">
        <v>2967</v>
      </c>
      <c r="B2882" t="s">
        <v>33</v>
      </c>
      <c r="C2882" t="s">
        <v>34</v>
      </c>
      <c r="D2882" t="s">
        <v>35</v>
      </c>
      <c r="E2882" t="s">
        <v>45</v>
      </c>
      <c r="F2882" t="s">
        <v>167</v>
      </c>
      <c r="G2882" t="s">
        <v>23</v>
      </c>
      <c r="H2882" s="1">
        <v>45318</v>
      </c>
      <c r="I2882" t="s">
        <v>24</v>
      </c>
      <c r="J2882" t="s">
        <v>2559</v>
      </c>
      <c r="K2882">
        <v>4</v>
      </c>
      <c r="N2882">
        <v>3352</v>
      </c>
      <c r="O2882">
        <v>100</v>
      </c>
      <c r="P2882" s="1">
        <v>45557</v>
      </c>
      <c r="Q2882" s="1"/>
      <c r="R2882" t="str">
        <f>IF(Table1[[#This Row],[Actual close date]]="","",Table1[[#This Row],[Actual close date]]-Table1[[#This Row],[Expected close date]])</f>
        <v/>
      </c>
    </row>
    <row r="2883" spans="1:18" x14ac:dyDescent="0.25">
      <c r="A2883" t="s">
        <v>2968</v>
      </c>
      <c r="B2883" t="s">
        <v>33</v>
      </c>
      <c r="C2883" t="s">
        <v>34</v>
      </c>
      <c r="D2883" t="s">
        <v>35</v>
      </c>
      <c r="E2883" t="s">
        <v>82</v>
      </c>
      <c r="F2883" t="s">
        <v>167</v>
      </c>
      <c r="G2883" t="s">
        <v>46</v>
      </c>
      <c r="H2883" s="1">
        <v>45324</v>
      </c>
      <c r="I2883" t="s">
        <v>24</v>
      </c>
      <c r="J2883" t="s">
        <v>2559</v>
      </c>
      <c r="K2883">
        <v>4</v>
      </c>
      <c r="N2883">
        <v>6861</v>
      </c>
      <c r="O2883">
        <v>40</v>
      </c>
      <c r="P2883" s="1">
        <v>45468</v>
      </c>
      <c r="Q2883" s="1"/>
      <c r="R2883" t="str">
        <f>IF(Table1[[#This Row],[Actual close date]]="","",Table1[[#This Row],[Actual close date]]-Table1[[#This Row],[Expected close date]])</f>
        <v/>
      </c>
    </row>
    <row r="2884" spans="1:18" x14ac:dyDescent="0.25">
      <c r="A2884" t="s">
        <v>2969</v>
      </c>
      <c r="B2884" t="s">
        <v>33</v>
      </c>
      <c r="C2884" t="s">
        <v>34</v>
      </c>
      <c r="D2884" t="s">
        <v>35</v>
      </c>
      <c r="E2884" t="s">
        <v>45</v>
      </c>
      <c r="F2884" t="s">
        <v>167</v>
      </c>
      <c r="G2884" t="s">
        <v>37</v>
      </c>
      <c r="H2884" s="1">
        <v>45343</v>
      </c>
      <c r="I2884" t="s">
        <v>24</v>
      </c>
      <c r="J2884" t="s">
        <v>2559</v>
      </c>
      <c r="K2884">
        <v>4</v>
      </c>
      <c r="N2884">
        <v>5533</v>
      </c>
      <c r="O2884">
        <v>20</v>
      </c>
      <c r="P2884" s="1">
        <v>45504</v>
      </c>
      <c r="Q2884" s="1"/>
      <c r="R2884" t="str">
        <f>IF(Table1[[#This Row],[Actual close date]]="","",Table1[[#This Row],[Actual close date]]-Table1[[#This Row],[Expected close date]])</f>
        <v/>
      </c>
    </row>
    <row r="2885" spans="1:18" x14ac:dyDescent="0.25">
      <c r="A2885" t="s">
        <v>2970</v>
      </c>
      <c r="B2885" t="s">
        <v>33</v>
      </c>
      <c r="C2885" t="s">
        <v>34</v>
      </c>
      <c r="D2885" t="s">
        <v>35</v>
      </c>
      <c r="E2885" t="s">
        <v>122</v>
      </c>
      <c r="F2885" t="s">
        <v>167</v>
      </c>
      <c r="G2885" t="s">
        <v>37</v>
      </c>
      <c r="H2885" s="1">
        <v>45344</v>
      </c>
      <c r="I2885" t="s">
        <v>47</v>
      </c>
      <c r="J2885" t="s">
        <v>2559</v>
      </c>
      <c r="K2885">
        <v>4</v>
      </c>
      <c r="N2885">
        <v>1742</v>
      </c>
      <c r="O2885">
        <v>20</v>
      </c>
      <c r="P2885" s="1">
        <v>45477</v>
      </c>
      <c r="Q2885" s="1"/>
      <c r="R2885" t="str">
        <f>IF(Table1[[#This Row],[Actual close date]]="","",Table1[[#This Row],[Actual close date]]-Table1[[#This Row],[Expected close date]])</f>
        <v/>
      </c>
    </row>
    <row r="2886" spans="1:18" x14ac:dyDescent="0.25">
      <c r="A2886" t="s">
        <v>2971</v>
      </c>
      <c r="B2886" t="s">
        <v>59</v>
      </c>
      <c r="C2886" t="s">
        <v>60</v>
      </c>
      <c r="D2886" t="s">
        <v>61</v>
      </c>
      <c r="E2886" t="s">
        <v>30</v>
      </c>
      <c r="F2886" t="s">
        <v>167</v>
      </c>
      <c r="G2886" t="s">
        <v>72</v>
      </c>
      <c r="H2886" s="1">
        <v>45415</v>
      </c>
      <c r="I2886" t="s">
        <v>47</v>
      </c>
      <c r="J2886" t="s">
        <v>2559</v>
      </c>
      <c r="K2886">
        <v>4</v>
      </c>
      <c r="N2886">
        <v>7534</v>
      </c>
      <c r="O2886">
        <v>20</v>
      </c>
      <c r="P2886" s="1">
        <v>45648</v>
      </c>
      <c r="Q2886" s="1"/>
      <c r="R2886" t="str">
        <f>IF(Table1[[#This Row],[Actual close date]]="","",Table1[[#This Row],[Actual close date]]-Table1[[#This Row],[Expected close date]])</f>
        <v/>
      </c>
    </row>
    <row r="2887" spans="1:18" x14ac:dyDescent="0.25">
      <c r="A2887" t="s">
        <v>2972</v>
      </c>
      <c r="B2887" t="s">
        <v>18</v>
      </c>
      <c r="C2887" t="s">
        <v>19</v>
      </c>
      <c r="D2887" t="s">
        <v>20</v>
      </c>
      <c r="E2887" t="s">
        <v>101</v>
      </c>
      <c r="F2887" t="s">
        <v>167</v>
      </c>
      <c r="G2887" t="s">
        <v>23</v>
      </c>
      <c r="H2887" s="1">
        <v>45405</v>
      </c>
      <c r="I2887" t="s">
        <v>24</v>
      </c>
      <c r="J2887" t="s">
        <v>2559</v>
      </c>
      <c r="K2887">
        <v>4</v>
      </c>
      <c r="N2887">
        <v>787</v>
      </c>
      <c r="O2887">
        <v>30</v>
      </c>
      <c r="P2887" s="1">
        <v>45645</v>
      </c>
      <c r="Q2887" s="1"/>
      <c r="R2887" t="str">
        <f>IF(Table1[[#This Row],[Actual close date]]="","",Table1[[#This Row],[Actual close date]]-Table1[[#This Row],[Expected close date]])</f>
        <v/>
      </c>
    </row>
    <row r="2888" spans="1:18" x14ac:dyDescent="0.25">
      <c r="A2888" t="s">
        <v>2973</v>
      </c>
      <c r="B2888" t="s">
        <v>33</v>
      </c>
      <c r="C2888" t="s">
        <v>34</v>
      </c>
      <c r="D2888" t="s">
        <v>35</v>
      </c>
      <c r="E2888" t="s">
        <v>62</v>
      </c>
      <c r="F2888" t="s">
        <v>167</v>
      </c>
      <c r="G2888" t="s">
        <v>23</v>
      </c>
      <c r="H2888" s="1">
        <v>45381</v>
      </c>
      <c r="I2888" t="s">
        <v>24</v>
      </c>
      <c r="J2888" t="s">
        <v>2559</v>
      </c>
      <c r="K2888">
        <v>4</v>
      </c>
      <c r="N2888">
        <v>6798</v>
      </c>
      <c r="O2888">
        <v>20</v>
      </c>
      <c r="P2888" s="1">
        <v>45677</v>
      </c>
      <c r="Q2888" s="1"/>
      <c r="R2888" t="str">
        <f>IF(Table1[[#This Row],[Actual close date]]="","",Table1[[#This Row],[Actual close date]]-Table1[[#This Row],[Expected close date]])</f>
        <v/>
      </c>
    </row>
    <row r="2889" spans="1:18" x14ac:dyDescent="0.25">
      <c r="A2889" t="s">
        <v>2974</v>
      </c>
      <c r="B2889" t="s">
        <v>49</v>
      </c>
      <c r="C2889" t="s">
        <v>50</v>
      </c>
      <c r="D2889" t="s">
        <v>51</v>
      </c>
      <c r="E2889" t="s">
        <v>62</v>
      </c>
      <c r="F2889" t="s">
        <v>167</v>
      </c>
      <c r="G2889" t="s">
        <v>37</v>
      </c>
      <c r="H2889" s="1">
        <v>45395</v>
      </c>
      <c r="I2889" t="s">
        <v>64</v>
      </c>
      <c r="J2889" t="s">
        <v>2559</v>
      </c>
      <c r="K2889">
        <v>4</v>
      </c>
      <c r="N2889">
        <v>1167</v>
      </c>
      <c r="O2889">
        <v>80</v>
      </c>
      <c r="P2889" s="1">
        <v>45745</v>
      </c>
      <c r="Q2889" s="1"/>
      <c r="R2889" t="str">
        <f>IF(Table1[[#This Row],[Actual close date]]="","",Table1[[#This Row],[Actual close date]]-Table1[[#This Row],[Expected close date]])</f>
        <v/>
      </c>
    </row>
    <row r="2890" spans="1:18" x14ac:dyDescent="0.25">
      <c r="A2890" t="s">
        <v>2975</v>
      </c>
      <c r="B2890" t="s">
        <v>33</v>
      </c>
      <c r="C2890" t="s">
        <v>34</v>
      </c>
      <c r="D2890" t="s">
        <v>35</v>
      </c>
      <c r="E2890" t="s">
        <v>21</v>
      </c>
      <c r="F2890" t="s">
        <v>167</v>
      </c>
      <c r="G2890" t="s">
        <v>85</v>
      </c>
      <c r="H2890" s="1">
        <v>45308</v>
      </c>
      <c r="I2890" t="s">
        <v>47</v>
      </c>
      <c r="J2890" t="s">
        <v>2559</v>
      </c>
      <c r="K2890">
        <v>4</v>
      </c>
      <c r="N2890">
        <v>2117</v>
      </c>
      <c r="O2890">
        <v>40</v>
      </c>
      <c r="P2890" s="1">
        <v>45407</v>
      </c>
      <c r="Q2890" s="1"/>
      <c r="R2890" t="str">
        <f>IF(Table1[[#This Row],[Actual close date]]="","",Table1[[#This Row],[Actual close date]]-Table1[[#This Row],[Expected close date]])</f>
        <v/>
      </c>
    </row>
    <row r="2891" spans="1:18" x14ac:dyDescent="0.25">
      <c r="A2891" t="s">
        <v>2976</v>
      </c>
      <c r="B2891" t="s">
        <v>39</v>
      </c>
      <c r="C2891" t="s">
        <v>40</v>
      </c>
      <c r="D2891" t="s">
        <v>41</v>
      </c>
      <c r="E2891" t="s">
        <v>45</v>
      </c>
      <c r="F2891" t="s">
        <v>167</v>
      </c>
      <c r="G2891" t="s">
        <v>37</v>
      </c>
      <c r="H2891" s="1">
        <v>45360</v>
      </c>
      <c r="I2891" t="s">
        <v>64</v>
      </c>
      <c r="J2891" t="s">
        <v>2559</v>
      </c>
      <c r="K2891">
        <v>4</v>
      </c>
      <c r="N2891">
        <v>1669</v>
      </c>
      <c r="O2891">
        <v>30</v>
      </c>
      <c r="P2891" s="1">
        <v>45558</v>
      </c>
      <c r="Q2891" s="1"/>
      <c r="R2891" t="str">
        <f>IF(Table1[[#This Row],[Actual close date]]="","",Table1[[#This Row],[Actual close date]]-Table1[[#This Row],[Expected close date]])</f>
        <v/>
      </c>
    </row>
    <row r="2892" spans="1:18" x14ac:dyDescent="0.25">
      <c r="A2892" t="s">
        <v>2977</v>
      </c>
      <c r="B2892" t="s">
        <v>59</v>
      </c>
      <c r="C2892" t="s">
        <v>60</v>
      </c>
      <c r="D2892" t="s">
        <v>61</v>
      </c>
      <c r="E2892" t="s">
        <v>52</v>
      </c>
      <c r="F2892" t="s">
        <v>167</v>
      </c>
      <c r="G2892" t="s">
        <v>46</v>
      </c>
      <c r="H2892" s="1">
        <v>45322</v>
      </c>
      <c r="I2892" t="s">
        <v>64</v>
      </c>
      <c r="J2892" t="s">
        <v>2559</v>
      </c>
      <c r="K2892">
        <v>4</v>
      </c>
      <c r="N2892">
        <v>4026</v>
      </c>
      <c r="O2892">
        <v>40</v>
      </c>
      <c r="P2892" s="1">
        <v>45530</v>
      </c>
      <c r="Q2892" s="1"/>
      <c r="R2892" t="str">
        <f>IF(Table1[[#This Row],[Actual close date]]="","",Table1[[#This Row],[Actual close date]]-Table1[[#This Row],[Expected close date]])</f>
        <v/>
      </c>
    </row>
    <row r="2893" spans="1:18" x14ac:dyDescent="0.25">
      <c r="A2893" t="s">
        <v>2978</v>
      </c>
      <c r="B2893" t="s">
        <v>49</v>
      </c>
      <c r="C2893" t="s">
        <v>50</v>
      </c>
      <c r="D2893" t="s">
        <v>51</v>
      </c>
      <c r="E2893" t="s">
        <v>45</v>
      </c>
      <c r="F2893" t="s">
        <v>167</v>
      </c>
      <c r="G2893" t="s">
        <v>31</v>
      </c>
      <c r="H2893" s="1">
        <v>45417</v>
      </c>
      <c r="I2893" t="s">
        <v>47</v>
      </c>
      <c r="J2893" t="s">
        <v>2559</v>
      </c>
      <c r="K2893">
        <v>4</v>
      </c>
      <c r="N2893">
        <v>5321</v>
      </c>
      <c r="O2893">
        <v>10</v>
      </c>
      <c r="P2893" s="1">
        <v>45531</v>
      </c>
      <c r="Q2893" s="1"/>
      <c r="R2893" t="str">
        <f>IF(Table1[[#This Row],[Actual close date]]="","",Table1[[#This Row],[Actual close date]]-Table1[[#This Row],[Expected close date]])</f>
        <v/>
      </c>
    </row>
    <row r="2894" spans="1:18" x14ac:dyDescent="0.25">
      <c r="A2894" t="s">
        <v>2979</v>
      </c>
      <c r="B2894" t="s">
        <v>76</v>
      </c>
      <c r="C2894" t="s">
        <v>77</v>
      </c>
      <c r="D2894" t="s">
        <v>78</v>
      </c>
      <c r="E2894" t="s">
        <v>21</v>
      </c>
      <c r="F2894" t="s">
        <v>167</v>
      </c>
      <c r="G2894" t="s">
        <v>46</v>
      </c>
      <c r="H2894" s="1">
        <v>45376</v>
      </c>
      <c r="I2894" t="s">
        <v>64</v>
      </c>
      <c r="J2894" t="s">
        <v>2559</v>
      </c>
      <c r="K2894">
        <v>4</v>
      </c>
      <c r="N2894">
        <v>4667</v>
      </c>
      <c r="O2894">
        <v>60</v>
      </c>
      <c r="P2894" s="1">
        <v>45741</v>
      </c>
      <c r="Q2894" s="1"/>
      <c r="R2894" t="str">
        <f>IF(Table1[[#This Row],[Actual close date]]="","",Table1[[#This Row],[Actual close date]]-Table1[[#This Row],[Expected close date]])</f>
        <v/>
      </c>
    </row>
    <row r="2895" spans="1:18" x14ac:dyDescent="0.25">
      <c r="A2895" t="s">
        <v>2980</v>
      </c>
      <c r="B2895" t="s">
        <v>69</v>
      </c>
      <c r="C2895" t="s">
        <v>70</v>
      </c>
      <c r="D2895" t="s">
        <v>71</v>
      </c>
      <c r="E2895" t="s">
        <v>62</v>
      </c>
      <c r="F2895" t="s">
        <v>167</v>
      </c>
      <c r="G2895" t="s">
        <v>46</v>
      </c>
      <c r="H2895" s="1">
        <v>45381</v>
      </c>
      <c r="I2895" t="s">
        <v>64</v>
      </c>
      <c r="J2895" t="s">
        <v>2559</v>
      </c>
      <c r="K2895">
        <v>4</v>
      </c>
      <c r="N2895">
        <v>6981</v>
      </c>
      <c r="O2895">
        <v>60</v>
      </c>
      <c r="P2895" s="1">
        <v>45502</v>
      </c>
      <c r="Q2895" s="1"/>
      <c r="R2895" t="str">
        <f>IF(Table1[[#This Row],[Actual close date]]="","",Table1[[#This Row],[Actual close date]]-Table1[[#This Row],[Expected close date]])</f>
        <v/>
      </c>
    </row>
    <row r="2896" spans="1:18" x14ac:dyDescent="0.25">
      <c r="A2896" t="s">
        <v>2981</v>
      </c>
      <c r="B2896" t="s">
        <v>39</v>
      </c>
      <c r="C2896" t="s">
        <v>40</v>
      </c>
      <c r="D2896" t="s">
        <v>41</v>
      </c>
      <c r="E2896" t="s">
        <v>30</v>
      </c>
      <c r="F2896" t="s">
        <v>167</v>
      </c>
      <c r="G2896" t="s">
        <v>72</v>
      </c>
      <c r="H2896" s="1">
        <v>45293</v>
      </c>
      <c r="I2896" t="s">
        <v>24</v>
      </c>
      <c r="J2896" t="s">
        <v>2559</v>
      </c>
      <c r="K2896">
        <v>4</v>
      </c>
      <c r="N2896">
        <v>1079</v>
      </c>
      <c r="O2896">
        <v>40</v>
      </c>
      <c r="P2896" s="1">
        <v>45607</v>
      </c>
      <c r="Q2896" s="1"/>
      <c r="R2896" t="str">
        <f>IF(Table1[[#This Row],[Actual close date]]="","",Table1[[#This Row],[Actual close date]]-Table1[[#This Row],[Expected close date]])</f>
        <v/>
      </c>
    </row>
    <row r="2897" spans="1:18" x14ac:dyDescent="0.25">
      <c r="A2897" t="s">
        <v>2982</v>
      </c>
      <c r="B2897" t="s">
        <v>69</v>
      </c>
      <c r="C2897" t="s">
        <v>70</v>
      </c>
      <c r="D2897" t="s">
        <v>71</v>
      </c>
      <c r="E2897" t="s">
        <v>21</v>
      </c>
      <c r="F2897" t="s">
        <v>167</v>
      </c>
      <c r="G2897" t="s">
        <v>37</v>
      </c>
      <c r="H2897" s="1">
        <v>45402</v>
      </c>
      <c r="I2897" t="s">
        <v>64</v>
      </c>
      <c r="J2897" t="s">
        <v>2559</v>
      </c>
      <c r="K2897">
        <v>4</v>
      </c>
      <c r="N2897">
        <v>3445</v>
      </c>
      <c r="O2897">
        <v>20</v>
      </c>
      <c r="P2897" s="1">
        <v>45694</v>
      </c>
      <c r="Q2897" s="1"/>
      <c r="R2897" t="str">
        <f>IF(Table1[[#This Row],[Actual close date]]="","",Table1[[#This Row],[Actual close date]]-Table1[[#This Row],[Expected close date]])</f>
        <v/>
      </c>
    </row>
    <row r="2898" spans="1:18" x14ac:dyDescent="0.25">
      <c r="A2898" t="s">
        <v>2983</v>
      </c>
      <c r="B2898" t="s">
        <v>76</v>
      </c>
      <c r="C2898" t="s">
        <v>77</v>
      </c>
      <c r="D2898" t="s">
        <v>78</v>
      </c>
      <c r="E2898" t="s">
        <v>30</v>
      </c>
      <c r="F2898" t="s">
        <v>167</v>
      </c>
      <c r="G2898" t="s">
        <v>37</v>
      </c>
      <c r="H2898" s="1">
        <v>45324</v>
      </c>
      <c r="I2898" t="s">
        <v>24</v>
      </c>
      <c r="J2898" t="s">
        <v>2559</v>
      </c>
      <c r="K2898">
        <v>4</v>
      </c>
      <c r="N2898">
        <v>2714</v>
      </c>
      <c r="O2898">
        <v>50</v>
      </c>
      <c r="P2898" s="1">
        <v>45509</v>
      </c>
      <c r="Q2898" s="1"/>
      <c r="R2898" t="str">
        <f>IF(Table1[[#This Row],[Actual close date]]="","",Table1[[#This Row],[Actual close date]]-Table1[[#This Row],[Expected close date]])</f>
        <v/>
      </c>
    </row>
    <row r="2899" spans="1:18" x14ac:dyDescent="0.25">
      <c r="A2899" t="s">
        <v>2984</v>
      </c>
      <c r="B2899" t="s">
        <v>49</v>
      </c>
      <c r="C2899" t="s">
        <v>50</v>
      </c>
      <c r="D2899" t="s">
        <v>51</v>
      </c>
      <c r="E2899" t="s">
        <v>101</v>
      </c>
      <c r="F2899" t="s">
        <v>167</v>
      </c>
      <c r="G2899" t="s">
        <v>57</v>
      </c>
      <c r="H2899" s="1">
        <v>45415</v>
      </c>
      <c r="I2899" t="s">
        <v>64</v>
      </c>
      <c r="J2899" t="s">
        <v>2559</v>
      </c>
      <c r="K2899">
        <v>4</v>
      </c>
      <c r="N2899">
        <v>3341</v>
      </c>
      <c r="O2899">
        <v>70</v>
      </c>
      <c r="P2899" s="1">
        <v>45747</v>
      </c>
      <c r="Q2899" s="1"/>
      <c r="R2899" t="str">
        <f>IF(Table1[[#This Row],[Actual close date]]="","",Table1[[#This Row],[Actual close date]]-Table1[[#This Row],[Expected close date]])</f>
        <v/>
      </c>
    </row>
    <row r="2900" spans="1:18" x14ac:dyDescent="0.25">
      <c r="A2900" t="s">
        <v>2985</v>
      </c>
      <c r="B2900" t="s">
        <v>33</v>
      </c>
      <c r="C2900" t="s">
        <v>34</v>
      </c>
      <c r="D2900" t="s">
        <v>35</v>
      </c>
      <c r="E2900" t="s">
        <v>101</v>
      </c>
      <c r="F2900" t="s">
        <v>167</v>
      </c>
      <c r="G2900" t="s">
        <v>31</v>
      </c>
      <c r="H2900" s="1">
        <v>45433</v>
      </c>
      <c r="I2900" t="s">
        <v>64</v>
      </c>
      <c r="J2900" t="s">
        <v>2559</v>
      </c>
      <c r="K2900">
        <v>4</v>
      </c>
      <c r="N2900">
        <v>3270</v>
      </c>
      <c r="O2900">
        <v>20</v>
      </c>
      <c r="P2900" s="1">
        <v>45536</v>
      </c>
      <c r="Q2900" s="1"/>
      <c r="R2900" t="str">
        <f>IF(Table1[[#This Row],[Actual close date]]="","",Table1[[#This Row],[Actual close date]]-Table1[[#This Row],[Expected close date]])</f>
        <v/>
      </c>
    </row>
    <row r="2901" spans="1:18" x14ac:dyDescent="0.25">
      <c r="A2901" t="s">
        <v>2986</v>
      </c>
      <c r="B2901" t="s">
        <v>49</v>
      </c>
      <c r="C2901" t="s">
        <v>50</v>
      </c>
      <c r="D2901" t="s">
        <v>51</v>
      </c>
      <c r="E2901" t="s">
        <v>21</v>
      </c>
      <c r="F2901" t="s">
        <v>167</v>
      </c>
      <c r="G2901" t="s">
        <v>57</v>
      </c>
      <c r="H2901" s="1">
        <v>45313</v>
      </c>
      <c r="I2901" t="s">
        <v>64</v>
      </c>
      <c r="J2901" t="s">
        <v>2559</v>
      </c>
      <c r="K2901">
        <v>4</v>
      </c>
      <c r="N2901">
        <v>5018</v>
      </c>
      <c r="O2901">
        <v>60</v>
      </c>
      <c r="P2901" s="1">
        <v>45533</v>
      </c>
      <c r="Q2901" s="1"/>
      <c r="R2901" t="str">
        <f>IF(Table1[[#This Row],[Actual close date]]="","",Table1[[#This Row],[Actual close date]]-Table1[[#This Row],[Expected close date]])</f>
        <v/>
      </c>
    </row>
    <row r="2902" spans="1:18" x14ac:dyDescent="0.25">
      <c r="A2902" t="s">
        <v>2987</v>
      </c>
      <c r="B2902" t="s">
        <v>18</v>
      </c>
      <c r="C2902" t="s">
        <v>19</v>
      </c>
      <c r="D2902" t="s">
        <v>20</v>
      </c>
      <c r="E2902" t="s">
        <v>66</v>
      </c>
      <c r="F2902" t="s">
        <v>167</v>
      </c>
      <c r="G2902" t="s">
        <v>23</v>
      </c>
      <c r="H2902" s="1">
        <v>45443</v>
      </c>
      <c r="I2902" t="s">
        <v>47</v>
      </c>
      <c r="J2902" t="s">
        <v>2559</v>
      </c>
      <c r="K2902">
        <v>4</v>
      </c>
      <c r="N2902">
        <v>4354</v>
      </c>
      <c r="O2902">
        <v>60</v>
      </c>
      <c r="P2902" s="1">
        <v>45683</v>
      </c>
      <c r="Q2902" s="1"/>
      <c r="R2902" t="str">
        <f>IF(Table1[[#This Row],[Actual close date]]="","",Table1[[#This Row],[Actual close date]]-Table1[[#This Row],[Expected close date]])</f>
        <v/>
      </c>
    </row>
    <row r="2903" spans="1:18" x14ac:dyDescent="0.25">
      <c r="A2903" t="s">
        <v>2988</v>
      </c>
      <c r="B2903" t="s">
        <v>33</v>
      </c>
      <c r="C2903" t="s">
        <v>34</v>
      </c>
      <c r="D2903" t="s">
        <v>35</v>
      </c>
      <c r="E2903" t="s">
        <v>122</v>
      </c>
      <c r="F2903" t="s">
        <v>167</v>
      </c>
      <c r="G2903" t="s">
        <v>46</v>
      </c>
      <c r="H2903" s="1">
        <v>45433</v>
      </c>
      <c r="I2903" t="s">
        <v>47</v>
      </c>
      <c r="J2903" t="s">
        <v>2559</v>
      </c>
      <c r="K2903">
        <v>4</v>
      </c>
      <c r="N2903">
        <v>977</v>
      </c>
      <c r="O2903">
        <v>30</v>
      </c>
      <c r="P2903" s="1">
        <v>45605</v>
      </c>
      <c r="Q2903" s="1"/>
      <c r="R2903" t="str">
        <f>IF(Table1[[#This Row],[Actual close date]]="","",Table1[[#This Row],[Actual close date]]-Table1[[#This Row],[Expected close date]])</f>
        <v/>
      </c>
    </row>
    <row r="2904" spans="1:18" x14ac:dyDescent="0.25">
      <c r="A2904" t="s">
        <v>2989</v>
      </c>
      <c r="B2904" t="s">
        <v>69</v>
      </c>
      <c r="C2904" t="s">
        <v>70</v>
      </c>
      <c r="D2904" t="s">
        <v>71</v>
      </c>
      <c r="E2904" t="s">
        <v>42</v>
      </c>
      <c r="F2904" t="s">
        <v>167</v>
      </c>
      <c r="G2904" t="s">
        <v>37</v>
      </c>
      <c r="H2904" s="1">
        <v>45442</v>
      </c>
      <c r="I2904" t="s">
        <v>47</v>
      </c>
      <c r="J2904" t="s">
        <v>2559</v>
      </c>
      <c r="K2904">
        <v>4</v>
      </c>
      <c r="N2904">
        <v>2695</v>
      </c>
      <c r="O2904">
        <v>40</v>
      </c>
      <c r="P2904" s="1">
        <v>45701</v>
      </c>
      <c r="Q2904" s="1"/>
      <c r="R2904" t="str">
        <f>IF(Table1[[#This Row],[Actual close date]]="","",Table1[[#This Row],[Actual close date]]-Table1[[#This Row],[Expected close date]])</f>
        <v/>
      </c>
    </row>
    <row r="2905" spans="1:18" x14ac:dyDescent="0.25">
      <c r="A2905" t="s">
        <v>2990</v>
      </c>
      <c r="B2905" t="s">
        <v>39</v>
      </c>
      <c r="C2905" t="s">
        <v>40</v>
      </c>
      <c r="D2905" t="s">
        <v>41</v>
      </c>
      <c r="E2905" t="s">
        <v>66</v>
      </c>
      <c r="F2905" t="s">
        <v>167</v>
      </c>
      <c r="G2905" t="s">
        <v>85</v>
      </c>
      <c r="H2905" s="1">
        <v>45429</v>
      </c>
      <c r="I2905" t="s">
        <v>47</v>
      </c>
      <c r="J2905" t="s">
        <v>2559</v>
      </c>
      <c r="K2905">
        <v>4</v>
      </c>
      <c r="N2905">
        <v>3064</v>
      </c>
      <c r="O2905">
        <v>20</v>
      </c>
      <c r="P2905" s="1">
        <v>45520</v>
      </c>
      <c r="Q2905" s="1"/>
      <c r="R2905" t="str">
        <f>IF(Table1[[#This Row],[Actual close date]]="","",Table1[[#This Row],[Actual close date]]-Table1[[#This Row],[Expected close date]])</f>
        <v/>
      </c>
    </row>
    <row r="2906" spans="1:18" x14ac:dyDescent="0.25">
      <c r="A2906" t="s">
        <v>2991</v>
      </c>
      <c r="B2906" t="s">
        <v>33</v>
      </c>
      <c r="C2906" t="s">
        <v>34</v>
      </c>
      <c r="D2906" t="s">
        <v>35</v>
      </c>
      <c r="E2906" t="s">
        <v>52</v>
      </c>
      <c r="F2906" t="s">
        <v>167</v>
      </c>
      <c r="G2906" t="s">
        <v>37</v>
      </c>
      <c r="H2906" s="1">
        <v>45409</v>
      </c>
      <c r="I2906" t="s">
        <v>64</v>
      </c>
      <c r="J2906" t="s">
        <v>2559</v>
      </c>
      <c r="K2906">
        <v>4</v>
      </c>
      <c r="N2906">
        <v>6161</v>
      </c>
      <c r="O2906">
        <v>40</v>
      </c>
      <c r="P2906" s="1">
        <v>45626</v>
      </c>
      <c r="Q2906" s="1"/>
      <c r="R2906" t="str">
        <f>IF(Table1[[#This Row],[Actual close date]]="","",Table1[[#This Row],[Actual close date]]-Table1[[#This Row],[Expected close date]])</f>
        <v/>
      </c>
    </row>
    <row r="2907" spans="1:18" x14ac:dyDescent="0.25">
      <c r="A2907" t="s">
        <v>2992</v>
      </c>
      <c r="B2907" t="s">
        <v>39</v>
      </c>
      <c r="C2907" t="s">
        <v>40</v>
      </c>
      <c r="D2907" t="s">
        <v>41</v>
      </c>
      <c r="E2907" t="s">
        <v>82</v>
      </c>
      <c r="F2907" t="s">
        <v>167</v>
      </c>
      <c r="G2907" t="s">
        <v>85</v>
      </c>
      <c r="H2907" s="1">
        <v>45431</v>
      </c>
      <c r="I2907" t="s">
        <v>24</v>
      </c>
      <c r="J2907" t="s">
        <v>2559</v>
      </c>
      <c r="K2907">
        <v>4</v>
      </c>
      <c r="N2907">
        <v>2689</v>
      </c>
      <c r="O2907">
        <v>30</v>
      </c>
      <c r="P2907" s="1">
        <v>45781</v>
      </c>
      <c r="Q2907" s="1"/>
      <c r="R2907" t="str">
        <f>IF(Table1[[#This Row],[Actual close date]]="","",Table1[[#This Row],[Actual close date]]-Table1[[#This Row],[Expected close date]])</f>
        <v/>
      </c>
    </row>
    <row r="2908" spans="1:18" x14ac:dyDescent="0.25">
      <c r="A2908" t="s">
        <v>2993</v>
      </c>
      <c r="B2908" t="s">
        <v>18</v>
      </c>
      <c r="C2908" t="s">
        <v>19</v>
      </c>
      <c r="D2908" t="s">
        <v>20</v>
      </c>
      <c r="E2908" t="s">
        <v>98</v>
      </c>
      <c r="F2908" t="s">
        <v>167</v>
      </c>
      <c r="G2908" t="s">
        <v>46</v>
      </c>
      <c r="H2908" s="1">
        <v>45294</v>
      </c>
      <c r="I2908" t="s">
        <v>64</v>
      </c>
      <c r="J2908" t="s">
        <v>2559</v>
      </c>
      <c r="K2908">
        <v>4</v>
      </c>
      <c r="N2908">
        <v>3957</v>
      </c>
      <c r="O2908">
        <v>30</v>
      </c>
      <c r="P2908" s="1">
        <v>45479</v>
      </c>
      <c r="Q2908" s="1"/>
      <c r="R2908" t="str">
        <f>IF(Table1[[#This Row],[Actual close date]]="","",Table1[[#This Row],[Actual close date]]-Table1[[#This Row],[Expected close date]])</f>
        <v/>
      </c>
    </row>
    <row r="2909" spans="1:18" x14ac:dyDescent="0.25">
      <c r="A2909" t="s">
        <v>2994</v>
      </c>
      <c r="B2909" t="s">
        <v>76</v>
      </c>
      <c r="C2909" t="s">
        <v>77</v>
      </c>
      <c r="D2909" t="s">
        <v>78</v>
      </c>
      <c r="E2909" t="s">
        <v>101</v>
      </c>
      <c r="F2909" t="s">
        <v>167</v>
      </c>
      <c r="G2909" t="s">
        <v>46</v>
      </c>
      <c r="H2909" s="1">
        <v>45356</v>
      </c>
      <c r="I2909" t="s">
        <v>64</v>
      </c>
      <c r="J2909" t="s">
        <v>2559</v>
      </c>
      <c r="K2909">
        <v>4</v>
      </c>
      <c r="N2909">
        <v>6202</v>
      </c>
      <c r="O2909">
        <v>20</v>
      </c>
      <c r="P2909" s="1">
        <v>45546</v>
      </c>
      <c r="Q2909" s="1"/>
      <c r="R2909" t="str">
        <f>IF(Table1[[#This Row],[Actual close date]]="","",Table1[[#This Row],[Actual close date]]-Table1[[#This Row],[Expected close date]])</f>
        <v/>
      </c>
    </row>
    <row r="2910" spans="1:18" x14ac:dyDescent="0.25">
      <c r="A2910" t="s">
        <v>2995</v>
      </c>
      <c r="B2910" t="s">
        <v>27</v>
      </c>
      <c r="C2910" t="s">
        <v>28</v>
      </c>
      <c r="D2910" t="s">
        <v>29</v>
      </c>
      <c r="E2910" t="s">
        <v>62</v>
      </c>
      <c r="F2910" t="s">
        <v>167</v>
      </c>
      <c r="G2910" t="s">
        <v>72</v>
      </c>
      <c r="H2910" s="1">
        <v>45339</v>
      </c>
      <c r="I2910" t="s">
        <v>47</v>
      </c>
      <c r="J2910" t="s">
        <v>2559</v>
      </c>
      <c r="K2910">
        <v>4</v>
      </c>
      <c r="N2910">
        <v>7087</v>
      </c>
      <c r="O2910">
        <v>50</v>
      </c>
      <c r="P2910" s="1">
        <v>45393</v>
      </c>
      <c r="Q2910" s="1"/>
      <c r="R2910" t="str">
        <f>IF(Table1[[#This Row],[Actual close date]]="","",Table1[[#This Row],[Actual close date]]-Table1[[#This Row],[Expected close date]])</f>
        <v/>
      </c>
    </row>
    <row r="2911" spans="1:18" x14ac:dyDescent="0.25">
      <c r="A2911" t="s">
        <v>2996</v>
      </c>
      <c r="B2911" t="s">
        <v>76</v>
      </c>
      <c r="C2911" t="s">
        <v>77</v>
      </c>
      <c r="D2911" t="s">
        <v>78</v>
      </c>
      <c r="E2911" t="s">
        <v>62</v>
      </c>
      <c r="F2911" t="s">
        <v>167</v>
      </c>
      <c r="G2911" t="s">
        <v>37</v>
      </c>
      <c r="H2911" s="1">
        <v>45389</v>
      </c>
      <c r="I2911" t="s">
        <v>47</v>
      </c>
      <c r="J2911" t="s">
        <v>2559</v>
      </c>
      <c r="K2911">
        <v>4</v>
      </c>
      <c r="N2911">
        <v>6058</v>
      </c>
      <c r="O2911">
        <v>10</v>
      </c>
      <c r="P2911" s="1">
        <v>45690</v>
      </c>
      <c r="Q2911" s="1"/>
      <c r="R2911" t="str">
        <f>IF(Table1[[#This Row],[Actual close date]]="","",Table1[[#This Row],[Actual close date]]-Table1[[#This Row],[Expected close date]])</f>
        <v/>
      </c>
    </row>
    <row r="2912" spans="1:18" x14ac:dyDescent="0.25">
      <c r="A2912" t="s">
        <v>2997</v>
      </c>
      <c r="B2912" t="s">
        <v>59</v>
      </c>
      <c r="C2912" t="s">
        <v>60</v>
      </c>
      <c r="D2912" t="s">
        <v>61</v>
      </c>
      <c r="E2912" t="s">
        <v>21</v>
      </c>
      <c r="F2912" t="s">
        <v>167</v>
      </c>
      <c r="G2912" t="s">
        <v>57</v>
      </c>
      <c r="H2912" s="1">
        <v>45404</v>
      </c>
      <c r="I2912" t="s">
        <v>47</v>
      </c>
      <c r="J2912" t="s">
        <v>2559</v>
      </c>
      <c r="K2912">
        <v>4</v>
      </c>
      <c r="N2912">
        <v>344</v>
      </c>
      <c r="O2912">
        <v>40</v>
      </c>
      <c r="P2912" s="1">
        <v>45550</v>
      </c>
      <c r="Q2912" s="1"/>
      <c r="R2912" t="str">
        <f>IF(Table1[[#This Row],[Actual close date]]="","",Table1[[#This Row],[Actual close date]]-Table1[[#This Row],[Expected close date]])</f>
        <v/>
      </c>
    </row>
    <row r="2913" spans="1:18" x14ac:dyDescent="0.25">
      <c r="A2913" t="s">
        <v>2998</v>
      </c>
      <c r="B2913" t="s">
        <v>18</v>
      </c>
      <c r="C2913" t="s">
        <v>19</v>
      </c>
      <c r="D2913" t="s">
        <v>20</v>
      </c>
      <c r="E2913" t="s">
        <v>98</v>
      </c>
      <c r="F2913" t="s">
        <v>167</v>
      </c>
      <c r="G2913" t="s">
        <v>46</v>
      </c>
      <c r="H2913" s="1">
        <v>45384</v>
      </c>
      <c r="I2913" t="s">
        <v>24</v>
      </c>
      <c r="J2913" t="s">
        <v>2559</v>
      </c>
      <c r="K2913">
        <v>4</v>
      </c>
      <c r="N2913">
        <v>6674</v>
      </c>
      <c r="O2913">
        <v>100</v>
      </c>
      <c r="P2913" s="1">
        <v>45531</v>
      </c>
      <c r="Q2913" s="1"/>
      <c r="R2913" t="str">
        <f>IF(Table1[[#This Row],[Actual close date]]="","",Table1[[#This Row],[Actual close date]]-Table1[[#This Row],[Expected close date]])</f>
        <v/>
      </c>
    </row>
    <row r="2914" spans="1:18" x14ac:dyDescent="0.25">
      <c r="A2914" t="s">
        <v>2999</v>
      </c>
      <c r="B2914" t="s">
        <v>49</v>
      </c>
      <c r="C2914" t="s">
        <v>50</v>
      </c>
      <c r="D2914" t="s">
        <v>51</v>
      </c>
      <c r="E2914" t="s">
        <v>52</v>
      </c>
      <c r="F2914" t="s">
        <v>167</v>
      </c>
      <c r="G2914" t="s">
        <v>46</v>
      </c>
      <c r="H2914" s="1">
        <v>45418</v>
      </c>
      <c r="I2914" t="s">
        <v>24</v>
      </c>
      <c r="J2914" t="s">
        <v>2559</v>
      </c>
      <c r="K2914">
        <v>4</v>
      </c>
      <c r="N2914">
        <v>3578</v>
      </c>
      <c r="O2914">
        <v>40</v>
      </c>
      <c r="P2914" s="1">
        <v>45777</v>
      </c>
      <c r="Q2914" s="1"/>
      <c r="R2914" t="str">
        <f>IF(Table1[[#This Row],[Actual close date]]="","",Table1[[#This Row],[Actual close date]]-Table1[[#This Row],[Expected close date]])</f>
        <v/>
      </c>
    </row>
    <row r="2915" spans="1:18" x14ac:dyDescent="0.25">
      <c r="A2915" t="s">
        <v>3000</v>
      </c>
      <c r="B2915" t="s">
        <v>54</v>
      </c>
      <c r="C2915" t="s">
        <v>55</v>
      </c>
      <c r="D2915" t="s">
        <v>56</v>
      </c>
      <c r="E2915" t="s">
        <v>52</v>
      </c>
      <c r="F2915" t="s">
        <v>167</v>
      </c>
      <c r="G2915" t="s">
        <v>83</v>
      </c>
      <c r="H2915" s="1">
        <v>45395</v>
      </c>
      <c r="I2915" t="s">
        <v>64</v>
      </c>
      <c r="J2915" t="s">
        <v>2559</v>
      </c>
      <c r="K2915">
        <v>4</v>
      </c>
      <c r="N2915">
        <v>632</v>
      </c>
      <c r="O2915">
        <v>50</v>
      </c>
      <c r="P2915" s="1">
        <v>45461</v>
      </c>
      <c r="Q2915" s="1"/>
      <c r="R2915" t="str">
        <f>IF(Table1[[#This Row],[Actual close date]]="","",Table1[[#This Row],[Actual close date]]-Table1[[#This Row],[Expected close date]])</f>
        <v/>
      </c>
    </row>
    <row r="2916" spans="1:18" x14ac:dyDescent="0.25">
      <c r="A2916" t="s">
        <v>3001</v>
      </c>
      <c r="B2916" t="s">
        <v>59</v>
      </c>
      <c r="C2916" t="s">
        <v>60</v>
      </c>
      <c r="D2916" t="s">
        <v>61</v>
      </c>
      <c r="E2916" t="s">
        <v>45</v>
      </c>
      <c r="F2916" t="s">
        <v>167</v>
      </c>
      <c r="G2916" t="s">
        <v>83</v>
      </c>
      <c r="H2916" s="1">
        <v>45301</v>
      </c>
      <c r="I2916" t="s">
        <v>64</v>
      </c>
      <c r="J2916" t="s">
        <v>2559</v>
      </c>
      <c r="K2916">
        <v>4</v>
      </c>
      <c r="N2916">
        <v>7338</v>
      </c>
      <c r="O2916">
        <v>20</v>
      </c>
      <c r="P2916" s="1">
        <v>45554</v>
      </c>
      <c r="Q2916" s="1"/>
      <c r="R2916" t="str">
        <f>IF(Table1[[#This Row],[Actual close date]]="","",Table1[[#This Row],[Actual close date]]-Table1[[#This Row],[Expected close date]])</f>
        <v/>
      </c>
    </row>
    <row r="2917" spans="1:18" x14ac:dyDescent="0.25">
      <c r="A2917" t="s">
        <v>3002</v>
      </c>
      <c r="B2917" t="s">
        <v>54</v>
      </c>
      <c r="C2917" t="s">
        <v>55</v>
      </c>
      <c r="D2917" t="s">
        <v>56</v>
      </c>
      <c r="E2917" t="s">
        <v>74</v>
      </c>
      <c r="F2917" t="s">
        <v>167</v>
      </c>
      <c r="G2917" t="s">
        <v>46</v>
      </c>
      <c r="H2917" s="1">
        <v>45355</v>
      </c>
      <c r="I2917" t="s">
        <v>64</v>
      </c>
      <c r="J2917" t="s">
        <v>2559</v>
      </c>
      <c r="K2917">
        <v>4</v>
      </c>
      <c r="N2917">
        <v>1963</v>
      </c>
      <c r="O2917">
        <v>20</v>
      </c>
      <c r="P2917" s="1">
        <v>45514</v>
      </c>
      <c r="Q2917" s="1"/>
      <c r="R2917" t="str">
        <f>IF(Table1[[#This Row],[Actual close date]]="","",Table1[[#This Row],[Actual close date]]-Table1[[#This Row],[Expected close date]])</f>
        <v/>
      </c>
    </row>
    <row r="2918" spans="1:18" x14ac:dyDescent="0.25">
      <c r="A2918" t="s">
        <v>3003</v>
      </c>
      <c r="B2918" t="s">
        <v>39</v>
      </c>
      <c r="C2918" t="s">
        <v>40</v>
      </c>
      <c r="D2918" t="s">
        <v>41</v>
      </c>
      <c r="E2918" t="s">
        <v>45</v>
      </c>
      <c r="F2918" t="s">
        <v>167</v>
      </c>
      <c r="G2918" t="s">
        <v>46</v>
      </c>
      <c r="H2918" s="1">
        <v>45340</v>
      </c>
      <c r="I2918" t="s">
        <v>24</v>
      </c>
      <c r="J2918" t="s">
        <v>2559</v>
      </c>
      <c r="K2918">
        <v>4</v>
      </c>
      <c r="N2918">
        <v>1230</v>
      </c>
      <c r="O2918">
        <v>60</v>
      </c>
      <c r="P2918" s="1">
        <v>45665</v>
      </c>
      <c r="Q2918" s="1"/>
      <c r="R2918" t="str">
        <f>IF(Table1[[#This Row],[Actual close date]]="","",Table1[[#This Row],[Actual close date]]-Table1[[#This Row],[Expected close date]])</f>
        <v/>
      </c>
    </row>
    <row r="2919" spans="1:18" x14ac:dyDescent="0.25">
      <c r="A2919" t="s">
        <v>3004</v>
      </c>
      <c r="B2919" t="s">
        <v>76</v>
      </c>
      <c r="C2919" t="s">
        <v>77</v>
      </c>
      <c r="D2919" t="s">
        <v>78</v>
      </c>
      <c r="E2919" t="s">
        <v>30</v>
      </c>
      <c r="F2919" t="s">
        <v>167</v>
      </c>
      <c r="G2919" t="s">
        <v>46</v>
      </c>
      <c r="H2919" s="1">
        <v>45372</v>
      </c>
      <c r="I2919" t="s">
        <v>47</v>
      </c>
      <c r="J2919" t="s">
        <v>2559</v>
      </c>
      <c r="K2919">
        <v>4</v>
      </c>
      <c r="N2919">
        <v>2321</v>
      </c>
      <c r="O2919">
        <v>40</v>
      </c>
      <c r="P2919" s="1">
        <v>45690</v>
      </c>
      <c r="Q2919" s="1"/>
      <c r="R2919" t="str">
        <f>IF(Table1[[#This Row],[Actual close date]]="","",Table1[[#This Row],[Actual close date]]-Table1[[#This Row],[Expected close date]])</f>
        <v/>
      </c>
    </row>
    <row r="2920" spans="1:18" x14ac:dyDescent="0.25">
      <c r="A2920" t="s">
        <v>3005</v>
      </c>
      <c r="B2920" t="s">
        <v>33</v>
      </c>
      <c r="C2920" t="s">
        <v>34</v>
      </c>
      <c r="D2920" t="s">
        <v>35</v>
      </c>
      <c r="E2920" t="s">
        <v>21</v>
      </c>
      <c r="F2920" t="s">
        <v>167</v>
      </c>
      <c r="G2920" t="s">
        <v>57</v>
      </c>
      <c r="H2920" s="1">
        <v>45328</v>
      </c>
      <c r="I2920" t="s">
        <v>64</v>
      </c>
      <c r="J2920" t="s">
        <v>2559</v>
      </c>
      <c r="K2920">
        <v>4</v>
      </c>
      <c r="N2920">
        <v>3026</v>
      </c>
      <c r="O2920">
        <v>30</v>
      </c>
      <c r="P2920" s="1">
        <v>45459</v>
      </c>
      <c r="Q2920" s="1"/>
      <c r="R2920" t="str">
        <f>IF(Table1[[#This Row],[Actual close date]]="","",Table1[[#This Row],[Actual close date]]-Table1[[#This Row],[Expected close date]])</f>
        <v/>
      </c>
    </row>
    <row r="2921" spans="1:18" x14ac:dyDescent="0.25">
      <c r="A2921" t="s">
        <v>3006</v>
      </c>
      <c r="B2921" t="s">
        <v>76</v>
      </c>
      <c r="C2921" t="s">
        <v>77</v>
      </c>
      <c r="D2921" t="s">
        <v>78</v>
      </c>
      <c r="E2921" t="s">
        <v>21</v>
      </c>
      <c r="F2921" t="s">
        <v>167</v>
      </c>
      <c r="G2921" t="s">
        <v>37</v>
      </c>
      <c r="H2921" s="1">
        <v>45392</v>
      </c>
      <c r="I2921" t="s">
        <v>64</v>
      </c>
      <c r="J2921" t="s">
        <v>2559</v>
      </c>
      <c r="K2921">
        <v>4</v>
      </c>
      <c r="N2921">
        <v>527</v>
      </c>
      <c r="O2921">
        <v>40</v>
      </c>
      <c r="P2921" s="1">
        <v>45626</v>
      </c>
      <c r="Q2921" s="1"/>
      <c r="R2921" t="str">
        <f>IF(Table1[[#This Row],[Actual close date]]="","",Table1[[#This Row],[Actual close date]]-Table1[[#This Row],[Expected close date]])</f>
        <v/>
      </c>
    </row>
    <row r="2922" spans="1:18" x14ac:dyDescent="0.25">
      <c r="A2922" t="s">
        <v>3007</v>
      </c>
      <c r="B2922" t="s">
        <v>59</v>
      </c>
      <c r="C2922" t="s">
        <v>60</v>
      </c>
      <c r="D2922" t="s">
        <v>61</v>
      </c>
      <c r="E2922" t="s">
        <v>101</v>
      </c>
      <c r="F2922" t="s">
        <v>167</v>
      </c>
      <c r="G2922" t="s">
        <v>31</v>
      </c>
      <c r="H2922" s="1">
        <v>45318</v>
      </c>
      <c r="I2922" t="s">
        <v>64</v>
      </c>
      <c r="J2922" t="s">
        <v>2559</v>
      </c>
      <c r="K2922">
        <v>4</v>
      </c>
      <c r="N2922">
        <v>7041</v>
      </c>
      <c r="O2922">
        <v>30</v>
      </c>
      <c r="P2922" s="1">
        <v>45658</v>
      </c>
      <c r="Q2922" s="1"/>
      <c r="R2922" t="str">
        <f>IF(Table1[[#This Row],[Actual close date]]="","",Table1[[#This Row],[Actual close date]]-Table1[[#This Row],[Expected close date]])</f>
        <v/>
      </c>
    </row>
    <row r="2923" spans="1:18" x14ac:dyDescent="0.25">
      <c r="A2923" t="s">
        <v>3008</v>
      </c>
      <c r="B2923" t="s">
        <v>54</v>
      </c>
      <c r="C2923" t="s">
        <v>55</v>
      </c>
      <c r="D2923" t="s">
        <v>56</v>
      </c>
      <c r="E2923" t="s">
        <v>74</v>
      </c>
      <c r="F2923" t="s">
        <v>167</v>
      </c>
      <c r="G2923" t="s">
        <v>72</v>
      </c>
      <c r="H2923" s="1">
        <v>45424</v>
      </c>
      <c r="I2923" t="s">
        <v>64</v>
      </c>
      <c r="J2923" t="s">
        <v>2559</v>
      </c>
      <c r="K2923">
        <v>4</v>
      </c>
      <c r="N2923">
        <v>3290</v>
      </c>
      <c r="O2923">
        <v>20</v>
      </c>
      <c r="P2923" s="1">
        <v>45588</v>
      </c>
      <c r="Q2923" s="1"/>
      <c r="R2923" t="str">
        <f>IF(Table1[[#This Row],[Actual close date]]="","",Table1[[#This Row],[Actual close date]]-Table1[[#This Row],[Expected close date]])</f>
        <v/>
      </c>
    </row>
    <row r="2924" spans="1:18" x14ac:dyDescent="0.25">
      <c r="A2924" t="s">
        <v>3009</v>
      </c>
      <c r="B2924" t="s">
        <v>54</v>
      </c>
      <c r="C2924" t="s">
        <v>55</v>
      </c>
      <c r="D2924" t="s">
        <v>56</v>
      </c>
      <c r="E2924" t="s">
        <v>52</v>
      </c>
      <c r="F2924" t="s">
        <v>167</v>
      </c>
      <c r="G2924" t="s">
        <v>23</v>
      </c>
      <c r="H2924" s="1">
        <v>45360</v>
      </c>
      <c r="I2924" t="s">
        <v>64</v>
      </c>
      <c r="J2924" t="s">
        <v>2559</v>
      </c>
      <c r="K2924">
        <v>4</v>
      </c>
      <c r="N2924">
        <v>1197</v>
      </c>
      <c r="O2924">
        <v>10</v>
      </c>
      <c r="P2924" s="1">
        <v>45466</v>
      </c>
      <c r="Q2924" s="1"/>
      <c r="R2924" t="str">
        <f>IF(Table1[[#This Row],[Actual close date]]="","",Table1[[#This Row],[Actual close date]]-Table1[[#This Row],[Expected close date]])</f>
        <v/>
      </c>
    </row>
    <row r="2925" spans="1:18" x14ac:dyDescent="0.25">
      <c r="A2925" t="s">
        <v>3010</v>
      </c>
      <c r="B2925" t="s">
        <v>69</v>
      </c>
      <c r="C2925" t="s">
        <v>70</v>
      </c>
      <c r="D2925" t="s">
        <v>71</v>
      </c>
      <c r="E2925" t="s">
        <v>45</v>
      </c>
      <c r="F2925" t="s">
        <v>167</v>
      </c>
      <c r="G2925" t="s">
        <v>57</v>
      </c>
      <c r="H2925" s="1">
        <v>45358</v>
      </c>
      <c r="I2925" t="s">
        <v>64</v>
      </c>
      <c r="J2925" t="s">
        <v>2559</v>
      </c>
      <c r="K2925">
        <v>4</v>
      </c>
      <c r="N2925">
        <v>4953</v>
      </c>
      <c r="O2925">
        <v>70</v>
      </c>
      <c r="P2925" s="1">
        <v>45385</v>
      </c>
      <c r="Q2925" s="1"/>
      <c r="R2925" t="str">
        <f>IF(Table1[[#This Row],[Actual close date]]="","",Table1[[#This Row],[Actual close date]]-Table1[[#This Row],[Expected close date]])</f>
        <v/>
      </c>
    </row>
    <row r="2926" spans="1:18" x14ac:dyDescent="0.25">
      <c r="A2926" t="s">
        <v>3011</v>
      </c>
      <c r="B2926" t="s">
        <v>39</v>
      </c>
      <c r="C2926" t="s">
        <v>40</v>
      </c>
      <c r="D2926" t="s">
        <v>41</v>
      </c>
      <c r="E2926" t="s">
        <v>66</v>
      </c>
      <c r="F2926" t="s">
        <v>167</v>
      </c>
      <c r="G2926" t="s">
        <v>72</v>
      </c>
      <c r="H2926" s="1">
        <v>45341</v>
      </c>
      <c r="I2926" t="s">
        <v>24</v>
      </c>
      <c r="J2926" t="s">
        <v>2559</v>
      </c>
      <c r="K2926">
        <v>4</v>
      </c>
      <c r="N2926">
        <v>7503</v>
      </c>
      <c r="O2926">
        <v>70</v>
      </c>
      <c r="P2926" s="1">
        <v>45385</v>
      </c>
      <c r="Q2926" s="1"/>
      <c r="R2926" t="str">
        <f>IF(Table1[[#This Row],[Actual close date]]="","",Table1[[#This Row],[Actual close date]]-Table1[[#This Row],[Expected close date]])</f>
        <v/>
      </c>
    </row>
    <row r="2927" spans="1:18" x14ac:dyDescent="0.25">
      <c r="A2927" t="s">
        <v>3012</v>
      </c>
      <c r="B2927" t="s">
        <v>76</v>
      </c>
      <c r="C2927" t="s">
        <v>77</v>
      </c>
      <c r="D2927" t="s">
        <v>78</v>
      </c>
      <c r="E2927" t="s">
        <v>45</v>
      </c>
      <c r="F2927" t="s">
        <v>167</v>
      </c>
      <c r="G2927" t="s">
        <v>23</v>
      </c>
      <c r="H2927" s="1">
        <v>45432</v>
      </c>
      <c r="I2927" t="s">
        <v>64</v>
      </c>
      <c r="J2927" t="s">
        <v>2559</v>
      </c>
      <c r="K2927">
        <v>4</v>
      </c>
      <c r="N2927">
        <v>7066</v>
      </c>
      <c r="O2927">
        <v>50</v>
      </c>
      <c r="P2927" s="1">
        <v>45727</v>
      </c>
      <c r="Q2927" s="1"/>
      <c r="R2927" t="str">
        <f>IF(Table1[[#This Row],[Actual close date]]="","",Table1[[#This Row],[Actual close date]]-Table1[[#This Row],[Expected close date]])</f>
        <v/>
      </c>
    </row>
    <row r="2928" spans="1:18" x14ac:dyDescent="0.25">
      <c r="A2928" t="s">
        <v>3013</v>
      </c>
      <c r="B2928" t="s">
        <v>33</v>
      </c>
      <c r="C2928" t="s">
        <v>34</v>
      </c>
      <c r="D2928" t="s">
        <v>35</v>
      </c>
      <c r="E2928" t="s">
        <v>52</v>
      </c>
      <c r="F2928" t="s">
        <v>167</v>
      </c>
      <c r="G2928" t="s">
        <v>57</v>
      </c>
      <c r="H2928" s="1">
        <v>45430</v>
      </c>
      <c r="I2928" t="s">
        <v>64</v>
      </c>
      <c r="J2928" t="s">
        <v>2559</v>
      </c>
      <c r="K2928">
        <v>4</v>
      </c>
      <c r="N2928">
        <v>4099</v>
      </c>
      <c r="O2928">
        <v>20</v>
      </c>
      <c r="P2928" s="1">
        <v>45745</v>
      </c>
      <c r="Q2928" s="1"/>
      <c r="R2928" t="str">
        <f>IF(Table1[[#This Row],[Actual close date]]="","",Table1[[#This Row],[Actual close date]]-Table1[[#This Row],[Expected close date]])</f>
        <v/>
      </c>
    </row>
    <row r="2929" spans="1:18" x14ac:dyDescent="0.25">
      <c r="A2929" t="s">
        <v>3014</v>
      </c>
      <c r="B2929" t="s">
        <v>39</v>
      </c>
      <c r="C2929" t="s">
        <v>40</v>
      </c>
      <c r="D2929" t="s">
        <v>41</v>
      </c>
      <c r="E2929" t="s">
        <v>101</v>
      </c>
      <c r="F2929" t="s">
        <v>167</v>
      </c>
      <c r="G2929" t="s">
        <v>85</v>
      </c>
      <c r="H2929" s="1">
        <v>45352</v>
      </c>
      <c r="I2929" t="s">
        <v>47</v>
      </c>
      <c r="J2929" t="s">
        <v>2559</v>
      </c>
      <c r="K2929">
        <v>4</v>
      </c>
      <c r="N2929">
        <v>1722</v>
      </c>
      <c r="O2929">
        <v>50</v>
      </c>
      <c r="P2929" s="1">
        <v>45514</v>
      </c>
      <c r="Q2929" s="1"/>
      <c r="R2929" t="str">
        <f>IF(Table1[[#This Row],[Actual close date]]="","",Table1[[#This Row],[Actual close date]]-Table1[[#This Row],[Expected close date]])</f>
        <v/>
      </c>
    </row>
    <row r="2930" spans="1:18" x14ac:dyDescent="0.25">
      <c r="A2930" t="s">
        <v>3015</v>
      </c>
      <c r="B2930" t="s">
        <v>33</v>
      </c>
      <c r="C2930" t="s">
        <v>34</v>
      </c>
      <c r="D2930" t="s">
        <v>35</v>
      </c>
      <c r="E2930" t="s">
        <v>101</v>
      </c>
      <c r="F2930" t="s">
        <v>167</v>
      </c>
      <c r="G2930" t="s">
        <v>37</v>
      </c>
      <c r="H2930" s="1">
        <v>45326</v>
      </c>
      <c r="I2930" t="s">
        <v>47</v>
      </c>
      <c r="J2930" t="s">
        <v>2559</v>
      </c>
      <c r="K2930">
        <v>4</v>
      </c>
      <c r="N2930">
        <v>5168</v>
      </c>
      <c r="O2930">
        <v>20</v>
      </c>
      <c r="P2930" s="1">
        <v>45675</v>
      </c>
      <c r="Q2930" s="1"/>
      <c r="R2930" t="str">
        <f>IF(Table1[[#This Row],[Actual close date]]="","",Table1[[#This Row],[Actual close date]]-Table1[[#This Row],[Expected close date]])</f>
        <v/>
      </c>
    </row>
    <row r="2931" spans="1:18" x14ac:dyDescent="0.25">
      <c r="A2931" t="s">
        <v>3016</v>
      </c>
      <c r="B2931" t="s">
        <v>33</v>
      </c>
      <c r="C2931" t="s">
        <v>34</v>
      </c>
      <c r="D2931" t="s">
        <v>35</v>
      </c>
      <c r="E2931" t="s">
        <v>21</v>
      </c>
      <c r="F2931" t="s">
        <v>167</v>
      </c>
      <c r="G2931" t="s">
        <v>31</v>
      </c>
      <c r="H2931" s="1">
        <v>45344</v>
      </c>
      <c r="I2931" t="s">
        <v>24</v>
      </c>
      <c r="J2931" t="s">
        <v>2559</v>
      </c>
      <c r="K2931">
        <v>4</v>
      </c>
      <c r="N2931">
        <v>2891</v>
      </c>
      <c r="O2931">
        <v>30</v>
      </c>
      <c r="P2931" s="1">
        <v>45647</v>
      </c>
      <c r="Q2931" s="1"/>
      <c r="R2931" t="str">
        <f>IF(Table1[[#This Row],[Actual close date]]="","",Table1[[#This Row],[Actual close date]]-Table1[[#This Row],[Expected close date]])</f>
        <v/>
      </c>
    </row>
    <row r="2932" spans="1:18" x14ac:dyDescent="0.25">
      <c r="A2932" t="s">
        <v>3017</v>
      </c>
      <c r="B2932" t="s">
        <v>39</v>
      </c>
      <c r="C2932" t="s">
        <v>40</v>
      </c>
      <c r="D2932" t="s">
        <v>41</v>
      </c>
      <c r="E2932" t="s">
        <v>36</v>
      </c>
      <c r="F2932" t="s">
        <v>167</v>
      </c>
      <c r="G2932" t="s">
        <v>83</v>
      </c>
      <c r="H2932" s="1">
        <v>45409</v>
      </c>
      <c r="I2932" t="s">
        <v>47</v>
      </c>
      <c r="J2932" t="s">
        <v>2559</v>
      </c>
      <c r="K2932">
        <v>4</v>
      </c>
      <c r="N2932">
        <v>1649</v>
      </c>
      <c r="O2932">
        <v>50</v>
      </c>
      <c r="P2932" s="1">
        <v>45478</v>
      </c>
      <c r="Q2932" s="1"/>
      <c r="R2932" t="str">
        <f>IF(Table1[[#This Row],[Actual close date]]="","",Table1[[#This Row],[Actual close date]]-Table1[[#This Row],[Expected close date]])</f>
        <v/>
      </c>
    </row>
    <row r="2933" spans="1:18" x14ac:dyDescent="0.25">
      <c r="A2933" t="s">
        <v>3018</v>
      </c>
      <c r="B2933" t="s">
        <v>54</v>
      </c>
      <c r="C2933" t="s">
        <v>55</v>
      </c>
      <c r="D2933" t="s">
        <v>56</v>
      </c>
      <c r="E2933" t="s">
        <v>45</v>
      </c>
      <c r="F2933" t="s">
        <v>167</v>
      </c>
      <c r="G2933" t="s">
        <v>37</v>
      </c>
      <c r="H2933" s="1">
        <v>45322</v>
      </c>
      <c r="I2933" t="s">
        <v>64</v>
      </c>
      <c r="J2933" t="s">
        <v>2559</v>
      </c>
      <c r="K2933">
        <v>4</v>
      </c>
      <c r="N2933">
        <v>3200</v>
      </c>
      <c r="O2933">
        <v>30</v>
      </c>
      <c r="P2933" s="1">
        <v>45616</v>
      </c>
      <c r="Q2933" s="1"/>
      <c r="R2933" t="str">
        <f>IF(Table1[[#This Row],[Actual close date]]="","",Table1[[#This Row],[Actual close date]]-Table1[[#This Row],[Expected close date]])</f>
        <v/>
      </c>
    </row>
    <row r="2934" spans="1:18" x14ac:dyDescent="0.25">
      <c r="A2934" t="s">
        <v>3019</v>
      </c>
      <c r="B2934" t="s">
        <v>69</v>
      </c>
      <c r="C2934" t="s">
        <v>70</v>
      </c>
      <c r="D2934" t="s">
        <v>71</v>
      </c>
      <c r="E2934" t="s">
        <v>42</v>
      </c>
      <c r="F2934" t="s">
        <v>167</v>
      </c>
      <c r="G2934" t="s">
        <v>85</v>
      </c>
      <c r="H2934" s="1">
        <v>45331</v>
      </c>
      <c r="I2934" t="s">
        <v>64</v>
      </c>
      <c r="J2934" t="s">
        <v>2559</v>
      </c>
      <c r="K2934">
        <v>4</v>
      </c>
      <c r="N2934">
        <v>3905</v>
      </c>
      <c r="O2934">
        <v>50</v>
      </c>
      <c r="P2934" s="1">
        <v>45616</v>
      </c>
      <c r="Q2934" s="1"/>
      <c r="R2934" t="str">
        <f>IF(Table1[[#This Row],[Actual close date]]="","",Table1[[#This Row],[Actual close date]]-Table1[[#This Row],[Expected close date]])</f>
        <v/>
      </c>
    </row>
    <row r="2935" spans="1:18" x14ac:dyDescent="0.25">
      <c r="A2935" t="s">
        <v>3020</v>
      </c>
      <c r="B2935" t="s">
        <v>76</v>
      </c>
      <c r="C2935" t="s">
        <v>77</v>
      </c>
      <c r="D2935" t="s">
        <v>78</v>
      </c>
      <c r="E2935" t="s">
        <v>101</v>
      </c>
      <c r="F2935" t="s">
        <v>167</v>
      </c>
      <c r="G2935" t="s">
        <v>46</v>
      </c>
      <c r="H2935" s="1">
        <v>45420</v>
      </c>
      <c r="I2935" t="s">
        <v>64</v>
      </c>
      <c r="J2935" t="s">
        <v>2559</v>
      </c>
      <c r="K2935">
        <v>4</v>
      </c>
      <c r="N2935">
        <v>3917</v>
      </c>
      <c r="O2935">
        <v>40</v>
      </c>
      <c r="P2935" s="1">
        <v>45567</v>
      </c>
      <c r="Q2935" s="1"/>
      <c r="R2935" t="str">
        <f>IF(Table1[[#This Row],[Actual close date]]="","",Table1[[#This Row],[Actual close date]]-Table1[[#This Row],[Expected close date]])</f>
        <v/>
      </c>
    </row>
    <row r="2936" spans="1:18" x14ac:dyDescent="0.25">
      <c r="A2936" t="s">
        <v>3021</v>
      </c>
      <c r="B2936" t="s">
        <v>18</v>
      </c>
      <c r="C2936" t="s">
        <v>19</v>
      </c>
      <c r="D2936" t="s">
        <v>20</v>
      </c>
      <c r="E2936" t="s">
        <v>66</v>
      </c>
      <c r="F2936" t="s">
        <v>167</v>
      </c>
      <c r="G2936" t="s">
        <v>46</v>
      </c>
      <c r="H2936" s="1">
        <v>45341</v>
      </c>
      <c r="I2936" t="s">
        <v>47</v>
      </c>
      <c r="J2936" t="s">
        <v>2559</v>
      </c>
      <c r="K2936">
        <v>4</v>
      </c>
      <c r="N2936">
        <v>4027</v>
      </c>
      <c r="O2936">
        <v>10</v>
      </c>
      <c r="P2936" s="1">
        <v>45616</v>
      </c>
      <c r="Q2936" s="1"/>
      <c r="R2936" t="str">
        <f>IF(Table1[[#This Row],[Actual close date]]="","",Table1[[#This Row],[Actual close date]]-Table1[[#This Row],[Expected close date]])</f>
        <v/>
      </c>
    </row>
    <row r="2937" spans="1:18" x14ac:dyDescent="0.25">
      <c r="A2937" t="s">
        <v>3022</v>
      </c>
      <c r="B2937" t="s">
        <v>33</v>
      </c>
      <c r="C2937" t="s">
        <v>34</v>
      </c>
      <c r="D2937" t="s">
        <v>35</v>
      </c>
      <c r="E2937" t="s">
        <v>45</v>
      </c>
      <c r="F2937" t="s">
        <v>167</v>
      </c>
      <c r="G2937" t="s">
        <v>46</v>
      </c>
      <c r="H2937" s="1">
        <v>45434</v>
      </c>
      <c r="I2937" t="s">
        <v>47</v>
      </c>
      <c r="J2937" t="s">
        <v>2559</v>
      </c>
      <c r="K2937">
        <v>4</v>
      </c>
      <c r="N2937">
        <v>510</v>
      </c>
      <c r="O2937">
        <v>70</v>
      </c>
      <c r="P2937" s="1">
        <v>45546</v>
      </c>
      <c r="Q2937" s="1"/>
      <c r="R2937" t="str">
        <f>IF(Table1[[#This Row],[Actual close date]]="","",Table1[[#This Row],[Actual close date]]-Table1[[#This Row],[Expected close date]])</f>
        <v/>
      </c>
    </row>
    <row r="2938" spans="1:18" x14ac:dyDescent="0.25">
      <c r="A2938" t="s">
        <v>3023</v>
      </c>
      <c r="B2938" t="s">
        <v>59</v>
      </c>
      <c r="C2938" t="s">
        <v>60</v>
      </c>
      <c r="D2938" t="s">
        <v>61</v>
      </c>
      <c r="E2938" t="s">
        <v>36</v>
      </c>
      <c r="F2938" t="s">
        <v>167</v>
      </c>
      <c r="G2938" t="s">
        <v>57</v>
      </c>
      <c r="H2938" s="1">
        <v>45356</v>
      </c>
      <c r="I2938" t="s">
        <v>64</v>
      </c>
      <c r="J2938" t="s">
        <v>2559</v>
      </c>
      <c r="K2938">
        <v>4</v>
      </c>
      <c r="N2938">
        <v>1421</v>
      </c>
      <c r="O2938">
        <v>70</v>
      </c>
      <c r="P2938" s="1">
        <v>45570</v>
      </c>
      <c r="Q2938" s="1"/>
      <c r="R2938" t="str">
        <f>IF(Table1[[#This Row],[Actual close date]]="","",Table1[[#This Row],[Actual close date]]-Table1[[#This Row],[Expected close date]])</f>
        <v/>
      </c>
    </row>
    <row r="2939" spans="1:18" x14ac:dyDescent="0.25">
      <c r="A2939" t="s">
        <v>3024</v>
      </c>
      <c r="B2939" t="s">
        <v>33</v>
      </c>
      <c r="C2939" t="s">
        <v>34</v>
      </c>
      <c r="D2939" t="s">
        <v>35</v>
      </c>
      <c r="E2939" t="s">
        <v>52</v>
      </c>
      <c r="F2939" t="s">
        <v>167</v>
      </c>
      <c r="G2939" t="s">
        <v>37</v>
      </c>
      <c r="H2939" s="1">
        <v>45433</v>
      </c>
      <c r="I2939" t="s">
        <v>64</v>
      </c>
      <c r="J2939" t="s">
        <v>2559</v>
      </c>
      <c r="K2939">
        <v>4</v>
      </c>
      <c r="N2939">
        <v>6249</v>
      </c>
      <c r="O2939">
        <v>60</v>
      </c>
      <c r="P2939" s="1">
        <v>45712</v>
      </c>
      <c r="Q2939" s="1"/>
      <c r="R2939" t="str">
        <f>IF(Table1[[#This Row],[Actual close date]]="","",Table1[[#This Row],[Actual close date]]-Table1[[#This Row],[Expected close date]])</f>
        <v/>
      </c>
    </row>
    <row r="2940" spans="1:18" x14ac:dyDescent="0.25">
      <c r="A2940" t="s">
        <v>3025</v>
      </c>
      <c r="B2940" t="s">
        <v>69</v>
      </c>
      <c r="C2940" t="s">
        <v>70</v>
      </c>
      <c r="D2940" t="s">
        <v>71</v>
      </c>
      <c r="E2940" t="s">
        <v>21</v>
      </c>
      <c r="F2940" t="s">
        <v>167</v>
      </c>
      <c r="G2940" t="s">
        <v>85</v>
      </c>
      <c r="H2940" s="1">
        <v>45365</v>
      </c>
      <c r="I2940" t="s">
        <v>64</v>
      </c>
      <c r="J2940" t="s">
        <v>2559</v>
      </c>
      <c r="K2940">
        <v>4</v>
      </c>
      <c r="N2940">
        <v>3162</v>
      </c>
      <c r="O2940">
        <v>30</v>
      </c>
      <c r="P2940" s="1">
        <v>45723</v>
      </c>
      <c r="Q2940" s="1"/>
      <c r="R2940" t="str">
        <f>IF(Table1[[#This Row],[Actual close date]]="","",Table1[[#This Row],[Actual close date]]-Table1[[#This Row],[Expected close date]])</f>
        <v/>
      </c>
    </row>
    <row r="2941" spans="1:18" x14ac:dyDescent="0.25">
      <c r="A2941" t="s">
        <v>3026</v>
      </c>
      <c r="B2941" t="s">
        <v>33</v>
      </c>
      <c r="C2941" t="s">
        <v>34</v>
      </c>
      <c r="D2941" t="s">
        <v>35</v>
      </c>
      <c r="E2941" t="s">
        <v>21</v>
      </c>
      <c r="F2941" t="s">
        <v>167</v>
      </c>
      <c r="G2941" t="s">
        <v>46</v>
      </c>
      <c r="H2941" s="1">
        <v>45336</v>
      </c>
      <c r="I2941" t="s">
        <v>24</v>
      </c>
      <c r="J2941" t="s">
        <v>2559</v>
      </c>
      <c r="K2941">
        <v>4</v>
      </c>
      <c r="N2941">
        <v>2987</v>
      </c>
      <c r="O2941">
        <v>70</v>
      </c>
      <c r="P2941" s="1">
        <v>45416</v>
      </c>
      <c r="Q2941" s="1"/>
      <c r="R2941" t="str">
        <f>IF(Table1[[#This Row],[Actual close date]]="","",Table1[[#This Row],[Actual close date]]-Table1[[#This Row],[Expected close date]])</f>
        <v/>
      </c>
    </row>
    <row r="2942" spans="1:18" x14ac:dyDescent="0.25">
      <c r="A2942" t="s">
        <v>3027</v>
      </c>
      <c r="B2942" t="s">
        <v>69</v>
      </c>
      <c r="C2942" t="s">
        <v>70</v>
      </c>
      <c r="D2942" t="s">
        <v>71</v>
      </c>
      <c r="E2942" t="s">
        <v>45</v>
      </c>
      <c r="F2942" t="s">
        <v>167</v>
      </c>
      <c r="G2942" t="s">
        <v>37</v>
      </c>
      <c r="H2942" s="1">
        <v>45392</v>
      </c>
      <c r="I2942" t="s">
        <v>47</v>
      </c>
      <c r="J2942" t="s">
        <v>2559</v>
      </c>
      <c r="K2942">
        <v>4</v>
      </c>
      <c r="N2942">
        <v>6703</v>
      </c>
      <c r="O2942">
        <v>60</v>
      </c>
      <c r="P2942" s="1">
        <v>45497</v>
      </c>
      <c r="Q2942" s="1"/>
      <c r="R2942" t="str">
        <f>IF(Table1[[#This Row],[Actual close date]]="","",Table1[[#This Row],[Actual close date]]-Table1[[#This Row],[Expected close date]])</f>
        <v/>
      </c>
    </row>
    <row r="2943" spans="1:18" x14ac:dyDescent="0.25">
      <c r="A2943" t="s">
        <v>3028</v>
      </c>
      <c r="B2943" t="s">
        <v>33</v>
      </c>
      <c r="C2943" t="s">
        <v>34</v>
      </c>
      <c r="D2943" t="s">
        <v>35</v>
      </c>
      <c r="E2943" t="s">
        <v>82</v>
      </c>
      <c r="F2943" t="s">
        <v>167</v>
      </c>
      <c r="G2943" t="s">
        <v>31</v>
      </c>
      <c r="H2943" s="1">
        <v>45386</v>
      </c>
      <c r="I2943" t="s">
        <v>64</v>
      </c>
      <c r="J2943" t="s">
        <v>2559</v>
      </c>
      <c r="K2943">
        <v>4</v>
      </c>
      <c r="N2943">
        <v>7574</v>
      </c>
      <c r="O2943">
        <v>70</v>
      </c>
      <c r="P2943" s="1">
        <v>45627</v>
      </c>
      <c r="Q2943" s="1"/>
      <c r="R2943" t="str">
        <f>IF(Table1[[#This Row],[Actual close date]]="","",Table1[[#This Row],[Actual close date]]-Table1[[#This Row],[Expected close date]])</f>
        <v/>
      </c>
    </row>
    <row r="2944" spans="1:18" x14ac:dyDescent="0.25">
      <c r="A2944" t="s">
        <v>3029</v>
      </c>
      <c r="B2944" t="s">
        <v>33</v>
      </c>
      <c r="C2944" t="s">
        <v>34</v>
      </c>
      <c r="D2944" t="s">
        <v>35</v>
      </c>
      <c r="E2944" t="s">
        <v>101</v>
      </c>
      <c r="F2944" t="s">
        <v>167</v>
      </c>
      <c r="G2944" t="s">
        <v>46</v>
      </c>
      <c r="H2944" s="1">
        <v>45442</v>
      </c>
      <c r="I2944" t="s">
        <v>24</v>
      </c>
      <c r="J2944" t="s">
        <v>2559</v>
      </c>
      <c r="K2944">
        <v>4</v>
      </c>
      <c r="N2944">
        <v>4596</v>
      </c>
      <c r="O2944">
        <v>40</v>
      </c>
      <c r="P2944" s="1">
        <v>45718</v>
      </c>
      <c r="Q2944" s="1"/>
      <c r="R2944" t="str">
        <f>IF(Table1[[#This Row],[Actual close date]]="","",Table1[[#This Row],[Actual close date]]-Table1[[#This Row],[Expected close date]])</f>
        <v/>
      </c>
    </row>
    <row r="2945" spans="1:18" x14ac:dyDescent="0.25">
      <c r="A2945" t="s">
        <v>3030</v>
      </c>
      <c r="B2945" t="s">
        <v>33</v>
      </c>
      <c r="C2945" t="s">
        <v>34</v>
      </c>
      <c r="D2945" t="s">
        <v>35</v>
      </c>
      <c r="E2945" t="s">
        <v>45</v>
      </c>
      <c r="F2945" t="s">
        <v>167</v>
      </c>
      <c r="G2945" t="s">
        <v>46</v>
      </c>
      <c r="H2945" s="1">
        <v>45365</v>
      </c>
      <c r="I2945" t="s">
        <v>64</v>
      </c>
      <c r="J2945" t="s">
        <v>2559</v>
      </c>
      <c r="K2945">
        <v>4</v>
      </c>
      <c r="N2945">
        <v>465</v>
      </c>
      <c r="O2945">
        <v>40</v>
      </c>
      <c r="P2945" s="1">
        <v>45719</v>
      </c>
      <c r="Q2945" s="1"/>
      <c r="R2945" t="str">
        <f>IF(Table1[[#This Row],[Actual close date]]="","",Table1[[#This Row],[Actual close date]]-Table1[[#This Row],[Expected close date]])</f>
        <v/>
      </c>
    </row>
    <row r="2946" spans="1:18" x14ac:dyDescent="0.25">
      <c r="A2946" t="s">
        <v>3031</v>
      </c>
      <c r="B2946" t="s">
        <v>49</v>
      </c>
      <c r="C2946" t="s">
        <v>50</v>
      </c>
      <c r="D2946" t="s">
        <v>51</v>
      </c>
      <c r="E2946" t="s">
        <v>98</v>
      </c>
      <c r="F2946" t="s">
        <v>167</v>
      </c>
      <c r="G2946" t="s">
        <v>83</v>
      </c>
      <c r="H2946" s="1">
        <v>45403</v>
      </c>
      <c r="I2946" t="s">
        <v>64</v>
      </c>
      <c r="J2946" t="s">
        <v>2559</v>
      </c>
      <c r="K2946">
        <v>4</v>
      </c>
      <c r="N2946">
        <v>689</v>
      </c>
      <c r="O2946">
        <v>70</v>
      </c>
      <c r="P2946" s="1">
        <v>45662</v>
      </c>
      <c r="Q2946" s="1"/>
      <c r="R2946" t="str">
        <f>IF(Table1[[#This Row],[Actual close date]]="","",Table1[[#This Row],[Actual close date]]-Table1[[#This Row],[Expected close date]])</f>
        <v/>
      </c>
    </row>
    <row r="2947" spans="1:18" x14ac:dyDescent="0.25">
      <c r="A2947" t="s">
        <v>3032</v>
      </c>
      <c r="B2947" t="s">
        <v>39</v>
      </c>
      <c r="C2947" t="s">
        <v>40</v>
      </c>
      <c r="D2947" t="s">
        <v>41</v>
      </c>
      <c r="E2947" t="s">
        <v>52</v>
      </c>
      <c r="F2947" t="s">
        <v>167</v>
      </c>
      <c r="G2947" t="s">
        <v>57</v>
      </c>
      <c r="H2947" s="1">
        <v>45312</v>
      </c>
      <c r="I2947" t="s">
        <v>64</v>
      </c>
      <c r="J2947" t="s">
        <v>2559</v>
      </c>
      <c r="K2947">
        <v>4</v>
      </c>
      <c r="N2947">
        <v>3427</v>
      </c>
      <c r="O2947">
        <v>30</v>
      </c>
      <c r="P2947" s="1">
        <v>45429</v>
      </c>
      <c r="Q2947" s="1"/>
      <c r="R2947" t="str">
        <f>IF(Table1[[#This Row],[Actual close date]]="","",Table1[[#This Row],[Actual close date]]-Table1[[#This Row],[Expected close date]])</f>
        <v/>
      </c>
    </row>
    <row r="2948" spans="1:18" x14ac:dyDescent="0.25">
      <c r="A2948" t="s">
        <v>3033</v>
      </c>
      <c r="B2948" t="s">
        <v>49</v>
      </c>
      <c r="C2948" t="s">
        <v>50</v>
      </c>
      <c r="D2948" t="s">
        <v>51</v>
      </c>
      <c r="E2948" t="s">
        <v>98</v>
      </c>
      <c r="F2948" t="s">
        <v>167</v>
      </c>
      <c r="G2948" t="s">
        <v>83</v>
      </c>
      <c r="H2948" s="1">
        <v>45333</v>
      </c>
      <c r="I2948" t="s">
        <v>64</v>
      </c>
      <c r="J2948" t="s">
        <v>2559</v>
      </c>
      <c r="K2948">
        <v>4</v>
      </c>
      <c r="N2948">
        <v>1182</v>
      </c>
      <c r="O2948">
        <v>40</v>
      </c>
      <c r="P2948" s="1">
        <v>45652</v>
      </c>
      <c r="Q2948" s="1"/>
      <c r="R2948" t="str">
        <f>IF(Table1[[#This Row],[Actual close date]]="","",Table1[[#This Row],[Actual close date]]-Table1[[#This Row],[Expected close date]])</f>
        <v/>
      </c>
    </row>
    <row r="2949" spans="1:18" x14ac:dyDescent="0.25">
      <c r="A2949" t="s">
        <v>3034</v>
      </c>
      <c r="B2949" t="s">
        <v>59</v>
      </c>
      <c r="C2949" t="s">
        <v>60</v>
      </c>
      <c r="D2949" t="s">
        <v>61</v>
      </c>
      <c r="E2949" t="s">
        <v>74</v>
      </c>
      <c r="F2949" t="s">
        <v>167</v>
      </c>
      <c r="G2949" t="s">
        <v>46</v>
      </c>
      <c r="H2949" s="1">
        <v>45441</v>
      </c>
      <c r="I2949" t="s">
        <v>47</v>
      </c>
      <c r="J2949" t="s">
        <v>2559</v>
      </c>
      <c r="K2949">
        <v>4</v>
      </c>
      <c r="N2949">
        <v>4395</v>
      </c>
      <c r="O2949">
        <v>50</v>
      </c>
      <c r="P2949" s="1">
        <v>45630</v>
      </c>
      <c r="Q2949" s="1"/>
      <c r="R2949" t="str">
        <f>IF(Table1[[#This Row],[Actual close date]]="","",Table1[[#This Row],[Actual close date]]-Table1[[#This Row],[Expected close date]])</f>
        <v/>
      </c>
    </row>
    <row r="2950" spans="1:18" x14ac:dyDescent="0.25">
      <c r="A2950" t="s">
        <v>3035</v>
      </c>
      <c r="B2950" t="s">
        <v>33</v>
      </c>
      <c r="C2950" t="s">
        <v>34</v>
      </c>
      <c r="D2950" t="s">
        <v>35</v>
      </c>
      <c r="E2950" t="s">
        <v>82</v>
      </c>
      <c r="F2950" t="s">
        <v>167</v>
      </c>
      <c r="G2950" t="s">
        <v>72</v>
      </c>
      <c r="H2950" s="1">
        <v>45400</v>
      </c>
      <c r="I2950" t="s">
        <v>24</v>
      </c>
      <c r="J2950" t="s">
        <v>2559</v>
      </c>
      <c r="K2950">
        <v>4</v>
      </c>
      <c r="N2950">
        <v>5571</v>
      </c>
      <c r="O2950">
        <v>100</v>
      </c>
      <c r="P2950" s="1">
        <v>45517</v>
      </c>
      <c r="Q2950" s="1"/>
      <c r="R2950" t="str">
        <f>IF(Table1[[#This Row],[Actual close date]]="","",Table1[[#This Row],[Actual close date]]-Table1[[#This Row],[Expected close date]])</f>
        <v/>
      </c>
    </row>
    <row r="2951" spans="1:18" x14ac:dyDescent="0.25">
      <c r="A2951" t="s">
        <v>3036</v>
      </c>
      <c r="B2951" t="s">
        <v>76</v>
      </c>
      <c r="C2951" t="s">
        <v>77</v>
      </c>
      <c r="D2951" t="s">
        <v>78</v>
      </c>
      <c r="E2951" t="s">
        <v>98</v>
      </c>
      <c r="F2951" t="s">
        <v>167</v>
      </c>
      <c r="G2951" t="s">
        <v>37</v>
      </c>
      <c r="H2951" s="1">
        <v>45394</v>
      </c>
      <c r="I2951" t="s">
        <v>64</v>
      </c>
      <c r="J2951" t="s">
        <v>2559</v>
      </c>
      <c r="K2951">
        <v>4</v>
      </c>
      <c r="N2951">
        <v>2940</v>
      </c>
      <c r="O2951">
        <v>50</v>
      </c>
      <c r="P2951" s="1">
        <v>45675</v>
      </c>
      <c r="Q2951" s="1"/>
      <c r="R2951" t="str">
        <f>IF(Table1[[#This Row],[Actual close date]]="","",Table1[[#This Row],[Actual close date]]-Table1[[#This Row],[Expected close date]])</f>
        <v/>
      </c>
    </row>
    <row r="2952" spans="1:18" x14ac:dyDescent="0.25">
      <c r="A2952" t="s">
        <v>3037</v>
      </c>
      <c r="B2952" t="s">
        <v>76</v>
      </c>
      <c r="C2952" t="s">
        <v>77</v>
      </c>
      <c r="D2952" t="s">
        <v>78</v>
      </c>
      <c r="E2952" t="s">
        <v>36</v>
      </c>
      <c r="F2952" t="s">
        <v>167</v>
      </c>
      <c r="G2952" t="s">
        <v>72</v>
      </c>
      <c r="H2952" s="1">
        <v>45316</v>
      </c>
      <c r="I2952" t="s">
        <v>24</v>
      </c>
      <c r="J2952" t="s">
        <v>2559</v>
      </c>
      <c r="K2952">
        <v>4</v>
      </c>
      <c r="N2952">
        <v>2791</v>
      </c>
      <c r="O2952">
        <v>40</v>
      </c>
      <c r="P2952" s="1">
        <v>45446</v>
      </c>
      <c r="Q2952" s="1"/>
      <c r="R2952" t="str">
        <f>IF(Table1[[#This Row],[Actual close date]]="","",Table1[[#This Row],[Actual close date]]-Table1[[#This Row],[Expected close date]])</f>
        <v/>
      </c>
    </row>
    <row r="2953" spans="1:18" x14ac:dyDescent="0.25">
      <c r="A2953" t="s">
        <v>3038</v>
      </c>
      <c r="B2953" t="s">
        <v>54</v>
      </c>
      <c r="C2953" t="s">
        <v>55</v>
      </c>
      <c r="D2953" t="s">
        <v>56</v>
      </c>
      <c r="E2953" t="s">
        <v>74</v>
      </c>
      <c r="F2953" t="s">
        <v>167</v>
      </c>
      <c r="G2953" t="s">
        <v>23</v>
      </c>
      <c r="H2953" s="1">
        <v>45400</v>
      </c>
      <c r="I2953" t="s">
        <v>47</v>
      </c>
      <c r="J2953" t="s">
        <v>2559</v>
      </c>
      <c r="K2953">
        <v>4</v>
      </c>
      <c r="N2953">
        <v>2109</v>
      </c>
      <c r="O2953">
        <v>30</v>
      </c>
      <c r="P2953" s="1">
        <v>45642</v>
      </c>
      <c r="Q2953" s="1"/>
      <c r="R2953" t="str">
        <f>IF(Table1[[#This Row],[Actual close date]]="","",Table1[[#This Row],[Actual close date]]-Table1[[#This Row],[Expected close date]])</f>
        <v/>
      </c>
    </row>
    <row r="2954" spans="1:18" x14ac:dyDescent="0.25">
      <c r="A2954" t="s">
        <v>3039</v>
      </c>
      <c r="B2954" t="s">
        <v>76</v>
      </c>
      <c r="C2954" t="s">
        <v>77</v>
      </c>
      <c r="D2954" t="s">
        <v>78</v>
      </c>
      <c r="E2954" t="s">
        <v>52</v>
      </c>
      <c r="F2954" t="s">
        <v>167</v>
      </c>
      <c r="G2954" t="s">
        <v>37</v>
      </c>
      <c r="H2954" s="1">
        <v>45409</v>
      </c>
      <c r="I2954" t="s">
        <v>64</v>
      </c>
      <c r="J2954" t="s">
        <v>2559</v>
      </c>
      <c r="K2954">
        <v>4</v>
      </c>
      <c r="N2954">
        <v>6720</v>
      </c>
      <c r="O2954">
        <v>10</v>
      </c>
      <c r="P2954" s="1">
        <v>45532</v>
      </c>
      <c r="Q2954" s="1"/>
      <c r="R2954" t="str">
        <f>IF(Table1[[#This Row],[Actual close date]]="","",Table1[[#This Row],[Actual close date]]-Table1[[#This Row],[Expected close date]])</f>
        <v/>
      </c>
    </row>
    <row r="2955" spans="1:18" x14ac:dyDescent="0.25">
      <c r="A2955" t="s">
        <v>3040</v>
      </c>
      <c r="B2955" t="s">
        <v>39</v>
      </c>
      <c r="C2955" t="s">
        <v>40</v>
      </c>
      <c r="D2955" t="s">
        <v>41</v>
      </c>
      <c r="E2955" t="s">
        <v>45</v>
      </c>
      <c r="F2955" t="s">
        <v>167</v>
      </c>
      <c r="G2955" t="s">
        <v>57</v>
      </c>
      <c r="H2955" s="1">
        <v>45367</v>
      </c>
      <c r="I2955" t="s">
        <v>64</v>
      </c>
      <c r="J2955" t="s">
        <v>2559</v>
      </c>
      <c r="K2955">
        <v>4</v>
      </c>
      <c r="N2955">
        <v>4558</v>
      </c>
      <c r="O2955">
        <v>50</v>
      </c>
      <c r="P2955" s="1">
        <v>45631</v>
      </c>
      <c r="Q2955" s="1"/>
      <c r="R2955" t="str">
        <f>IF(Table1[[#This Row],[Actual close date]]="","",Table1[[#This Row],[Actual close date]]-Table1[[#This Row],[Expected close date]])</f>
        <v/>
      </c>
    </row>
    <row r="2956" spans="1:18" x14ac:dyDescent="0.25">
      <c r="A2956" t="s">
        <v>3041</v>
      </c>
      <c r="B2956" t="s">
        <v>76</v>
      </c>
      <c r="C2956" t="s">
        <v>77</v>
      </c>
      <c r="D2956" t="s">
        <v>78</v>
      </c>
      <c r="E2956" t="s">
        <v>21</v>
      </c>
      <c r="F2956" t="s">
        <v>167</v>
      </c>
      <c r="G2956" t="s">
        <v>57</v>
      </c>
      <c r="H2956" s="1">
        <v>45293</v>
      </c>
      <c r="I2956" t="s">
        <v>24</v>
      </c>
      <c r="J2956" t="s">
        <v>2559</v>
      </c>
      <c r="K2956">
        <v>4</v>
      </c>
      <c r="N2956">
        <v>2950</v>
      </c>
      <c r="O2956">
        <v>30</v>
      </c>
      <c r="P2956" s="1">
        <v>45574</v>
      </c>
      <c r="Q2956" s="1"/>
      <c r="R2956" t="str">
        <f>IF(Table1[[#This Row],[Actual close date]]="","",Table1[[#This Row],[Actual close date]]-Table1[[#This Row],[Expected close date]])</f>
        <v/>
      </c>
    </row>
    <row r="2957" spans="1:18" x14ac:dyDescent="0.25">
      <c r="A2957" t="s">
        <v>3042</v>
      </c>
      <c r="B2957" t="s">
        <v>33</v>
      </c>
      <c r="C2957" t="s">
        <v>34</v>
      </c>
      <c r="D2957" t="s">
        <v>35</v>
      </c>
      <c r="E2957" t="s">
        <v>45</v>
      </c>
      <c r="F2957" t="s">
        <v>167</v>
      </c>
      <c r="G2957" t="s">
        <v>72</v>
      </c>
      <c r="H2957" s="1">
        <v>45310</v>
      </c>
      <c r="I2957" t="s">
        <v>64</v>
      </c>
      <c r="J2957" t="s">
        <v>2559</v>
      </c>
      <c r="K2957">
        <v>4</v>
      </c>
      <c r="N2957">
        <v>4249</v>
      </c>
      <c r="O2957">
        <v>40</v>
      </c>
      <c r="P2957" s="1">
        <v>45562</v>
      </c>
      <c r="Q2957" s="1"/>
      <c r="R2957" t="str">
        <f>IF(Table1[[#This Row],[Actual close date]]="","",Table1[[#This Row],[Actual close date]]-Table1[[#This Row],[Expected close date]])</f>
        <v/>
      </c>
    </row>
    <row r="2958" spans="1:18" x14ac:dyDescent="0.25">
      <c r="A2958" t="s">
        <v>3043</v>
      </c>
      <c r="B2958" t="s">
        <v>54</v>
      </c>
      <c r="C2958" t="s">
        <v>55</v>
      </c>
      <c r="D2958" t="s">
        <v>56</v>
      </c>
      <c r="E2958" t="s">
        <v>42</v>
      </c>
      <c r="F2958" t="s">
        <v>167</v>
      </c>
      <c r="G2958" t="s">
        <v>46</v>
      </c>
      <c r="H2958" s="1">
        <v>45349</v>
      </c>
      <c r="I2958" t="s">
        <v>24</v>
      </c>
      <c r="J2958" t="s">
        <v>2559</v>
      </c>
      <c r="K2958">
        <v>4</v>
      </c>
      <c r="N2958">
        <v>4159</v>
      </c>
      <c r="O2958">
        <v>50</v>
      </c>
      <c r="P2958" s="1">
        <v>45585</v>
      </c>
      <c r="Q2958" s="1"/>
      <c r="R2958" t="str">
        <f>IF(Table1[[#This Row],[Actual close date]]="","",Table1[[#This Row],[Actual close date]]-Table1[[#This Row],[Expected close date]])</f>
        <v/>
      </c>
    </row>
    <row r="2959" spans="1:18" x14ac:dyDescent="0.25">
      <c r="A2959" t="s">
        <v>3044</v>
      </c>
      <c r="B2959" t="s">
        <v>39</v>
      </c>
      <c r="C2959" t="s">
        <v>40</v>
      </c>
      <c r="D2959" t="s">
        <v>41</v>
      </c>
      <c r="E2959" t="s">
        <v>42</v>
      </c>
      <c r="F2959" t="s">
        <v>167</v>
      </c>
      <c r="G2959" t="s">
        <v>46</v>
      </c>
      <c r="H2959" s="1">
        <v>45390</v>
      </c>
      <c r="I2959" t="s">
        <v>64</v>
      </c>
      <c r="J2959" t="s">
        <v>2559</v>
      </c>
      <c r="K2959">
        <v>4</v>
      </c>
      <c r="N2959">
        <v>6175</v>
      </c>
      <c r="O2959">
        <v>50</v>
      </c>
      <c r="P2959" s="1">
        <v>45471</v>
      </c>
      <c r="Q2959" s="1"/>
      <c r="R2959" t="str">
        <f>IF(Table1[[#This Row],[Actual close date]]="","",Table1[[#This Row],[Actual close date]]-Table1[[#This Row],[Expected close date]])</f>
        <v/>
      </c>
    </row>
    <row r="2960" spans="1:18" x14ac:dyDescent="0.25">
      <c r="A2960" t="s">
        <v>3045</v>
      </c>
      <c r="B2960" t="s">
        <v>49</v>
      </c>
      <c r="C2960" t="s">
        <v>50</v>
      </c>
      <c r="D2960" t="s">
        <v>51</v>
      </c>
      <c r="E2960" t="s">
        <v>45</v>
      </c>
      <c r="F2960" t="s">
        <v>167</v>
      </c>
      <c r="G2960" t="s">
        <v>46</v>
      </c>
      <c r="H2960" s="1">
        <v>45343</v>
      </c>
      <c r="I2960" t="s">
        <v>64</v>
      </c>
      <c r="J2960" t="s">
        <v>2559</v>
      </c>
      <c r="K2960">
        <v>4</v>
      </c>
      <c r="N2960">
        <v>1800</v>
      </c>
      <c r="O2960">
        <v>80</v>
      </c>
      <c r="P2960" s="1">
        <v>45668</v>
      </c>
      <c r="Q2960" s="1"/>
      <c r="R2960" t="str">
        <f>IF(Table1[[#This Row],[Actual close date]]="","",Table1[[#This Row],[Actual close date]]-Table1[[#This Row],[Expected close date]])</f>
        <v/>
      </c>
    </row>
    <row r="2961" spans="1:18" x14ac:dyDescent="0.25">
      <c r="A2961" t="s">
        <v>3046</v>
      </c>
      <c r="B2961" t="s">
        <v>33</v>
      </c>
      <c r="C2961" t="s">
        <v>34</v>
      </c>
      <c r="D2961" t="s">
        <v>35</v>
      </c>
      <c r="E2961" t="s">
        <v>118</v>
      </c>
      <c r="F2961" t="s">
        <v>167</v>
      </c>
      <c r="G2961" t="s">
        <v>83</v>
      </c>
      <c r="H2961" s="1">
        <v>45297</v>
      </c>
      <c r="I2961" t="s">
        <v>47</v>
      </c>
      <c r="J2961" t="s">
        <v>2559</v>
      </c>
      <c r="K2961">
        <v>4</v>
      </c>
      <c r="N2961">
        <v>3218</v>
      </c>
      <c r="O2961">
        <v>10</v>
      </c>
      <c r="P2961" s="1">
        <v>45359</v>
      </c>
      <c r="Q2961" s="1"/>
      <c r="R2961" t="str">
        <f>IF(Table1[[#This Row],[Actual close date]]="","",Table1[[#This Row],[Actual close date]]-Table1[[#This Row],[Expected close date]])</f>
        <v/>
      </c>
    </row>
    <row r="2962" spans="1:18" x14ac:dyDescent="0.25">
      <c r="A2962" t="s">
        <v>3047</v>
      </c>
      <c r="B2962" t="s">
        <v>76</v>
      </c>
      <c r="C2962" t="s">
        <v>77</v>
      </c>
      <c r="D2962" t="s">
        <v>78</v>
      </c>
      <c r="E2962" t="s">
        <v>98</v>
      </c>
      <c r="F2962" t="s">
        <v>167</v>
      </c>
      <c r="G2962" t="s">
        <v>37</v>
      </c>
      <c r="H2962" s="1">
        <v>45376</v>
      </c>
      <c r="I2962" t="s">
        <v>64</v>
      </c>
      <c r="J2962" t="s">
        <v>2559</v>
      </c>
      <c r="K2962">
        <v>4</v>
      </c>
      <c r="N2962">
        <v>5348</v>
      </c>
      <c r="O2962">
        <v>20</v>
      </c>
      <c r="P2962" s="1">
        <v>45739</v>
      </c>
      <c r="Q2962" s="1"/>
      <c r="R2962" t="str">
        <f>IF(Table1[[#This Row],[Actual close date]]="","",Table1[[#This Row],[Actual close date]]-Table1[[#This Row],[Expected close date]])</f>
        <v/>
      </c>
    </row>
    <row r="2963" spans="1:18" x14ac:dyDescent="0.25">
      <c r="A2963" t="s">
        <v>3048</v>
      </c>
      <c r="B2963" t="s">
        <v>76</v>
      </c>
      <c r="C2963" t="s">
        <v>77</v>
      </c>
      <c r="D2963" t="s">
        <v>78</v>
      </c>
      <c r="E2963" t="s">
        <v>30</v>
      </c>
      <c r="F2963" t="s">
        <v>167</v>
      </c>
      <c r="G2963" t="s">
        <v>46</v>
      </c>
      <c r="H2963" s="1">
        <v>45306</v>
      </c>
      <c r="I2963" t="s">
        <v>24</v>
      </c>
      <c r="J2963" t="s">
        <v>2559</v>
      </c>
      <c r="K2963">
        <v>4</v>
      </c>
      <c r="N2963">
        <v>5769</v>
      </c>
      <c r="O2963">
        <v>50</v>
      </c>
      <c r="P2963" s="1">
        <v>45459</v>
      </c>
      <c r="Q2963" s="1"/>
      <c r="R2963" t="str">
        <f>IF(Table1[[#This Row],[Actual close date]]="","",Table1[[#This Row],[Actual close date]]-Table1[[#This Row],[Expected close date]])</f>
        <v/>
      </c>
    </row>
    <row r="2964" spans="1:18" x14ac:dyDescent="0.25">
      <c r="A2964" t="s">
        <v>3049</v>
      </c>
      <c r="B2964" t="s">
        <v>69</v>
      </c>
      <c r="C2964" t="s">
        <v>70</v>
      </c>
      <c r="D2964" t="s">
        <v>71</v>
      </c>
      <c r="E2964" t="s">
        <v>52</v>
      </c>
      <c r="F2964" t="s">
        <v>167</v>
      </c>
      <c r="G2964" t="s">
        <v>31</v>
      </c>
      <c r="H2964" s="1">
        <v>45330</v>
      </c>
      <c r="I2964" t="s">
        <v>24</v>
      </c>
      <c r="J2964" t="s">
        <v>2559</v>
      </c>
      <c r="K2964">
        <v>4</v>
      </c>
      <c r="N2964">
        <v>4554</v>
      </c>
      <c r="O2964">
        <v>50</v>
      </c>
      <c r="P2964" s="1">
        <v>45623</v>
      </c>
      <c r="Q2964" s="1"/>
      <c r="R2964" t="str">
        <f>IF(Table1[[#This Row],[Actual close date]]="","",Table1[[#This Row],[Actual close date]]-Table1[[#This Row],[Expected close date]])</f>
        <v/>
      </c>
    </row>
    <row r="2965" spans="1:18" x14ac:dyDescent="0.25">
      <c r="A2965" t="s">
        <v>3050</v>
      </c>
      <c r="B2965" t="s">
        <v>76</v>
      </c>
      <c r="C2965" t="s">
        <v>77</v>
      </c>
      <c r="D2965" t="s">
        <v>78</v>
      </c>
      <c r="E2965" t="s">
        <v>66</v>
      </c>
      <c r="F2965" t="s">
        <v>167</v>
      </c>
      <c r="G2965" t="s">
        <v>83</v>
      </c>
      <c r="H2965" s="1">
        <v>45371</v>
      </c>
      <c r="I2965" t="s">
        <v>64</v>
      </c>
      <c r="J2965" t="s">
        <v>2559</v>
      </c>
      <c r="K2965">
        <v>4</v>
      </c>
      <c r="N2965">
        <v>7249</v>
      </c>
      <c r="O2965">
        <v>30</v>
      </c>
      <c r="P2965" s="1">
        <v>45607</v>
      </c>
      <c r="Q2965" s="1"/>
      <c r="R2965" t="str">
        <f>IF(Table1[[#This Row],[Actual close date]]="","",Table1[[#This Row],[Actual close date]]-Table1[[#This Row],[Expected close date]])</f>
        <v/>
      </c>
    </row>
    <row r="2966" spans="1:18" x14ac:dyDescent="0.25">
      <c r="A2966" t="s">
        <v>3051</v>
      </c>
      <c r="B2966" t="s">
        <v>39</v>
      </c>
      <c r="C2966" t="s">
        <v>40</v>
      </c>
      <c r="D2966" t="s">
        <v>41</v>
      </c>
      <c r="E2966" t="s">
        <v>21</v>
      </c>
      <c r="F2966" t="s">
        <v>167</v>
      </c>
      <c r="G2966" t="s">
        <v>37</v>
      </c>
      <c r="H2966" s="1">
        <v>45423</v>
      </c>
      <c r="I2966" t="s">
        <v>47</v>
      </c>
      <c r="J2966" t="s">
        <v>2559</v>
      </c>
      <c r="K2966">
        <v>4</v>
      </c>
      <c r="N2966">
        <v>4545</v>
      </c>
      <c r="O2966">
        <v>100</v>
      </c>
      <c r="P2966" s="1">
        <v>45557</v>
      </c>
      <c r="Q2966" s="1"/>
      <c r="R2966" t="str">
        <f>IF(Table1[[#This Row],[Actual close date]]="","",Table1[[#This Row],[Actual close date]]-Table1[[#This Row],[Expected close date]])</f>
        <v/>
      </c>
    </row>
    <row r="2967" spans="1:18" x14ac:dyDescent="0.25">
      <c r="A2967" t="s">
        <v>3052</v>
      </c>
      <c r="B2967" t="s">
        <v>76</v>
      </c>
      <c r="C2967" t="s">
        <v>77</v>
      </c>
      <c r="D2967" t="s">
        <v>78</v>
      </c>
      <c r="E2967" t="s">
        <v>45</v>
      </c>
      <c r="F2967" t="s">
        <v>167</v>
      </c>
      <c r="G2967" t="s">
        <v>46</v>
      </c>
      <c r="H2967" s="1">
        <v>45316</v>
      </c>
      <c r="I2967" t="s">
        <v>64</v>
      </c>
      <c r="J2967" t="s">
        <v>2559</v>
      </c>
      <c r="K2967">
        <v>4</v>
      </c>
      <c r="N2967">
        <v>7593</v>
      </c>
      <c r="O2967">
        <v>50</v>
      </c>
      <c r="P2967" s="1">
        <v>45418</v>
      </c>
      <c r="Q2967" s="1"/>
      <c r="R2967" t="str">
        <f>IF(Table1[[#This Row],[Actual close date]]="","",Table1[[#This Row],[Actual close date]]-Table1[[#This Row],[Expected close date]])</f>
        <v/>
      </c>
    </row>
    <row r="2968" spans="1:18" x14ac:dyDescent="0.25">
      <c r="A2968" t="s">
        <v>3053</v>
      </c>
      <c r="B2968" t="s">
        <v>59</v>
      </c>
      <c r="C2968" t="s">
        <v>60</v>
      </c>
      <c r="D2968" t="s">
        <v>61</v>
      </c>
      <c r="E2968" t="s">
        <v>74</v>
      </c>
      <c r="F2968" t="s">
        <v>167</v>
      </c>
      <c r="G2968" t="s">
        <v>57</v>
      </c>
      <c r="H2968" s="1">
        <v>45380</v>
      </c>
      <c r="I2968" t="s">
        <v>24</v>
      </c>
      <c r="J2968" t="s">
        <v>2559</v>
      </c>
      <c r="K2968">
        <v>4</v>
      </c>
      <c r="N2968">
        <v>7630</v>
      </c>
      <c r="O2968">
        <v>100</v>
      </c>
      <c r="P2968" s="1">
        <v>45616</v>
      </c>
      <c r="Q2968" s="1"/>
      <c r="R2968" t="str">
        <f>IF(Table1[[#This Row],[Actual close date]]="","",Table1[[#This Row],[Actual close date]]-Table1[[#This Row],[Expected close date]])</f>
        <v/>
      </c>
    </row>
    <row r="2969" spans="1:18" x14ac:dyDescent="0.25">
      <c r="A2969" t="s">
        <v>3054</v>
      </c>
      <c r="B2969" t="s">
        <v>54</v>
      </c>
      <c r="C2969" t="s">
        <v>55</v>
      </c>
      <c r="D2969" t="s">
        <v>56</v>
      </c>
      <c r="E2969" t="s">
        <v>101</v>
      </c>
      <c r="F2969" t="s">
        <v>167</v>
      </c>
      <c r="G2969" t="s">
        <v>46</v>
      </c>
      <c r="H2969" s="1">
        <v>45341</v>
      </c>
      <c r="I2969" t="s">
        <v>64</v>
      </c>
      <c r="J2969" t="s">
        <v>2559</v>
      </c>
      <c r="K2969">
        <v>4</v>
      </c>
      <c r="N2969">
        <v>6638</v>
      </c>
      <c r="O2969">
        <v>50</v>
      </c>
      <c r="P2969" s="1">
        <v>45433</v>
      </c>
      <c r="Q2969" s="1"/>
      <c r="R2969" t="str">
        <f>IF(Table1[[#This Row],[Actual close date]]="","",Table1[[#This Row],[Actual close date]]-Table1[[#This Row],[Expected close date]])</f>
        <v/>
      </c>
    </row>
    <row r="2970" spans="1:18" x14ac:dyDescent="0.25">
      <c r="A2970" t="s">
        <v>3055</v>
      </c>
      <c r="B2970" t="s">
        <v>27</v>
      </c>
      <c r="C2970" t="s">
        <v>28</v>
      </c>
      <c r="D2970" t="s">
        <v>29</v>
      </c>
      <c r="E2970" t="s">
        <v>118</v>
      </c>
      <c r="F2970" t="s">
        <v>167</v>
      </c>
      <c r="G2970" t="s">
        <v>31</v>
      </c>
      <c r="H2970" s="1">
        <v>45441</v>
      </c>
      <c r="I2970" t="s">
        <v>64</v>
      </c>
      <c r="J2970" t="s">
        <v>2559</v>
      </c>
      <c r="K2970">
        <v>4</v>
      </c>
      <c r="N2970">
        <v>7037</v>
      </c>
      <c r="O2970">
        <v>30</v>
      </c>
      <c r="P2970" s="1">
        <v>45604</v>
      </c>
      <c r="Q2970" s="1"/>
      <c r="R2970" t="str">
        <f>IF(Table1[[#This Row],[Actual close date]]="","",Table1[[#This Row],[Actual close date]]-Table1[[#This Row],[Expected close date]])</f>
        <v/>
      </c>
    </row>
    <row r="2971" spans="1:18" x14ac:dyDescent="0.25">
      <c r="A2971" t="s">
        <v>3056</v>
      </c>
      <c r="B2971" t="s">
        <v>33</v>
      </c>
      <c r="C2971" t="s">
        <v>34</v>
      </c>
      <c r="D2971" t="s">
        <v>35</v>
      </c>
      <c r="E2971" t="s">
        <v>101</v>
      </c>
      <c r="F2971" t="s">
        <v>167</v>
      </c>
      <c r="G2971" t="s">
        <v>72</v>
      </c>
      <c r="H2971" s="1">
        <v>45389</v>
      </c>
      <c r="I2971" t="s">
        <v>24</v>
      </c>
      <c r="J2971" t="s">
        <v>2559</v>
      </c>
      <c r="K2971">
        <v>4</v>
      </c>
      <c r="N2971">
        <v>2752</v>
      </c>
      <c r="O2971">
        <v>40</v>
      </c>
      <c r="P2971" s="1">
        <v>45524</v>
      </c>
      <c r="Q2971" s="1"/>
      <c r="R2971" t="str">
        <f>IF(Table1[[#This Row],[Actual close date]]="","",Table1[[#This Row],[Actual close date]]-Table1[[#This Row],[Expected close date]])</f>
        <v/>
      </c>
    </row>
    <row r="2972" spans="1:18" x14ac:dyDescent="0.25">
      <c r="A2972" t="s">
        <v>3057</v>
      </c>
      <c r="B2972" t="s">
        <v>59</v>
      </c>
      <c r="C2972" t="s">
        <v>60</v>
      </c>
      <c r="D2972" t="s">
        <v>61</v>
      </c>
      <c r="E2972" t="s">
        <v>45</v>
      </c>
      <c r="F2972" t="s">
        <v>167</v>
      </c>
      <c r="G2972" t="s">
        <v>46</v>
      </c>
      <c r="H2972" s="1">
        <v>45431</v>
      </c>
      <c r="I2972" t="s">
        <v>64</v>
      </c>
      <c r="J2972" t="s">
        <v>2559</v>
      </c>
      <c r="K2972">
        <v>4</v>
      </c>
      <c r="N2972">
        <v>6155</v>
      </c>
      <c r="O2972">
        <v>50</v>
      </c>
      <c r="P2972" s="1">
        <v>45595</v>
      </c>
      <c r="Q2972" s="1"/>
      <c r="R2972" t="str">
        <f>IF(Table1[[#This Row],[Actual close date]]="","",Table1[[#This Row],[Actual close date]]-Table1[[#This Row],[Expected close date]])</f>
        <v/>
      </c>
    </row>
    <row r="2973" spans="1:18" x14ac:dyDescent="0.25">
      <c r="A2973" t="s">
        <v>3058</v>
      </c>
      <c r="B2973" t="s">
        <v>76</v>
      </c>
      <c r="C2973" t="s">
        <v>77</v>
      </c>
      <c r="D2973" t="s">
        <v>78</v>
      </c>
      <c r="E2973" t="s">
        <v>42</v>
      </c>
      <c r="F2973" t="s">
        <v>167</v>
      </c>
      <c r="G2973" t="s">
        <v>31</v>
      </c>
      <c r="H2973" s="1">
        <v>45329</v>
      </c>
      <c r="I2973" t="s">
        <v>24</v>
      </c>
      <c r="J2973" t="s">
        <v>2559</v>
      </c>
      <c r="K2973">
        <v>4</v>
      </c>
      <c r="N2973">
        <v>922</v>
      </c>
      <c r="O2973">
        <v>60</v>
      </c>
      <c r="P2973" s="1">
        <v>45458</v>
      </c>
      <c r="Q2973" s="1"/>
      <c r="R2973" t="str">
        <f>IF(Table1[[#This Row],[Actual close date]]="","",Table1[[#This Row],[Actual close date]]-Table1[[#This Row],[Expected close date]])</f>
        <v/>
      </c>
    </row>
    <row r="2974" spans="1:18" x14ac:dyDescent="0.25">
      <c r="A2974" t="s">
        <v>3059</v>
      </c>
      <c r="B2974" t="s">
        <v>76</v>
      </c>
      <c r="C2974" t="s">
        <v>77</v>
      </c>
      <c r="D2974" t="s">
        <v>78</v>
      </c>
      <c r="E2974" t="s">
        <v>52</v>
      </c>
      <c r="F2974" t="s">
        <v>167</v>
      </c>
      <c r="G2974" t="s">
        <v>85</v>
      </c>
      <c r="H2974" s="1">
        <v>45297</v>
      </c>
      <c r="I2974" t="s">
        <v>64</v>
      </c>
      <c r="J2974" t="s">
        <v>2559</v>
      </c>
      <c r="K2974">
        <v>4</v>
      </c>
      <c r="N2974">
        <v>7744</v>
      </c>
      <c r="O2974">
        <v>20</v>
      </c>
      <c r="P2974" s="1">
        <v>45627</v>
      </c>
      <c r="Q2974" s="1"/>
      <c r="R2974" t="str">
        <f>IF(Table1[[#This Row],[Actual close date]]="","",Table1[[#This Row],[Actual close date]]-Table1[[#This Row],[Expected close date]])</f>
        <v/>
      </c>
    </row>
    <row r="2975" spans="1:18" x14ac:dyDescent="0.25">
      <c r="A2975" t="s">
        <v>3060</v>
      </c>
      <c r="B2975" t="s">
        <v>39</v>
      </c>
      <c r="C2975" t="s">
        <v>40</v>
      </c>
      <c r="D2975" t="s">
        <v>41</v>
      </c>
      <c r="E2975" t="s">
        <v>101</v>
      </c>
      <c r="F2975" t="s">
        <v>167</v>
      </c>
      <c r="G2975" t="s">
        <v>37</v>
      </c>
      <c r="H2975" s="1">
        <v>45354</v>
      </c>
      <c r="I2975" t="s">
        <v>64</v>
      </c>
      <c r="J2975" t="s">
        <v>2559</v>
      </c>
      <c r="K2975">
        <v>4</v>
      </c>
      <c r="N2975">
        <v>4531</v>
      </c>
      <c r="O2975">
        <v>60</v>
      </c>
      <c r="P2975" s="1">
        <v>45705</v>
      </c>
      <c r="Q2975" s="1"/>
      <c r="R2975" t="str">
        <f>IF(Table1[[#This Row],[Actual close date]]="","",Table1[[#This Row],[Actual close date]]-Table1[[#This Row],[Expected close date]])</f>
        <v/>
      </c>
    </row>
    <row r="2976" spans="1:18" x14ac:dyDescent="0.25">
      <c r="A2976" t="s">
        <v>3061</v>
      </c>
      <c r="B2976" t="s">
        <v>27</v>
      </c>
      <c r="C2976" t="s">
        <v>28</v>
      </c>
      <c r="D2976" t="s">
        <v>29</v>
      </c>
      <c r="E2976" t="s">
        <v>36</v>
      </c>
      <c r="F2976" t="s">
        <v>167</v>
      </c>
      <c r="G2976" t="s">
        <v>57</v>
      </c>
      <c r="H2976" s="1">
        <v>45400</v>
      </c>
      <c r="I2976" t="s">
        <v>24</v>
      </c>
      <c r="J2976" t="s">
        <v>2559</v>
      </c>
      <c r="K2976">
        <v>4</v>
      </c>
      <c r="N2976">
        <v>6998</v>
      </c>
      <c r="O2976">
        <v>50</v>
      </c>
      <c r="P2976" s="1">
        <v>45577</v>
      </c>
      <c r="Q2976" s="1"/>
      <c r="R2976" t="str">
        <f>IF(Table1[[#This Row],[Actual close date]]="","",Table1[[#This Row],[Actual close date]]-Table1[[#This Row],[Expected close date]])</f>
        <v/>
      </c>
    </row>
    <row r="2977" spans="1:18" x14ac:dyDescent="0.25">
      <c r="A2977" t="s">
        <v>3062</v>
      </c>
      <c r="B2977" t="s">
        <v>33</v>
      </c>
      <c r="C2977" t="s">
        <v>34</v>
      </c>
      <c r="D2977" t="s">
        <v>35</v>
      </c>
      <c r="E2977" t="s">
        <v>122</v>
      </c>
      <c r="F2977" t="s">
        <v>167</v>
      </c>
      <c r="G2977" t="s">
        <v>23</v>
      </c>
      <c r="H2977" s="1">
        <v>45402</v>
      </c>
      <c r="I2977" t="s">
        <v>64</v>
      </c>
      <c r="J2977" t="s">
        <v>2559</v>
      </c>
      <c r="K2977">
        <v>4</v>
      </c>
      <c r="N2977">
        <v>5694</v>
      </c>
      <c r="O2977">
        <v>30</v>
      </c>
      <c r="P2977" s="1">
        <v>45602</v>
      </c>
      <c r="Q2977" s="1"/>
      <c r="R2977" t="str">
        <f>IF(Table1[[#This Row],[Actual close date]]="","",Table1[[#This Row],[Actual close date]]-Table1[[#This Row],[Expected close date]])</f>
        <v/>
      </c>
    </row>
    <row r="2978" spans="1:18" x14ac:dyDescent="0.25">
      <c r="A2978" t="s">
        <v>3063</v>
      </c>
      <c r="B2978" t="s">
        <v>33</v>
      </c>
      <c r="C2978" t="s">
        <v>34</v>
      </c>
      <c r="D2978" t="s">
        <v>35</v>
      </c>
      <c r="E2978" t="s">
        <v>66</v>
      </c>
      <c r="F2978" t="s">
        <v>167</v>
      </c>
      <c r="G2978" t="s">
        <v>23</v>
      </c>
      <c r="H2978" s="1">
        <v>45406</v>
      </c>
      <c r="I2978" t="s">
        <v>47</v>
      </c>
      <c r="J2978" t="s">
        <v>2559</v>
      </c>
      <c r="K2978">
        <v>4</v>
      </c>
      <c r="N2978">
        <v>1208</v>
      </c>
      <c r="O2978">
        <v>30</v>
      </c>
      <c r="P2978" s="1">
        <v>45635</v>
      </c>
      <c r="Q2978" s="1"/>
      <c r="R2978" t="str">
        <f>IF(Table1[[#This Row],[Actual close date]]="","",Table1[[#This Row],[Actual close date]]-Table1[[#This Row],[Expected close date]])</f>
        <v/>
      </c>
    </row>
    <row r="2979" spans="1:18" x14ac:dyDescent="0.25">
      <c r="A2979" t="s">
        <v>3064</v>
      </c>
      <c r="B2979" t="s">
        <v>69</v>
      </c>
      <c r="C2979" t="s">
        <v>70</v>
      </c>
      <c r="D2979" t="s">
        <v>71</v>
      </c>
      <c r="E2979" t="s">
        <v>52</v>
      </c>
      <c r="F2979" t="s">
        <v>167</v>
      </c>
      <c r="G2979" t="s">
        <v>46</v>
      </c>
      <c r="H2979" s="1">
        <v>45401</v>
      </c>
      <c r="I2979" t="s">
        <v>47</v>
      </c>
      <c r="J2979" t="s">
        <v>2559</v>
      </c>
      <c r="K2979">
        <v>4</v>
      </c>
      <c r="N2979">
        <v>4553</v>
      </c>
      <c r="O2979">
        <v>70</v>
      </c>
      <c r="P2979" s="1">
        <v>45526</v>
      </c>
      <c r="Q2979" s="1"/>
      <c r="R2979" t="str">
        <f>IF(Table1[[#This Row],[Actual close date]]="","",Table1[[#This Row],[Actual close date]]-Table1[[#This Row],[Expected close date]])</f>
        <v/>
      </c>
    </row>
    <row r="2980" spans="1:18" x14ac:dyDescent="0.25">
      <c r="A2980" t="s">
        <v>3065</v>
      </c>
      <c r="B2980" t="s">
        <v>54</v>
      </c>
      <c r="C2980" t="s">
        <v>55</v>
      </c>
      <c r="D2980" t="s">
        <v>56</v>
      </c>
      <c r="E2980" t="s">
        <v>66</v>
      </c>
      <c r="F2980" t="s">
        <v>239</v>
      </c>
      <c r="G2980" t="s">
        <v>85</v>
      </c>
      <c r="H2980" s="1">
        <v>45362</v>
      </c>
      <c r="I2980" t="s">
        <v>24</v>
      </c>
      <c r="J2980" t="s">
        <v>2559</v>
      </c>
      <c r="K2980">
        <v>4</v>
      </c>
      <c r="N2980">
        <v>17269</v>
      </c>
      <c r="O2980">
        <v>80</v>
      </c>
      <c r="P2980" s="1">
        <v>45483</v>
      </c>
      <c r="Q2980" s="1"/>
      <c r="R2980" t="str">
        <f>IF(Table1[[#This Row],[Actual close date]]="","",Table1[[#This Row],[Actual close date]]-Table1[[#This Row],[Expected close date]])</f>
        <v/>
      </c>
    </row>
    <row r="2981" spans="1:18" x14ac:dyDescent="0.25">
      <c r="A2981" t="s">
        <v>3066</v>
      </c>
      <c r="B2981" t="s">
        <v>49</v>
      </c>
      <c r="C2981" t="s">
        <v>50</v>
      </c>
      <c r="D2981" t="s">
        <v>51</v>
      </c>
      <c r="E2981" t="s">
        <v>52</v>
      </c>
      <c r="F2981" t="s">
        <v>239</v>
      </c>
      <c r="G2981" t="s">
        <v>46</v>
      </c>
      <c r="H2981" s="1">
        <v>45441</v>
      </c>
      <c r="I2981" t="s">
        <v>24</v>
      </c>
      <c r="J2981" t="s">
        <v>2559</v>
      </c>
      <c r="K2981">
        <v>4</v>
      </c>
      <c r="N2981">
        <v>19776</v>
      </c>
      <c r="O2981">
        <v>40</v>
      </c>
      <c r="P2981" s="1">
        <v>45642</v>
      </c>
      <c r="Q2981" s="1"/>
      <c r="R2981" t="str">
        <f>IF(Table1[[#This Row],[Actual close date]]="","",Table1[[#This Row],[Actual close date]]-Table1[[#This Row],[Expected close date]])</f>
        <v/>
      </c>
    </row>
    <row r="2982" spans="1:18" x14ac:dyDescent="0.25">
      <c r="A2982" t="s">
        <v>3067</v>
      </c>
      <c r="B2982" t="s">
        <v>18</v>
      </c>
      <c r="C2982" t="s">
        <v>19</v>
      </c>
      <c r="D2982" t="s">
        <v>20</v>
      </c>
      <c r="E2982" t="s">
        <v>42</v>
      </c>
      <c r="F2982" t="s">
        <v>239</v>
      </c>
      <c r="G2982" t="s">
        <v>83</v>
      </c>
      <c r="H2982" s="1">
        <v>45425</v>
      </c>
      <c r="I2982" t="s">
        <v>47</v>
      </c>
      <c r="J2982" t="s">
        <v>2559</v>
      </c>
      <c r="K2982">
        <v>4</v>
      </c>
      <c r="N2982">
        <v>8387</v>
      </c>
      <c r="O2982">
        <v>80</v>
      </c>
      <c r="P2982" s="1">
        <v>45461</v>
      </c>
      <c r="Q2982" s="1"/>
      <c r="R2982" t="str">
        <f>IF(Table1[[#This Row],[Actual close date]]="","",Table1[[#This Row],[Actual close date]]-Table1[[#This Row],[Expected close date]])</f>
        <v/>
      </c>
    </row>
    <row r="2983" spans="1:18" x14ac:dyDescent="0.25">
      <c r="A2983" t="s">
        <v>3068</v>
      </c>
      <c r="B2983" t="s">
        <v>39</v>
      </c>
      <c r="C2983" t="s">
        <v>40</v>
      </c>
      <c r="D2983" t="s">
        <v>41</v>
      </c>
      <c r="E2983" t="s">
        <v>45</v>
      </c>
      <c r="F2983" t="s">
        <v>239</v>
      </c>
      <c r="G2983" t="s">
        <v>23</v>
      </c>
      <c r="H2983" s="1">
        <v>45374</v>
      </c>
      <c r="I2983" t="s">
        <v>47</v>
      </c>
      <c r="J2983" t="s">
        <v>2559</v>
      </c>
      <c r="K2983">
        <v>4</v>
      </c>
      <c r="N2983">
        <v>2737</v>
      </c>
      <c r="O2983">
        <v>30</v>
      </c>
      <c r="P2983" s="1">
        <v>45648</v>
      </c>
      <c r="Q2983" s="1"/>
      <c r="R2983" t="str">
        <f>IF(Table1[[#This Row],[Actual close date]]="","",Table1[[#This Row],[Actual close date]]-Table1[[#This Row],[Expected close date]])</f>
        <v/>
      </c>
    </row>
    <row r="2984" spans="1:18" x14ac:dyDescent="0.25">
      <c r="A2984" t="s">
        <v>3069</v>
      </c>
      <c r="B2984" t="s">
        <v>27</v>
      </c>
      <c r="C2984" t="s">
        <v>28</v>
      </c>
      <c r="D2984" t="s">
        <v>29</v>
      </c>
      <c r="E2984" t="s">
        <v>62</v>
      </c>
      <c r="F2984" t="s">
        <v>239</v>
      </c>
      <c r="G2984" t="s">
        <v>85</v>
      </c>
      <c r="H2984" s="1">
        <v>45357</v>
      </c>
      <c r="I2984" t="s">
        <v>47</v>
      </c>
      <c r="J2984" t="s">
        <v>2559</v>
      </c>
      <c r="K2984">
        <v>4</v>
      </c>
      <c r="N2984">
        <v>11686</v>
      </c>
      <c r="O2984">
        <v>100</v>
      </c>
      <c r="P2984" s="1">
        <v>45656</v>
      </c>
      <c r="Q2984" s="1"/>
      <c r="R2984" t="str">
        <f>IF(Table1[[#This Row],[Actual close date]]="","",Table1[[#This Row],[Actual close date]]-Table1[[#This Row],[Expected close date]])</f>
        <v/>
      </c>
    </row>
    <row r="2985" spans="1:18" x14ac:dyDescent="0.25">
      <c r="A2985" t="s">
        <v>3070</v>
      </c>
      <c r="B2985" t="s">
        <v>33</v>
      </c>
      <c r="C2985" t="s">
        <v>34</v>
      </c>
      <c r="D2985" t="s">
        <v>35</v>
      </c>
      <c r="E2985" t="s">
        <v>30</v>
      </c>
      <c r="F2985" t="s">
        <v>239</v>
      </c>
      <c r="G2985" t="s">
        <v>23</v>
      </c>
      <c r="H2985" s="1">
        <v>45371</v>
      </c>
      <c r="I2985" t="s">
        <v>47</v>
      </c>
      <c r="J2985" t="s">
        <v>2559</v>
      </c>
      <c r="K2985">
        <v>4</v>
      </c>
      <c r="N2985">
        <v>17968</v>
      </c>
      <c r="O2985">
        <v>70</v>
      </c>
      <c r="P2985" s="1">
        <v>45409</v>
      </c>
      <c r="Q2985" s="1"/>
      <c r="R2985" t="str">
        <f>IF(Table1[[#This Row],[Actual close date]]="","",Table1[[#This Row],[Actual close date]]-Table1[[#This Row],[Expected close date]])</f>
        <v/>
      </c>
    </row>
    <row r="2986" spans="1:18" x14ac:dyDescent="0.25">
      <c r="A2986" t="s">
        <v>3071</v>
      </c>
      <c r="B2986" t="s">
        <v>39</v>
      </c>
      <c r="C2986" t="s">
        <v>40</v>
      </c>
      <c r="D2986" t="s">
        <v>41</v>
      </c>
      <c r="E2986" t="s">
        <v>52</v>
      </c>
      <c r="F2986" t="s">
        <v>239</v>
      </c>
      <c r="G2986" t="s">
        <v>23</v>
      </c>
      <c r="H2986" s="1">
        <v>45310</v>
      </c>
      <c r="I2986" t="s">
        <v>47</v>
      </c>
      <c r="J2986" t="s">
        <v>2559</v>
      </c>
      <c r="K2986">
        <v>4</v>
      </c>
      <c r="N2986">
        <v>18418</v>
      </c>
      <c r="O2986">
        <v>30</v>
      </c>
      <c r="P2986" s="1">
        <v>45332</v>
      </c>
      <c r="Q2986" s="1"/>
      <c r="R2986" t="str">
        <f>IF(Table1[[#This Row],[Actual close date]]="","",Table1[[#This Row],[Actual close date]]-Table1[[#This Row],[Expected close date]])</f>
        <v/>
      </c>
    </row>
    <row r="2987" spans="1:18" x14ac:dyDescent="0.25">
      <c r="A2987" t="s">
        <v>3072</v>
      </c>
      <c r="B2987" t="s">
        <v>39</v>
      </c>
      <c r="C2987" t="s">
        <v>40</v>
      </c>
      <c r="D2987" t="s">
        <v>41</v>
      </c>
      <c r="E2987" t="s">
        <v>98</v>
      </c>
      <c r="F2987" t="s">
        <v>239</v>
      </c>
      <c r="G2987" t="s">
        <v>37</v>
      </c>
      <c r="H2987" s="1">
        <v>45389</v>
      </c>
      <c r="I2987" t="s">
        <v>47</v>
      </c>
      <c r="J2987" t="s">
        <v>2559</v>
      </c>
      <c r="K2987">
        <v>4</v>
      </c>
      <c r="N2987">
        <v>12543</v>
      </c>
      <c r="O2987">
        <v>40</v>
      </c>
      <c r="P2987" s="1">
        <v>45513</v>
      </c>
      <c r="Q2987" s="1"/>
      <c r="R2987" t="str">
        <f>IF(Table1[[#This Row],[Actual close date]]="","",Table1[[#This Row],[Actual close date]]-Table1[[#This Row],[Expected close date]])</f>
        <v/>
      </c>
    </row>
    <row r="2988" spans="1:18" x14ac:dyDescent="0.25">
      <c r="A2988" t="s">
        <v>3073</v>
      </c>
      <c r="B2988" t="s">
        <v>18</v>
      </c>
      <c r="C2988" t="s">
        <v>19</v>
      </c>
      <c r="D2988" t="s">
        <v>20</v>
      </c>
      <c r="E2988" t="s">
        <v>98</v>
      </c>
      <c r="F2988" t="s">
        <v>239</v>
      </c>
      <c r="G2988" t="s">
        <v>57</v>
      </c>
      <c r="H2988" s="1">
        <v>45305</v>
      </c>
      <c r="I2988" t="s">
        <v>64</v>
      </c>
      <c r="J2988" t="s">
        <v>2559</v>
      </c>
      <c r="K2988">
        <v>4</v>
      </c>
      <c r="N2988">
        <v>4700</v>
      </c>
      <c r="O2988">
        <v>90</v>
      </c>
      <c r="P2988" s="1">
        <v>45651</v>
      </c>
      <c r="Q2988" s="1"/>
      <c r="R2988" t="str">
        <f>IF(Table1[[#This Row],[Actual close date]]="","",Table1[[#This Row],[Actual close date]]-Table1[[#This Row],[Expected close date]])</f>
        <v/>
      </c>
    </row>
    <row r="2989" spans="1:18" x14ac:dyDescent="0.25">
      <c r="A2989" t="s">
        <v>3074</v>
      </c>
      <c r="B2989" t="s">
        <v>27</v>
      </c>
      <c r="C2989" t="s">
        <v>28</v>
      </c>
      <c r="D2989" t="s">
        <v>29</v>
      </c>
      <c r="E2989" t="s">
        <v>52</v>
      </c>
      <c r="F2989" t="s">
        <v>239</v>
      </c>
      <c r="G2989" t="s">
        <v>31</v>
      </c>
      <c r="H2989" s="1">
        <v>45428</v>
      </c>
      <c r="I2989" t="s">
        <v>24</v>
      </c>
      <c r="J2989" t="s">
        <v>2559</v>
      </c>
      <c r="K2989">
        <v>4</v>
      </c>
      <c r="N2989">
        <v>14149</v>
      </c>
      <c r="O2989">
        <v>60</v>
      </c>
      <c r="P2989" s="1">
        <v>45541</v>
      </c>
      <c r="Q2989" s="1"/>
      <c r="R2989" t="str">
        <f>IF(Table1[[#This Row],[Actual close date]]="","",Table1[[#This Row],[Actual close date]]-Table1[[#This Row],[Expected close date]])</f>
        <v/>
      </c>
    </row>
    <row r="2990" spans="1:18" x14ac:dyDescent="0.25">
      <c r="A2990" t="s">
        <v>3075</v>
      </c>
      <c r="B2990" t="s">
        <v>18</v>
      </c>
      <c r="C2990" t="s">
        <v>19</v>
      </c>
      <c r="D2990" t="s">
        <v>20</v>
      </c>
      <c r="E2990" t="s">
        <v>52</v>
      </c>
      <c r="F2990" t="s">
        <v>239</v>
      </c>
      <c r="G2990" t="s">
        <v>46</v>
      </c>
      <c r="H2990" s="1">
        <v>45316</v>
      </c>
      <c r="I2990" t="s">
        <v>47</v>
      </c>
      <c r="J2990" t="s">
        <v>2559</v>
      </c>
      <c r="K2990">
        <v>4</v>
      </c>
      <c r="N2990">
        <v>11883</v>
      </c>
      <c r="O2990">
        <v>50</v>
      </c>
      <c r="P2990" s="1">
        <v>45585</v>
      </c>
      <c r="Q2990" s="1"/>
      <c r="R2990" t="str">
        <f>IF(Table1[[#This Row],[Actual close date]]="","",Table1[[#This Row],[Actual close date]]-Table1[[#This Row],[Expected close date]])</f>
        <v/>
      </c>
    </row>
    <row r="2991" spans="1:18" x14ac:dyDescent="0.25">
      <c r="A2991" t="s">
        <v>3076</v>
      </c>
      <c r="B2991" t="s">
        <v>59</v>
      </c>
      <c r="C2991" t="s">
        <v>60</v>
      </c>
      <c r="D2991" t="s">
        <v>61</v>
      </c>
      <c r="E2991" t="s">
        <v>74</v>
      </c>
      <c r="F2991" t="s">
        <v>239</v>
      </c>
      <c r="G2991" t="s">
        <v>23</v>
      </c>
      <c r="H2991" s="1">
        <v>45357</v>
      </c>
      <c r="I2991" t="s">
        <v>64</v>
      </c>
      <c r="J2991" t="s">
        <v>2559</v>
      </c>
      <c r="K2991">
        <v>4</v>
      </c>
      <c r="N2991">
        <v>17461</v>
      </c>
      <c r="O2991">
        <v>100</v>
      </c>
      <c r="P2991" s="1">
        <v>45598</v>
      </c>
      <c r="Q2991" s="1"/>
      <c r="R2991" t="str">
        <f>IF(Table1[[#This Row],[Actual close date]]="","",Table1[[#This Row],[Actual close date]]-Table1[[#This Row],[Expected close date]])</f>
        <v/>
      </c>
    </row>
    <row r="2992" spans="1:18" x14ac:dyDescent="0.25">
      <c r="A2992" t="s">
        <v>3077</v>
      </c>
      <c r="B2992" t="s">
        <v>59</v>
      </c>
      <c r="C2992" t="s">
        <v>60</v>
      </c>
      <c r="D2992" t="s">
        <v>61</v>
      </c>
      <c r="E2992" t="s">
        <v>42</v>
      </c>
      <c r="F2992" t="s">
        <v>239</v>
      </c>
      <c r="G2992" t="s">
        <v>31</v>
      </c>
      <c r="H2992" s="1">
        <v>45427</v>
      </c>
      <c r="I2992" t="s">
        <v>64</v>
      </c>
      <c r="J2992" t="s">
        <v>2559</v>
      </c>
      <c r="K2992">
        <v>4</v>
      </c>
      <c r="N2992">
        <v>10548</v>
      </c>
      <c r="O2992">
        <v>40</v>
      </c>
      <c r="P2992" s="1">
        <v>45508</v>
      </c>
      <c r="Q2992" s="1"/>
      <c r="R2992" t="str">
        <f>IF(Table1[[#This Row],[Actual close date]]="","",Table1[[#This Row],[Actual close date]]-Table1[[#This Row],[Expected close date]])</f>
        <v/>
      </c>
    </row>
    <row r="2993" spans="1:18" x14ac:dyDescent="0.25">
      <c r="A2993" t="s">
        <v>3078</v>
      </c>
      <c r="B2993" t="s">
        <v>33</v>
      </c>
      <c r="C2993" t="s">
        <v>34</v>
      </c>
      <c r="D2993" t="s">
        <v>35</v>
      </c>
      <c r="E2993" t="s">
        <v>122</v>
      </c>
      <c r="F2993" t="s">
        <v>239</v>
      </c>
      <c r="G2993" t="s">
        <v>83</v>
      </c>
      <c r="H2993" s="1">
        <v>45358</v>
      </c>
      <c r="I2993" t="s">
        <v>64</v>
      </c>
      <c r="J2993" t="s">
        <v>2559</v>
      </c>
      <c r="K2993">
        <v>4</v>
      </c>
      <c r="N2993">
        <v>19123</v>
      </c>
      <c r="O2993">
        <v>50</v>
      </c>
      <c r="P2993" s="1">
        <v>45419</v>
      </c>
      <c r="Q2993" s="1"/>
      <c r="R2993" t="str">
        <f>IF(Table1[[#This Row],[Actual close date]]="","",Table1[[#This Row],[Actual close date]]-Table1[[#This Row],[Expected close date]])</f>
        <v/>
      </c>
    </row>
    <row r="2994" spans="1:18" x14ac:dyDescent="0.25">
      <c r="A2994" t="s">
        <v>3079</v>
      </c>
      <c r="B2994" t="s">
        <v>76</v>
      </c>
      <c r="C2994" t="s">
        <v>77</v>
      </c>
      <c r="D2994" t="s">
        <v>78</v>
      </c>
      <c r="E2994" t="s">
        <v>82</v>
      </c>
      <c r="F2994" t="s">
        <v>246</v>
      </c>
      <c r="G2994" t="s">
        <v>46</v>
      </c>
      <c r="H2994" s="1">
        <v>45351</v>
      </c>
      <c r="I2994" t="s">
        <v>47</v>
      </c>
      <c r="J2994" t="s">
        <v>2559</v>
      </c>
      <c r="K2994">
        <v>4</v>
      </c>
      <c r="N2994">
        <v>5885</v>
      </c>
      <c r="O2994">
        <v>60</v>
      </c>
      <c r="P2994" s="1">
        <v>45422</v>
      </c>
      <c r="Q2994" s="1"/>
      <c r="R2994" t="str">
        <f>IF(Table1[[#This Row],[Actual close date]]="","",Table1[[#This Row],[Actual close date]]-Table1[[#This Row],[Expected close date]])</f>
        <v/>
      </c>
    </row>
    <row r="2995" spans="1:18" x14ac:dyDescent="0.25">
      <c r="A2995" t="s">
        <v>3080</v>
      </c>
      <c r="B2995" t="s">
        <v>18</v>
      </c>
      <c r="C2995" t="s">
        <v>19</v>
      </c>
      <c r="D2995" t="s">
        <v>20</v>
      </c>
      <c r="E2995" t="s">
        <v>82</v>
      </c>
      <c r="F2995" t="s">
        <v>246</v>
      </c>
      <c r="G2995" t="s">
        <v>37</v>
      </c>
      <c r="H2995" s="1">
        <v>45375</v>
      </c>
      <c r="I2995" t="s">
        <v>47</v>
      </c>
      <c r="J2995" t="s">
        <v>2559</v>
      </c>
      <c r="K2995">
        <v>4</v>
      </c>
      <c r="N2995">
        <v>18768</v>
      </c>
      <c r="O2995">
        <v>50</v>
      </c>
      <c r="P2995" s="1">
        <v>45494</v>
      </c>
      <c r="Q2995" s="1"/>
      <c r="R2995" t="str">
        <f>IF(Table1[[#This Row],[Actual close date]]="","",Table1[[#This Row],[Actual close date]]-Table1[[#This Row],[Expected close date]])</f>
        <v/>
      </c>
    </row>
    <row r="2996" spans="1:18" x14ac:dyDescent="0.25">
      <c r="A2996" t="s">
        <v>3081</v>
      </c>
      <c r="B2996" t="s">
        <v>27</v>
      </c>
      <c r="C2996" t="s">
        <v>28</v>
      </c>
      <c r="D2996" t="s">
        <v>29</v>
      </c>
      <c r="E2996" t="s">
        <v>62</v>
      </c>
      <c r="F2996" t="s">
        <v>246</v>
      </c>
      <c r="G2996" t="s">
        <v>23</v>
      </c>
      <c r="H2996" s="1">
        <v>45394</v>
      </c>
      <c r="I2996" t="s">
        <v>64</v>
      </c>
      <c r="J2996" t="s">
        <v>2559</v>
      </c>
      <c r="K2996">
        <v>4</v>
      </c>
      <c r="N2996">
        <v>19868</v>
      </c>
      <c r="O2996">
        <v>40</v>
      </c>
      <c r="P2996" s="1">
        <v>45581</v>
      </c>
      <c r="Q2996" s="1"/>
      <c r="R2996" t="str">
        <f>IF(Table1[[#This Row],[Actual close date]]="","",Table1[[#This Row],[Actual close date]]-Table1[[#This Row],[Expected close date]])</f>
        <v/>
      </c>
    </row>
    <row r="2997" spans="1:18" x14ac:dyDescent="0.25">
      <c r="A2997" t="s">
        <v>3082</v>
      </c>
      <c r="B2997" t="s">
        <v>76</v>
      </c>
      <c r="C2997" t="s">
        <v>77</v>
      </c>
      <c r="D2997" t="s">
        <v>78</v>
      </c>
      <c r="E2997" t="s">
        <v>122</v>
      </c>
      <c r="F2997" t="s">
        <v>246</v>
      </c>
      <c r="G2997" t="s">
        <v>57</v>
      </c>
      <c r="H2997" s="1">
        <v>45418</v>
      </c>
      <c r="I2997" t="s">
        <v>24</v>
      </c>
      <c r="J2997" t="s">
        <v>2559</v>
      </c>
      <c r="K2997">
        <v>4</v>
      </c>
      <c r="N2997">
        <v>19105</v>
      </c>
      <c r="O2997">
        <v>40</v>
      </c>
      <c r="P2997" s="1">
        <v>45591</v>
      </c>
      <c r="Q2997" s="1"/>
      <c r="R2997" t="str">
        <f>IF(Table1[[#This Row],[Actual close date]]="","",Table1[[#This Row],[Actual close date]]-Table1[[#This Row],[Expected close date]])</f>
        <v/>
      </c>
    </row>
    <row r="2998" spans="1:18" x14ac:dyDescent="0.25">
      <c r="A2998" t="s">
        <v>3083</v>
      </c>
      <c r="B2998" t="s">
        <v>39</v>
      </c>
      <c r="C2998" t="s">
        <v>40</v>
      </c>
      <c r="D2998" t="s">
        <v>41</v>
      </c>
      <c r="E2998" t="s">
        <v>74</v>
      </c>
      <c r="F2998" t="s">
        <v>246</v>
      </c>
      <c r="G2998" t="s">
        <v>57</v>
      </c>
      <c r="H2998" s="1">
        <v>45379</v>
      </c>
      <c r="I2998" t="s">
        <v>64</v>
      </c>
      <c r="J2998" t="s">
        <v>2559</v>
      </c>
      <c r="K2998">
        <v>4</v>
      </c>
      <c r="N2998">
        <v>10835</v>
      </c>
      <c r="O2998">
        <v>20</v>
      </c>
      <c r="P2998" s="1">
        <v>45597</v>
      </c>
      <c r="Q2998" s="1"/>
      <c r="R2998" t="str">
        <f>IF(Table1[[#This Row],[Actual close date]]="","",Table1[[#This Row],[Actual close date]]-Table1[[#This Row],[Expected close date]])</f>
        <v/>
      </c>
    </row>
    <row r="2999" spans="1:18" x14ac:dyDescent="0.25">
      <c r="A2999" t="s">
        <v>3084</v>
      </c>
      <c r="B2999" t="s">
        <v>33</v>
      </c>
      <c r="C2999" t="s">
        <v>34</v>
      </c>
      <c r="D2999" t="s">
        <v>35</v>
      </c>
      <c r="E2999" t="s">
        <v>62</v>
      </c>
      <c r="F2999" t="s">
        <v>246</v>
      </c>
      <c r="G2999" t="s">
        <v>85</v>
      </c>
      <c r="H2999" s="1">
        <v>45334</v>
      </c>
      <c r="I2999" t="s">
        <v>24</v>
      </c>
      <c r="J2999" t="s">
        <v>2559</v>
      </c>
      <c r="K2999">
        <v>4</v>
      </c>
      <c r="N2999">
        <v>11636</v>
      </c>
      <c r="O2999">
        <v>40</v>
      </c>
      <c r="P2999" s="1">
        <v>45679</v>
      </c>
      <c r="Q2999" s="1"/>
      <c r="R2999" t="str">
        <f>IF(Table1[[#This Row],[Actual close date]]="","",Table1[[#This Row],[Actual close date]]-Table1[[#This Row],[Expected close date]])</f>
        <v/>
      </c>
    </row>
    <row r="3000" spans="1:18" x14ac:dyDescent="0.25">
      <c r="A3000" t="s">
        <v>3085</v>
      </c>
      <c r="B3000" t="s">
        <v>18</v>
      </c>
      <c r="C3000" t="s">
        <v>19</v>
      </c>
      <c r="D3000" t="s">
        <v>20</v>
      </c>
      <c r="E3000" t="s">
        <v>21</v>
      </c>
      <c r="F3000" t="s">
        <v>246</v>
      </c>
      <c r="G3000" t="s">
        <v>46</v>
      </c>
      <c r="H3000" s="1">
        <v>45401</v>
      </c>
      <c r="I3000" t="s">
        <v>47</v>
      </c>
      <c r="J3000" t="s">
        <v>2559</v>
      </c>
      <c r="K3000">
        <v>4</v>
      </c>
      <c r="N3000">
        <v>18536</v>
      </c>
      <c r="O3000">
        <v>10</v>
      </c>
      <c r="P3000" s="1">
        <v>45444</v>
      </c>
      <c r="Q3000" s="1"/>
      <c r="R3000" t="str">
        <f>IF(Table1[[#This Row],[Actual close date]]="","",Table1[[#This Row],[Actual close date]]-Table1[[#This Row],[Expected close date]])</f>
        <v/>
      </c>
    </row>
    <row r="3001" spans="1:18" x14ac:dyDescent="0.25">
      <c r="A3001" t="s">
        <v>3086</v>
      </c>
      <c r="B3001" t="s">
        <v>54</v>
      </c>
      <c r="C3001" t="s">
        <v>55</v>
      </c>
      <c r="D3001" t="s">
        <v>56</v>
      </c>
      <c r="E3001" t="s">
        <v>21</v>
      </c>
      <c r="F3001" t="s">
        <v>246</v>
      </c>
      <c r="G3001" t="s">
        <v>46</v>
      </c>
      <c r="H3001" s="1">
        <v>45432</v>
      </c>
      <c r="I3001" t="s">
        <v>47</v>
      </c>
      <c r="J3001" t="s">
        <v>2559</v>
      </c>
      <c r="K3001">
        <v>4</v>
      </c>
      <c r="N3001">
        <v>2680</v>
      </c>
      <c r="O3001">
        <v>20</v>
      </c>
      <c r="P3001" s="1">
        <v>45535</v>
      </c>
      <c r="Q3001" s="1"/>
      <c r="R3001" t="str">
        <f>IF(Table1[[#This Row],[Actual close date]]="","",Table1[[#This Row],[Actual close date]]-Table1[[#This Row],[Expected close date]])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4321-A5E4-4CB1-B4D5-CE65822E22C2}">
  <dimension ref="A3:B19"/>
  <sheetViews>
    <sheetView zoomScale="130" zoomScaleNormal="130" workbookViewId="0">
      <selection activeCell="A5" sqref="A5"/>
    </sheetView>
  </sheetViews>
  <sheetFormatPr defaultRowHeight="15" x14ac:dyDescent="0.25"/>
  <cols>
    <col min="1" max="1" width="22" bestFit="1" customWidth="1"/>
    <col min="2" max="2" width="20.85546875" bestFit="1" customWidth="1"/>
  </cols>
  <sheetData>
    <row r="3" spans="1:2" x14ac:dyDescent="0.25">
      <c r="A3" s="4" t="s">
        <v>3119</v>
      </c>
      <c r="B3" t="s">
        <v>3122</v>
      </c>
    </row>
    <row r="4" spans="1:2" x14ac:dyDescent="0.25">
      <c r="A4" s="5">
        <v>1</v>
      </c>
      <c r="B4">
        <v>513</v>
      </c>
    </row>
    <row r="5" spans="1:2" x14ac:dyDescent="0.25">
      <c r="A5" s="6" t="s">
        <v>603</v>
      </c>
      <c r="B5">
        <v>513</v>
      </c>
    </row>
    <row r="6" spans="1:2" x14ac:dyDescent="0.25">
      <c r="A6" s="5">
        <v>2</v>
      </c>
      <c r="B6">
        <v>567</v>
      </c>
    </row>
    <row r="7" spans="1:2" x14ac:dyDescent="0.25">
      <c r="A7" s="6" t="s">
        <v>1991</v>
      </c>
      <c r="B7">
        <v>567</v>
      </c>
    </row>
    <row r="8" spans="1:2" x14ac:dyDescent="0.25">
      <c r="A8" s="5">
        <v>3</v>
      </c>
      <c r="B8">
        <v>177</v>
      </c>
    </row>
    <row r="9" spans="1:2" x14ac:dyDescent="0.25">
      <c r="A9" s="6" t="s">
        <v>425</v>
      </c>
      <c r="B9">
        <v>177</v>
      </c>
    </row>
    <row r="10" spans="1:2" x14ac:dyDescent="0.25">
      <c r="A10" s="5">
        <v>4</v>
      </c>
      <c r="B10">
        <v>528</v>
      </c>
    </row>
    <row r="11" spans="1:2" x14ac:dyDescent="0.25">
      <c r="A11" s="6" t="s">
        <v>2559</v>
      </c>
      <c r="B11">
        <v>528</v>
      </c>
    </row>
    <row r="12" spans="1:2" x14ac:dyDescent="0.25">
      <c r="A12" s="5">
        <v>5</v>
      </c>
      <c r="B12">
        <v>867</v>
      </c>
    </row>
    <row r="13" spans="1:2" x14ac:dyDescent="0.25">
      <c r="A13" s="6" t="s">
        <v>1117</v>
      </c>
      <c r="B13">
        <v>867</v>
      </c>
    </row>
    <row r="14" spans="1:2" x14ac:dyDescent="0.25">
      <c r="A14" s="5">
        <v>6</v>
      </c>
      <c r="B14">
        <v>171</v>
      </c>
    </row>
    <row r="15" spans="1:2" x14ac:dyDescent="0.25">
      <c r="A15" s="6" t="s">
        <v>253</v>
      </c>
      <c r="B15">
        <v>171</v>
      </c>
    </row>
    <row r="16" spans="1:2" x14ac:dyDescent="0.25">
      <c r="A16" s="5">
        <v>7</v>
      </c>
      <c r="B16">
        <v>177</v>
      </c>
    </row>
    <row r="17" spans="1:2" x14ac:dyDescent="0.25">
      <c r="A17" s="6" t="s">
        <v>25</v>
      </c>
      <c r="B17">
        <v>177</v>
      </c>
    </row>
    <row r="18" spans="1:2" x14ac:dyDescent="0.25">
      <c r="A18" s="5" t="s">
        <v>3120</v>
      </c>
    </row>
    <row r="19" spans="1:2" x14ac:dyDescent="0.25">
      <c r="A19" s="5" t="s">
        <v>3121</v>
      </c>
      <c r="B19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75C9-181A-491D-A3A6-B5987C042ADB}">
  <dimension ref="A1:K13"/>
  <sheetViews>
    <sheetView zoomScale="145" zoomScaleNormal="145" workbookViewId="0">
      <selection activeCell="J4" sqref="J4:K4"/>
    </sheetView>
  </sheetViews>
  <sheetFormatPr defaultRowHeight="15" x14ac:dyDescent="0.25"/>
  <cols>
    <col min="1" max="1" width="11.85546875" bestFit="1" customWidth="1"/>
    <col min="2" max="2" width="20.85546875" bestFit="1" customWidth="1"/>
    <col min="4" max="4" width="13.42578125" bestFit="1" customWidth="1"/>
    <col min="5" max="5" width="20.85546875" bestFit="1" customWidth="1"/>
    <col min="7" max="7" width="12.85546875" customWidth="1"/>
    <col min="9" max="9" width="11.85546875" customWidth="1"/>
    <col min="11" max="11" width="23.140625" customWidth="1"/>
  </cols>
  <sheetData>
    <row r="1" spans="1:11" x14ac:dyDescent="0.25">
      <c r="D1" s="4" t="s">
        <v>9</v>
      </c>
      <c r="E1" t="s">
        <v>253</v>
      </c>
    </row>
    <row r="3" spans="1:11" x14ac:dyDescent="0.25">
      <c r="A3" s="4" t="s">
        <v>1</v>
      </c>
      <c r="B3" t="s">
        <v>3122</v>
      </c>
      <c r="D3" s="4" t="s">
        <v>3119</v>
      </c>
      <c r="E3" s="7" t="s">
        <v>3122</v>
      </c>
      <c r="G3" s="9" t="s">
        <v>1</v>
      </c>
      <c r="H3" s="9" t="s">
        <v>3123</v>
      </c>
      <c r="I3" s="9" t="s">
        <v>3124</v>
      </c>
      <c r="J3" s="47" t="s">
        <v>3125</v>
      </c>
      <c r="K3" s="48"/>
    </row>
    <row r="4" spans="1:11" x14ac:dyDescent="0.25">
      <c r="A4" s="5" t="s">
        <v>69</v>
      </c>
      <c r="B4" s="7">
        <v>6.6333333333333327E-2</v>
      </c>
      <c r="D4" s="5" t="s">
        <v>69</v>
      </c>
      <c r="E4" s="7">
        <v>6.4327485380116955E-2</v>
      </c>
      <c r="G4" s="10" t="s">
        <v>69</v>
      </c>
      <c r="H4" s="7">
        <v>6.6333333333333327E-2</v>
      </c>
      <c r="I4" s="7">
        <v>6.4327485380116955E-2</v>
      </c>
      <c r="J4" s="45">
        <f>I4/H4</f>
        <v>0.96976108613241652</v>
      </c>
      <c r="K4" s="46"/>
    </row>
    <row r="5" spans="1:11" x14ac:dyDescent="0.25">
      <c r="A5" s="5" t="s">
        <v>49</v>
      </c>
      <c r="B5" s="7">
        <v>6.9000000000000006E-2</v>
      </c>
      <c r="D5" s="5" t="s">
        <v>49</v>
      </c>
      <c r="E5" s="7">
        <v>9.3567251461988299E-2</v>
      </c>
      <c r="G5" s="10" t="s">
        <v>49</v>
      </c>
      <c r="H5" s="7">
        <v>6.9000000000000006E-2</v>
      </c>
      <c r="I5" s="7">
        <v>9.3567251461988299E-2</v>
      </c>
      <c r="J5" s="45">
        <f t="shared" ref="J5:J12" si="0">I5/H5</f>
        <v>1.3560471226375115</v>
      </c>
      <c r="K5" s="46"/>
    </row>
    <row r="6" spans="1:11" x14ac:dyDescent="0.25">
      <c r="A6" s="5" t="s">
        <v>59</v>
      </c>
      <c r="B6" s="7">
        <v>0.14066666666666666</v>
      </c>
      <c r="D6" s="5" t="s">
        <v>59</v>
      </c>
      <c r="E6" s="7">
        <v>0.14035087719298245</v>
      </c>
      <c r="G6" s="10" t="s">
        <v>59</v>
      </c>
      <c r="H6" s="7">
        <v>0.14066666666666666</v>
      </c>
      <c r="I6" s="7">
        <v>0.14035087719298245</v>
      </c>
      <c r="J6" s="45">
        <f t="shared" si="0"/>
        <v>0.99775505113494634</v>
      </c>
      <c r="K6" s="46"/>
    </row>
    <row r="7" spans="1:11" x14ac:dyDescent="0.25">
      <c r="A7" s="5" t="s">
        <v>39</v>
      </c>
      <c r="B7" s="7">
        <v>0.14000000000000001</v>
      </c>
      <c r="D7" s="5" t="s">
        <v>39</v>
      </c>
      <c r="E7" s="7">
        <v>9.9415204678362568E-2</v>
      </c>
      <c r="G7" s="10" t="s">
        <v>39</v>
      </c>
      <c r="H7" s="7">
        <v>0.14000000000000001</v>
      </c>
      <c r="I7" s="7">
        <v>9.9415204678362568E-2</v>
      </c>
      <c r="J7" s="45">
        <f t="shared" si="0"/>
        <v>0.7101086048454468</v>
      </c>
      <c r="K7" s="46"/>
    </row>
    <row r="8" spans="1:11" x14ac:dyDescent="0.25">
      <c r="A8" s="5" t="s">
        <v>33</v>
      </c>
      <c r="B8" s="7">
        <v>0.20666666666666667</v>
      </c>
      <c r="D8" s="5" t="s">
        <v>33</v>
      </c>
      <c r="E8" s="7">
        <v>0.21637426900584794</v>
      </c>
      <c r="G8" s="10" t="s">
        <v>33</v>
      </c>
      <c r="H8" s="7">
        <v>0.20666666666666667</v>
      </c>
      <c r="I8" s="7">
        <v>0.21637426900584794</v>
      </c>
      <c r="J8" s="45">
        <f t="shared" si="0"/>
        <v>1.0469722693831351</v>
      </c>
      <c r="K8" s="46"/>
    </row>
    <row r="9" spans="1:11" x14ac:dyDescent="0.25">
      <c r="A9" s="5" t="s">
        <v>18</v>
      </c>
      <c r="B9" s="7">
        <v>0.06</v>
      </c>
      <c r="D9" s="5" t="s">
        <v>18</v>
      </c>
      <c r="E9" s="7">
        <v>8.1871345029239762E-2</v>
      </c>
      <c r="G9" s="10" t="s">
        <v>18</v>
      </c>
      <c r="H9" s="7">
        <v>0.06</v>
      </c>
      <c r="I9" s="7">
        <v>8.1871345029239762E-2</v>
      </c>
      <c r="J9" s="45">
        <f t="shared" si="0"/>
        <v>1.364522417153996</v>
      </c>
      <c r="K9" s="46"/>
    </row>
    <row r="10" spans="1:11" x14ac:dyDescent="0.25">
      <c r="A10" s="5" t="s">
        <v>76</v>
      </c>
      <c r="B10" s="7">
        <v>0.12366666666666666</v>
      </c>
      <c r="D10" s="5" t="s">
        <v>76</v>
      </c>
      <c r="E10" s="7">
        <v>0.16374269005847952</v>
      </c>
      <c r="G10" s="10" t="s">
        <v>76</v>
      </c>
      <c r="H10" s="7">
        <v>0.12366666666666666</v>
      </c>
      <c r="I10" s="7">
        <v>0.16374269005847952</v>
      </c>
      <c r="J10" s="45">
        <f t="shared" si="0"/>
        <v>1.3240648791790797</v>
      </c>
      <c r="K10" s="46"/>
    </row>
    <row r="11" spans="1:11" x14ac:dyDescent="0.25">
      <c r="A11" s="5" t="s">
        <v>27</v>
      </c>
      <c r="B11" s="7">
        <v>6.3E-2</v>
      </c>
      <c r="D11" s="5" t="s">
        <v>27</v>
      </c>
      <c r="E11" s="7">
        <v>5.2631578947368418E-2</v>
      </c>
      <c r="G11" s="10" t="s">
        <v>27</v>
      </c>
      <c r="H11" s="7">
        <v>6.3E-2</v>
      </c>
      <c r="I11" s="7">
        <v>5.2631578947368418E-2</v>
      </c>
      <c r="J11" s="45">
        <f t="shared" si="0"/>
        <v>0.83542188805346695</v>
      </c>
      <c r="K11" s="46"/>
    </row>
    <row r="12" spans="1:11" x14ac:dyDescent="0.25">
      <c r="A12" s="5" t="s">
        <v>54</v>
      </c>
      <c r="B12" s="7">
        <v>0.13066666666666665</v>
      </c>
      <c r="D12" s="5" t="s">
        <v>54</v>
      </c>
      <c r="E12" s="7">
        <v>8.771929824561403E-2</v>
      </c>
      <c r="G12" s="10" t="s">
        <v>54</v>
      </c>
      <c r="H12" s="7">
        <v>0.13066666666666665</v>
      </c>
      <c r="I12" s="7">
        <v>8.771929824561403E-2</v>
      </c>
      <c r="J12" s="45">
        <f t="shared" si="0"/>
        <v>0.6713211600429646</v>
      </c>
      <c r="K12" s="46"/>
    </row>
    <row r="13" spans="1:11" x14ac:dyDescent="0.25">
      <c r="A13" s="5" t="s">
        <v>3121</v>
      </c>
      <c r="B13" s="7">
        <v>1</v>
      </c>
      <c r="D13" s="5" t="s">
        <v>3121</v>
      </c>
      <c r="E13" s="7">
        <v>1</v>
      </c>
      <c r="G13" s="8"/>
      <c r="H13" s="8"/>
      <c r="I13" s="8"/>
      <c r="J13" s="43"/>
      <c r="K13" s="44"/>
    </row>
  </sheetData>
  <mergeCells count="11">
    <mergeCell ref="J13:K13"/>
    <mergeCell ref="J12:K12"/>
    <mergeCell ref="J11:K11"/>
    <mergeCell ref="J3:K3"/>
    <mergeCell ref="J4:K4"/>
    <mergeCell ref="J5:K5"/>
    <mergeCell ref="J6:K6"/>
    <mergeCell ref="J7:K7"/>
    <mergeCell ref="J10:K10"/>
    <mergeCell ref="J9:K9"/>
    <mergeCell ref="J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03A-5F57-4763-8FCA-7EF0475B733A}">
  <dimension ref="A1:J43"/>
  <sheetViews>
    <sheetView zoomScaleNormal="100" workbookViewId="0">
      <selection activeCell="E5" sqref="E5"/>
    </sheetView>
  </sheetViews>
  <sheetFormatPr defaultRowHeight="15" x14ac:dyDescent="0.25"/>
  <cols>
    <col min="1" max="1" width="36" bestFit="1" customWidth="1"/>
    <col min="2" max="2" width="20.85546875" bestFit="1" customWidth="1"/>
    <col min="4" max="4" width="36" bestFit="1" customWidth="1"/>
    <col min="5" max="6" width="20.85546875" bestFit="1" customWidth="1"/>
    <col min="7" max="7" width="34.140625" customWidth="1"/>
    <col min="8" max="8" width="13.140625" customWidth="1"/>
    <col min="9" max="9" width="15.5703125" bestFit="1" customWidth="1"/>
    <col min="10" max="10" width="20.85546875" bestFit="1" customWidth="1"/>
  </cols>
  <sheetData>
    <row r="1" spans="1:10" x14ac:dyDescent="0.25">
      <c r="A1" s="4" t="s">
        <v>11</v>
      </c>
      <c r="B1" t="s">
        <v>1417</v>
      </c>
      <c r="D1" s="4" t="s">
        <v>11</v>
      </c>
      <c r="E1" t="s">
        <v>3150</v>
      </c>
    </row>
    <row r="3" spans="1:10" x14ac:dyDescent="0.25">
      <c r="A3" s="12" t="s">
        <v>4</v>
      </c>
      <c r="B3" s="12" t="s">
        <v>3122</v>
      </c>
      <c r="D3" s="4" t="s">
        <v>3119</v>
      </c>
      <c r="E3" t="s">
        <v>3122</v>
      </c>
      <c r="G3" s="16" t="s">
        <v>4</v>
      </c>
      <c r="H3" s="18" t="s">
        <v>3126</v>
      </c>
      <c r="I3" s="18" t="s">
        <v>3127</v>
      </c>
      <c r="J3" s="18" t="s">
        <v>3128</v>
      </c>
    </row>
    <row r="4" spans="1:10" x14ac:dyDescent="0.25">
      <c r="A4" s="5" t="s">
        <v>66</v>
      </c>
      <c r="B4">
        <v>7</v>
      </c>
      <c r="D4" s="5" t="s">
        <v>66</v>
      </c>
      <c r="E4">
        <v>134</v>
      </c>
      <c r="G4" s="24" t="s">
        <v>66</v>
      </c>
      <c r="H4" s="25">
        <v>7</v>
      </c>
      <c r="I4" s="25">
        <v>134</v>
      </c>
      <c r="J4" s="23">
        <f>H4/I4</f>
        <v>5.2238805970149252E-2</v>
      </c>
    </row>
    <row r="5" spans="1:10" x14ac:dyDescent="0.25">
      <c r="A5" s="5" t="s">
        <v>21</v>
      </c>
      <c r="B5">
        <v>6</v>
      </c>
      <c r="D5" s="5" t="s">
        <v>21</v>
      </c>
      <c r="E5">
        <v>404</v>
      </c>
      <c r="G5" s="17" t="s">
        <v>21</v>
      </c>
      <c r="H5" s="20">
        <v>6</v>
      </c>
      <c r="I5" s="20">
        <v>404</v>
      </c>
      <c r="J5" s="21">
        <f t="shared" ref="J5:J16" si="0">H5/I5</f>
        <v>1.4851485148514851E-2</v>
      </c>
    </row>
    <row r="6" spans="1:10" x14ac:dyDescent="0.25">
      <c r="A6" s="5" t="s">
        <v>98</v>
      </c>
      <c r="B6">
        <v>2</v>
      </c>
      <c r="D6" s="5" t="s">
        <v>98</v>
      </c>
      <c r="E6">
        <v>110</v>
      </c>
      <c r="G6" s="17" t="s">
        <v>98</v>
      </c>
      <c r="H6" s="20">
        <v>2</v>
      </c>
      <c r="I6" s="20">
        <v>110</v>
      </c>
      <c r="J6" s="21">
        <f t="shared" si="0"/>
        <v>1.8181818181818181E-2</v>
      </c>
    </row>
    <row r="7" spans="1:10" x14ac:dyDescent="0.25">
      <c r="A7" s="5" t="s">
        <v>30</v>
      </c>
      <c r="B7">
        <v>4</v>
      </c>
      <c r="D7" s="5" t="s">
        <v>36</v>
      </c>
      <c r="E7">
        <v>140</v>
      </c>
      <c r="G7" s="17" t="s">
        <v>30</v>
      </c>
      <c r="H7" s="20">
        <v>4</v>
      </c>
      <c r="I7" s="20">
        <v>127</v>
      </c>
      <c r="J7" s="21">
        <f t="shared" si="0"/>
        <v>3.1496062992125984E-2</v>
      </c>
    </row>
    <row r="8" spans="1:10" x14ac:dyDescent="0.25">
      <c r="A8" s="5" t="s">
        <v>122</v>
      </c>
      <c r="B8">
        <v>5</v>
      </c>
      <c r="D8" s="5" t="s">
        <v>30</v>
      </c>
      <c r="E8">
        <v>127</v>
      </c>
      <c r="G8" s="24" t="s">
        <v>122</v>
      </c>
      <c r="H8" s="25">
        <v>5</v>
      </c>
      <c r="I8" s="25">
        <v>122</v>
      </c>
      <c r="J8" s="23">
        <f t="shared" si="0"/>
        <v>4.0983606557377046E-2</v>
      </c>
    </row>
    <row r="9" spans="1:10" x14ac:dyDescent="0.25">
      <c r="A9" s="5" t="s">
        <v>42</v>
      </c>
      <c r="B9">
        <v>8</v>
      </c>
      <c r="D9" s="5" t="s">
        <v>122</v>
      </c>
      <c r="E9">
        <v>122</v>
      </c>
      <c r="G9" s="24" t="s">
        <v>42</v>
      </c>
      <c r="H9" s="25">
        <v>8</v>
      </c>
      <c r="I9" s="25">
        <v>253</v>
      </c>
      <c r="J9" s="23">
        <f t="shared" si="0"/>
        <v>3.1620553359683792E-2</v>
      </c>
    </row>
    <row r="10" spans="1:10" x14ac:dyDescent="0.25">
      <c r="A10" s="5" t="s">
        <v>52</v>
      </c>
      <c r="B10">
        <v>4</v>
      </c>
      <c r="D10" s="5" t="s">
        <v>42</v>
      </c>
      <c r="E10">
        <v>253</v>
      </c>
      <c r="G10" s="17" t="s">
        <v>52</v>
      </c>
      <c r="H10" s="20">
        <v>4</v>
      </c>
      <c r="I10" s="20">
        <v>387</v>
      </c>
      <c r="J10" s="21">
        <f t="shared" si="0"/>
        <v>1.0335917312661499E-2</v>
      </c>
    </row>
    <row r="11" spans="1:10" x14ac:dyDescent="0.25">
      <c r="A11" s="5" t="s">
        <v>118</v>
      </c>
      <c r="B11">
        <v>1</v>
      </c>
      <c r="D11" s="5" t="s">
        <v>52</v>
      </c>
      <c r="E11">
        <v>387</v>
      </c>
      <c r="G11" s="17" t="s">
        <v>118</v>
      </c>
      <c r="H11" s="20">
        <v>1</v>
      </c>
      <c r="I11" s="20">
        <v>131</v>
      </c>
      <c r="J11" s="21">
        <f t="shared" si="0"/>
        <v>7.6335877862595417E-3</v>
      </c>
    </row>
    <row r="12" spans="1:10" x14ac:dyDescent="0.25">
      <c r="A12" s="5" t="s">
        <v>74</v>
      </c>
      <c r="B12">
        <v>5</v>
      </c>
      <c r="D12" s="5" t="s">
        <v>118</v>
      </c>
      <c r="E12">
        <v>131</v>
      </c>
      <c r="G12" s="17" t="s">
        <v>74</v>
      </c>
      <c r="H12" s="20">
        <v>5</v>
      </c>
      <c r="I12" s="20">
        <v>232</v>
      </c>
      <c r="J12" s="21">
        <f t="shared" si="0"/>
        <v>2.1551724137931036E-2</v>
      </c>
    </row>
    <row r="13" spans="1:10" x14ac:dyDescent="0.25">
      <c r="A13" s="5" t="s">
        <v>82</v>
      </c>
      <c r="B13">
        <v>4</v>
      </c>
      <c r="D13" s="5" t="s">
        <v>74</v>
      </c>
      <c r="E13">
        <v>232</v>
      </c>
      <c r="G13" s="24" t="s">
        <v>82</v>
      </c>
      <c r="H13" s="25">
        <v>4</v>
      </c>
      <c r="I13" s="25">
        <v>121</v>
      </c>
      <c r="J13" s="23">
        <f t="shared" si="0"/>
        <v>3.3057851239669422E-2</v>
      </c>
    </row>
    <row r="14" spans="1:10" x14ac:dyDescent="0.25">
      <c r="A14" s="5" t="s">
        <v>62</v>
      </c>
      <c r="B14">
        <v>3</v>
      </c>
      <c r="D14" s="5" t="s">
        <v>82</v>
      </c>
      <c r="E14">
        <v>121</v>
      </c>
      <c r="G14" s="17" t="s">
        <v>62</v>
      </c>
      <c r="H14" s="20">
        <v>3</v>
      </c>
      <c r="I14" s="20">
        <v>144</v>
      </c>
      <c r="J14" s="21">
        <f t="shared" si="0"/>
        <v>2.0833333333333332E-2</v>
      </c>
    </row>
    <row r="15" spans="1:10" x14ac:dyDescent="0.25">
      <c r="A15" s="5" t="s">
        <v>101</v>
      </c>
      <c r="B15">
        <v>1</v>
      </c>
      <c r="D15" s="5" t="s">
        <v>62</v>
      </c>
      <c r="E15">
        <v>144</v>
      </c>
      <c r="G15" s="17" t="s">
        <v>101</v>
      </c>
      <c r="H15" s="20">
        <v>1</v>
      </c>
      <c r="I15" s="20">
        <v>167</v>
      </c>
      <c r="J15" s="21">
        <f t="shared" si="0"/>
        <v>5.9880239520958087E-3</v>
      </c>
    </row>
    <row r="16" spans="1:10" x14ac:dyDescent="0.25">
      <c r="A16" s="5" t="s">
        <v>45</v>
      </c>
      <c r="B16">
        <v>11</v>
      </c>
      <c r="D16" s="5" t="s">
        <v>101</v>
      </c>
      <c r="E16">
        <v>167</v>
      </c>
      <c r="G16" s="17" t="s">
        <v>45</v>
      </c>
      <c r="H16" s="20">
        <v>11</v>
      </c>
      <c r="I16" s="20">
        <v>528</v>
      </c>
      <c r="J16" s="21">
        <f t="shared" si="0"/>
        <v>2.0833333333333332E-2</v>
      </c>
    </row>
    <row r="17" spans="1:10" x14ac:dyDescent="0.25">
      <c r="A17" s="5" t="s">
        <v>3121</v>
      </c>
      <c r="B17">
        <v>61</v>
      </c>
      <c r="D17" s="5" t="s">
        <v>45</v>
      </c>
      <c r="E17">
        <v>528</v>
      </c>
    </row>
    <row r="18" spans="1:10" x14ac:dyDescent="0.25">
      <c r="D18" s="5" t="s">
        <v>3121</v>
      </c>
      <c r="E18">
        <v>3000</v>
      </c>
    </row>
    <row r="21" spans="1:10" x14ac:dyDescent="0.25">
      <c r="A21" s="37" t="s">
        <v>11</v>
      </c>
      <c r="B21" s="37" t="s">
        <v>1417</v>
      </c>
    </row>
    <row r="23" spans="1:10" x14ac:dyDescent="0.25">
      <c r="A23" s="11" t="s">
        <v>1</v>
      </c>
      <c r="B23" s="11" t="s">
        <v>3122</v>
      </c>
      <c r="D23" s="4" t="s">
        <v>1</v>
      </c>
      <c r="E23" t="s">
        <v>3122</v>
      </c>
      <c r="G23" s="16" t="s">
        <v>1</v>
      </c>
      <c r="H23" s="18" t="s">
        <v>3126</v>
      </c>
      <c r="I23" s="18" t="s">
        <v>3127</v>
      </c>
      <c r="J23" s="18" t="s">
        <v>3128</v>
      </c>
    </row>
    <row r="24" spans="1:10" x14ac:dyDescent="0.25">
      <c r="A24" s="5" t="s">
        <v>69</v>
      </c>
      <c r="B24">
        <v>3</v>
      </c>
      <c r="D24" s="5" t="s">
        <v>69</v>
      </c>
      <c r="E24">
        <v>199</v>
      </c>
      <c r="G24" s="17" t="s">
        <v>69</v>
      </c>
      <c r="H24" s="19">
        <v>3</v>
      </c>
      <c r="I24" s="20">
        <v>199</v>
      </c>
      <c r="J24" s="21">
        <f>H24/I24</f>
        <v>1.507537688442211E-2</v>
      </c>
    </row>
    <row r="25" spans="1:10" x14ac:dyDescent="0.25">
      <c r="A25" s="5" t="s">
        <v>49</v>
      </c>
      <c r="B25">
        <v>4</v>
      </c>
      <c r="D25" s="5" t="s">
        <v>49</v>
      </c>
      <c r="E25">
        <v>207</v>
      </c>
      <c r="G25" s="17" t="s">
        <v>49</v>
      </c>
      <c r="H25" s="19">
        <v>4</v>
      </c>
      <c r="I25" s="20">
        <v>207</v>
      </c>
      <c r="J25" s="21">
        <f t="shared" ref="J25:J32" si="1">H25/I25</f>
        <v>1.932367149758454E-2</v>
      </c>
    </row>
    <row r="26" spans="1:10" x14ac:dyDescent="0.25">
      <c r="A26" s="5" t="s">
        <v>59</v>
      </c>
      <c r="B26">
        <v>9</v>
      </c>
      <c r="D26" s="5" t="s">
        <v>59</v>
      </c>
      <c r="E26">
        <v>422</v>
      </c>
      <c r="G26" s="17" t="s">
        <v>59</v>
      </c>
      <c r="H26" s="19">
        <v>9</v>
      </c>
      <c r="I26" s="20">
        <v>422</v>
      </c>
      <c r="J26" s="21">
        <f t="shared" si="1"/>
        <v>2.132701421800948E-2</v>
      </c>
    </row>
    <row r="27" spans="1:10" x14ac:dyDescent="0.25">
      <c r="A27" s="5" t="s">
        <v>39</v>
      </c>
      <c r="B27">
        <v>10</v>
      </c>
      <c r="D27" s="5" t="s">
        <v>39</v>
      </c>
      <c r="E27">
        <v>420</v>
      </c>
      <c r="G27" s="17" t="s">
        <v>39</v>
      </c>
      <c r="H27" s="19">
        <v>10</v>
      </c>
      <c r="I27" s="20">
        <v>420</v>
      </c>
      <c r="J27" s="21">
        <f t="shared" si="1"/>
        <v>2.3809523809523808E-2</v>
      </c>
    </row>
    <row r="28" spans="1:10" x14ac:dyDescent="0.25">
      <c r="A28" s="5" t="s">
        <v>33</v>
      </c>
      <c r="B28">
        <v>15</v>
      </c>
      <c r="D28" s="5" t="s">
        <v>33</v>
      </c>
      <c r="E28">
        <v>620</v>
      </c>
      <c r="G28" s="17" t="s">
        <v>33</v>
      </c>
      <c r="H28" s="19">
        <v>15</v>
      </c>
      <c r="I28" s="20">
        <v>620</v>
      </c>
      <c r="J28" s="21">
        <f t="shared" si="1"/>
        <v>2.4193548387096774E-2</v>
      </c>
    </row>
    <row r="29" spans="1:10" x14ac:dyDescent="0.25">
      <c r="A29" s="5" t="s">
        <v>18</v>
      </c>
      <c r="B29">
        <v>3</v>
      </c>
      <c r="D29" s="5" t="s">
        <v>18</v>
      </c>
      <c r="E29">
        <v>180</v>
      </c>
      <c r="G29" s="17" t="s">
        <v>18</v>
      </c>
      <c r="H29" s="19">
        <v>3</v>
      </c>
      <c r="I29" s="20">
        <v>180</v>
      </c>
      <c r="J29" s="21">
        <f t="shared" si="1"/>
        <v>1.6666666666666666E-2</v>
      </c>
    </row>
    <row r="30" spans="1:10" x14ac:dyDescent="0.25">
      <c r="A30" s="5" t="s">
        <v>76</v>
      </c>
      <c r="B30">
        <v>9</v>
      </c>
      <c r="D30" s="5" t="s">
        <v>76</v>
      </c>
      <c r="E30">
        <v>371</v>
      </c>
      <c r="G30" s="17" t="s">
        <v>76</v>
      </c>
      <c r="H30" s="19">
        <v>9</v>
      </c>
      <c r="I30" s="20">
        <v>371</v>
      </c>
      <c r="J30" s="21">
        <f t="shared" si="1"/>
        <v>2.4258760107816711E-2</v>
      </c>
    </row>
    <row r="31" spans="1:10" x14ac:dyDescent="0.25">
      <c r="A31" s="5" t="s">
        <v>27</v>
      </c>
      <c r="B31">
        <v>2</v>
      </c>
      <c r="D31" s="5" t="s">
        <v>27</v>
      </c>
      <c r="E31">
        <v>189</v>
      </c>
      <c r="G31" s="17" t="s">
        <v>27</v>
      </c>
      <c r="H31" s="19">
        <v>2</v>
      </c>
      <c r="I31" s="20">
        <v>189</v>
      </c>
      <c r="J31" s="21">
        <f t="shared" si="1"/>
        <v>1.0582010582010581E-2</v>
      </c>
    </row>
    <row r="32" spans="1:10" x14ac:dyDescent="0.25">
      <c r="A32" s="5" t="s">
        <v>54</v>
      </c>
      <c r="B32">
        <v>6</v>
      </c>
      <c r="D32" s="5" t="s">
        <v>54</v>
      </c>
      <c r="E32">
        <v>392</v>
      </c>
      <c r="G32" s="17" t="s">
        <v>54</v>
      </c>
      <c r="H32" s="19">
        <v>6</v>
      </c>
      <c r="I32" s="20">
        <v>392</v>
      </c>
      <c r="J32" s="21">
        <f t="shared" si="1"/>
        <v>1.5306122448979591E-2</v>
      </c>
    </row>
    <row r="33" spans="1:10" x14ac:dyDescent="0.25">
      <c r="A33" s="13" t="s">
        <v>3121</v>
      </c>
      <c r="B33" s="11">
        <v>61</v>
      </c>
      <c r="D33" s="5" t="s">
        <v>3121</v>
      </c>
      <c r="E33">
        <v>3000</v>
      </c>
    </row>
    <row r="37" spans="1:10" x14ac:dyDescent="0.25">
      <c r="A37" s="4" t="s">
        <v>11</v>
      </c>
      <c r="B37" t="s">
        <v>1417</v>
      </c>
    </row>
    <row r="39" spans="1:10" x14ac:dyDescent="0.25">
      <c r="A39" s="14" t="s">
        <v>8</v>
      </c>
      <c r="B39" s="14" t="s">
        <v>3122</v>
      </c>
      <c r="D39" s="4" t="s">
        <v>3119</v>
      </c>
      <c r="E39" t="s">
        <v>3122</v>
      </c>
      <c r="G39" s="16" t="s">
        <v>8</v>
      </c>
      <c r="H39" s="18" t="s">
        <v>3126</v>
      </c>
      <c r="I39" s="18" t="s">
        <v>3127</v>
      </c>
      <c r="J39" s="18" t="s">
        <v>3128</v>
      </c>
    </row>
    <row r="40" spans="1:10" x14ac:dyDescent="0.25">
      <c r="A40" s="5" t="s">
        <v>47</v>
      </c>
      <c r="B40">
        <v>11</v>
      </c>
      <c r="D40" s="5" t="s">
        <v>47</v>
      </c>
      <c r="E40">
        <v>558</v>
      </c>
      <c r="G40" s="17" t="s">
        <v>47</v>
      </c>
      <c r="H40" s="22">
        <v>11</v>
      </c>
      <c r="I40" s="22">
        <v>558</v>
      </c>
      <c r="J40" s="21">
        <f>H40/I40</f>
        <v>1.9713261648745518E-2</v>
      </c>
    </row>
    <row r="41" spans="1:10" x14ac:dyDescent="0.25">
      <c r="A41" s="5" t="s">
        <v>24</v>
      </c>
      <c r="B41">
        <v>27</v>
      </c>
      <c r="D41" s="5" t="s">
        <v>24</v>
      </c>
      <c r="E41">
        <v>1295</v>
      </c>
      <c r="G41" s="17" t="s">
        <v>24</v>
      </c>
      <c r="H41" s="22">
        <v>27</v>
      </c>
      <c r="I41" s="22">
        <v>1295</v>
      </c>
      <c r="J41" s="21">
        <f t="shared" ref="J41:J42" si="2">H41/I41</f>
        <v>2.084942084942085E-2</v>
      </c>
    </row>
    <row r="42" spans="1:10" x14ac:dyDescent="0.25">
      <c r="A42" s="5" t="s">
        <v>64</v>
      </c>
      <c r="B42">
        <v>23</v>
      </c>
      <c r="D42" s="5" t="s">
        <v>64</v>
      </c>
      <c r="E42">
        <v>1147</v>
      </c>
      <c r="G42" s="17" t="s">
        <v>64</v>
      </c>
      <c r="H42" s="22">
        <v>23</v>
      </c>
      <c r="I42" s="22">
        <v>1147</v>
      </c>
      <c r="J42" s="21">
        <f t="shared" si="2"/>
        <v>2.0052310374891021E-2</v>
      </c>
    </row>
    <row r="43" spans="1:10" x14ac:dyDescent="0.25">
      <c r="A43" s="15" t="s">
        <v>3121</v>
      </c>
      <c r="B43" s="14">
        <v>61</v>
      </c>
      <c r="D43" s="5" t="s">
        <v>3121</v>
      </c>
      <c r="E43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E2FC-B03D-4013-8587-283E8044020F}">
  <dimension ref="A1:L25"/>
  <sheetViews>
    <sheetView topLeftCell="A4" zoomScale="115" zoomScaleNormal="115" workbookViewId="0">
      <selection activeCell="L9" sqref="L9"/>
    </sheetView>
  </sheetViews>
  <sheetFormatPr defaultRowHeight="15" x14ac:dyDescent="0.25"/>
  <cols>
    <col min="1" max="1" width="16" bestFit="1" customWidth="1"/>
    <col min="2" max="2" width="20.85546875" bestFit="1" customWidth="1"/>
    <col min="4" max="4" width="16" bestFit="1" customWidth="1"/>
    <col min="5" max="5" width="20.85546875" bestFit="1" customWidth="1"/>
    <col min="7" max="7" width="16.140625" customWidth="1"/>
    <col min="8" max="8" width="14" customWidth="1"/>
    <col min="9" max="9" width="15" customWidth="1"/>
    <col min="10" max="10" width="15.85546875" customWidth="1"/>
  </cols>
  <sheetData>
    <row r="1" spans="1:12" x14ac:dyDescent="0.25">
      <c r="D1" s="4" t="s">
        <v>11</v>
      </c>
      <c r="E1" t="s">
        <v>1907</v>
      </c>
    </row>
    <row r="3" spans="1:12" x14ac:dyDescent="0.25">
      <c r="A3" s="4" t="s">
        <v>3135</v>
      </c>
      <c r="B3" t="s">
        <v>3122</v>
      </c>
      <c r="D3" s="4" t="s">
        <v>3135</v>
      </c>
      <c r="E3" t="s">
        <v>3122</v>
      </c>
      <c r="G3" s="25" t="s">
        <v>3129</v>
      </c>
      <c r="H3" s="25" t="s">
        <v>3127</v>
      </c>
      <c r="I3" s="25" t="s">
        <v>3130</v>
      </c>
      <c r="J3" s="25" t="s">
        <v>3131</v>
      </c>
    </row>
    <row r="4" spans="1:12" x14ac:dyDescent="0.25">
      <c r="A4" s="5" t="s">
        <v>85</v>
      </c>
      <c r="B4">
        <v>234</v>
      </c>
      <c r="D4" s="5" t="s">
        <v>85</v>
      </c>
      <c r="E4">
        <v>4</v>
      </c>
      <c r="G4" s="35" t="s">
        <v>85</v>
      </c>
      <c r="H4" s="36">
        <v>234</v>
      </c>
      <c r="I4" s="36">
        <v>4</v>
      </c>
      <c r="J4" s="31">
        <f>I4/H4</f>
        <v>1.7094017094017096E-2</v>
      </c>
    </row>
    <row r="5" spans="1:12" x14ac:dyDescent="0.25">
      <c r="A5" s="5" t="s">
        <v>31</v>
      </c>
      <c r="B5">
        <v>275</v>
      </c>
      <c r="D5" s="5" t="s">
        <v>31</v>
      </c>
      <c r="E5">
        <v>8</v>
      </c>
      <c r="G5" s="17" t="s">
        <v>31</v>
      </c>
      <c r="H5" s="22">
        <v>275</v>
      </c>
      <c r="I5" s="22">
        <v>8</v>
      </c>
      <c r="J5" s="26">
        <f t="shared" ref="J5:J11" si="0">I5/H5</f>
        <v>2.9090909090909091E-2</v>
      </c>
    </row>
    <row r="6" spans="1:12" x14ac:dyDescent="0.25">
      <c r="A6" s="5" t="s">
        <v>57</v>
      </c>
      <c r="B6">
        <v>511</v>
      </c>
      <c r="D6" s="5" t="s">
        <v>57</v>
      </c>
      <c r="E6">
        <v>11</v>
      </c>
      <c r="G6" s="17" t="s">
        <v>57</v>
      </c>
      <c r="H6" s="22">
        <v>511</v>
      </c>
      <c r="I6" s="22">
        <v>11</v>
      </c>
      <c r="J6" s="26">
        <f t="shared" si="0"/>
        <v>2.1526418786692758E-2</v>
      </c>
    </row>
    <row r="7" spans="1:12" x14ac:dyDescent="0.25">
      <c r="A7" s="5" t="s">
        <v>23</v>
      </c>
      <c r="B7">
        <v>259</v>
      </c>
      <c r="D7" s="5" t="s">
        <v>23</v>
      </c>
      <c r="E7">
        <v>13</v>
      </c>
      <c r="G7" s="32" t="s">
        <v>23</v>
      </c>
      <c r="H7" s="33">
        <v>259</v>
      </c>
      <c r="I7" s="33">
        <v>13</v>
      </c>
      <c r="J7" s="34">
        <f t="shared" si="0"/>
        <v>5.019305019305019E-2</v>
      </c>
      <c r="L7" t="s">
        <v>3133</v>
      </c>
    </row>
    <row r="8" spans="1:12" x14ac:dyDescent="0.25">
      <c r="A8" s="5" t="s">
        <v>72</v>
      </c>
      <c r="B8">
        <v>240</v>
      </c>
      <c r="D8" s="5" t="s">
        <v>72</v>
      </c>
      <c r="E8">
        <v>5</v>
      </c>
      <c r="G8" s="17" t="s">
        <v>72</v>
      </c>
      <c r="H8" s="22">
        <v>240</v>
      </c>
      <c r="I8" s="22">
        <v>5</v>
      </c>
      <c r="J8" s="26">
        <f t="shared" si="0"/>
        <v>2.0833333333333332E-2</v>
      </c>
    </row>
    <row r="9" spans="1:12" x14ac:dyDescent="0.25">
      <c r="A9" s="30" t="s">
        <v>46</v>
      </c>
      <c r="B9" s="41">
        <v>749</v>
      </c>
      <c r="D9" s="30" t="s">
        <v>46</v>
      </c>
      <c r="E9" s="41">
        <v>21</v>
      </c>
      <c r="G9" s="17" t="s">
        <v>46</v>
      </c>
      <c r="H9" s="22">
        <v>749</v>
      </c>
      <c r="I9" s="22">
        <v>21</v>
      </c>
      <c r="J9" s="26">
        <f t="shared" si="0"/>
        <v>2.8037383177570093E-2</v>
      </c>
      <c r="L9" t="s">
        <v>3132</v>
      </c>
    </row>
    <row r="10" spans="1:12" x14ac:dyDescent="0.25">
      <c r="A10" s="5" t="s">
        <v>37</v>
      </c>
      <c r="B10">
        <v>483</v>
      </c>
      <c r="D10" s="5" t="s">
        <v>37</v>
      </c>
      <c r="E10">
        <v>13</v>
      </c>
      <c r="G10" s="17" t="s">
        <v>37</v>
      </c>
      <c r="H10" s="22">
        <v>483</v>
      </c>
      <c r="I10" s="22">
        <v>13</v>
      </c>
      <c r="J10" s="26">
        <f t="shared" si="0"/>
        <v>2.6915113871635612E-2</v>
      </c>
    </row>
    <row r="11" spans="1:12" x14ac:dyDescent="0.25">
      <c r="A11" s="5" t="s">
        <v>83</v>
      </c>
      <c r="B11">
        <v>249</v>
      </c>
      <c r="D11" s="5" t="s">
        <v>83</v>
      </c>
      <c r="E11">
        <v>8</v>
      </c>
      <c r="G11" s="17" t="s">
        <v>83</v>
      </c>
      <c r="H11" s="22">
        <v>249</v>
      </c>
      <c r="I11" s="22">
        <v>8</v>
      </c>
      <c r="J11" s="26">
        <f t="shared" si="0"/>
        <v>3.2128514056224897E-2</v>
      </c>
    </row>
    <row r="12" spans="1:12" x14ac:dyDescent="0.25">
      <c r="A12" s="5" t="s">
        <v>3121</v>
      </c>
      <c r="B12">
        <v>3000</v>
      </c>
      <c r="D12" s="5" t="s">
        <v>3121</v>
      </c>
      <c r="E12">
        <v>83</v>
      </c>
    </row>
    <row r="16" spans="1:12" x14ac:dyDescent="0.25">
      <c r="A16" s="4" t="s">
        <v>3135</v>
      </c>
      <c r="B16" t="s">
        <v>3134</v>
      </c>
    </row>
    <row r="17" spans="1:2" x14ac:dyDescent="0.25">
      <c r="A17" s="5" t="s">
        <v>85</v>
      </c>
      <c r="B17" s="27">
        <v>625570</v>
      </c>
    </row>
    <row r="18" spans="1:2" x14ac:dyDescent="0.25">
      <c r="A18" s="5" t="s">
        <v>31</v>
      </c>
      <c r="B18" s="27">
        <v>803655</v>
      </c>
    </row>
    <row r="19" spans="1:2" x14ac:dyDescent="0.25">
      <c r="A19" s="5" t="s">
        <v>57</v>
      </c>
      <c r="B19" s="27">
        <v>1361738</v>
      </c>
    </row>
    <row r="20" spans="1:2" x14ac:dyDescent="0.25">
      <c r="A20" s="5" t="s">
        <v>23</v>
      </c>
      <c r="B20" s="27">
        <v>756830</v>
      </c>
    </row>
    <row r="21" spans="1:2" x14ac:dyDescent="0.25">
      <c r="A21" s="5" t="s">
        <v>72</v>
      </c>
      <c r="B21" s="27">
        <v>677011</v>
      </c>
    </row>
    <row r="22" spans="1:2" x14ac:dyDescent="0.25">
      <c r="A22" s="28" t="s">
        <v>46</v>
      </c>
      <c r="B22" s="29">
        <v>2048333</v>
      </c>
    </row>
    <row r="23" spans="1:2" x14ac:dyDescent="0.25">
      <c r="A23" s="5" t="s">
        <v>37</v>
      </c>
      <c r="B23" s="27">
        <v>1379804</v>
      </c>
    </row>
    <row r="24" spans="1:2" x14ac:dyDescent="0.25">
      <c r="A24" s="5" t="s">
        <v>83</v>
      </c>
      <c r="B24" s="27">
        <v>622194</v>
      </c>
    </row>
    <row r="25" spans="1:2" x14ac:dyDescent="0.25">
      <c r="A25" s="5" t="s">
        <v>3121</v>
      </c>
      <c r="B25">
        <v>8275135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F1A6-CBFB-44C1-A518-343E25933659}">
  <dimension ref="A2:G21"/>
  <sheetViews>
    <sheetView zoomScale="130" zoomScaleNormal="130" workbookViewId="0">
      <selection activeCell="E18" sqref="E18"/>
    </sheetView>
  </sheetViews>
  <sheetFormatPr defaultRowHeight="15" x14ac:dyDescent="0.25"/>
  <cols>
    <col min="1" max="1" width="13.42578125" bestFit="1" customWidth="1"/>
    <col min="2" max="2" width="21.140625" bestFit="1" customWidth="1"/>
    <col min="4" max="4" width="17.140625" bestFit="1" customWidth="1"/>
    <col min="5" max="5" width="19.5703125" bestFit="1" customWidth="1"/>
    <col min="7" max="7" width="12.28515625" customWidth="1"/>
  </cols>
  <sheetData>
    <row r="2" spans="1:7" x14ac:dyDescent="0.25">
      <c r="A2" t="s">
        <v>3145</v>
      </c>
    </row>
    <row r="3" spans="1:7" x14ac:dyDescent="0.25">
      <c r="A3" s="4" t="s">
        <v>3119</v>
      </c>
      <c r="B3" t="s">
        <v>3136</v>
      </c>
      <c r="D3" t="s">
        <v>3138</v>
      </c>
    </row>
    <row r="4" spans="1:7" x14ac:dyDescent="0.25">
      <c r="A4" s="5" t="s">
        <v>1417</v>
      </c>
      <c r="B4">
        <v>61</v>
      </c>
    </row>
    <row r="5" spans="1:7" x14ac:dyDescent="0.25">
      <c r="A5" s="5" t="s">
        <v>1907</v>
      </c>
      <c r="B5">
        <v>83</v>
      </c>
    </row>
    <row r="6" spans="1:7" x14ac:dyDescent="0.25">
      <c r="A6" s="5" t="s">
        <v>3121</v>
      </c>
      <c r="B6">
        <v>144</v>
      </c>
      <c r="D6" t="s">
        <v>3137</v>
      </c>
    </row>
    <row r="8" spans="1:7" x14ac:dyDescent="0.25">
      <c r="A8" s="4" t="s">
        <v>3119</v>
      </c>
      <c r="B8" t="s">
        <v>3136</v>
      </c>
      <c r="D8" t="s">
        <v>3139</v>
      </c>
    </row>
    <row r="9" spans="1:7" x14ac:dyDescent="0.25">
      <c r="A9" s="5" t="s">
        <v>1117</v>
      </c>
      <c r="B9">
        <v>867</v>
      </c>
      <c r="D9" t="s">
        <v>3146</v>
      </c>
    </row>
    <row r="10" spans="1:7" x14ac:dyDescent="0.25">
      <c r="A10" s="6" t="s">
        <v>1118</v>
      </c>
      <c r="B10">
        <v>298</v>
      </c>
    </row>
    <row r="11" spans="1:7" x14ac:dyDescent="0.25">
      <c r="A11" s="6" t="s">
        <v>1417</v>
      </c>
      <c r="B11">
        <v>61</v>
      </c>
    </row>
    <row r="12" spans="1:7" x14ac:dyDescent="0.25">
      <c r="A12" s="6" t="s">
        <v>1479</v>
      </c>
      <c r="B12">
        <v>220</v>
      </c>
    </row>
    <row r="13" spans="1:7" x14ac:dyDescent="0.25">
      <c r="A13" s="6" t="s">
        <v>1700</v>
      </c>
      <c r="B13">
        <v>65</v>
      </c>
    </row>
    <row r="14" spans="1:7" x14ac:dyDescent="0.25">
      <c r="A14" s="6" t="s">
        <v>1766</v>
      </c>
      <c r="B14">
        <v>140</v>
      </c>
    </row>
    <row r="15" spans="1:7" x14ac:dyDescent="0.25">
      <c r="A15" s="6" t="s">
        <v>1907</v>
      </c>
      <c r="B15">
        <v>83</v>
      </c>
      <c r="D15" s="4" t="s">
        <v>3119</v>
      </c>
      <c r="E15" t="s">
        <v>3134</v>
      </c>
      <c r="G15" t="s">
        <v>3141</v>
      </c>
    </row>
    <row r="16" spans="1:7" x14ac:dyDescent="0.25">
      <c r="A16" s="5" t="s">
        <v>3121</v>
      </c>
      <c r="B16">
        <v>867</v>
      </c>
      <c r="D16" s="5" t="s">
        <v>1117</v>
      </c>
      <c r="E16" s="38">
        <v>1911789</v>
      </c>
      <c r="G16" s="39">
        <f>GETPIVOTDATA("Deal Value, $",$D$15)*58%</f>
        <v>1108837.6199999999</v>
      </c>
    </row>
    <row r="17" spans="4:7" x14ac:dyDescent="0.25">
      <c r="D17" s="6" t="s">
        <v>1118</v>
      </c>
      <c r="E17" s="38">
        <v>859994</v>
      </c>
      <c r="G17" t="s">
        <v>3142</v>
      </c>
    </row>
    <row r="18" spans="4:7" x14ac:dyDescent="0.25">
      <c r="D18" s="6" t="s">
        <v>1479</v>
      </c>
      <c r="E18" s="38">
        <v>538633</v>
      </c>
    </row>
    <row r="19" spans="4:7" x14ac:dyDescent="0.25">
      <c r="D19" s="6" t="s">
        <v>1700</v>
      </c>
      <c r="E19" s="38">
        <v>136060</v>
      </c>
    </row>
    <row r="20" spans="4:7" x14ac:dyDescent="0.25">
      <c r="D20" s="6" t="s">
        <v>1766</v>
      </c>
      <c r="E20" s="38">
        <v>377102</v>
      </c>
    </row>
    <row r="21" spans="4:7" x14ac:dyDescent="0.25">
      <c r="D21" s="5" t="s">
        <v>3121</v>
      </c>
      <c r="E21" s="38">
        <v>1911789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41BA-8F24-4D01-A8FF-B9A10693A00F}">
  <dimension ref="A1:D7"/>
  <sheetViews>
    <sheetView zoomScale="160" zoomScaleNormal="160" workbookViewId="0">
      <selection activeCell="F8" sqref="F8"/>
    </sheetView>
  </sheetViews>
  <sheetFormatPr defaultRowHeight="15" x14ac:dyDescent="0.25"/>
  <cols>
    <col min="1" max="1" width="13.42578125" bestFit="1" customWidth="1"/>
    <col min="2" max="2" width="19.5703125" bestFit="1" customWidth="1"/>
  </cols>
  <sheetData>
    <row r="1" spans="1:4" x14ac:dyDescent="0.25">
      <c r="A1" s="4" t="s">
        <v>9</v>
      </c>
      <c r="B1" t="s">
        <v>1117</v>
      </c>
    </row>
    <row r="2" spans="1:4" x14ac:dyDescent="0.25">
      <c r="A2" s="4" t="s">
        <v>11</v>
      </c>
      <c r="B2" t="s">
        <v>3140</v>
      </c>
    </row>
    <row r="4" spans="1:4" x14ac:dyDescent="0.25">
      <c r="A4" s="4" t="s">
        <v>3119</v>
      </c>
      <c r="B4" t="s">
        <v>3134</v>
      </c>
    </row>
    <row r="5" spans="1:4" x14ac:dyDescent="0.25">
      <c r="A5" s="5" t="s">
        <v>3143</v>
      </c>
      <c r="B5" s="40">
        <v>1489078</v>
      </c>
    </row>
    <row r="6" spans="1:4" x14ac:dyDescent="0.25">
      <c r="A6" s="5" t="s">
        <v>3144</v>
      </c>
      <c r="B6" s="40">
        <v>422711</v>
      </c>
      <c r="D6" s="39" t="s">
        <v>3149</v>
      </c>
    </row>
    <row r="7" spans="1:4" x14ac:dyDescent="0.25">
      <c r="A7" s="5" t="s">
        <v>3121</v>
      </c>
      <c r="B7" s="40">
        <v>1911789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B00A-BD18-4690-B912-265DFF784099}">
  <dimension ref="A1:B13"/>
  <sheetViews>
    <sheetView zoomScale="145" zoomScaleNormal="145" workbookViewId="0">
      <selection activeCell="B11" sqref="B11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" x14ac:dyDescent="0.25">
      <c r="A1" s="4" t="s">
        <v>16</v>
      </c>
      <c r="B1" t="s">
        <v>3140</v>
      </c>
    </row>
    <row r="2" spans="1:2" x14ac:dyDescent="0.25">
      <c r="A2" s="4" t="s">
        <v>9</v>
      </c>
      <c r="B2" t="s">
        <v>253</v>
      </c>
    </row>
    <row r="4" spans="1:2" x14ac:dyDescent="0.25">
      <c r="A4" s="4" t="s">
        <v>3119</v>
      </c>
      <c r="B4" s="42" t="s">
        <v>3148</v>
      </c>
    </row>
    <row r="5" spans="1:2" x14ac:dyDescent="0.25">
      <c r="A5" s="5" t="s">
        <v>85</v>
      </c>
      <c r="B5" s="42">
        <v>-146.25</v>
      </c>
    </row>
    <row r="6" spans="1:2" x14ac:dyDescent="0.25">
      <c r="A6" s="5" t="s">
        <v>31</v>
      </c>
      <c r="B6" s="42">
        <v>-162.5</v>
      </c>
    </row>
    <row r="7" spans="1:2" x14ac:dyDescent="0.25">
      <c r="A7" s="5" t="s">
        <v>57</v>
      </c>
      <c r="B7" s="42">
        <v>-122.51851851851852</v>
      </c>
    </row>
    <row r="8" spans="1:2" x14ac:dyDescent="0.25">
      <c r="A8" s="5" t="s">
        <v>23</v>
      </c>
      <c r="B8" s="42">
        <v>-93.692307692307693</v>
      </c>
    </row>
    <row r="9" spans="1:2" x14ac:dyDescent="0.25">
      <c r="A9" s="5" t="s">
        <v>72</v>
      </c>
      <c r="B9" s="42">
        <v>-95.473684210526315</v>
      </c>
    </row>
    <row r="10" spans="1:2" x14ac:dyDescent="0.25">
      <c r="A10" s="5" t="s">
        <v>46</v>
      </c>
      <c r="B10" s="42">
        <v>-129.89583333333334</v>
      </c>
    </row>
    <row r="11" spans="1:2" x14ac:dyDescent="0.25">
      <c r="A11" s="5" t="s">
        <v>37</v>
      </c>
      <c r="B11" s="42">
        <v>-156.0344827586207</v>
      </c>
    </row>
    <row r="12" spans="1:2" x14ac:dyDescent="0.25">
      <c r="A12" s="5" t="s">
        <v>83</v>
      </c>
      <c r="B12" s="42">
        <v>-194.6</v>
      </c>
    </row>
    <row r="13" spans="1:2" x14ac:dyDescent="0.25">
      <c r="A13" s="5" t="s">
        <v>3121</v>
      </c>
      <c r="B13" s="42">
        <v>-135.31578947368422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3168-6945-44AB-AC7D-64981E3E43B8}">
  <dimension ref="A1:B30"/>
  <sheetViews>
    <sheetView topLeftCell="A4" zoomScale="115" zoomScaleNormal="115" workbookViewId="0">
      <selection activeCell="H15" sqref="H15"/>
    </sheetView>
  </sheetViews>
  <sheetFormatPr defaultRowHeight="15" x14ac:dyDescent="0.25"/>
  <cols>
    <col min="1" max="1" width="23.140625" customWidth="1"/>
  </cols>
  <sheetData>
    <row r="1" spans="1:2" x14ac:dyDescent="0.25">
      <c r="A1" s="2" t="s">
        <v>0</v>
      </c>
      <c r="B1" t="s">
        <v>3087</v>
      </c>
    </row>
    <row r="2" spans="1:2" x14ac:dyDescent="0.25">
      <c r="A2" s="2" t="s">
        <v>1</v>
      </c>
      <c r="B2" t="s">
        <v>3088</v>
      </c>
    </row>
    <row r="3" spans="1:2" x14ac:dyDescent="0.25">
      <c r="A3" s="2" t="s">
        <v>3089</v>
      </c>
      <c r="B3" t="s">
        <v>3090</v>
      </c>
    </row>
    <row r="4" spans="1:2" x14ac:dyDescent="0.25">
      <c r="A4" s="2" t="s">
        <v>3</v>
      </c>
      <c r="B4" t="s">
        <v>3091</v>
      </c>
    </row>
    <row r="5" spans="1:2" x14ac:dyDescent="0.25">
      <c r="A5" s="2" t="s">
        <v>4</v>
      </c>
      <c r="B5" t="s">
        <v>3092</v>
      </c>
    </row>
    <row r="6" spans="1:2" x14ac:dyDescent="0.25">
      <c r="A6" s="2" t="s">
        <v>5</v>
      </c>
      <c r="B6" t="s">
        <v>3093</v>
      </c>
    </row>
    <row r="7" spans="1:2" x14ac:dyDescent="0.25">
      <c r="A7" s="2" t="s">
        <v>6</v>
      </c>
      <c r="B7" t="s">
        <v>3094</v>
      </c>
    </row>
    <row r="8" spans="1:2" x14ac:dyDescent="0.25">
      <c r="A8" s="3" t="s">
        <v>7</v>
      </c>
      <c r="B8" t="s">
        <v>3095</v>
      </c>
    </row>
    <row r="9" spans="1:2" x14ac:dyDescent="0.25">
      <c r="A9" s="2" t="s">
        <v>8</v>
      </c>
      <c r="B9" t="s">
        <v>3096</v>
      </c>
    </row>
    <row r="10" spans="1:2" x14ac:dyDescent="0.25">
      <c r="A10" s="2" t="s">
        <v>9</v>
      </c>
      <c r="B10" t="s">
        <v>3097</v>
      </c>
    </row>
    <row r="11" spans="1:2" x14ac:dyDescent="0.25">
      <c r="B11" t="s">
        <v>3098</v>
      </c>
    </row>
    <row r="12" spans="1:2" x14ac:dyDescent="0.25">
      <c r="B12" t="s">
        <v>3099</v>
      </c>
    </row>
    <row r="13" spans="1:2" x14ac:dyDescent="0.25">
      <c r="B13" t="s">
        <v>3100</v>
      </c>
    </row>
    <row r="14" spans="1:2" x14ac:dyDescent="0.25">
      <c r="B14" t="s">
        <v>3101</v>
      </c>
    </row>
    <row r="15" spans="1:2" x14ac:dyDescent="0.25">
      <c r="B15" t="s">
        <v>3102</v>
      </c>
    </row>
    <row r="16" spans="1:2" x14ac:dyDescent="0.25">
      <c r="B16" t="s">
        <v>3103</v>
      </c>
    </row>
    <row r="17" spans="1:2" x14ac:dyDescent="0.25">
      <c r="B17" t="s">
        <v>3104</v>
      </c>
    </row>
    <row r="18" spans="1:2" x14ac:dyDescent="0.25">
      <c r="A18" s="2" t="s">
        <v>10</v>
      </c>
      <c r="B18" t="s">
        <v>3105</v>
      </c>
    </row>
    <row r="19" spans="1:2" x14ac:dyDescent="0.25">
      <c r="A19" s="2" t="s">
        <v>11</v>
      </c>
      <c r="B19" t="s">
        <v>3106</v>
      </c>
    </row>
    <row r="20" spans="1:2" x14ac:dyDescent="0.25">
      <c r="B20" t="s">
        <v>3107</v>
      </c>
    </row>
    <row r="21" spans="1:2" x14ac:dyDescent="0.25">
      <c r="B21" t="s">
        <v>3108</v>
      </c>
    </row>
    <row r="22" spans="1:2" x14ac:dyDescent="0.25">
      <c r="B22" t="s">
        <v>3109</v>
      </c>
    </row>
    <row r="23" spans="1:2" x14ac:dyDescent="0.25">
      <c r="B23" t="s">
        <v>3110</v>
      </c>
    </row>
    <row r="24" spans="1:2" x14ac:dyDescent="0.25">
      <c r="B24" t="s">
        <v>3111</v>
      </c>
    </row>
    <row r="25" spans="1:2" x14ac:dyDescent="0.25">
      <c r="B25" t="s">
        <v>3112</v>
      </c>
    </row>
    <row r="26" spans="1:2" x14ac:dyDescent="0.25">
      <c r="A26" s="2" t="s">
        <v>12</v>
      </c>
      <c r="B26" t="s">
        <v>3113</v>
      </c>
    </row>
    <row r="27" spans="1:2" x14ac:dyDescent="0.25">
      <c r="A27" s="2" t="s">
        <v>3114</v>
      </c>
      <c r="B27" t="s">
        <v>3115</v>
      </c>
    </row>
    <row r="28" spans="1:2" x14ac:dyDescent="0.25">
      <c r="A28" s="2" t="s">
        <v>14</v>
      </c>
      <c r="B28" t="s">
        <v>3116</v>
      </c>
    </row>
    <row r="29" spans="1:2" x14ac:dyDescent="0.25">
      <c r="A29" s="3" t="s">
        <v>15</v>
      </c>
      <c r="B29" t="s">
        <v>3117</v>
      </c>
    </row>
    <row r="30" spans="1:2" x14ac:dyDescent="0.25">
      <c r="A30" s="3" t="s">
        <v>16</v>
      </c>
      <c r="B30" t="s">
        <v>3118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28e20433-4eea-4605-8985-a9e28a75b387">
      <Url xsi:nil="true"/>
      <Description xsi:nil="true"/>
    </Link>
    <preview xmlns="28e20433-4eea-4605-8985-a9e28a75b387" xsi:nil="true"/>
    <_Flow_SignoffStatus xmlns="28e20433-4eea-4605-8985-a9e28a75b387" xsi:nil="true"/>
    <lcf76f155ced4ddcb4097134ff3c332f xmlns="28e20433-4eea-4605-8985-a9e28a75b387">
      <Terms xmlns="http://schemas.microsoft.com/office/infopath/2007/PartnerControls"/>
    </lcf76f155ced4ddcb4097134ff3c332f>
    <TaxCatchAll xmlns="a9dd58b0-6ff2-40ef-b7b2-1a00be849b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058FA0B583F4F902E5D22F46C066D" ma:contentTypeVersion="21" ma:contentTypeDescription="Create a new document." ma:contentTypeScope="" ma:versionID="f9f64d9fd40cbe71bef27b565dc79c5e">
  <xsd:schema xmlns:xsd="http://www.w3.org/2001/XMLSchema" xmlns:xs="http://www.w3.org/2001/XMLSchema" xmlns:p="http://schemas.microsoft.com/office/2006/metadata/properties" xmlns:ns2="28e20433-4eea-4605-8985-a9e28a75b387" xmlns:ns3="a9dd58b0-6ff2-40ef-b7b2-1a00be849b49" targetNamespace="http://schemas.microsoft.com/office/2006/metadata/properties" ma:root="true" ma:fieldsID="06453dc29ed6bb8e52d5a2e67697345b" ns2:_="" ns3:_="">
    <xsd:import namespace="28e20433-4eea-4605-8985-a9e28a75b387"/>
    <xsd:import namespace="a9dd58b0-6ff2-40ef-b7b2-1a00be849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preview" minOccurs="0"/>
                <xsd:element ref="ns2:MediaServiceObjectDetectorVersions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0433-4eea-4605-8985-a9e28a75b3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832bee7-5f33-4165-a8c7-d0a6661c42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view" ma:index="25" nillable="true" ma:displayName="preview" ma:format="Thumbnail" ma:internalName="preview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d58b0-6ff2-40ef-b7b2-1a00be849b4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c254267-fc99-4694-9781-1715ba946ad2}" ma:internalName="TaxCatchAll" ma:showField="CatchAllData" ma:web="a9dd58b0-6ff2-40ef-b7b2-1a00be849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34BE73-E438-4267-B20B-14F68B5076FC}">
  <ds:schemaRefs>
    <ds:schemaRef ds:uri="http://schemas.microsoft.com/office/2006/metadata/properties"/>
    <ds:schemaRef ds:uri="http://schemas.microsoft.com/office/infopath/2007/PartnerControls"/>
    <ds:schemaRef ds:uri="28e20433-4eea-4605-8985-a9e28a75b387"/>
    <ds:schemaRef ds:uri="a9dd58b0-6ff2-40ef-b7b2-1a00be849b49"/>
  </ds:schemaRefs>
</ds:datastoreItem>
</file>

<file path=customXml/itemProps2.xml><?xml version="1.0" encoding="utf-8"?>
<ds:datastoreItem xmlns:ds="http://schemas.openxmlformats.org/officeDocument/2006/customXml" ds:itemID="{414C3095-AADE-4FB0-9CDE-8139FAFF6F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20433-4eea-4605-8985-a9e28a75b387"/>
    <ds:schemaRef ds:uri="a9dd58b0-6ff2-40ef-b7b2-1a00be849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6F6B02-E0BA-43DF-B769-1865C1AE47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CRM_data</vt:lpstr>
      <vt:lpstr>Sheet_01_Funnel</vt:lpstr>
      <vt:lpstr>Sheet_02_Country</vt:lpstr>
      <vt:lpstr>Sheet_03_LostOpportunity</vt:lpstr>
      <vt:lpstr>Sheet_04_Sales</vt:lpstr>
      <vt:lpstr>Sheet_05_Forecasting</vt:lpstr>
      <vt:lpstr>Sheet_06_Forecasting</vt:lpstr>
      <vt:lpstr>Sheet2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Una Kosīte</dc:creator>
  <cp:keywords/>
  <dc:description/>
  <cp:lastModifiedBy>Bảo Châu</cp:lastModifiedBy>
  <cp:revision/>
  <dcterms:created xsi:type="dcterms:W3CDTF">2024-06-11T11:05:26Z</dcterms:created>
  <dcterms:modified xsi:type="dcterms:W3CDTF">2026-03-27T08:13:48Z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0x010100B36058FA0B583F4F902E5D22F46C066D</vt:lpwstr>
  </property>
</Properties>
</file>